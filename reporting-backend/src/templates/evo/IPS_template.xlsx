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2021\Softbase\Softbase Reports\Financials\2026\"/>
    </mc:Choice>
  </mc:AlternateContent>
  <xr:revisionPtr revIDLastSave="0" documentId="13_ncr:1_{ADA4626F-7FB0-4D02-9661-3152E3631FF1}" xr6:coauthVersionLast="47" xr6:coauthVersionMax="47" xr10:uidLastSave="{00000000-0000-0000-0000-000000000000}"/>
  <bookViews>
    <workbookView xWindow="28680" yWindow="-120" windowWidth="29040" windowHeight="15720" tabRatio="939" activeTab="1" xr2:uid="{07522428-02A6-4E2F-A7EC-909880DCE5DC}"/>
  </bookViews>
  <sheets>
    <sheet name="TB" sheetId="1" r:id="rId1"/>
    <sheet name="Balance Sheet" sheetId="2" r:id="rId2"/>
    <sheet name="Trial Balance" sheetId="15" r:id="rId3"/>
    <sheet name="Combined Detail P and L" sheetId="3" r:id="rId4"/>
    <sheet name="Consolidated Expense Statement" sheetId="4" r:id="rId5"/>
    <sheet name="Consolitated Income Statement" sheetId="14" r:id="rId6"/>
    <sheet name="Dynamic Storage Solutions" sheetId="16" r:id="rId7"/>
    <sheet name="C H Steel Solutions" sheetId="12" r:id="rId8"/>
    <sheet name="AMI Sales Department" sheetId="5" r:id="rId9"/>
    <sheet name="Canton Sales Department" sheetId="6" r:id="rId10"/>
    <sheet name="Canton Parts Department" sheetId="7" r:id="rId11"/>
    <sheet name="Canton Service Department" sheetId="8" r:id="rId12"/>
    <sheet name="Canton Rental Department" sheetId="9" r:id="rId13"/>
    <sheet name="Canton Used Department" sheetId="10" r:id="rId14"/>
    <sheet name="Administration Department" sheetId="11" r:id="rId15"/>
    <sheet name="Cleveland Sales Department" sheetId="17" r:id="rId16"/>
    <sheet name="Cleveland Parts Department" sheetId="18" r:id="rId17"/>
    <sheet name="Cleveland Service Department" sheetId="20" r:id="rId18"/>
    <sheet name="Cleveland Rental Department" sheetId="21" r:id="rId19"/>
    <sheet name="Cleveland Used Department" sheetId="22" r:id="rId20"/>
    <sheet name="CLE-Consolitated Income Stateme" sheetId="23" r:id="rId21"/>
    <sheet name="Cons. Inc. Stmt. - All Branches" sheetId="24" r:id="rId22"/>
    <sheet name="3M Meeting Income Statement" sheetId="25" r:id="rId23"/>
  </sheets>
  <definedNames>
    <definedName name="ExternalData_1" localSheetId="0" hidden="1">TB!#REF!</definedName>
    <definedName name="ExternalData_2" localSheetId="0" hidden="1">TB!#REF!</definedName>
    <definedName name="_xlnm.Print_Area" localSheetId="14">'Administration Department'!$A$1:$O$53</definedName>
    <definedName name="_xlnm.Print_Area" localSheetId="8">'AMI Sales Department'!$A$1:$P$54</definedName>
    <definedName name="_xlnm.Print_Area" localSheetId="1">'Balance Sheet'!$A$1:$H$176</definedName>
    <definedName name="_xlnm.Print_Area" localSheetId="7">'C H Steel Solutions'!$A$1:$O$62</definedName>
    <definedName name="_xlnm.Print_Area" localSheetId="10">'Canton Parts Department'!$A$1:$O$87</definedName>
    <definedName name="_xlnm.Print_Area" localSheetId="12">'Canton Rental Department'!$A$1:$O$41</definedName>
    <definedName name="_xlnm.Print_Area" localSheetId="9">'Canton Sales Department'!$A$1:$O$61</definedName>
    <definedName name="_xlnm.Print_Area" localSheetId="11">'Canton Service Department'!$A$1:$Q$83</definedName>
    <definedName name="_xlnm.Print_Area" localSheetId="13">'Canton Used Department'!$A$1:$O$50</definedName>
    <definedName name="_xlnm.Print_Area" localSheetId="16">'Cleveland Parts Department'!$A$1:$O$78</definedName>
    <definedName name="_xlnm.Print_Area" localSheetId="18">'Cleveland Rental Department'!$A$1:$O$39</definedName>
    <definedName name="_xlnm.Print_Area" localSheetId="15">'Cleveland Sales Department'!$A$1:$O$64</definedName>
    <definedName name="_xlnm.Print_Area" localSheetId="17">'Cleveland Service Department'!$A$1:$Q$83</definedName>
    <definedName name="_xlnm.Print_Area" localSheetId="19">'Cleveland Used Department'!$A$1:$O$50</definedName>
    <definedName name="_xlnm.Print_Area" localSheetId="3">'Combined Detail P and L'!$A$1:$O$642</definedName>
    <definedName name="_xlnm.Print_Area" localSheetId="4">'Consolidated Expense Statement'!$A$1:$M$54</definedName>
    <definedName name="_xlnm.Print_Area" localSheetId="6">'Dynamic Storage Solutions'!$A$1:$O$61</definedName>
    <definedName name="TB" localSheetId="0" hidden="1">TB!$B$5:$H$760</definedName>
    <definedName name="TB1_1" localSheetId="0" hidden="1">TB!$P$5:$V$752</definedName>
    <definedName name="TB2_" localSheetId="0" hidden="1">TB!$Y$5:$AD$752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7" l="1"/>
  <c r="F49" i="7" s="1"/>
  <c r="H49" i="7"/>
  <c r="I49" i="7" s="1"/>
  <c r="L49" i="7"/>
  <c r="O49" i="7"/>
  <c r="E45" i="7"/>
  <c r="F45" i="7" s="1"/>
  <c r="H45" i="7"/>
  <c r="I45" i="7" s="1"/>
  <c r="L45" i="7"/>
  <c r="O45" i="7"/>
  <c r="E41" i="7"/>
  <c r="F41" i="7" s="1"/>
  <c r="H41" i="7"/>
  <c r="I41" i="7" s="1"/>
  <c r="L41" i="7"/>
  <c r="O41" i="7"/>
  <c r="E37" i="7"/>
  <c r="F37" i="7" s="1"/>
  <c r="H37" i="7"/>
  <c r="I37" i="7" s="1"/>
  <c r="L37" i="7"/>
  <c r="O37" i="7"/>
  <c r="E22" i="7"/>
  <c r="H22" i="7"/>
  <c r="E18" i="7"/>
  <c r="H18" i="7"/>
  <c r="E14" i="7"/>
  <c r="H14" i="7"/>
  <c r="E11" i="7"/>
  <c r="H11" i="7"/>
  <c r="E761" i="1"/>
  <c r="F761" i="1"/>
  <c r="H180" i="3"/>
  <c r="N180" i="3"/>
  <c r="H203" i="3"/>
  <c r="N203" i="3"/>
  <c r="H189" i="3"/>
  <c r="N189" i="3"/>
  <c r="H196" i="3"/>
  <c r="N196" i="3"/>
  <c r="H56" i="3"/>
  <c r="N56" i="3"/>
  <c r="H63" i="3"/>
  <c r="N63" i="3"/>
  <c r="H70" i="3"/>
  <c r="N70" i="3"/>
  <c r="H45" i="3"/>
  <c r="N45" i="3"/>
  <c r="E15" i="9"/>
  <c r="H15" i="9"/>
  <c r="K15" i="9"/>
  <c r="N15" i="9"/>
  <c r="E7" i="9"/>
  <c r="H7" i="9"/>
  <c r="K7" i="9"/>
  <c r="N7" i="9"/>
  <c r="H27" i="7"/>
  <c r="E60" i="2"/>
  <c r="E465" i="3"/>
  <c r="H465" i="3"/>
  <c r="K465" i="3"/>
  <c r="N465" i="3"/>
  <c r="E303" i="3"/>
  <c r="H303" i="3"/>
  <c r="K303" i="3"/>
  <c r="N303" i="3"/>
  <c r="E291" i="3"/>
  <c r="H291" i="3"/>
  <c r="K291" i="3"/>
  <c r="N291" i="3"/>
  <c r="E173" i="3"/>
  <c r="H173" i="3"/>
  <c r="K173" i="3"/>
  <c r="N173" i="3"/>
  <c r="E174" i="3"/>
  <c r="H174" i="3"/>
  <c r="K174" i="3"/>
  <c r="N174" i="3"/>
  <c r="E175" i="3"/>
  <c r="H175" i="3"/>
  <c r="K175" i="3"/>
  <c r="N175" i="3"/>
  <c r="E131" i="3"/>
  <c r="H131" i="3"/>
  <c r="K131" i="3"/>
  <c r="N131" i="3"/>
  <c r="E130" i="3"/>
  <c r="H130" i="3"/>
  <c r="K130" i="3"/>
  <c r="N130" i="3"/>
  <c r="E38" i="3"/>
  <c r="H38" i="3"/>
  <c r="K38" i="3"/>
  <c r="N38" i="3"/>
  <c r="E40" i="3"/>
  <c r="H40" i="3"/>
  <c r="K40" i="3"/>
  <c r="N40" i="3"/>
  <c r="E39" i="3"/>
  <c r="H39" i="3"/>
  <c r="K39" i="3"/>
  <c r="N39" i="3"/>
  <c r="E13" i="3"/>
  <c r="H13" i="3"/>
  <c r="K13" i="3"/>
  <c r="N13" i="3"/>
  <c r="E17" i="3"/>
  <c r="H17" i="3"/>
  <c r="K17" i="3"/>
  <c r="N17" i="3"/>
  <c r="E147" i="2"/>
  <c r="G147" i="2"/>
  <c r="I127" i="15" l="1"/>
  <c r="M127" i="15"/>
  <c r="I128" i="15"/>
  <c r="M128" i="15"/>
  <c r="I129" i="15"/>
  <c r="M129" i="15"/>
  <c r="I130" i="15"/>
  <c r="M130" i="15"/>
  <c r="I126" i="15"/>
  <c r="I120" i="15"/>
  <c r="M120" i="15"/>
  <c r="I121" i="15"/>
  <c r="M121" i="15"/>
  <c r="I87" i="15"/>
  <c r="M87" i="15"/>
  <c r="I88" i="15"/>
  <c r="M88" i="15"/>
  <c r="I89" i="15"/>
  <c r="M89" i="15"/>
  <c r="I90" i="15"/>
  <c r="M90" i="15"/>
  <c r="I91" i="15"/>
  <c r="M91" i="15"/>
  <c r="I92" i="15"/>
  <c r="M92" i="15"/>
  <c r="I93" i="15"/>
  <c r="M93" i="15"/>
  <c r="I94" i="15"/>
  <c r="M94" i="15"/>
  <c r="I95" i="15"/>
  <c r="M95" i="15"/>
  <c r="I96" i="15"/>
  <c r="M96" i="15"/>
  <c r="I97" i="15"/>
  <c r="M97" i="15"/>
  <c r="I98" i="15"/>
  <c r="M98" i="15"/>
  <c r="I99" i="15"/>
  <c r="M99" i="15"/>
  <c r="I100" i="15"/>
  <c r="M100" i="15"/>
  <c r="I101" i="15"/>
  <c r="M101" i="15"/>
  <c r="I102" i="15"/>
  <c r="M102" i="15"/>
  <c r="I103" i="15"/>
  <c r="M103" i="15"/>
  <c r="I104" i="15"/>
  <c r="M104" i="15"/>
  <c r="I105" i="15"/>
  <c r="M105" i="15"/>
  <c r="I106" i="15"/>
  <c r="M106" i="15"/>
  <c r="I107" i="15"/>
  <c r="M107" i="15"/>
  <c r="I108" i="15"/>
  <c r="M108" i="15"/>
  <c r="I109" i="15"/>
  <c r="M109" i="15"/>
  <c r="I110" i="15"/>
  <c r="M110" i="15"/>
  <c r="I111" i="15"/>
  <c r="M111" i="15"/>
  <c r="I112" i="15"/>
  <c r="M112" i="15"/>
  <c r="I113" i="15"/>
  <c r="M113" i="15"/>
  <c r="I114" i="15"/>
  <c r="M114" i="15"/>
  <c r="I115" i="15"/>
  <c r="M115" i="15"/>
  <c r="I116" i="15"/>
  <c r="M116" i="15"/>
  <c r="I117" i="15"/>
  <c r="M117" i="15"/>
  <c r="I118" i="15"/>
  <c r="M118" i="15"/>
  <c r="I119" i="15"/>
  <c r="M119" i="15"/>
  <c r="I86" i="15"/>
  <c r="I57" i="15"/>
  <c r="M57" i="15"/>
  <c r="I58" i="15"/>
  <c r="M58" i="15"/>
  <c r="I59" i="15"/>
  <c r="M59" i="15"/>
  <c r="I60" i="15"/>
  <c r="M60" i="15"/>
  <c r="I61" i="15"/>
  <c r="M61" i="15"/>
  <c r="I62" i="15"/>
  <c r="M62" i="15"/>
  <c r="I63" i="15"/>
  <c r="M63" i="15"/>
  <c r="I64" i="15"/>
  <c r="M64" i="15"/>
  <c r="I65" i="15"/>
  <c r="M65" i="15"/>
  <c r="I66" i="15"/>
  <c r="M66" i="15"/>
  <c r="I67" i="15"/>
  <c r="M67" i="15"/>
  <c r="I68" i="15"/>
  <c r="M68" i="15"/>
  <c r="I69" i="15"/>
  <c r="M69" i="15"/>
  <c r="I70" i="15"/>
  <c r="M70" i="15"/>
  <c r="I71" i="15"/>
  <c r="M71" i="15"/>
  <c r="I72" i="15"/>
  <c r="M72" i="15"/>
  <c r="I73" i="15"/>
  <c r="M73" i="15"/>
  <c r="I74" i="15"/>
  <c r="M74" i="15"/>
  <c r="I75" i="15"/>
  <c r="M75" i="15"/>
  <c r="I76" i="15"/>
  <c r="M76" i="15"/>
  <c r="I77" i="15"/>
  <c r="M77" i="15"/>
  <c r="I78" i="15"/>
  <c r="M78" i="15"/>
  <c r="I79" i="15"/>
  <c r="M79" i="15"/>
  <c r="I80" i="15"/>
  <c r="M80" i="15"/>
  <c r="I81" i="15"/>
  <c r="M81" i="15"/>
  <c r="I34" i="15"/>
  <c r="M34" i="15"/>
  <c r="I35" i="15"/>
  <c r="M35" i="15"/>
  <c r="I36" i="15"/>
  <c r="M36" i="15"/>
  <c r="I37" i="15"/>
  <c r="M37" i="15"/>
  <c r="I38" i="15"/>
  <c r="M38" i="15"/>
  <c r="I39" i="15"/>
  <c r="M39" i="15"/>
  <c r="I40" i="15"/>
  <c r="M40" i="15"/>
  <c r="I41" i="15"/>
  <c r="M41" i="15"/>
  <c r="I42" i="15"/>
  <c r="M42" i="15"/>
  <c r="I43" i="15"/>
  <c r="M43" i="15"/>
  <c r="I44" i="15"/>
  <c r="M44" i="15"/>
  <c r="I45" i="15"/>
  <c r="M45" i="15"/>
  <c r="I46" i="15"/>
  <c r="M46" i="15"/>
  <c r="I47" i="15"/>
  <c r="M47" i="15"/>
  <c r="I48" i="15"/>
  <c r="M48" i="15"/>
  <c r="I49" i="15"/>
  <c r="M49" i="15"/>
  <c r="I51" i="15"/>
  <c r="M51" i="15"/>
  <c r="I52" i="15"/>
  <c r="M52" i="15"/>
  <c r="I53" i="15"/>
  <c r="M53" i="15"/>
  <c r="I54" i="15"/>
  <c r="M54" i="15"/>
  <c r="I55" i="15"/>
  <c r="M55" i="15"/>
  <c r="I56" i="15"/>
  <c r="M56" i="15"/>
  <c r="I17" i="15"/>
  <c r="M17" i="15"/>
  <c r="I18" i="15"/>
  <c r="M18" i="15"/>
  <c r="I19" i="15"/>
  <c r="M19" i="15"/>
  <c r="I20" i="15"/>
  <c r="M20" i="15"/>
  <c r="I21" i="15"/>
  <c r="M21" i="15"/>
  <c r="I22" i="15"/>
  <c r="M22" i="15"/>
  <c r="I23" i="15"/>
  <c r="M23" i="15"/>
  <c r="I24" i="15"/>
  <c r="M24" i="15"/>
  <c r="I25" i="15"/>
  <c r="M25" i="15"/>
  <c r="I26" i="15"/>
  <c r="M26" i="15"/>
  <c r="I27" i="15"/>
  <c r="M27" i="15"/>
  <c r="I28" i="15"/>
  <c r="M28" i="15"/>
  <c r="I29" i="15"/>
  <c r="M29" i="15"/>
  <c r="I30" i="15"/>
  <c r="M30" i="15"/>
  <c r="I31" i="15"/>
  <c r="M31" i="15"/>
  <c r="I32" i="15"/>
  <c r="M32" i="15"/>
  <c r="I33" i="15"/>
  <c r="M33" i="15"/>
  <c r="I8" i="15"/>
  <c r="M8" i="15"/>
  <c r="I9" i="15"/>
  <c r="M9" i="15"/>
  <c r="I10" i="15"/>
  <c r="M10" i="15"/>
  <c r="I11" i="15"/>
  <c r="M11" i="15"/>
  <c r="I12" i="15"/>
  <c r="M12" i="15"/>
  <c r="I13" i="15"/>
  <c r="M13" i="15"/>
  <c r="I14" i="15"/>
  <c r="M14" i="15"/>
  <c r="I15" i="15"/>
  <c r="M15" i="15"/>
  <c r="I16" i="15"/>
  <c r="M16" i="15"/>
  <c r="E127" i="15"/>
  <c r="G127" i="15"/>
  <c r="E128" i="15"/>
  <c r="G128" i="15"/>
  <c r="E129" i="15"/>
  <c r="G129" i="15"/>
  <c r="E130" i="15"/>
  <c r="G130" i="15"/>
  <c r="E117" i="15"/>
  <c r="G117" i="15"/>
  <c r="E118" i="15"/>
  <c r="G118" i="15"/>
  <c r="E119" i="15"/>
  <c r="G119" i="15"/>
  <c r="E120" i="15"/>
  <c r="G120" i="15"/>
  <c r="E121" i="15"/>
  <c r="G121" i="15"/>
  <c r="E113" i="15"/>
  <c r="G113" i="15"/>
  <c r="E114" i="15"/>
  <c r="G114" i="15"/>
  <c r="E115" i="15"/>
  <c r="G115" i="15"/>
  <c r="E116" i="15"/>
  <c r="G116" i="15"/>
  <c r="E87" i="15"/>
  <c r="G87" i="15"/>
  <c r="E88" i="15"/>
  <c r="G88" i="15"/>
  <c r="K88" i="15" s="1"/>
  <c r="E89" i="15"/>
  <c r="G89" i="15"/>
  <c r="E90" i="15"/>
  <c r="G90" i="15"/>
  <c r="E91" i="15"/>
  <c r="G91" i="15"/>
  <c r="E92" i="15"/>
  <c r="G92" i="15"/>
  <c r="E93" i="15"/>
  <c r="G93" i="15"/>
  <c r="E94" i="15"/>
  <c r="G94" i="15"/>
  <c r="E95" i="15"/>
  <c r="G95" i="15"/>
  <c r="E96" i="15"/>
  <c r="G96" i="15"/>
  <c r="E97" i="15"/>
  <c r="G97" i="15"/>
  <c r="E98" i="15"/>
  <c r="G98" i="15"/>
  <c r="E99" i="15"/>
  <c r="G99" i="15"/>
  <c r="E100" i="15"/>
  <c r="G100" i="15"/>
  <c r="K100" i="15" s="1"/>
  <c r="E101" i="15"/>
  <c r="G101" i="15"/>
  <c r="E102" i="15"/>
  <c r="G102" i="15"/>
  <c r="E103" i="15"/>
  <c r="G103" i="15"/>
  <c r="E104" i="15"/>
  <c r="G104" i="15"/>
  <c r="K104" i="15" s="1"/>
  <c r="E105" i="15"/>
  <c r="G105" i="15"/>
  <c r="E106" i="15"/>
  <c r="G106" i="15"/>
  <c r="E107" i="15"/>
  <c r="G107" i="15"/>
  <c r="E108" i="15"/>
  <c r="G108" i="15"/>
  <c r="E109" i="15"/>
  <c r="G109" i="15"/>
  <c r="E110" i="15"/>
  <c r="G110" i="15"/>
  <c r="E111" i="15"/>
  <c r="G111" i="15"/>
  <c r="E112" i="15"/>
  <c r="G112" i="15"/>
  <c r="E73" i="15"/>
  <c r="G73" i="15"/>
  <c r="E74" i="15"/>
  <c r="G74" i="15"/>
  <c r="E75" i="15"/>
  <c r="G75" i="15"/>
  <c r="E76" i="15"/>
  <c r="G76" i="15"/>
  <c r="E77" i="15"/>
  <c r="G77" i="15"/>
  <c r="E78" i="15"/>
  <c r="G78" i="15"/>
  <c r="E79" i="15"/>
  <c r="G79" i="15"/>
  <c r="E80" i="15"/>
  <c r="G80" i="15"/>
  <c r="E81" i="15"/>
  <c r="G81" i="15"/>
  <c r="E58" i="15"/>
  <c r="G58" i="15"/>
  <c r="E59" i="15"/>
  <c r="G59" i="15"/>
  <c r="E60" i="15"/>
  <c r="G60" i="15"/>
  <c r="E61" i="15"/>
  <c r="G61" i="15"/>
  <c r="E62" i="15"/>
  <c r="G62" i="15"/>
  <c r="E63" i="15"/>
  <c r="G63" i="15"/>
  <c r="E64" i="15"/>
  <c r="G64" i="15"/>
  <c r="E65" i="15"/>
  <c r="G65" i="15"/>
  <c r="E66" i="15"/>
  <c r="G66" i="15"/>
  <c r="E67" i="15"/>
  <c r="G67" i="15"/>
  <c r="E68" i="15"/>
  <c r="G68" i="15"/>
  <c r="E69" i="15"/>
  <c r="G69" i="15"/>
  <c r="E70" i="15"/>
  <c r="G70" i="15"/>
  <c r="E71" i="15"/>
  <c r="G71" i="15"/>
  <c r="E72" i="15"/>
  <c r="G72" i="15"/>
  <c r="E46" i="15"/>
  <c r="G46" i="15"/>
  <c r="E47" i="15"/>
  <c r="G47" i="15"/>
  <c r="E48" i="15"/>
  <c r="G48" i="15"/>
  <c r="E49" i="15"/>
  <c r="G49" i="15"/>
  <c r="E51" i="15"/>
  <c r="G51" i="15"/>
  <c r="E52" i="15"/>
  <c r="G52" i="15"/>
  <c r="E53" i="15"/>
  <c r="G53" i="15"/>
  <c r="E54" i="15"/>
  <c r="G54" i="15"/>
  <c r="E55" i="15"/>
  <c r="G55" i="15"/>
  <c r="E56" i="15"/>
  <c r="G56" i="15"/>
  <c r="E57" i="15"/>
  <c r="G57" i="15"/>
  <c r="E35" i="15"/>
  <c r="G35" i="15"/>
  <c r="E36" i="15"/>
  <c r="G36" i="15"/>
  <c r="E37" i="15"/>
  <c r="G37" i="15"/>
  <c r="E38" i="15"/>
  <c r="G38" i="15"/>
  <c r="E39" i="15"/>
  <c r="G39" i="15"/>
  <c r="E40" i="15"/>
  <c r="G40" i="15"/>
  <c r="E41" i="15"/>
  <c r="G41" i="15"/>
  <c r="E42" i="15"/>
  <c r="G42" i="15"/>
  <c r="E43" i="15"/>
  <c r="G43" i="15"/>
  <c r="E44" i="15"/>
  <c r="G44" i="15"/>
  <c r="E45" i="15"/>
  <c r="G45" i="15"/>
  <c r="E26" i="15"/>
  <c r="G26" i="15"/>
  <c r="E27" i="15"/>
  <c r="G27" i="15"/>
  <c r="E28" i="15"/>
  <c r="G28" i="15"/>
  <c r="E29" i="15"/>
  <c r="G29" i="15"/>
  <c r="E30" i="15"/>
  <c r="G30" i="15"/>
  <c r="E31" i="15"/>
  <c r="G31" i="15"/>
  <c r="E32" i="15"/>
  <c r="G32" i="15"/>
  <c r="E33" i="15"/>
  <c r="G33" i="15"/>
  <c r="E34" i="15"/>
  <c r="G34" i="15"/>
  <c r="E17" i="15"/>
  <c r="G17" i="15"/>
  <c r="E18" i="15"/>
  <c r="G18" i="15"/>
  <c r="E19" i="15"/>
  <c r="G19" i="15"/>
  <c r="E20" i="15"/>
  <c r="G20" i="15"/>
  <c r="E21" i="15"/>
  <c r="G21" i="15"/>
  <c r="E22" i="15"/>
  <c r="G22" i="15"/>
  <c r="E23" i="15"/>
  <c r="G23" i="15"/>
  <c r="E24" i="15"/>
  <c r="G24" i="15"/>
  <c r="E25" i="15"/>
  <c r="G25" i="15"/>
  <c r="E8" i="15"/>
  <c r="G8" i="15"/>
  <c r="E9" i="15"/>
  <c r="G9" i="15"/>
  <c r="E10" i="15"/>
  <c r="G10" i="15"/>
  <c r="E11" i="15"/>
  <c r="G11" i="15"/>
  <c r="E12" i="15"/>
  <c r="G12" i="15"/>
  <c r="E13" i="15"/>
  <c r="G13" i="15"/>
  <c r="E14" i="15"/>
  <c r="G14" i="15"/>
  <c r="E15" i="15"/>
  <c r="G15" i="15"/>
  <c r="E16" i="15"/>
  <c r="G16" i="15"/>
  <c r="G7" i="15"/>
  <c r="E7" i="15"/>
  <c r="E631" i="3"/>
  <c r="H631" i="3"/>
  <c r="K631" i="3"/>
  <c r="N631" i="3"/>
  <c r="E624" i="3"/>
  <c r="H624" i="3"/>
  <c r="K624" i="3"/>
  <c r="N624" i="3"/>
  <c r="E620" i="3"/>
  <c r="H620" i="3"/>
  <c r="K620" i="3"/>
  <c r="N620" i="3"/>
  <c r="E610" i="3"/>
  <c r="H610" i="3"/>
  <c r="K610" i="3"/>
  <c r="N610" i="3"/>
  <c r="E582" i="3"/>
  <c r="H582" i="3"/>
  <c r="K582" i="3"/>
  <c r="N582" i="3"/>
  <c r="E568" i="3"/>
  <c r="H568" i="3"/>
  <c r="K568" i="3"/>
  <c r="N568" i="3"/>
  <c r="E560" i="3"/>
  <c r="H560" i="3"/>
  <c r="K560" i="3"/>
  <c r="N560" i="3"/>
  <c r="E548" i="3"/>
  <c r="H548" i="3"/>
  <c r="K548" i="3"/>
  <c r="N548" i="3"/>
  <c r="E534" i="3"/>
  <c r="H534" i="3"/>
  <c r="K534" i="3"/>
  <c r="N534" i="3"/>
  <c r="E520" i="3"/>
  <c r="H520" i="3"/>
  <c r="K520" i="3"/>
  <c r="N520" i="3"/>
  <c r="E521" i="3"/>
  <c r="H521" i="3"/>
  <c r="K521" i="3"/>
  <c r="N521" i="3"/>
  <c r="E522" i="3"/>
  <c r="H522" i="3"/>
  <c r="K522" i="3"/>
  <c r="N522" i="3"/>
  <c r="E523" i="3"/>
  <c r="H523" i="3"/>
  <c r="K523" i="3"/>
  <c r="N523" i="3"/>
  <c r="E524" i="3"/>
  <c r="H524" i="3"/>
  <c r="K524" i="3"/>
  <c r="N524" i="3"/>
  <c r="E525" i="3"/>
  <c r="H525" i="3"/>
  <c r="K525" i="3"/>
  <c r="N525" i="3"/>
  <c r="E526" i="3"/>
  <c r="H526" i="3"/>
  <c r="K526" i="3"/>
  <c r="N526" i="3"/>
  <c r="E527" i="3"/>
  <c r="H527" i="3"/>
  <c r="K527" i="3"/>
  <c r="N527" i="3"/>
  <c r="E528" i="3"/>
  <c r="H528" i="3"/>
  <c r="K528" i="3"/>
  <c r="N528" i="3"/>
  <c r="E529" i="3"/>
  <c r="H529" i="3"/>
  <c r="K529" i="3"/>
  <c r="N529" i="3"/>
  <c r="E530" i="3"/>
  <c r="H530" i="3"/>
  <c r="K530" i="3"/>
  <c r="N530" i="3"/>
  <c r="E510" i="3"/>
  <c r="H510" i="3"/>
  <c r="K510" i="3"/>
  <c r="N510" i="3"/>
  <c r="E499" i="3"/>
  <c r="H499" i="3"/>
  <c r="K499" i="3"/>
  <c r="N499" i="3"/>
  <c r="E487" i="3"/>
  <c r="H487" i="3"/>
  <c r="K487" i="3"/>
  <c r="N487" i="3"/>
  <c r="E476" i="3"/>
  <c r="H476" i="3"/>
  <c r="K476" i="3"/>
  <c r="N476" i="3"/>
  <c r="E464" i="3"/>
  <c r="H464" i="3"/>
  <c r="K464" i="3"/>
  <c r="N464" i="3"/>
  <c r="E466" i="3"/>
  <c r="H466" i="3"/>
  <c r="K466" i="3"/>
  <c r="N466" i="3"/>
  <c r="E467" i="3"/>
  <c r="H467" i="3"/>
  <c r="K467" i="3"/>
  <c r="N467" i="3"/>
  <c r="E468" i="3"/>
  <c r="H468" i="3"/>
  <c r="K468" i="3"/>
  <c r="N468" i="3"/>
  <c r="E469" i="3"/>
  <c r="H469" i="3"/>
  <c r="K469" i="3"/>
  <c r="N469" i="3"/>
  <c r="E470" i="3"/>
  <c r="H470" i="3"/>
  <c r="K470" i="3"/>
  <c r="N470" i="3"/>
  <c r="E471" i="3"/>
  <c r="H471" i="3"/>
  <c r="K471" i="3"/>
  <c r="N471" i="3"/>
  <c r="E454" i="3"/>
  <c r="H454" i="3"/>
  <c r="K454" i="3"/>
  <c r="N454" i="3"/>
  <c r="E447" i="3"/>
  <c r="H447" i="3"/>
  <c r="K447" i="3"/>
  <c r="N447" i="3"/>
  <c r="E445" i="3"/>
  <c r="H445" i="3"/>
  <c r="K445" i="3"/>
  <c r="N445" i="3"/>
  <c r="E436" i="3"/>
  <c r="H436" i="3"/>
  <c r="K436" i="3"/>
  <c r="N436" i="3"/>
  <c r="E414" i="3"/>
  <c r="H414" i="3"/>
  <c r="K414" i="3"/>
  <c r="N414" i="3"/>
  <c r="E415" i="3"/>
  <c r="H415" i="3"/>
  <c r="K415" i="3"/>
  <c r="N415" i="3"/>
  <c r="E416" i="3"/>
  <c r="H416" i="3"/>
  <c r="K416" i="3"/>
  <c r="N416" i="3"/>
  <c r="E417" i="3"/>
  <c r="H417" i="3"/>
  <c r="K417" i="3"/>
  <c r="N417" i="3"/>
  <c r="E418" i="3"/>
  <c r="H418" i="3"/>
  <c r="K418" i="3"/>
  <c r="N418" i="3"/>
  <c r="E419" i="3"/>
  <c r="H419" i="3"/>
  <c r="K419" i="3"/>
  <c r="N419" i="3"/>
  <c r="E420" i="3"/>
  <c r="H420" i="3"/>
  <c r="K420" i="3"/>
  <c r="N420" i="3"/>
  <c r="E421" i="3"/>
  <c r="H421" i="3"/>
  <c r="K421" i="3"/>
  <c r="N421" i="3"/>
  <c r="E422" i="3"/>
  <c r="H422" i="3"/>
  <c r="K422" i="3"/>
  <c r="N422" i="3"/>
  <c r="E423" i="3"/>
  <c r="H423" i="3"/>
  <c r="K423" i="3"/>
  <c r="N423" i="3"/>
  <c r="E424" i="3"/>
  <c r="H424" i="3"/>
  <c r="K424" i="3"/>
  <c r="N424" i="3"/>
  <c r="E404" i="3"/>
  <c r="H404" i="3"/>
  <c r="K404" i="3"/>
  <c r="N404" i="3"/>
  <c r="E392" i="3"/>
  <c r="H392" i="3"/>
  <c r="K392" i="3"/>
  <c r="N392" i="3"/>
  <c r="E378" i="3"/>
  <c r="H378" i="3"/>
  <c r="K378" i="3"/>
  <c r="N378" i="3"/>
  <c r="E371" i="3"/>
  <c r="H371" i="3"/>
  <c r="K371" i="3"/>
  <c r="N371" i="3"/>
  <c r="E372" i="3"/>
  <c r="H372" i="3"/>
  <c r="K372" i="3"/>
  <c r="N372" i="3"/>
  <c r="E373" i="3"/>
  <c r="H373" i="3"/>
  <c r="K373" i="3"/>
  <c r="N373" i="3"/>
  <c r="E374" i="3"/>
  <c r="H374" i="3"/>
  <c r="K374" i="3"/>
  <c r="N374" i="3"/>
  <c r="E375" i="3"/>
  <c r="H375" i="3"/>
  <c r="K375" i="3"/>
  <c r="N375" i="3"/>
  <c r="E376" i="3"/>
  <c r="H376" i="3"/>
  <c r="K376" i="3"/>
  <c r="N376" i="3"/>
  <c r="E370" i="3"/>
  <c r="H370" i="3"/>
  <c r="K370" i="3"/>
  <c r="N370" i="3"/>
  <c r="E369" i="3"/>
  <c r="H369" i="3"/>
  <c r="K369" i="3"/>
  <c r="N369" i="3"/>
  <c r="E368" i="3"/>
  <c r="H368" i="3"/>
  <c r="K368" i="3"/>
  <c r="N368" i="3"/>
  <c r="E367" i="3"/>
  <c r="H367" i="3"/>
  <c r="K367" i="3"/>
  <c r="N367" i="3"/>
  <c r="E366" i="3"/>
  <c r="H366" i="3"/>
  <c r="K366" i="3"/>
  <c r="N366" i="3"/>
  <c r="E364" i="3"/>
  <c r="H364" i="3"/>
  <c r="K364" i="3"/>
  <c r="N364" i="3"/>
  <c r="E363" i="3"/>
  <c r="H363" i="3"/>
  <c r="K363" i="3"/>
  <c r="N363" i="3"/>
  <c r="E362" i="3"/>
  <c r="H362" i="3"/>
  <c r="K362" i="3"/>
  <c r="N362" i="3"/>
  <c r="E353" i="3"/>
  <c r="H353" i="3"/>
  <c r="K353" i="3"/>
  <c r="N353" i="3"/>
  <c r="E344" i="3"/>
  <c r="H344" i="3"/>
  <c r="K344" i="3"/>
  <c r="N344" i="3"/>
  <c r="E332" i="3"/>
  <c r="H332" i="3"/>
  <c r="K332" i="3"/>
  <c r="N332" i="3"/>
  <c r="E312" i="3"/>
  <c r="H312" i="3"/>
  <c r="K312" i="3"/>
  <c r="N312" i="3"/>
  <c r="E288" i="3"/>
  <c r="H288" i="3"/>
  <c r="K288" i="3"/>
  <c r="N288" i="3"/>
  <c r="E284" i="3"/>
  <c r="H284" i="3"/>
  <c r="K284" i="3"/>
  <c r="N284" i="3"/>
  <c r="E279" i="3"/>
  <c r="H279" i="3"/>
  <c r="K279" i="3"/>
  <c r="N279" i="3"/>
  <c r="E239" i="3"/>
  <c r="H239" i="3"/>
  <c r="K239" i="3"/>
  <c r="N239" i="3"/>
  <c r="E218" i="3"/>
  <c r="H218" i="3"/>
  <c r="K218" i="3"/>
  <c r="N218" i="3"/>
  <c r="E209" i="3"/>
  <c r="H209" i="3"/>
  <c r="K209" i="3"/>
  <c r="N209" i="3"/>
  <c r="E171" i="3"/>
  <c r="H171" i="3"/>
  <c r="K171" i="3"/>
  <c r="N171" i="3"/>
  <c r="E167" i="3"/>
  <c r="H167" i="3"/>
  <c r="K167" i="3"/>
  <c r="N167" i="3"/>
  <c r="E102" i="3"/>
  <c r="H102" i="3"/>
  <c r="K102" i="3"/>
  <c r="N102" i="3"/>
  <c r="E76" i="3"/>
  <c r="H76" i="3"/>
  <c r="K76" i="3"/>
  <c r="N76" i="3"/>
  <c r="E32" i="3"/>
  <c r="H32" i="3"/>
  <c r="K32" i="3"/>
  <c r="N32" i="3"/>
  <c r="E28" i="3"/>
  <c r="H28" i="3"/>
  <c r="K28" i="3"/>
  <c r="N28" i="3"/>
  <c r="E23" i="3"/>
  <c r="H23" i="3"/>
  <c r="K23" i="3"/>
  <c r="N23" i="3"/>
  <c r="E18" i="3"/>
  <c r="H18" i="3"/>
  <c r="K18" i="3"/>
  <c r="N18" i="3"/>
  <c r="E19" i="3"/>
  <c r="H19" i="3"/>
  <c r="K19" i="3"/>
  <c r="N19" i="3"/>
  <c r="E16" i="3"/>
  <c r="H16" i="3"/>
  <c r="K16" i="3"/>
  <c r="N16" i="3"/>
  <c r="E15" i="3"/>
  <c r="H15" i="3"/>
  <c r="K15" i="3"/>
  <c r="N15" i="3"/>
  <c r="E14" i="3"/>
  <c r="H14" i="3"/>
  <c r="K14" i="3"/>
  <c r="N14" i="3"/>
  <c r="E12" i="3"/>
  <c r="H12" i="3"/>
  <c r="K12" i="3"/>
  <c r="N12" i="3"/>
  <c r="E11" i="3"/>
  <c r="H11" i="3"/>
  <c r="K11" i="3"/>
  <c r="N11" i="3"/>
  <c r="K34" i="22"/>
  <c r="N34" i="22"/>
  <c r="K25" i="22"/>
  <c r="N25" i="22"/>
  <c r="K12" i="22"/>
  <c r="N12" i="22"/>
  <c r="M61" i="20"/>
  <c r="P61" i="20"/>
  <c r="M60" i="20"/>
  <c r="P60" i="20"/>
  <c r="M45" i="20"/>
  <c r="P45" i="20"/>
  <c r="K41" i="17"/>
  <c r="N41" i="17"/>
  <c r="K40" i="17"/>
  <c r="N40" i="17"/>
  <c r="K39" i="17"/>
  <c r="N39" i="17"/>
  <c r="K30" i="17"/>
  <c r="N30" i="17"/>
  <c r="K28" i="17"/>
  <c r="N28" i="17"/>
  <c r="K19" i="17"/>
  <c r="N19" i="17"/>
  <c r="K11" i="17"/>
  <c r="N11" i="17"/>
  <c r="K9" i="17"/>
  <c r="N9" i="17"/>
  <c r="K33" i="16"/>
  <c r="L33" i="16"/>
  <c r="N33" i="16"/>
  <c r="O33" i="16"/>
  <c r="K34" i="16"/>
  <c r="L34" i="16"/>
  <c r="N34" i="16"/>
  <c r="O34" i="16"/>
  <c r="K35" i="16"/>
  <c r="L35" i="16"/>
  <c r="N35" i="16"/>
  <c r="O35" i="16"/>
  <c r="K36" i="16"/>
  <c r="L36" i="16"/>
  <c r="N36" i="16"/>
  <c r="O36" i="16"/>
  <c r="K37" i="16"/>
  <c r="L37" i="16"/>
  <c r="N37" i="16"/>
  <c r="O37" i="16"/>
  <c r="K38" i="16"/>
  <c r="L38" i="16"/>
  <c r="N38" i="16"/>
  <c r="O38" i="16"/>
  <c r="K39" i="16"/>
  <c r="L39" i="16"/>
  <c r="N39" i="16"/>
  <c r="O39" i="16"/>
  <c r="K40" i="16"/>
  <c r="L40" i="16"/>
  <c r="N40" i="16"/>
  <c r="O40" i="16"/>
  <c r="K41" i="16"/>
  <c r="L41" i="16"/>
  <c r="N41" i="16"/>
  <c r="O41" i="16"/>
  <c r="K42" i="16"/>
  <c r="L42" i="16"/>
  <c r="N42" i="16"/>
  <c r="O42" i="16"/>
  <c r="K43" i="16"/>
  <c r="L43" i="16"/>
  <c r="N43" i="16"/>
  <c r="O43" i="16"/>
  <c r="K44" i="16"/>
  <c r="L44" i="16"/>
  <c r="N44" i="16"/>
  <c r="O44" i="16"/>
  <c r="K45" i="16"/>
  <c r="L45" i="16"/>
  <c r="N45" i="16"/>
  <c r="O45" i="16"/>
  <c r="K46" i="16"/>
  <c r="L46" i="16"/>
  <c r="N46" i="16"/>
  <c r="O46" i="16"/>
  <c r="K47" i="16"/>
  <c r="L47" i="16"/>
  <c r="N47" i="16"/>
  <c r="O47" i="16"/>
  <c r="K48" i="16"/>
  <c r="L48" i="16"/>
  <c r="N48" i="16"/>
  <c r="O48" i="16"/>
  <c r="K49" i="16"/>
  <c r="L49" i="16"/>
  <c r="N49" i="16"/>
  <c r="O49" i="16"/>
  <c r="K50" i="16"/>
  <c r="L50" i="16"/>
  <c r="N50" i="16"/>
  <c r="O50" i="16"/>
  <c r="K51" i="16"/>
  <c r="L51" i="16"/>
  <c r="N51" i="16"/>
  <c r="O51" i="16"/>
  <c r="K52" i="16"/>
  <c r="L52" i="16"/>
  <c r="N52" i="16"/>
  <c r="O52" i="16"/>
  <c r="K53" i="16"/>
  <c r="L53" i="16"/>
  <c r="N53" i="16"/>
  <c r="O53" i="16"/>
  <c r="K54" i="16"/>
  <c r="L54" i="16"/>
  <c r="N54" i="16"/>
  <c r="O54" i="16"/>
  <c r="K55" i="16"/>
  <c r="L55" i="16"/>
  <c r="N55" i="16"/>
  <c r="O55" i="16"/>
  <c r="O32" i="16"/>
  <c r="N32" i="16"/>
  <c r="L32" i="16"/>
  <c r="K32" i="16"/>
  <c r="K17" i="16"/>
  <c r="L17" i="16"/>
  <c r="N17" i="16"/>
  <c r="O17" i="16"/>
  <c r="K18" i="16"/>
  <c r="L18" i="16"/>
  <c r="N18" i="16"/>
  <c r="O18" i="16"/>
  <c r="K19" i="16"/>
  <c r="L19" i="16"/>
  <c r="N19" i="16"/>
  <c r="O19" i="16"/>
  <c r="K20" i="16"/>
  <c r="L20" i="16"/>
  <c r="N20" i="16"/>
  <c r="O20" i="16"/>
  <c r="K21" i="16"/>
  <c r="L21" i="16"/>
  <c r="N21" i="16"/>
  <c r="O21" i="16"/>
  <c r="K22" i="16"/>
  <c r="L22" i="16"/>
  <c r="N22" i="16"/>
  <c r="O22" i="16"/>
  <c r="K23" i="16"/>
  <c r="L23" i="16"/>
  <c r="N23" i="16"/>
  <c r="O23" i="16"/>
  <c r="K24" i="16"/>
  <c r="L24" i="16"/>
  <c r="N24" i="16"/>
  <c r="O24" i="16"/>
  <c r="K25" i="16"/>
  <c r="L25" i="16"/>
  <c r="N25" i="16"/>
  <c r="O25" i="16"/>
  <c r="O16" i="16"/>
  <c r="N16" i="16"/>
  <c r="L16" i="16"/>
  <c r="K16" i="16"/>
  <c r="K7" i="16"/>
  <c r="L7" i="16"/>
  <c r="N7" i="16"/>
  <c r="O7" i="16"/>
  <c r="K8" i="16"/>
  <c r="L8" i="16"/>
  <c r="N8" i="16"/>
  <c r="O8" i="16"/>
  <c r="K9" i="16"/>
  <c r="L9" i="16"/>
  <c r="N9" i="16"/>
  <c r="O9" i="16"/>
  <c r="K10" i="16"/>
  <c r="L10" i="16"/>
  <c r="N10" i="16"/>
  <c r="O10" i="16"/>
  <c r="K11" i="16"/>
  <c r="L11" i="16"/>
  <c r="N11" i="16"/>
  <c r="O11" i="16"/>
  <c r="K12" i="16"/>
  <c r="L12" i="16"/>
  <c r="N12" i="16"/>
  <c r="O12" i="16"/>
  <c r="O6" i="16"/>
  <c r="N6" i="16"/>
  <c r="L6" i="16"/>
  <c r="K6" i="16"/>
  <c r="K10" i="12"/>
  <c r="N10" i="12"/>
  <c r="K8" i="12"/>
  <c r="N8" i="12"/>
  <c r="K7" i="12"/>
  <c r="N7" i="12"/>
  <c r="E623" i="3"/>
  <c r="H623" i="3"/>
  <c r="K623" i="3"/>
  <c r="N623" i="3"/>
  <c r="H340" i="3"/>
  <c r="K11" i="15" l="1"/>
  <c r="K130" i="15"/>
  <c r="K15" i="15"/>
  <c r="K116" i="15"/>
  <c r="K92" i="15"/>
  <c r="K121" i="15"/>
  <c r="K109" i="15"/>
  <c r="K106" i="15"/>
  <c r="K13" i="15"/>
  <c r="K97" i="15"/>
  <c r="K94" i="15"/>
  <c r="K129" i="15"/>
  <c r="K9" i="15"/>
  <c r="K114" i="15"/>
  <c r="K108" i="15"/>
  <c r="K120" i="15"/>
  <c r="K102" i="15"/>
  <c r="K96" i="15"/>
  <c r="K128" i="15"/>
  <c r="K112" i="15"/>
  <c r="K8" i="15"/>
  <c r="K31" i="15"/>
  <c r="K28" i="15"/>
  <c r="K25" i="15"/>
  <c r="K22" i="15"/>
  <c r="K19" i="15"/>
  <c r="K56" i="15"/>
  <c r="K53" i="15"/>
  <c r="K49" i="15"/>
  <c r="K46" i="15"/>
  <c r="K43" i="15"/>
  <c r="K40" i="15"/>
  <c r="K37" i="15"/>
  <c r="K34" i="15"/>
  <c r="K79" i="15"/>
  <c r="K76" i="15"/>
  <c r="K73" i="15"/>
  <c r="K70" i="15"/>
  <c r="K67" i="15"/>
  <c r="K64" i="15"/>
  <c r="K61" i="15"/>
  <c r="K58" i="15"/>
  <c r="K110" i="15"/>
  <c r="K90" i="15"/>
  <c r="K118" i="15"/>
  <c r="K98" i="15"/>
  <c r="K10" i="15"/>
  <c r="K111" i="15"/>
  <c r="K99" i="15"/>
  <c r="K87" i="15"/>
  <c r="K12" i="15"/>
  <c r="K33" i="15"/>
  <c r="K30" i="15"/>
  <c r="K27" i="15"/>
  <c r="K24" i="15"/>
  <c r="K21" i="15"/>
  <c r="K18" i="15"/>
  <c r="K55" i="15"/>
  <c r="K52" i="15"/>
  <c r="K48" i="15"/>
  <c r="K45" i="15"/>
  <c r="K42" i="15"/>
  <c r="K39" i="15"/>
  <c r="K36" i="15"/>
  <c r="K81" i="15"/>
  <c r="K78" i="15"/>
  <c r="K75" i="15"/>
  <c r="K72" i="15"/>
  <c r="K69" i="15"/>
  <c r="K66" i="15"/>
  <c r="K63" i="15"/>
  <c r="K60" i="15"/>
  <c r="K57" i="15"/>
  <c r="K113" i="15"/>
  <c r="K101" i="15"/>
  <c r="K89" i="15"/>
  <c r="K14" i="15"/>
  <c r="K115" i="15"/>
  <c r="K103" i="15"/>
  <c r="K91" i="15"/>
  <c r="K16" i="15"/>
  <c r="K32" i="15"/>
  <c r="K29" i="15"/>
  <c r="K26" i="15"/>
  <c r="K23" i="15"/>
  <c r="K20" i="15"/>
  <c r="K17" i="15"/>
  <c r="K54" i="15"/>
  <c r="K51" i="15"/>
  <c r="K47" i="15"/>
  <c r="K44" i="15"/>
  <c r="K41" i="15"/>
  <c r="K38" i="15"/>
  <c r="K35" i="15"/>
  <c r="K80" i="15"/>
  <c r="K77" i="15"/>
  <c r="K74" i="15"/>
  <c r="K71" i="15"/>
  <c r="K68" i="15"/>
  <c r="K65" i="15"/>
  <c r="K62" i="15"/>
  <c r="K59" i="15"/>
  <c r="K117" i="15"/>
  <c r="K105" i="15"/>
  <c r="K93" i="15"/>
  <c r="K119" i="15"/>
  <c r="K107" i="15"/>
  <c r="K95" i="15"/>
  <c r="K127" i="15"/>
  <c r="E162" i="2"/>
  <c r="G162" i="2"/>
  <c r="E601" i="3" l="1"/>
  <c r="H601" i="3"/>
  <c r="F48" i="4" s="1"/>
  <c r="K601" i="3"/>
  <c r="N601" i="3"/>
  <c r="C48" i="4" s="1"/>
  <c r="E619" i="3"/>
  <c r="H619" i="3"/>
  <c r="K619" i="3"/>
  <c r="N619" i="3"/>
  <c r="E48" i="5"/>
  <c r="H48" i="5"/>
  <c r="K48" i="5"/>
  <c r="N48" i="5"/>
  <c r="E13" i="12"/>
  <c r="H13" i="12"/>
  <c r="K13" i="12"/>
  <c r="N13" i="12"/>
  <c r="E11" i="16"/>
  <c r="H11" i="16"/>
  <c r="E10" i="16"/>
  <c r="H10" i="16"/>
  <c r="E30" i="17"/>
  <c r="H30" i="17"/>
  <c r="I48" i="4" l="1"/>
  <c r="L48" i="4"/>
  <c r="G61" i="20" l="1"/>
  <c r="J61" i="20"/>
  <c r="H5" i="25"/>
  <c r="E5" i="25"/>
  <c r="A3" i="25"/>
  <c r="K51" i="24"/>
  <c r="H5" i="24"/>
  <c r="E5" i="24"/>
  <c r="A3" i="24"/>
  <c r="N26" i="23"/>
  <c r="K26" i="23"/>
  <c r="H26" i="23"/>
  <c r="E26" i="23"/>
  <c r="N16" i="23"/>
  <c r="K16" i="23"/>
  <c r="H16" i="23"/>
  <c r="E16" i="23"/>
  <c r="H5" i="23"/>
  <c r="E5" i="23"/>
  <c r="A3" i="23"/>
  <c r="N48" i="22"/>
  <c r="K48" i="22"/>
  <c r="H48" i="22"/>
  <c r="E48" i="22"/>
  <c r="N44" i="22"/>
  <c r="K44" i="22"/>
  <c r="H44" i="22"/>
  <c r="E44" i="22"/>
  <c r="N43" i="22"/>
  <c r="K43" i="22"/>
  <c r="H43" i="22"/>
  <c r="E43" i="22"/>
  <c r="N42" i="22"/>
  <c r="K42" i="22"/>
  <c r="H42" i="22"/>
  <c r="E42" i="22"/>
  <c r="N41" i="22"/>
  <c r="K41" i="22"/>
  <c r="H41" i="22"/>
  <c r="E41" i="22"/>
  <c r="N40" i="22"/>
  <c r="K40" i="22"/>
  <c r="H40" i="22"/>
  <c r="E40" i="22"/>
  <c r="N39" i="22"/>
  <c r="K39" i="22"/>
  <c r="H39" i="22"/>
  <c r="E39" i="22"/>
  <c r="N38" i="22"/>
  <c r="K38" i="22"/>
  <c r="H38" i="22"/>
  <c r="E38" i="22"/>
  <c r="N37" i="22"/>
  <c r="K37" i="22"/>
  <c r="H37" i="22"/>
  <c r="E37" i="22"/>
  <c r="N36" i="22"/>
  <c r="K36" i="22"/>
  <c r="H36" i="22"/>
  <c r="E36" i="22"/>
  <c r="N35" i="22"/>
  <c r="K35" i="22"/>
  <c r="H35" i="22"/>
  <c r="E35" i="22"/>
  <c r="H34" i="22"/>
  <c r="E34" i="22"/>
  <c r="N33" i="22"/>
  <c r="K33" i="22"/>
  <c r="H33" i="22"/>
  <c r="E33" i="22"/>
  <c r="N32" i="22"/>
  <c r="K32" i="22"/>
  <c r="H32" i="22"/>
  <c r="E32" i="22"/>
  <c r="N31" i="22"/>
  <c r="K31" i="22"/>
  <c r="H31" i="22"/>
  <c r="E31" i="22"/>
  <c r="H25" i="22"/>
  <c r="E25" i="22"/>
  <c r="N24" i="22"/>
  <c r="K24" i="22"/>
  <c r="H24" i="22"/>
  <c r="E24" i="22"/>
  <c r="N23" i="22"/>
  <c r="K23" i="22"/>
  <c r="H23" i="22"/>
  <c r="E23" i="22"/>
  <c r="N22" i="22"/>
  <c r="K22" i="22"/>
  <c r="H22" i="22"/>
  <c r="E22" i="22"/>
  <c r="N21" i="22"/>
  <c r="K21" i="22"/>
  <c r="H21" i="22"/>
  <c r="E21" i="22"/>
  <c r="N20" i="22"/>
  <c r="K20" i="22"/>
  <c r="H20" i="22"/>
  <c r="E20" i="22"/>
  <c r="N19" i="22"/>
  <c r="K19" i="22"/>
  <c r="H19" i="22"/>
  <c r="E19" i="22"/>
  <c r="N18" i="22"/>
  <c r="K18" i="22"/>
  <c r="H18" i="22"/>
  <c r="E18" i="22"/>
  <c r="N17" i="22"/>
  <c r="K17" i="22"/>
  <c r="H17" i="22"/>
  <c r="E17" i="22"/>
  <c r="N16" i="22"/>
  <c r="K16" i="22"/>
  <c r="H16" i="22"/>
  <c r="E16" i="22"/>
  <c r="N13" i="22"/>
  <c r="K13" i="22"/>
  <c r="H13" i="22"/>
  <c r="E13" i="22"/>
  <c r="H12" i="22"/>
  <c r="E12" i="22"/>
  <c r="N11" i="22"/>
  <c r="K11" i="22"/>
  <c r="H11" i="22"/>
  <c r="E11" i="22"/>
  <c r="N10" i="22"/>
  <c r="K10" i="22"/>
  <c r="H10" i="22"/>
  <c r="E10" i="22"/>
  <c r="N9" i="22"/>
  <c r="K9" i="22"/>
  <c r="H9" i="22"/>
  <c r="E9" i="22"/>
  <c r="N8" i="22"/>
  <c r="K8" i="22"/>
  <c r="H8" i="22"/>
  <c r="E8" i="22"/>
  <c r="N7" i="22"/>
  <c r="K7" i="22"/>
  <c r="H7" i="22"/>
  <c r="E7" i="22"/>
  <c r="H5" i="22"/>
  <c r="E5" i="22"/>
  <c r="A3" i="22"/>
  <c r="E45" i="22" l="1"/>
  <c r="H45" i="22"/>
  <c r="K45" i="22"/>
  <c r="N45" i="22"/>
  <c r="N27" i="22"/>
  <c r="E27" i="22"/>
  <c r="H27" i="22"/>
  <c r="K27" i="22"/>
  <c r="E14" i="22"/>
  <c r="E20" i="24" s="1"/>
  <c r="H14" i="22"/>
  <c r="H20" i="24" s="1"/>
  <c r="K14" i="22"/>
  <c r="N14" i="22"/>
  <c r="N37" i="21"/>
  <c r="K37" i="21"/>
  <c r="H37" i="21"/>
  <c r="E37" i="21"/>
  <c r="N32" i="21"/>
  <c r="K32" i="21"/>
  <c r="H32" i="21"/>
  <c r="E32" i="21"/>
  <c r="N31" i="21"/>
  <c r="K31" i="21"/>
  <c r="H31" i="21"/>
  <c r="E31" i="21"/>
  <c r="N30" i="21"/>
  <c r="K30" i="21"/>
  <c r="H30" i="21"/>
  <c r="E30" i="21"/>
  <c r="N29" i="21"/>
  <c r="K29" i="21"/>
  <c r="H29" i="21"/>
  <c r="E29" i="21"/>
  <c r="N28" i="21"/>
  <c r="K28" i="21"/>
  <c r="H28" i="21"/>
  <c r="E28" i="21"/>
  <c r="N27" i="21"/>
  <c r="K27" i="21"/>
  <c r="H27" i="21"/>
  <c r="E27" i="21"/>
  <c r="N26" i="21"/>
  <c r="K26" i="21"/>
  <c r="H26" i="21"/>
  <c r="E26" i="21"/>
  <c r="N25" i="21"/>
  <c r="K25" i="21"/>
  <c r="H25" i="21"/>
  <c r="E25" i="21"/>
  <c r="N24" i="21"/>
  <c r="K24" i="21"/>
  <c r="H24" i="21"/>
  <c r="E24" i="21"/>
  <c r="N23" i="21"/>
  <c r="K23" i="21"/>
  <c r="H23" i="21"/>
  <c r="E23" i="21"/>
  <c r="N22" i="21"/>
  <c r="K22" i="21"/>
  <c r="H22" i="21"/>
  <c r="E22" i="21"/>
  <c r="N17" i="21"/>
  <c r="K17" i="21"/>
  <c r="H17" i="21"/>
  <c r="E17" i="21"/>
  <c r="N16" i="21"/>
  <c r="K16" i="21"/>
  <c r="H16" i="21"/>
  <c r="E16" i="21"/>
  <c r="N15" i="21"/>
  <c r="K15" i="21"/>
  <c r="H15" i="21"/>
  <c r="E15" i="21"/>
  <c r="N14" i="21"/>
  <c r="K14" i="21"/>
  <c r="H14" i="21"/>
  <c r="E14" i="21"/>
  <c r="N13" i="21"/>
  <c r="K13" i="21"/>
  <c r="H13" i="21"/>
  <c r="E13" i="21"/>
  <c r="N12" i="21"/>
  <c r="K12" i="21"/>
  <c r="H12" i="21"/>
  <c r="E12" i="21"/>
  <c r="N9" i="21"/>
  <c r="K9" i="21"/>
  <c r="H9" i="21"/>
  <c r="E9" i="21"/>
  <c r="N8" i="21"/>
  <c r="K8" i="21"/>
  <c r="H8" i="21"/>
  <c r="E8" i="21"/>
  <c r="N7" i="21"/>
  <c r="K7" i="21"/>
  <c r="H7" i="21"/>
  <c r="E7" i="21"/>
  <c r="H5" i="21"/>
  <c r="E5" i="21"/>
  <c r="A3" i="21"/>
  <c r="P80" i="20"/>
  <c r="M80" i="20"/>
  <c r="J80" i="20"/>
  <c r="G80" i="20"/>
  <c r="P75" i="20"/>
  <c r="M75" i="20"/>
  <c r="J75" i="20"/>
  <c r="G75" i="20"/>
  <c r="P74" i="20"/>
  <c r="M74" i="20"/>
  <c r="J74" i="20"/>
  <c r="G74" i="20"/>
  <c r="P73" i="20"/>
  <c r="M73" i="20"/>
  <c r="J73" i="20"/>
  <c r="G73" i="20"/>
  <c r="P72" i="20"/>
  <c r="M72" i="20"/>
  <c r="J72" i="20"/>
  <c r="G72" i="20"/>
  <c r="P71" i="20"/>
  <c r="M71" i="20"/>
  <c r="J71" i="20"/>
  <c r="G71" i="20"/>
  <c r="P70" i="20"/>
  <c r="M70" i="20"/>
  <c r="J70" i="20"/>
  <c r="G70" i="20"/>
  <c r="P69" i="20"/>
  <c r="M69" i="20"/>
  <c r="J69" i="20"/>
  <c r="G69" i="20"/>
  <c r="P68" i="20"/>
  <c r="M68" i="20"/>
  <c r="J68" i="20"/>
  <c r="G68" i="20"/>
  <c r="P67" i="20"/>
  <c r="M67" i="20"/>
  <c r="J67" i="20"/>
  <c r="G67" i="20"/>
  <c r="P66" i="20"/>
  <c r="M66" i="20"/>
  <c r="J66" i="20"/>
  <c r="G66" i="20"/>
  <c r="P65" i="20"/>
  <c r="M65" i="20"/>
  <c r="J65" i="20"/>
  <c r="G65" i="20"/>
  <c r="P64" i="20"/>
  <c r="M64" i="20"/>
  <c r="J64" i="20"/>
  <c r="G64" i="20"/>
  <c r="P63" i="20"/>
  <c r="M63" i="20"/>
  <c r="J63" i="20"/>
  <c r="G63" i="20"/>
  <c r="P62" i="20"/>
  <c r="M62" i="20"/>
  <c r="J62" i="20"/>
  <c r="G62" i="20"/>
  <c r="J60" i="20"/>
  <c r="G60" i="20"/>
  <c r="P59" i="20"/>
  <c r="M59" i="20"/>
  <c r="J59" i="20"/>
  <c r="G59" i="20"/>
  <c r="P58" i="20"/>
  <c r="M58" i="20"/>
  <c r="J58" i="20"/>
  <c r="G58" i="20"/>
  <c r="P57" i="20"/>
  <c r="M57" i="20"/>
  <c r="J57" i="20"/>
  <c r="G57" i="20"/>
  <c r="P56" i="20"/>
  <c r="M56" i="20"/>
  <c r="J56" i="20"/>
  <c r="G56" i="20"/>
  <c r="P55" i="20"/>
  <c r="M55" i="20"/>
  <c r="J55" i="20"/>
  <c r="G55" i="20"/>
  <c r="P54" i="20"/>
  <c r="M54" i="20"/>
  <c r="J54" i="20"/>
  <c r="G54" i="20"/>
  <c r="P53" i="20"/>
  <c r="M53" i="20"/>
  <c r="J53" i="20"/>
  <c r="G53" i="20"/>
  <c r="P52" i="20"/>
  <c r="M52" i="20"/>
  <c r="J52" i="20"/>
  <c r="G52" i="20"/>
  <c r="P51" i="20"/>
  <c r="M51" i="20"/>
  <c r="J51" i="20"/>
  <c r="G51" i="20"/>
  <c r="P46" i="20"/>
  <c r="M46" i="20"/>
  <c r="J46" i="20"/>
  <c r="G46" i="20"/>
  <c r="J45" i="20"/>
  <c r="G45" i="20"/>
  <c r="P44" i="20"/>
  <c r="M44" i="20"/>
  <c r="J44" i="20"/>
  <c r="G44" i="20"/>
  <c r="P43" i="20"/>
  <c r="M43" i="20"/>
  <c r="J43" i="20"/>
  <c r="G43" i="20"/>
  <c r="P42" i="20"/>
  <c r="M42" i="20"/>
  <c r="J42" i="20"/>
  <c r="G42" i="20"/>
  <c r="P41" i="20"/>
  <c r="M41" i="20"/>
  <c r="J41" i="20"/>
  <c r="G41" i="20"/>
  <c r="P40" i="20"/>
  <c r="M40" i="20"/>
  <c r="J40" i="20"/>
  <c r="G40" i="20"/>
  <c r="P39" i="20"/>
  <c r="M39" i="20"/>
  <c r="J39" i="20"/>
  <c r="G39" i="20"/>
  <c r="P38" i="20"/>
  <c r="M38" i="20"/>
  <c r="J38" i="20"/>
  <c r="G38" i="20"/>
  <c r="P37" i="20"/>
  <c r="M37" i="20"/>
  <c r="J37" i="20"/>
  <c r="G37" i="20"/>
  <c r="P36" i="20"/>
  <c r="M36" i="20"/>
  <c r="J36" i="20"/>
  <c r="G36" i="20"/>
  <c r="P35" i="20"/>
  <c r="M35" i="20"/>
  <c r="J35" i="20"/>
  <c r="G35" i="20"/>
  <c r="P34" i="20"/>
  <c r="M34" i="20"/>
  <c r="J34" i="20"/>
  <c r="G34" i="20"/>
  <c r="P33" i="20"/>
  <c r="M33" i="20"/>
  <c r="J33" i="20"/>
  <c r="G33" i="20"/>
  <c r="P32" i="20"/>
  <c r="M32" i="20"/>
  <c r="J32" i="20"/>
  <c r="G32" i="20"/>
  <c r="P31" i="20"/>
  <c r="M31" i="20"/>
  <c r="J31" i="20"/>
  <c r="G31" i="20"/>
  <c r="P30" i="20"/>
  <c r="M30" i="20"/>
  <c r="J30" i="20"/>
  <c r="G30" i="20"/>
  <c r="P27" i="20"/>
  <c r="M27" i="20"/>
  <c r="J27" i="20"/>
  <c r="G27" i="20"/>
  <c r="P26" i="20"/>
  <c r="M26" i="20"/>
  <c r="J26" i="20"/>
  <c r="G26" i="20"/>
  <c r="P25" i="20"/>
  <c r="M25" i="20"/>
  <c r="J25" i="20"/>
  <c r="G25" i="20"/>
  <c r="P24" i="20"/>
  <c r="M24" i="20"/>
  <c r="J24" i="20"/>
  <c r="G24" i="20"/>
  <c r="P23" i="20"/>
  <c r="M23" i="20"/>
  <c r="J23" i="20"/>
  <c r="G23" i="20"/>
  <c r="P22" i="20"/>
  <c r="M22" i="20"/>
  <c r="J22" i="20"/>
  <c r="G22" i="20"/>
  <c r="P21" i="20"/>
  <c r="M21" i="20"/>
  <c r="J21" i="20"/>
  <c r="G21" i="20"/>
  <c r="P20" i="20"/>
  <c r="M20" i="20"/>
  <c r="J20" i="20"/>
  <c r="G20" i="20"/>
  <c r="P19" i="20"/>
  <c r="M19" i="20"/>
  <c r="J19" i="20"/>
  <c r="G19" i="20"/>
  <c r="P18" i="20"/>
  <c r="M18" i="20"/>
  <c r="J18" i="20"/>
  <c r="G18" i="20"/>
  <c r="P17" i="20"/>
  <c r="M17" i="20"/>
  <c r="J17" i="20"/>
  <c r="G17" i="20"/>
  <c r="P16" i="20"/>
  <c r="M16" i="20"/>
  <c r="J16" i="20"/>
  <c r="G16" i="20"/>
  <c r="P15" i="20"/>
  <c r="M15" i="20"/>
  <c r="J15" i="20"/>
  <c r="G15" i="20"/>
  <c r="P14" i="20"/>
  <c r="M14" i="20"/>
  <c r="J14" i="20"/>
  <c r="G14" i="20"/>
  <c r="P13" i="20"/>
  <c r="M13" i="20"/>
  <c r="J13" i="20"/>
  <c r="G13" i="20"/>
  <c r="P12" i="20"/>
  <c r="M12" i="20"/>
  <c r="J12" i="20"/>
  <c r="G12" i="20"/>
  <c r="P11" i="20"/>
  <c r="M11" i="20"/>
  <c r="J11" i="20"/>
  <c r="G11" i="20"/>
  <c r="P10" i="20"/>
  <c r="M10" i="20"/>
  <c r="J10" i="20"/>
  <c r="G10" i="20"/>
  <c r="P9" i="20"/>
  <c r="M9" i="20"/>
  <c r="J9" i="20"/>
  <c r="G9" i="20"/>
  <c r="P8" i="20"/>
  <c r="M8" i="20"/>
  <c r="J8" i="20"/>
  <c r="G8" i="20"/>
  <c r="P7" i="20"/>
  <c r="M7" i="20"/>
  <c r="J7" i="20"/>
  <c r="G7" i="20"/>
  <c r="J5" i="20"/>
  <c r="G5" i="20"/>
  <c r="A3" i="20"/>
  <c r="H76" i="18"/>
  <c r="N70" i="18"/>
  <c r="K70" i="18"/>
  <c r="H70" i="18"/>
  <c r="E70" i="18"/>
  <c r="N69" i="18"/>
  <c r="K69" i="18"/>
  <c r="H69" i="18"/>
  <c r="E69" i="18"/>
  <c r="N68" i="18"/>
  <c r="K68" i="18"/>
  <c r="H68" i="18"/>
  <c r="E68" i="18"/>
  <c r="N67" i="18"/>
  <c r="K67" i="18"/>
  <c r="H67" i="18"/>
  <c r="E67" i="18"/>
  <c r="N66" i="18"/>
  <c r="K66" i="18"/>
  <c r="H66" i="18"/>
  <c r="E66" i="18"/>
  <c r="N65" i="18"/>
  <c r="K65" i="18"/>
  <c r="H65" i="18"/>
  <c r="E65" i="18"/>
  <c r="N64" i="18"/>
  <c r="K64" i="18"/>
  <c r="H64" i="18"/>
  <c r="E64" i="18"/>
  <c r="N63" i="18"/>
  <c r="K63" i="18"/>
  <c r="H63" i="18"/>
  <c r="E63" i="18"/>
  <c r="N62" i="18"/>
  <c r="K62" i="18"/>
  <c r="H62" i="18"/>
  <c r="E62" i="18"/>
  <c r="N61" i="18"/>
  <c r="K61" i="18"/>
  <c r="H61" i="18"/>
  <c r="E61" i="18"/>
  <c r="N60" i="18"/>
  <c r="K60" i="18"/>
  <c r="H60" i="18"/>
  <c r="E60" i="18"/>
  <c r="N59" i="18"/>
  <c r="K59" i="18"/>
  <c r="H59" i="18"/>
  <c r="E59" i="18"/>
  <c r="N58" i="18"/>
  <c r="K58" i="18"/>
  <c r="H58" i="18"/>
  <c r="E58" i="18"/>
  <c r="N57" i="18"/>
  <c r="K57" i="18"/>
  <c r="H57" i="18"/>
  <c r="E57" i="18"/>
  <c r="N56" i="18"/>
  <c r="K56" i="18"/>
  <c r="H56" i="18"/>
  <c r="E56" i="18"/>
  <c r="N55" i="18"/>
  <c r="K55" i="18"/>
  <c r="H55" i="18"/>
  <c r="E55" i="18"/>
  <c r="N54" i="18"/>
  <c r="K54" i="18"/>
  <c r="H54" i="18"/>
  <c r="E54" i="18"/>
  <c r="N53" i="18"/>
  <c r="K53" i="18"/>
  <c r="H53" i="18"/>
  <c r="E53" i="18"/>
  <c r="N52" i="18"/>
  <c r="K52" i="18"/>
  <c r="H52" i="18"/>
  <c r="E52" i="18"/>
  <c r="N51" i="18"/>
  <c r="K51" i="18"/>
  <c r="H51" i="18"/>
  <c r="E51" i="18"/>
  <c r="N50" i="18"/>
  <c r="K50" i="18"/>
  <c r="H50" i="18"/>
  <c r="E50" i="18"/>
  <c r="N45" i="18"/>
  <c r="K45" i="18"/>
  <c r="H45" i="18"/>
  <c r="E45" i="18"/>
  <c r="N44" i="18"/>
  <c r="K44" i="18"/>
  <c r="H44" i="18"/>
  <c r="E44" i="18"/>
  <c r="N43" i="18"/>
  <c r="K43" i="18"/>
  <c r="H43" i="18"/>
  <c r="E43" i="18"/>
  <c r="N42" i="18"/>
  <c r="K42" i="18"/>
  <c r="H42" i="18"/>
  <c r="E42" i="18"/>
  <c r="N41" i="18"/>
  <c r="K41" i="18"/>
  <c r="H41" i="18"/>
  <c r="E41" i="18"/>
  <c r="N40" i="18"/>
  <c r="K40" i="18"/>
  <c r="H40" i="18"/>
  <c r="E40" i="18"/>
  <c r="N39" i="18"/>
  <c r="K39" i="18"/>
  <c r="H39" i="18"/>
  <c r="E39" i="18"/>
  <c r="N38" i="18"/>
  <c r="K38" i="18"/>
  <c r="H38" i="18"/>
  <c r="E38" i="18"/>
  <c r="N37" i="18"/>
  <c r="K37" i="18"/>
  <c r="H37" i="18"/>
  <c r="E37" i="18"/>
  <c r="N36" i="18"/>
  <c r="K36" i="18"/>
  <c r="H36" i="18"/>
  <c r="E36" i="18"/>
  <c r="N35" i="18"/>
  <c r="K35" i="18"/>
  <c r="H35" i="18"/>
  <c r="E35" i="18"/>
  <c r="N34" i="18"/>
  <c r="K34" i="18"/>
  <c r="H34" i="18"/>
  <c r="E34" i="18"/>
  <c r="N33" i="18"/>
  <c r="K33" i="18"/>
  <c r="H33" i="18"/>
  <c r="E33" i="18"/>
  <c r="N32" i="18"/>
  <c r="K32" i="18"/>
  <c r="H32" i="18"/>
  <c r="E32" i="18"/>
  <c r="N31" i="18"/>
  <c r="K31" i="18"/>
  <c r="H31" i="18"/>
  <c r="E31" i="18"/>
  <c r="N30" i="18"/>
  <c r="K30" i="18"/>
  <c r="H30" i="18"/>
  <c r="E30" i="18"/>
  <c r="N29" i="18"/>
  <c r="K29" i="18"/>
  <c r="H29" i="18"/>
  <c r="E29" i="18"/>
  <c r="N26" i="18"/>
  <c r="K26" i="18"/>
  <c r="H26" i="18"/>
  <c r="E26" i="18"/>
  <c r="N25" i="18"/>
  <c r="K25" i="18"/>
  <c r="H25" i="18"/>
  <c r="E25" i="18"/>
  <c r="N24" i="18"/>
  <c r="K24" i="18"/>
  <c r="H24" i="18"/>
  <c r="E24" i="18"/>
  <c r="N23" i="18"/>
  <c r="K23" i="18"/>
  <c r="H23" i="18"/>
  <c r="E23" i="18"/>
  <c r="N22" i="18"/>
  <c r="K22" i="18"/>
  <c r="H22" i="18"/>
  <c r="E22" i="18"/>
  <c r="N21" i="18"/>
  <c r="K21" i="18"/>
  <c r="H21" i="18"/>
  <c r="E21" i="18"/>
  <c r="N20" i="18"/>
  <c r="K20" i="18"/>
  <c r="H20" i="18"/>
  <c r="E20" i="18"/>
  <c r="N19" i="18"/>
  <c r="K19" i="18"/>
  <c r="H19" i="18"/>
  <c r="E19" i="18"/>
  <c r="N18" i="18"/>
  <c r="K18" i="18"/>
  <c r="H18" i="18"/>
  <c r="E18" i="18"/>
  <c r="N17" i="18"/>
  <c r="K17" i="18"/>
  <c r="H17" i="18"/>
  <c r="E17" i="18"/>
  <c r="N16" i="18"/>
  <c r="K16" i="18"/>
  <c r="H16" i="18"/>
  <c r="E16" i="18"/>
  <c r="N15" i="18"/>
  <c r="K15" i="18"/>
  <c r="H15" i="18"/>
  <c r="E15" i="18"/>
  <c r="N14" i="18"/>
  <c r="K14" i="18"/>
  <c r="H14" i="18"/>
  <c r="E14" i="18"/>
  <c r="N13" i="18"/>
  <c r="K13" i="18"/>
  <c r="H13" i="18"/>
  <c r="E13" i="18"/>
  <c r="N12" i="18"/>
  <c r="K12" i="18"/>
  <c r="H12" i="18"/>
  <c r="E12" i="18"/>
  <c r="N11" i="18"/>
  <c r="K11" i="18"/>
  <c r="H11" i="18"/>
  <c r="E11" i="18"/>
  <c r="N10" i="18"/>
  <c r="K10" i="18"/>
  <c r="H10" i="18"/>
  <c r="E10" i="18"/>
  <c r="N9" i="18"/>
  <c r="K9" i="18"/>
  <c r="H9" i="18"/>
  <c r="E9" i="18"/>
  <c r="N8" i="18"/>
  <c r="K8" i="18"/>
  <c r="H8" i="18"/>
  <c r="E8" i="18"/>
  <c r="N7" i="18"/>
  <c r="K7" i="18"/>
  <c r="H7" i="18"/>
  <c r="E7" i="18"/>
  <c r="H5" i="18"/>
  <c r="E5" i="18"/>
  <c r="A3" i="18"/>
  <c r="N62" i="17"/>
  <c r="K62" i="17"/>
  <c r="H62" i="17"/>
  <c r="E62" i="17"/>
  <c r="N58" i="17"/>
  <c r="K58" i="17"/>
  <c r="H58" i="17"/>
  <c r="E58" i="17"/>
  <c r="N57" i="17"/>
  <c r="K57" i="17"/>
  <c r="H57" i="17"/>
  <c r="E57" i="17"/>
  <c r="N56" i="17"/>
  <c r="K56" i="17"/>
  <c r="H56" i="17"/>
  <c r="E56" i="17"/>
  <c r="N55" i="17"/>
  <c r="K55" i="17"/>
  <c r="H55" i="17"/>
  <c r="E55" i="17"/>
  <c r="N54" i="17"/>
  <c r="K54" i="17"/>
  <c r="H54" i="17"/>
  <c r="E54" i="17"/>
  <c r="N53" i="17"/>
  <c r="K53" i="17"/>
  <c r="H53" i="17"/>
  <c r="E53" i="17"/>
  <c r="N52" i="17"/>
  <c r="K52" i="17"/>
  <c r="H52" i="17"/>
  <c r="E52" i="17"/>
  <c r="N51" i="17"/>
  <c r="K51" i="17"/>
  <c r="H51" i="17"/>
  <c r="E51" i="17"/>
  <c r="N50" i="17"/>
  <c r="K50" i="17"/>
  <c r="H50" i="17"/>
  <c r="E50" i="17"/>
  <c r="N49" i="17"/>
  <c r="K49" i="17"/>
  <c r="H49" i="17"/>
  <c r="E49" i="17"/>
  <c r="N48" i="17"/>
  <c r="K48" i="17"/>
  <c r="H48" i="17"/>
  <c r="E48" i="17"/>
  <c r="N47" i="17"/>
  <c r="K47" i="17"/>
  <c r="H47" i="17"/>
  <c r="E47" i="17"/>
  <c r="N46" i="17"/>
  <c r="K46" i="17"/>
  <c r="H46" i="17"/>
  <c r="E46" i="17"/>
  <c r="N45" i="17"/>
  <c r="K45" i="17"/>
  <c r="H45" i="17"/>
  <c r="E45" i="17"/>
  <c r="N44" i="17"/>
  <c r="K44" i="17"/>
  <c r="H44" i="17"/>
  <c r="E44" i="17"/>
  <c r="N43" i="17"/>
  <c r="K43" i="17"/>
  <c r="H43" i="17"/>
  <c r="E43" i="17"/>
  <c r="N42" i="17"/>
  <c r="K42" i="17"/>
  <c r="H42" i="17"/>
  <c r="E42" i="17"/>
  <c r="H41" i="17"/>
  <c r="E41" i="17"/>
  <c r="H40" i="17"/>
  <c r="E40" i="17"/>
  <c r="H39" i="17"/>
  <c r="E39" i="17"/>
  <c r="N38" i="17"/>
  <c r="K38" i="17"/>
  <c r="H38" i="17"/>
  <c r="E38" i="17"/>
  <c r="N37" i="17"/>
  <c r="K37" i="17"/>
  <c r="H37" i="17"/>
  <c r="E37" i="17"/>
  <c r="N36" i="17"/>
  <c r="K36" i="17"/>
  <c r="H36" i="17"/>
  <c r="E36" i="17"/>
  <c r="N31" i="17"/>
  <c r="K31" i="17"/>
  <c r="H31" i="17"/>
  <c r="E31" i="17"/>
  <c r="N29" i="17"/>
  <c r="K29" i="17"/>
  <c r="H29" i="17"/>
  <c r="E29" i="17"/>
  <c r="H28" i="17"/>
  <c r="E28" i="17"/>
  <c r="N27" i="17"/>
  <c r="K27" i="17"/>
  <c r="H27" i="17"/>
  <c r="E27" i="17"/>
  <c r="N26" i="17"/>
  <c r="K26" i="17"/>
  <c r="H26" i="17"/>
  <c r="E26" i="17"/>
  <c r="N25" i="17"/>
  <c r="K25" i="17"/>
  <c r="H25" i="17"/>
  <c r="E25" i="17"/>
  <c r="N24" i="17"/>
  <c r="K24" i="17"/>
  <c r="H24" i="17"/>
  <c r="E24" i="17"/>
  <c r="N23" i="17"/>
  <c r="K23" i="17"/>
  <c r="H23" i="17"/>
  <c r="E23" i="17"/>
  <c r="N22" i="17"/>
  <c r="K22" i="17"/>
  <c r="H22" i="17"/>
  <c r="E22" i="17"/>
  <c r="N21" i="17"/>
  <c r="K21" i="17"/>
  <c r="H21" i="17"/>
  <c r="E21" i="17"/>
  <c r="N20" i="17"/>
  <c r="K20" i="17"/>
  <c r="H20" i="17"/>
  <c r="E20" i="17"/>
  <c r="H19" i="17"/>
  <c r="E19" i="17"/>
  <c r="N18" i="17"/>
  <c r="K18" i="17"/>
  <c r="H18" i="17"/>
  <c r="E18" i="17"/>
  <c r="N17" i="17"/>
  <c r="K17" i="17"/>
  <c r="H17" i="17"/>
  <c r="E17" i="17"/>
  <c r="N14" i="17"/>
  <c r="K14" i="17"/>
  <c r="H14" i="17"/>
  <c r="E14" i="17"/>
  <c r="N13" i="17"/>
  <c r="K13" i="17"/>
  <c r="H13" i="17"/>
  <c r="E13" i="17"/>
  <c r="N12" i="17"/>
  <c r="K12" i="17"/>
  <c r="H12" i="17"/>
  <c r="E12" i="17"/>
  <c r="H11" i="17"/>
  <c r="E11" i="17"/>
  <c r="N10" i="17"/>
  <c r="K10" i="17"/>
  <c r="H10" i="17"/>
  <c r="E10" i="17"/>
  <c r="H9" i="17"/>
  <c r="E9" i="17"/>
  <c r="N8" i="17"/>
  <c r="K8" i="17"/>
  <c r="H8" i="17"/>
  <c r="E8" i="17"/>
  <c r="N7" i="17"/>
  <c r="K7" i="17"/>
  <c r="H7" i="17"/>
  <c r="E7" i="17"/>
  <c r="H5" i="17"/>
  <c r="E5" i="17"/>
  <c r="A3" i="17"/>
  <c r="O34" i="22" l="1"/>
  <c r="O25" i="22"/>
  <c r="L25" i="22"/>
  <c r="L34" i="22"/>
  <c r="K20" i="24"/>
  <c r="L12" i="22"/>
  <c r="N20" i="24"/>
  <c r="O12" i="22"/>
  <c r="N29" i="23"/>
  <c r="N54" i="24"/>
  <c r="K29" i="23"/>
  <c r="K54" i="24"/>
  <c r="K19" i="23"/>
  <c r="K36" i="24"/>
  <c r="H29" i="23"/>
  <c r="H54" i="24"/>
  <c r="H19" i="23"/>
  <c r="H36" i="24"/>
  <c r="E29" i="23"/>
  <c r="E54" i="24"/>
  <c r="E19" i="23"/>
  <c r="E36" i="24"/>
  <c r="N19" i="23"/>
  <c r="N36" i="24"/>
  <c r="L44" i="22"/>
  <c r="K11" i="23"/>
  <c r="I36" i="22"/>
  <c r="H11" i="23"/>
  <c r="O43" i="22"/>
  <c r="N11" i="23"/>
  <c r="F25" i="22"/>
  <c r="E11" i="23"/>
  <c r="F42" i="22"/>
  <c r="O14" i="22"/>
  <c r="F31" i="22"/>
  <c r="F7" i="22"/>
  <c r="F41" i="22"/>
  <c r="F34" i="22"/>
  <c r="I18" i="22"/>
  <c r="F38" i="22"/>
  <c r="F23" i="22"/>
  <c r="L27" i="22"/>
  <c r="I9" i="22"/>
  <c r="F39" i="22"/>
  <c r="O8" i="22"/>
  <c r="O11" i="22"/>
  <c r="O45" i="22"/>
  <c r="O9" i="22"/>
  <c r="O7" i="22"/>
  <c r="O37" i="22"/>
  <c r="I10" i="22"/>
  <c r="F27" i="22"/>
  <c r="F20" i="22"/>
  <c r="O21" i="22"/>
  <c r="O16" i="22"/>
  <c r="O13" i="22"/>
  <c r="N29" i="22"/>
  <c r="N47" i="22" s="1"/>
  <c r="N50" i="22" s="1"/>
  <c r="O50" i="22" s="1"/>
  <c r="O27" i="22"/>
  <c r="O24" i="22"/>
  <c r="I23" i="22"/>
  <c r="O32" i="22"/>
  <c r="O33" i="22"/>
  <c r="O17" i="22"/>
  <c r="L36" i="22"/>
  <c r="I45" i="22"/>
  <c r="F16" i="22"/>
  <c r="F37" i="22"/>
  <c r="O38" i="22"/>
  <c r="O36" i="22"/>
  <c r="I38" i="22"/>
  <c r="O10" i="22"/>
  <c r="O35" i="22"/>
  <c r="O39" i="22"/>
  <c r="O22" i="22"/>
  <c r="I17" i="22"/>
  <c r="I33" i="22"/>
  <c r="O18" i="22"/>
  <c r="O41" i="22"/>
  <c r="O48" i="22"/>
  <c r="O31" i="22"/>
  <c r="I25" i="22"/>
  <c r="H29" i="22"/>
  <c r="H47" i="22" s="1"/>
  <c r="H50" i="22" s="1"/>
  <c r="I50" i="22" s="1"/>
  <c r="F14" i="22"/>
  <c r="E29" i="22"/>
  <c r="E47" i="22" s="1"/>
  <c r="E50" i="22" s="1"/>
  <c r="F50" i="22" s="1"/>
  <c r="F45" i="22"/>
  <c r="F40" i="22"/>
  <c r="I40" i="22"/>
  <c r="I19" i="22"/>
  <c r="F18" i="22"/>
  <c r="F11" i="22"/>
  <c r="F12" i="22"/>
  <c r="I31" i="22"/>
  <c r="I41" i="22"/>
  <c r="I48" i="22"/>
  <c r="F35" i="22"/>
  <c r="F19" i="22"/>
  <c r="F13" i="22"/>
  <c r="L31" i="22"/>
  <c r="I20" i="22"/>
  <c r="I43" i="22"/>
  <c r="I27" i="22"/>
  <c r="I8" i="22"/>
  <c r="I39" i="22"/>
  <c r="L7" i="22"/>
  <c r="I22" i="22"/>
  <c r="I7" i="22"/>
  <c r="I32" i="22"/>
  <c r="I16" i="22"/>
  <c r="I42" i="22"/>
  <c r="F21" i="22"/>
  <c r="F44" i="22"/>
  <c r="F36" i="22"/>
  <c r="F17" i="22"/>
  <c r="L11" i="22"/>
  <c r="I12" i="22"/>
  <c r="I37" i="22"/>
  <c r="I21" i="22"/>
  <c r="I44" i="22"/>
  <c r="I24" i="22"/>
  <c r="F24" i="22"/>
  <c r="F48" i="22"/>
  <c r="F22" i="22"/>
  <c r="F43" i="22"/>
  <c r="L9" i="22"/>
  <c r="I13" i="22"/>
  <c r="I34" i="22"/>
  <c r="I14" i="22"/>
  <c r="I35" i="22"/>
  <c r="I11" i="22"/>
  <c r="F10" i="22"/>
  <c r="F32" i="22"/>
  <c r="F8" i="22"/>
  <c r="F33" i="22"/>
  <c r="F9" i="22"/>
  <c r="L39" i="22"/>
  <c r="L13" i="22"/>
  <c r="L10" i="22"/>
  <c r="L19" i="22"/>
  <c r="L42" i="22"/>
  <c r="L17" i="22"/>
  <c r="L37" i="22"/>
  <c r="L14" i="22"/>
  <c r="L35" i="22"/>
  <c r="L45" i="22"/>
  <c r="L20" i="22"/>
  <c r="L40" i="22"/>
  <c r="L18" i="22"/>
  <c r="L38" i="22"/>
  <c r="O23" i="22"/>
  <c r="O44" i="22"/>
  <c r="O19" i="22"/>
  <c r="O42" i="22"/>
  <c r="O20" i="22"/>
  <c r="O40" i="22"/>
  <c r="K29" i="22"/>
  <c r="K47" i="22" s="1"/>
  <c r="K50" i="22" s="1"/>
  <c r="L50" i="22" s="1"/>
  <c r="L24" i="22"/>
  <c r="L48" i="22"/>
  <c r="L22" i="22"/>
  <c r="L43" i="22"/>
  <c r="L21" i="22"/>
  <c r="L41" i="22"/>
  <c r="L16" i="22"/>
  <c r="L32" i="22"/>
  <c r="L8" i="22"/>
  <c r="L33" i="22"/>
  <c r="L23" i="22"/>
  <c r="O29" i="22"/>
  <c r="E33" i="21"/>
  <c r="K33" i="21"/>
  <c r="N33" i="21"/>
  <c r="H33" i="21"/>
  <c r="E18" i="21"/>
  <c r="N18" i="21"/>
  <c r="H18" i="21"/>
  <c r="K18" i="21"/>
  <c r="E10" i="21"/>
  <c r="E19" i="24" s="1"/>
  <c r="H10" i="21"/>
  <c r="H19" i="24" s="1"/>
  <c r="K10" i="21"/>
  <c r="K19" i="24" s="1"/>
  <c r="N10" i="21"/>
  <c r="N19" i="24" s="1"/>
  <c r="J76" i="20"/>
  <c r="M76" i="20"/>
  <c r="G76" i="20"/>
  <c r="P76" i="20"/>
  <c r="J47" i="20"/>
  <c r="M47" i="20"/>
  <c r="P47" i="20"/>
  <c r="G47" i="20"/>
  <c r="M28" i="20"/>
  <c r="J28" i="20"/>
  <c r="G28" i="20"/>
  <c r="P28" i="20"/>
  <c r="N71" i="18"/>
  <c r="N51" i="24" s="1"/>
  <c r="E46" i="18"/>
  <c r="E33" i="24" s="1"/>
  <c r="H46" i="18"/>
  <c r="H33" i="24" s="1"/>
  <c r="K46" i="18"/>
  <c r="K33" i="24" s="1"/>
  <c r="E71" i="18"/>
  <c r="E51" i="24" s="1"/>
  <c r="N46" i="18"/>
  <c r="N33" i="24" s="1"/>
  <c r="H71" i="18"/>
  <c r="H51" i="24" s="1"/>
  <c r="K71" i="18"/>
  <c r="H27" i="18"/>
  <c r="H8" i="23" s="1"/>
  <c r="K27" i="18"/>
  <c r="K8" i="23" s="1"/>
  <c r="E27" i="18"/>
  <c r="E8" i="23" s="1"/>
  <c r="N27" i="18"/>
  <c r="N8" i="23" s="1"/>
  <c r="E59" i="17"/>
  <c r="H32" i="17"/>
  <c r="E15" i="17"/>
  <c r="H15" i="17"/>
  <c r="N15" i="17"/>
  <c r="O15" i="17"/>
  <c r="E32" i="17"/>
  <c r="K59" i="17"/>
  <c r="K15" i="17"/>
  <c r="K32" i="17"/>
  <c r="N59" i="17"/>
  <c r="N32" i="17"/>
  <c r="H59" i="17"/>
  <c r="E92" i="2"/>
  <c r="G92" i="2"/>
  <c r="H295" i="3"/>
  <c r="N295" i="3"/>
  <c r="F47" i="22" l="1"/>
  <c r="F29" i="22"/>
  <c r="I29" i="22"/>
  <c r="N60" i="20"/>
  <c r="N61" i="20"/>
  <c r="N45" i="20"/>
  <c r="Q45" i="20"/>
  <c r="Q60" i="20"/>
  <c r="Q61" i="20"/>
  <c r="L11" i="17"/>
  <c r="L40" i="17"/>
  <c r="L28" i="17"/>
  <c r="L41" i="17"/>
  <c r="L30" i="17"/>
  <c r="L39" i="17"/>
  <c r="L19" i="17"/>
  <c r="O39" i="17"/>
  <c r="O19" i="17"/>
  <c r="O40" i="17"/>
  <c r="O28" i="17"/>
  <c r="O41" i="17"/>
  <c r="O30" i="17"/>
  <c r="O9" i="17"/>
  <c r="O11" i="17"/>
  <c r="L9" i="17"/>
  <c r="E16" i="24"/>
  <c r="F30" i="17"/>
  <c r="N16" i="24"/>
  <c r="H16" i="24"/>
  <c r="I30" i="17"/>
  <c r="E18" i="24"/>
  <c r="H61" i="20"/>
  <c r="H18" i="24"/>
  <c r="K61" i="20"/>
  <c r="K18" i="24"/>
  <c r="I71" i="18"/>
  <c r="H17" i="24"/>
  <c r="E27" i="23"/>
  <c r="E52" i="24"/>
  <c r="E17" i="23"/>
  <c r="E34" i="24"/>
  <c r="K28" i="23"/>
  <c r="K53" i="24"/>
  <c r="H27" i="23"/>
  <c r="H52" i="24"/>
  <c r="H18" i="23"/>
  <c r="H35" i="24"/>
  <c r="O60" i="18"/>
  <c r="N17" i="24"/>
  <c r="Q39" i="20"/>
  <c r="N18" i="24"/>
  <c r="K17" i="23"/>
  <c r="K34" i="24"/>
  <c r="N18" i="23"/>
  <c r="N35" i="24"/>
  <c r="F60" i="18"/>
  <c r="E17" i="24"/>
  <c r="H17" i="23"/>
  <c r="H34" i="24"/>
  <c r="E18" i="23"/>
  <c r="E35" i="24"/>
  <c r="L67" i="18"/>
  <c r="K17" i="24"/>
  <c r="N27" i="23"/>
  <c r="N52" i="24"/>
  <c r="H28" i="23"/>
  <c r="H53" i="24"/>
  <c r="N28" i="23"/>
  <c r="N53" i="24"/>
  <c r="K27" i="23"/>
  <c r="K52" i="24"/>
  <c r="K18" i="23"/>
  <c r="K35" i="24"/>
  <c r="N17" i="23"/>
  <c r="N34" i="24"/>
  <c r="E28" i="23"/>
  <c r="E53" i="24"/>
  <c r="K15" i="23"/>
  <c r="K32" i="24"/>
  <c r="K7" i="23"/>
  <c r="K16" i="24"/>
  <c r="K25" i="23"/>
  <c r="K50" i="24"/>
  <c r="H15" i="23"/>
  <c r="H32" i="24"/>
  <c r="H25" i="23"/>
  <c r="H50" i="24"/>
  <c r="E15" i="23"/>
  <c r="E32" i="24"/>
  <c r="E25" i="23"/>
  <c r="E50" i="24"/>
  <c r="N25" i="23"/>
  <c r="N50" i="24"/>
  <c r="N15" i="23"/>
  <c r="N32" i="24"/>
  <c r="F13" i="21"/>
  <c r="E10" i="23"/>
  <c r="O52" i="17"/>
  <c r="N7" i="23"/>
  <c r="Q58" i="20"/>
  <c r="N9" i="23"/>
  <c r="F24" i="21"/>
  <c r="N66" i="20"/>
  <c r="K9" i="23"/>
  <c r="I46" i="17"/>
  <c r="H7" i="23"/>
  <c r="H58" i="20"/>
  <c r="E9" i="23"/>
  <c r="O24" i="21"/>
  <c r="N10" i="23"/>
  <c r="I37" i="21"/>
  <c r="H10" i="23"/>
  <c r="F12" i="17"/>
  <c r="E7" i="23"/>
  <c r="K60" i="20"/>
  <c r="H9" i="23"/>
  <c r="L31" i="21"/>
  <c r="K10" i="23"/>
  <c r="F12" i="21"/>
  <c r="F29" i="21"/>
  <c r="F17" i="21"/>
  <c r="Q59" i="20"/>
  <c r="F32" i="21"/>
  <c r="Q54" i="20"/>
  <c r="Q21" i="20"/>
  <c r="Q25" i="20"/>
  <c r="Q22" i="20"/>
  <c r="Q33" i="20"/>
  <c r="Q46" i="20"/>
  <c r="Q47" i="20"/>
  <c r="Q9" i="20"/>
  <c r="Q32" i="20"/>
  <c r="Q67" i="20"/>
  <c r="Q52" i="20"/>
  <c r="Q20" i="20"/>
  <c r="Q41" i="20"/>
  <c r="Q66" i="20"/>
  <c r="Q16" i="20"/>
  <c r="Q71" i="20"/>
  <c r="O15" i="21"/>
  <c r="Q17" i="20"/>
  <c r="Q19" i="20"/>
  <c r="Q63" i="20"/>
  <c r="Q15" i="20"/>
  <c r="Q31" i="20"/>
  <c r="Q28" i="20"/>
  <c r="Q18" i="20"/>
  <c r="Q23" i="20"/>
  <c r="Q44" i="20"/>
  <c r="Q40" i="20"/>
  <c r="F20" i="17"/>
  <c r="F14" i="21"/>
  <c r="O25" i="21"/>
  <c r="L29" i="22"/>
  <c r="I16" i="21"/>
  <c r="F22" i="21"/>
  <c r="F37" i="21"/>
  <c r="O37" i="21"/>
  <c r="K20" i="21"/>
  <c r="K35" i="21" s="1"/>
  <c r="K39" i="21" s="1"/>
  <c r="L39" i="21" s="1"/>
  <c r="I33" i="21"/>
  <c r="F8" i="21"/>
  <c r="F16" i="21"/>
  <c r="I31" i="21"/>
  <c r="I18" i="21"/>
  <c r="F15" i="21"/>
  <c r="F27" i="21"/>
  <c r="L24" i="21"/>
  <c r="I7" i="21"/>
  <c r="I23" i="21"/>
  <c r="L27" i="21"/>
  <c r="I10" i="21"/>
  <c r="I26" i="21"/>
  <c r="F25" i="21"/>
  <c r="F18" i="21"/>
  <c r="E20" i="21"/>
  <c r="E35" i="21" s="1"/>
  <c r="E39" i="21" s="1"/>
  <c r="F39" i="21" s="1"/>
  <c r="F30" i="21"/>
  <c r="L15" i="21"/>
  <c r="L14" i="21"/>
  <c r="I9" i="21"/>
  <c r="I25" i="21"/>
  <c r="F7" i="21"/>
  <c r="F28" i="21"/>
  <c r="F23" i="21"/>
  <c r="F9" i="21"/>
  <c r="F33" i="21"/>
  <c r="L18" i="21"/>
  <c r="L17" i="21"/>
  <c r="I13" i="21"/>
  <c r="I28" i="21"/>
  <c r="F10" i="21"/>
  <c r="F31" i="21"/>
  <c r="F26" i="21"/>
  <c r="L37" i="21"/>
  <c r="O7" i="21"/>
  <c r="O28" i="21"/>
  <c r="O18" i="21"/>
  <c r="N20" i="21"/>
  <c r="N35" i="21" s="1"/>
  <c r="N39" i="21" s="1"/>
  <c r="O39" i="21" s="1"/>
  <c r="O27" i="21"/>
  <c r="O10" i="21"/>
  <c r="O31" i="21"/>
  <c r="O23" i="21"/>
  <c r="O9" i="21"/>
  <c r="O30" i="21"/>
  <c r="L23" i="21"/>
  <c r="L9" i="21"/>
  <c r="L30" i="21"/>
  <c r="L22" i="21"/>
  <c r="I24" i="21"/>
  <c r="I14" i="21"/>
  <c r="I8" i="21"/>
  <c r="I29" i="21"/>
  <c r="O14" i="21"/>
  <c r="O35" i="21"/>
  <c r="O26" i="21"/>
  <c r="O13" i="21"/>
  <c r="O33" i="21"/>
  <c r="L26" i="21"/>
  <c r="L13" i="21"/>
  <c r="L33" i="21"/>
  <c r="L25" i="21"/>
  <c r="I27" i="21"/>
  <c r="I17" i="21"/>
  <c r="I12" i="21"/>
  <c r="I32" i="21"/>
  <c r="O17" i="21"/>
  <c r="O8" i="21"/>
  <c r="O29" i="21"/>
  <c r="O16" i="21"/>
  <c r="L8" i="21"/>
  <c r="L29" i="21"/>
  <c r="L16" i="21"/>
  <c r="L7" i="21"/>
  <c r="L28" i="21"/>
  <c r="H20" i="21"/>
  <c r="H35" i="21" s="1"/>
  <c r="H39" i="21" s="1"/>
  <c r="I39" i="21" s="1"/>
  <c r="I30" i="21"/>
  <c r="I22" i="21"/>
  <c r="I15" i="21"/>
  <c r="O22" i="21"/>
  <c r="O12" i="21"/>
  <c r="O32" i="21"/>
  <c r="L12" i="21"/>
  <c r="L32" i="21"/>
  <c r="L20" i="21"/>
  <c r="L10" i="21"/>
  <c r="Q51" i="20"/>
  <c r="Q72" i="20"/>
  <c r="Q64" i="20"/>
  <c r="Q8" i="20"/>
  <c r="Q76" i="20"/>
  <c r="Q43" i="20"/>
  <c r="Q74" i="20"/>
  <c r="F35" i="21"/>
  <c r="Q24" i="20"/>
  <c r="Q65" i="20"/>
  <c r="F20" i="21"/>
  <c r="Q68" i="20"/>
  <c r="L35" i="21"/>
  <c r="Q69" i="20"/>
  <c r="Q12" i="20"/>
  <c r="Q26" i="20"/>
  <c r="Q10" i="20"/>
  <c r="Q75" i="20"/>
  <c r="Q57" i="20"/>
  <c r="Q27" i="20"/>
  <c r="Q55" i="20"/>
  <c r="Q38" i="20"/>
  <c r="Q30" i="20"/>
  <c r="Q36" i="20"/>
  <c r="Q7" i="20"/>
  <c r="Q56" i="20"/>
  <c r="Q35" i="20"/>
  <c r="Q13" i="20"/>
  <c r="Q34" i="20"/>
  <c r="Q62" i="20"/>
  <c r="N35" i="20"/>
  <c r="N44" i="20"/>
  <c r="N23" i="20"/>
  <c r="N55" i="20"/>
  <c r="N12" i="20"/>
  <c r="N30" i="20"/>
  <c r="N68" i="20"/>
  <c r="N15" i="20"/>
  <c r="N25" i="20"/>
  <c r="N62" i="20"/>
  <c r="N20" i="20"/>
  <c r="N39" i="20"/>
  <c r="N53" i="20"/>
  <c r="K68" i="20"/>
  <c r="N21" i="20"/>
  <c r="N75" i="20"/>
  <c r="K10" i="20"/>
  <c r="N31" i="20"/>
  <c r="N9" i="20"/>
  <c r="N70" i="20"/>
  <c r="N80" i="20"/>
  <c r="K54" i="20"/>
  <c r="N40" i="20"/>
  <c r="N34" i="20"/>
  <c r="N18" i="20"/>
  <c r="N14" i="20"/>
  <c r="N56" i="20"/>
  <c r="H69" i="20"/>
  <c r="N10" i="20"/>
  <c r="N43" i="20"/>
  <c r="N47" i="20"/>
  <c r="N17" i="20"/>
  <c r="N72" i="20"/>
  <c r="K56" i="20"/>
  <c r="K31" i="20"/>
  <c r="K69" i="20"/>
  <c r="Q80" i="20"/>
  <c r="Q70" i="20"/>
  <c r="Q53" i="20"/>
  <c r="Q14" i="20"/>
  <c r="Q73" i="20"/>
  <c r="Q42" i="20"/>
  <c r="Q11" i="20"/>
  <c r="P49" i="20"/>
  <c r="P78" i="20" s="1"/>
  <c r="P82" i="20" s="1"/>
  <c r="Q82" i="20" s="1"/>
  <c r="Q37" i="20"/>
  <c r="K74" i="20"/>
  <c r="K39" i="20"/>
  <c r="H63" i="20"/>
  <c r="K17" i="20"/>
  <c r="K19" i="20"/>
  <c r="K18" i="20"/>
  <c r="K73" i="20"/>
  <c r="H44" i="20"/>
  <c r="N54" i="20"/>
  <c r="N65" i="20"/>
  <c r="N46" i="20"/>
  <c r="N26" i="20"/>
  <c r="N27" i="20"/>
  <c r="N28" i="20"/>
  <c r="N59" i="20"/>
  <c r="K25" i="20"/>
  <c r="K28" i="20"/>
  <c r="K20" i="20"/>
  <c r="K76" i="20"/>
  <c r="H56" i="20"/>
  <c r="N52" i="20"/>
  <c r="N7" i="20"/>
  <c r="N74" i="20"/>
  <c r="N76" i="20"/>
  <c r="N36" i="20"/>
  <c r="N32" i="20"/>
  <c r="N69" i="20"/>
  <c r="K65" i="20"/>
  <c r="K58" i="20"/>
  <c r="K7" i="20"/>
  <c r="K36" i="20"/>
  <c r="H59" i="20"/>
  <c r="K66" i="20"/>
  <c r="K80" i="20"/>
  <c r="K40" i="20"/>
  <c r="K57" i="20"/>
  <c r="H11" i="20"/>
  <c r="K24" i="20"/>
  <c r="K22" i="20"/>
  <c r="K44" i="20"/>
  <c r="K27" i="20"/>
  <c r="K41" i="20"/>
  <c r="K52" i="20"/>
  <c r="K55" i="20"/>
  <c r="K63" i="20"/>
  <c r="K26" i="20"/>
  <c r="K45" i="20"/>
  <c r="K64" i="20"/>
  <c r="H67" i="20"/>
  <c r="H38" i="20"/>
  <c r="H32" i="20"/>
  <c r="H40" i="20"/>
  <c r="N71" i="20"/>
  <c r="N64" i="20"/>
  <c r="N33" i="20"/>
  <c r="N16" i="20"/>
  <c r="N57" i="20"/>
  <c r="N8" i="20"/>
  <c r="M49" i="20"/>
  <c r="M78" i="20" s="1"/>
  <c r="M82" i="20" s="1"/>
  <c r="N82" i="20" s="1"/>
  <c r="N37" i="20"/>
  <c r="N19" i="20"/>
  <c r="N38" i="20"/>
  <c r="N63" i="20"/>
  <c r="K34" i="20"/>
  <c r="K8" i="20"/>
  <c r="K47" i="20"/>
  <c r="K37" i="20"/>
  <c r="K9" i="20"/>
  <c r="K62" i="20"/>
  <c r="K13" i="20"/>
  <c r="K72" i="20"/>
  <c r="K30" i="20"/>
  <c r="K46" i="20"/>
  <c r="K67" i="20"/>
  <c r="H76" i="20"/>
  <c r="H30" i="20"/>
  <c r="H41" i="20"/>
  <c r="H62" i="20"/>
  <c r="N13" i="20"/>
  <c r="N73" i="20"/>
  <c r="N42" i="20"/>
  <c r="N24" i="20"/>
  <c r="N67" i="20"/>
  <c r="N11" i="20"/>
  <c r="N58" i="20"/>
  <c r="N51" i="20"/>
  <c r="N22" i="20"/>
  <c r="N41" i="20"/>
  <c r="K43" i="20"/>
  <c r="K11" i="20"/>
  <c r="J49" i="20"/>
  <c r="J78" i="20" s="1"/>
  <c r="J82" i="20" s="1"/>
  <c r="K82" i="20" s="1"/>
  <c r="K59" i="20"/>
  <c r="K12" i="20"/>
  <c r="K71" i="20"/>
  <c r="K21" i="20"/>
  <c r="K15" i="20"/>
  <c r="K33" i="20"/>
  <c r="K51" i="20"/>
  <c r="K70" i="20"/>
  <c r="H26" i="20"/>
  <c r="H39" i="20"/>
  <c r="H35" i="20"/>
  <c r="K16" i="20"/>
  <c r="K75" i="20"/>
  <c r="K35" i="20"/>
  <c r="K14" i="20"/>
  <c r="K38" i="20"/>
  <c r="K32" i="20"/>
  <c r="K53" i="20"/>
  <c r="K23" i="20"/>
  <c r="K42" i="20"/>
  <c r="H46" i="20"/>
  <c r="H28" i="20"/>
  <c r="H25" i="20"/>
  <c r="H21" i="20"/>
  <c r="H66" i="20"/>
  <c r="H24" i="20"/>
  <c r="H43" i="20"/>
  <c r="H65" i="20"/>
  <c r="H18" i="20"/>
  <c r="H80" i="20"/>
  <c r="H51" i="20"/>
  <c r="H53" i="20"/>
  <c r="H7" i="20"/>
  <c r="H54" i="20"/>
  <c r="H15" i="20"/>
  <c r="H75" i="20"/>
  <c r="H27" i="20"/>
  <c r="H47" i="20"/>
  <c r="H68" i="20"/>
  <c r="H60" i="20"/>
  <c r="H64" i="20"/>
  <c r="H52" i="20"/>
  <c r="G49" i="20"/>
  <c r="G78" i="20" s="1"/>
  <c r="G82" i="20" s="1"/>
  <c r="H82" i="20" s="1"/>
  <c r="H36" i="20"/>
  <c r="H12" i="20"/>
  <c r="H70" i="20"/>
  <c r="H72" i="20"/>
  <c r="H14" i="20"/>
  <c r="H73" i="20"/>
  <c r="H33" i="20"/>
  <c r="H16" i="20"/>
  <c r="H34" i="20"/>
  <c r="H55" i="20"/>
  <c r="H74" i="20"/>
  <c r="H9" i="20"/>
  <c r="H10" i="20"/>
  <c r="H23" i="20"/>
  <c r="H13" i="20"/>
  <c r="H31" i="20"/>
  <c r="H71" i="20"/>
  <c r="H57" i="20"/>
  <c r="H45" i="20"/>
  <c r="H19" i="20"/>
  <c r="H20" i="20"/>
  <c r="H8" i="20"/>
  <c r="H22" i="20"/>
  <c r="H17" i="20"/>
  <c r="H42" i="20"/>
  <c r="H37" i="20"/>
  <c r="F18" i="17"/>
  <c r="O52" i="18"/>
  <c r="O16" i="18"/>
  <c r="O9" i="18"/>
  <c r="O67" i="18"/>
  <c r="O53" i="18"/>
  <c r="O66" i="18"/>
  <c r="O76" i="18"/>
  <c r="O69" i="18"/>
  <c r="O59" i="18"/>
  <c r="O10" i="18"/>
  <c r="O70" i="18"/>
  <c r="O31" i="18"/>
  <c r="O58" i="18"/>
  <c r="O33" i="18"/>
  <c r="O51" i="18"/>
  <c r="O45" i="18"/>
  <c r="O68" i="18"/>
  <c r="O17" i="18"/>
  <c r="O34" i="18"/>
  <c r="O38" i="18"/>
  <c r="O7" i="18"/>
  <c r="O35" i="18"/>
  <c r="O43" i="18"/>
  <c r="O18" i="18"/>
  <c r="O56" i="18"/>
  <c r="O41" i="18"/>
  <c r="O62" i="18"/>
  <c r="O13" i="18"/>
  <c r="O46" i="18"/>
  <c r="O29" i="18"/>
  <c r="O30" i="18"/>
  <c r="O61" i="18"/>
  <c r="O25" i="18"/>
  <c r="O24" i="18"/>
  <c r="O63" i="18"/>
  <c r="O65" i="18"/>
  <c r="O12" i="18"/>
  <c r="O14" i="18"/>
  <c r="O42" i="18"/>
  <c r="O44" i="18"/>
  <c r="O27" i="18"/>
  <c r="O54" i="18"/>
  <c r="I37" i="18"/>
  <c r="F9" i="18"/>
  <c r="L54" i="18"/>
  <c r="I16" i="18"/>
  <c r="L18" i="18"/>
  <c r="I35" i="18"/>
  <c r="F42" i="18"/>
  <c r="K48" i="18"/>
  <c r="K74" i="18" s="1"/>
  <c r="K78" i="18" s="1"/>
  <c r="L78" i="18" s="1"/>
  <c r="I67" i="18"/>
  <c r="L59" i="18"/>
  <c r="L11" i="18"/>
  <c r="I69" i="18"/>
  <c r="L41" i="18"/>
  <c r="I62" i="18"/>
  <c r="L50" i="18"/>
  <c r="I44" i="18"/>
  <c r="I7" i="18"/>
  <c r="I39" i="18"/>
  <c r="I54" i="18"/>
  <c r="I55" i="18"/>
  <c r="I13" i="18"/>
  <c r="I18" i="18"/>
  <c r="I42" i="18"/>
  <c r="I22" i="18"/>
  <c r="I63" i="18"/>
  <c r="I64" i="18"/>
  <c r="I11" i="18"/>
  <c r="I21" i="18"/>
  <c r="I45" i="18"/>
  <c r="F61" i="18"/>
  <c r="L33" i="18"/>
  <c r="I52" i="18"/>
  <c r="I36" i="18"/>
  <c r="I24" i="18"/>
  <c r="I46" i="18"/>
  <c r="I9" i="18"/>
  <c r="I65" i="18"/>
  <c r="I70" i="18"/>
  <c r="I66" i="18"/>
  <c r="I14" i="18"/>
  <c r="I19" i="18"/>
  <c r="I20" i="18"/>
  <c r="I51" i="18"/>
  <c r="I23" i="18"/>
  <c r="I56" i="18"/>
  <c r="I8" i="18"/>
  <c r="I61" i="18"/>
  <c r="I27" i="18"/>
  <c r="I29" i="18"/>
  <c r="I60" i="18"/>
  <c r="I26" i="18"/>
  <c r="I59" i="18"/>
  <c r="F16" i="18"/>
  <c r="F20" i="18"/>
  <c r="F34" i="18"/>
  <c r="L40" i="18"/>
  <c r="L71" i="18"/>
  <c r="L65" i="18"/>
  <c r="L22" i="18"/>
  <c r="L70" i="18"/>
  <c r="I32" i="18"/>
  <c r="I34" i="18"/>
  <c r="I17" i="18"/>
  <c r="I76" i="18"/>
  <c r="H48" i="18"/>
  <c r="H74" i="18" s="1"/>
  <c r="H78" i="18" s="1"/>
  <c r="I78" i="18" s="1"/>
  <c r="I38" i="18"/>
  <c r="I31" i="18"/>
  <c r="I12" i="18"/>
  <c r="I30" i="18"/>
  <c r="I50" i="18"/>
  <c r="I68" i="18"/>
  <c r="F12" i="18"/>
  <c r="F54" i="18"/>
  <c r="L51" i="18"/>
  <c r="L16" i="18"/>
  <c r="L10" i="18"/>
  <c r="L29" i="18"/>
  <c r="L76" i="18"/>
  <c r="I41" i="18"/>
  <c r="I43" i="18"/>
  <c r="I25" i="18"/>
  <c r="I10" i="18"/>
  <c r="I57" i="18"/>
  <c r="I58" i="18"/>
  <c r="I40" i="18"/>
  <c r="I15" i="18"/>
  <c r="I33" i="18"/>
  <c r="I53" i="18"/>
  <c r="F68" i="18"/>
  <c r="L30" i="18"/>
  <c r="L43" i="18"/>
  <c r="L37" i="18"/>
  <c r="L38" i="18"/>
  <c r="L55" i="18"/>
  <c r="F56" i="18"/>
  <c r="L13" i="18"/>
  <c r="L42" i="18"/>
  <c r="L36" i="18"/>
  <c r="L14" i="18"/>
  <c r="L61" i="18"/>
  <c r="F36" i="18"/>
  <c r="F58" i="18"/>
  <c r="F32" i="18"/>
  <c r="F71" i="18"/>
  <c r="F43" i="18"/>
  <c r="F45" i="18"/>
  <c r="F67" i="18"/>
  <c r="F41" i="18"/>
  <c r="F10" i="18"/>
  <c r="F46" i="18"/>
  <c r="L12" i="18"/>
  <c r="L69" i="18"/>
  <c r="L62" i="18"/>
  <c r="L9" i="18"/>
  <c r="L27" i="18"/>
  <c r="L20" i="18"/>
  <c r="L52" i="18"/>
  <c r="F24" i="18"/>
  <c r="F35" i="18"/>
  <c r="F25" i="18"/>
  <c r="F39" i="18"/>
  <c r="F15" i="18"/>
  <c r="F63" i="18"/>
  <c r="F44" i="18"/>
  <c r="F64" i="18"/>
  <c r="F50" i="18"/>
  <c r="F23" i="18"/>
  <c r="F27" i="18"/>
  <c r="F66" i="18"/>
  <c r="L21" i="18"/>
  <c r="L15" i="18"/>
  <c r="L24" i="18"/>
  <c r="L45" i="18"/>
  <c r="L57" i="18"/>
  <c r="L32" i="18"/>
  <c r="L64" i="18"/>
  <c r="F55" i="18"/>
  <c r="E48" i="18"/>
  <c r="E74" i="18" s="1"/>
  <c r="E78" i="18" s="1"/>
  <c r="F78" i="18" s="1"/>
  <c r="F11" i="18"/>
  <c r="F7" i="18"/>
  <c r="F59" i="18"/>
  <c r="F52" i="18"/>
  <c r="F33" i="18"/>
  <c r="F13" i="18"/>
  <c r="F31" i="18"/>
  <c r="F51" i="18"/>
  <c r="F69" i="18"/>
  <c r="L7" i="18"/>
  <c r="L60" i="18"/>
  <c r="L23" i="18"/>
  <c r="L8" i="18"/>
  <c r="L63" i="18"/>
  <c r="L56" i="18"/>
  <c r="L46" i="18"/>
  <c r="L17" i="18"/>
  <c r="L35" i="18"/>
  <c r="L58" i="18"/>
  <c r="F18" i="18"/>
  <c r="F65" i="18"/>
  <c r="F29" i="18"/>
  <c r="F14" i="18"/>
  <c r="F70" i="18"/>
  <c r="F53" i="18"/>
  <c r="F19" i="18"/>
  <c r="F37" i="18"/>
  <c r="F57" i="18"/>
  <c r="F76" i="18"/>
  <c r="F26" i="18"/>
  <c r="F17" i="18"/>
  <c r="F38" i="18"/>
  <c r="F30" i="18"/>
  <c r="F22" i="18"/>
  <c r="F8" i="18"/>
  <c r="F62" i="18"/>
  <c r="F21" i="18"/>
  <c r="F40" i="18"/>
  <c r="L68" i="18"/>
  <c r="L31" i="18"/>
  <c r="L39" i="18"/>
  <c r="L53" i="18"/>
  <c r="L34" i="18"/>
  <c r="L26" i="18"/>
  <c r="L19" i="18"/>
  <c r="L66" i="18"/>
  <c r="L25" i="18"/>
  <c r="L44" i="18"/>
  <c r="O11" i="18"/>
  <c r="O36" i="18"/>
  <c r="O39" i="18"/>
  <c r="O22" i="18"/>
  <c r="O15" i="18"/>
  <c r="O71" i="18"/>
  <c r="O55" i="18"/>
  <c r="O19" i="18"/>
  <c r="O37" i="18"/>
  <c r="O57" i="18"/>
  <c r="O26" i="18"/>
  <c r="O20" i="18"/>
  <c r="N48" i="18"/>
  <c r="N74" i="18" s="1"/>
  <c r="O50" i="18"/>
  <c r="O32" i="18"/>
  <c r="O23" i="18"/>
  <c r="O8" i="18"/>
  <c r="O64" i="18"/>
  <c r="O21" i="18"/>
  <c r="O40" i="18"/>
  <c r="F37" i="17"/>
  <c r="I42" i="17"/>
  <c r="F23" i="17"/>
  <c r="I51" i="17"/>
  <c r="F39" i="17"/>
  <c r="F14" i="17"/>
  <c r="F19" i="17"/>
  <c r="F58" i="17"/>
  <c r="O10" i="17"/>
  <c r="F25" i="17"/>
  <c r="F62" i="17"/>
  <c r="F42" i="17"/>
  <c r="I41" i="17"/>
  <c r="O7" i="17"/>
  <c r="O20" i="17"/>
  <c r="O18" i="17"/>
  <c r="N34" i="17"/>
  <c r="N61" i="17" s="1"/>
  <c r="I37" i="17"/>
  <c r="I21" i="17"/>
  <c r="O8" i="17"/>
  <c r="O31" i="17"/>
  <c r="O27" i="17"/>
  <c r="F15" i="17"/>
  <c r="F43" i="17"/>
  <c r="F50" i="17"/>
  <c r="F40" i="17"/>
  <c r="I40" i="17"/>
  <c r="I9" i="17"/>
  <c r="O38" i="17"/>
  <c r="O43" i="17"/>
  <c r="F29" i="17"/>
  <c r="F46" i="17"/>
  <c r="F53" i="17"/>
  <c r="F44" i="17"/>
  <c r="I18" i="17"/>
  <c r="I26" i="17"/>
  <c r="O53" i="17"/>
  <c r="O51" i="17"/>
  <c r="O47" i="17"/>
  <c r="E34" i="17"/>
  <c r="E61" i="17" s="1"/>
  <c r="E64" i="17" s="1"/>
  <c r="F64" i="17" s="1"/>
  <c r="F17" i="17"/>
  <c r="F57" i="17"/>
  <c r="F11" i="17"/>
  <c r="F55" i="17"/>
  <c r="I19" i="17"/>
  <c r="I31" i="17"/>
  <c r="O22" i="17"/>
  <c r="O55" i="17"/>
  <c r="O45" i="17"/>
  <c r="O25" i="17"/>
  <c r="O23" i="17"/>
  <c r="O46" i="17"/>
  <c r="O29" i="17"/>
  <c r="O21" i="17"/>
  <c r="O58" i="17"/>
  <c r="I59" i="17"/>
  <c r="I22" i="17"/>
  <c r="I10" i="17"/>
  <c r="O50" i="17"/>
  <c r="O26" i="17"/>
  <c r="O48" i="17"/>
  <c r="O42" i="17"/>
  <c r="O24" i="17"/>
  <c r="O44" i="17"/>
  <c r="O62" i="17"/>
  <c r="O12" i="17"/>
  <c r="O56" i="17"/>
  <c r="O13" i="17"/>
  <c r="O36" i="17"/>
  <c r="O54" i="17"/>
  <c r="O49" i="17"/>
  <c r="I58" i="17"/>
  <c r="I56" i="17"/>
  <c r="I48" i="17"/>
  <c r="O59" i="17"/>
  <c r="O17" i="17"/>
  <c r="O57" i="17"/>
  <c r="O14" i="17"/>
  <c r="O37" i="17"/>
  <c r="I44" i="17"/>
  <c r="H34" i="17"/>
  <c r="I34" i="17" s="1"/>
  <c r="I25" i="17"/>
  <c r="I45" i="17"/>
  <c r="I27" i="17"/>
  <c r="I13" i="17"/>
  <c r="I36" i="17"/>
  <c r="I54" i="17"/>
  <c r="F8" i="17"/>
  <c r="I7" i="17"/>
  <c r="F9" i="17"/>
  <c r="F26" i="17"/>
  <c r="F48" i="17"/>
  <c r="F38" i="17"/>
  <c r="F56" i="17"/>
  <c r="F21" i="17"/>
  <c r="F47" i="17"/>
  <c r="I11" i="17"/>
  <c r="I47" i="17"/>
  <c r="I8" i="17"/>
  <c r="I28" i="17"/>
  <c r="I32" i="17"/>
  <c r="I17" i="17"/>
  <c r="I39" i="17"/>
  <c r="I57" i="17"/>
  <c r="F22" i="17"/>
  <c r="F10" i="17"/>
  <c r="F31" i="17"/>
  <c r="F51" i="17"/>
  <c r="F41" i="17"/>
  <c r="F59" i="17"/>
  <c r="F24" i="17"/>
  <c r="F49" i="17"/>
  <c r="I14" i="17"/>
  <c r="I49" i="17"/>
  <c r="I12" i="17"/>
  <c r="I29" i="17"/>
  <c r="I50" i="17"/>
  <c r="I52" i="17"/>
  <c r="I20" i="17"/>
  <c r="I43" i="17"/>
  <c r="F32" i="17"/>
  <c r="F28" i="17"/>
  <c r="F13" i="17"/>
  <c r="F36" i="17"/>
  <c r="F54" i="17"/>
  <c r="F45" i="17"/>
  <c r="F7" i="17"/>
  <c r="F27" i="17"/>
  <c r="F52" i="17"/>
  <c r="I24" i="17"/>
  <c r="I55" i="17"/>
  <c r="I15" i="17"/>
  <c r="I38" i="17"/>
  <c r="I53" i="17"/>
  <c r="I62" i="17"/>
  <c r="I23" i="17"/>
  <c r="L59" i="17"/>
  <c r="L56" i="17"/>
  <c r="L53" i="17"/>
  <c r="L50" i="17"/>
  <c r="L45" i="17"/>
  <c r="L42" i="17"/>
  <c r="L38" i="17"/>
  <c r="L29" i="17"/>
  <c r="L25" i="17"/>
  <c r="L22" i="17"/>
  <c r="L12" i="17"/>
  <c r="L8" i="17"/>
  <c r="K34" i="17"/>
  <c r="K61" i="17" s="1"/>
  <c r="K64" i="17" s="1"/>
  <c r="L64" i="17" s="1"/>
  <c r="L57" i="17"/>
  <c r="L54" i="17"/>
  <c r="L48" i="17"/>
  <c r="L46" i="17"/>
  <c r="L36" i="17"/>
  <c r="L23" i="17"/>
  <c r="L62" i="17"/>
  <c r="L58" i="17"/>
  <c r="L55" i="17"/>
  <c r="L52" i="17"/>
  <c r="L49" i="17"/>
  <c r="L47" i="17"/>
  <c r="L44" i="17"/>
  <c r="L37" i="17"/>
  <c r="L32" i="17"/>
  <c r="L27" i="17"/>
  <c r="L24" i="17"/>
  <c r="L21" i="17"/>
  <c r="L18" i="17"/>
  <c r="L14" i="17"/>
  <c r="L7" i="17"/>
  <c r="L43" i="17"/>
  <c r="L20" i="17"/>
  <c r="L13" i="17"/>
  <c r="L51" i="17"/>
  <c r="L31" i="17"/>
  <c r="L26" i="17"/>
  <c r="L17" i="17"/>
  <c r="L10" i="17"/>
  <c r="O32" i="17"/>
  <c r="L15" i="17"/>
  <c r="K13" i="16"/>
  <c r="E8" i="11"/>
  <c r="H8" i="11"/>
  <c r="O34" i="17" l="1"/>
  <c r="F34" i="17"/>
  <c r="K8" i="24"/>
  <c r="K8" i="14"/>
  <c r="I20" i="21"/>
  <c r="I35" i="21"/>
  <c r="O20" i="21"/>
  <c r="N49" i="20"/>
  <c r="N78" i="20"/>
  <c r="Q49" i="20"/>
  <c r="Q78" i="20"/>
  <c r="K78" i="20"/>
  <c r="H49" i="20"/>
  <c r="K49" i="20"/>
  <c r="H78" i="20"/>
  <c r="L48" i="18"/>
  <c r="L74" i="18"/>
  <c r="I74" i="18"/>
  <c r="F74" i="18"/>
  <c r="I48" i="18"/>
  <c r="F48" i="18"/>
  <c r="O48" i="18"/>
  <c r="N78" i="18"/>
  <c r="O78" i="18" s="1"/>
  <c r="O74" i="18"/>
  <c r="F61" i="17"/>
  <c r="H61" i="17"/>
  <c r="H64" i="17" s="1"/>
  <c r="I64" i="17" s="1"/>
  <c r="N64" i="17"/>
  <c r="O64" i="17" s="1"/>
  <c r="O61" i="17"/>
  <c r="L34" i="17"/>
  <c r="L61" i="17"/>
  <c r="K56" i="16"/>
  <c r="H59" i="16"/>
  <c r="E59" i="16"/>
  <c r="H55" i="16"/>
  <c r="E55" i="16"/>
  <c r="H54" i="16"/>
  <c r="E54" i="16"/>
  <c r="H53" i="16"/>
  <c r="E53" i="16"/>
  <c r="H52" i="16"/>
  <c r="E52" i="16"/>
  <c r="H51" i="16"/>
  <c r="E51" i="16"/>
  <c r="H50" i="16"/>
  <c r="E50" i="16"/>
  <c r="H49" i="16"/>
  <c r="E49" i="16"/>
  <c r="H48" i="16"/>
  <c r="E48" i="16"/>
  <c r="H47" i="16"/>
  <c r="E47" i="16"/>
  <c r="H46" i="16"/>
  <c r="E46" i="16"/>
  <c r="H45" i="16"/>
  <c r="E45" i="16"/>
  <c r="H44" i="16"/>
  <c r="E44" i="16"/>
  <c r="H43" i="16"/>
  <c r="E43" i="16"/>
  <c r="H42" i="16"/>
  <c r="E42" i="16"/>
  <c r="H41" i="16"/>
  <c r="E41" i="16"/>
  <c r="H40" i="16"/>
  <c r="E40" i="16"/>
  <c r="H39" i="16"/>
  <c r="E39" i="16"/>
  <c r="H38" i="16"/>
  <c r="E38" i="16"/>
  <c r="H37" i="16"/>
  <c r="E37" i="16"/>
  <c r="H36" i="16"/>
  <c r="E36" i="16"/>
  <c r="H35" i="16"/>
  <c r="E35" i="16"/>
  <c r="H34" i="16"/>
  <c r="E34" i="16"/>
  <c r="H33" i="16"/>
  <c r="E33" i="16"/>
  <c r="H32" i="16"/>
  <c r="E32" i="16"/>
  <c r="H25" i="16"/>
  <c r="E25" i="16"/>
  <c r="H24" i="16"/>
  <c r="E24" i="16"/>
  <c r="H23" i="16"/>
  <c r="E23" i="16"/>
  <c r="H22" i="16"/>
  <c r="E22" i="16"/>
  <c r="H21" i="16"/>
  <c r="E21" i="16"/>
  <c r="H20" i="16"/>
  <c r="E20" i="16"/>
  <c r="H19" i="16"/>
  <c r="E19" i="16"/>
  <c r="H18" i="16"/>
  <c r="E18" i="16"/>
  <c r="H17" i="16"/>
  <c r="E17" i="16"/>
  <c r="N26" i="16"/>
  <c r="K26" i="16"/>
  <c r="H16" i="16"/>
  <c r="E16" i="16"/>
  <c r="H12" i="16"/>
  <c r="E12" i="16"/>
  <c r="H9" i="16"/>
  <c r="E9" i="16"/>
  <c r="H8" i="16"/>
  <c r="E8" i="16"/>
  <c r="H7" i="16"/>
  <c r="E7" i="16"/>
  <c r="N13" i="16"/>
  <c r="H6" i="16"/>
  <c r="E6" i="16"/>
  <c r="H5" i="16"/>
  <c r="E5" i="16"/>
  <c r="A3" i="16"/>
  <c r="K20" i="14" l="1"/>
  <c r="K25" i="24"/>
  <c r="N20" i="14"/>
  <c r="N25" i="24"/>
  <c r="K43" i="24"/>
  <c r="K33" i="14"/>
  <c r="N8" i="24"/>
  <c r="N8" i="14"/>
  <c r="I61" i="17"/>
  <c r="E13" i="16"/>
  <c r="H13" i="16"/>
  <c r="H56" i="16"/>
  <c r="E26" i="16"/>
  <c r="H26" i="16"/>
  <c r="N56" i="16"/>
  <c r="O56" i="16" s="1"/>
  <c r="E56" i="16"/>
  <c r="K29" i="16"/>
  <c r="K58" i="16" s="1"/>
  <c r="K61" i="16" s="1"/>
  <c r="L61" i="16" s="1"/>
  <c r="L56" i="16"/>
  <c r="L26" i="16"/>
  <c r="L13" i="16"/>
  <c r="L59" i="16"/>
  <c r="O26" i="16"/>
  <c r="O13" i="16"/>
  <c r="O59" i="16"/>
  <c r="N29" i="16"/>
  <c r="E146" i="2"/>
  <c r="G146" i="2"/>
  <c r="E41" i="2"/>
  <c r="G41" i="2"/>
  <c r="E145" i="2"/>
  <c r="G145" i="2"/>
  <c r="E144" i="2"/>
  <c r="G144" i="2"/>
  <c r="E143" i="2"/>
  <c r="G143" i="2"/>
  <c r="E49" i="2"/>
  <c r="G49" i="2"/>
  <c r="E26" i="6"/>
  <c r="H26" i="6"/>
  <c r="E50" i="2"/>
  <c r="G50" i="2"/>
  <c r="E28" i="6"/>
  <c r="H28" i="6"/>
  <c r="K28" i="6"/>
  <c r="N28" i="6"/>
  <c r="E37" i="2"/>
  <c r="G37" i="2"/>
  <c r="H20" i="14" l="1"/>
  <c r="H25" i="24"/>
  <c r="E20" i="14"/>
  <c r="E25" i="24"/>
  <c r="L58" i="16"/>
  <c r="N43" i="24"/>
  <c r="N33" i="14"/>
  <c r="I10" i="16"/>
  <c r="I11" i="16"/>
  <c r="F10" i="16"/>
  <c r="F11" i="16"/>
  <c r="L29" i="16"/>
  <c r="H43" i="24"/>
  <c r="H8" i="24"/>
  <c r="E43" i="24"/>
  <c r="E8" i="24"/>
  <c r="H33" i="14"/>
  <c r="E33" i="14"/>
  <c r="E8" i="14"/>
  <c r="H8" i="14"/>
  <c r="F37" i="16"/>
  <c r="F26" i="16"/>
  <c r="F47" i="16"/>
  <c r="E29" i="16"/>
  <c r="E58" i="16" s="1"/>
  <c r="E61" i="16" s="1"/>
  <c r="F61" i="16" s="1"/>
  <c r="I46" i="16"/>
  <c r="F44" i="16"/>
  <c r="F45" i="16"/>
  <c r="F22" i="16"/>
  <c r="F9" i="16"/>
  <c r="H29" i="16"/>
  <c r="H58" i="16" s="1"/>
  <c r="H61" i="16" s="1"/>
  <c r="I61" i="16" s="1"/>
  <c r="F38" i="16"/>
  <c r="F49" i="16"/>
  <c r="F34" i="16"/>
  <c r="F50" i="16"/>
  <c r="F39" i="16"/>
  <c r="F59" i="16"/>
  <c r="F48" i="16"/>
  <c r="I40" i="16"/>
  <c r="F12" i="16"/>
  <c r="F23" i="16"/>
  <c r="F13" i="16"/>
  <c r="F36" i="16"/>
  <c r="F17" i="16"/>
  <c r="F55" i="16"/>
  <c r="F35" i="16"/>
  <c r="F19" i="16"/>
  <c r="F8" i="16"/>
  <c r="F46" i="16"/>
  <c r="F21" i="16"/>
  <c r="F56" i="16"/>
  <c r="I25" i="16"/>
  <c r="I26" i="16"/>
  <c r="I37" i="16"/>
  <c r="F25" i="16"/>
  <c r="F54" i="16"/>
  <c r="F32" i="16"/>
  <c r="F52" i="16"/>
  <c r="F18" i="16"/>
  <c r="F41" i="16"/>
  <c r="I6" i="16"/>
  <c r="I18" i="16"/>
  <c r="I42" i="16"/>
  <c r="F16" i="16"/>
  <c r="F42" i="16"/>
  <c r="F40" i="16"/>
  <c r="F33" i="16"/>
  <c r="F53" i="16"/>
  <c r="I38" i="16"/>
  <c r="I32" i="16"/>
  <c r="I56" i="16"/>
  <c r="I8" i="16"/>
  <c r="F7" i="16"/>
  <c r="F51" i="16"/>
  <c r="F20" i="16"/>
  <c r="F43" i="16"/>
  <c r="F6" i="16"/>
  <c r="F24" i="16"/>
  <c r="I44" i="16"/>
  <c r="I48" i="16"/>
  <c r="I49" i="16"/>
  <c r="I24" i="16"/>
  <c r="I19" i="16"/>
  <c r="I9" i="16"/>
  <c r="I55" i="16"/>
  <c r="N58" i="16"/>
  <c r="N61" i="16" s="1"/>
  <c r="O61" i="16" s="1"/>
  <c r="I21" i="16"/>
  <c r="I47" i="16"/>
  <c r="I22" i="16"/>
  <c r="I51" i="16"/>
  <c r="I34" i="16"/>
  <c r="I59" i="16"/>
  <c r="I41" i="16"/>
  <c r="I7" i="16"/>
  <c r="I45" i="16"/>
  <c r="I17" i="16"/>
  <c r="I52" i="16"/>
  <c r="I33" i="16"/>
  <c r="I50" i="16"/>
  <c r="I12" i="16"/>
  <c r="I36" i="16"/>
  <c r="I54" i="16"/>
  <c r="I20" i="16"/>
  <c r="I43" i="16"/>
  <c r="I13" i="16"/>
  <c r="I35" i="16"/>
  <c r="I53" i="16"/>
  <c r="I16" i="16"/>
  <c r="I39" i="16"/>
  <c r="I23" i="16"/>
  <c r="O29" i="16"/>
  <c r="K37" i="6"/>
  <c r="N37" i="6"/>
  <c r="K34" i="10"/>
  <c r="N34" i="10"/>
  <c r="K39" i="12"/>
  <c r="N39" i="12"/>
  <c r="K38" i="12"/>
  <c r="N38" i="12"/>
  <c r="K37" i="12"/>
  <c r="N37" i="12"/>
  <c r="K36" i="12"/>
  <c r="N36" i="12"/>
  <c r="E100" i="2"/>
  <c r="G100" i="2"/>
  <c r="E53" i="2"/>
  <c r="G53" i="2"/>
  <c r="G153" i="2"/>
  <c r="E46" i="11"/>
  <c r="H46" i="11"/>
  <c r="E163" i="2"/>
  <c r="G163" i="2"/>
  <c r="E161" i="2"/>
  <c r="G161" i="2"/>
  <c r="E160" i="2"/>
  <c r="G160" i="2"/>
  <c r="E159" i="2"/>
  <c r="G159" i="2"/>
  <c r="E158" i="2"/>
  <c r="G158" i="2"/>
  <c r="E157" i="2"/>
  <c r="G157" i="2"/>
  <c r="E156" i="2"/>
  <c r="G156" i="2"/>
  <c r="E56" i="2"/>
  <c r="G56" i="2"/>
  <c r="E55" i="2"/>
  <c r="G55" i="2"/>
  <c r="E54" i="2"/>
  <c r="G54" i="2"/>
  <c r="E93" i="2"/>
  <c r="G93" i="2"/>
  <c r="N40" i="10"/>
  <c r="K40" i="10"/>
  <c r="H40" i="10"/>
  <c r="E40" i="10"/>
  <c r="E17" i="5"/>
  <c r="H17" i="5"/>
  <c r="K17" i="5"/>
  <c r="N17" i="5"/>
  <c r="E40" i="2"/>
  <c r="G40" i="2"/>
  <c r="E275" i="3"/>
  <c r="H275" i="3"/>
  <c r="K275" i="3"/>
  <c r="N275" i="3"/>
  <c r="E9" i="2"/>
  <c r="G9" i="2"/>
  <c r="G46" i="8"/>
  <c r="J46" i="8"/>
  <c r="L23" i="4"/>
  <c r="I23" i="4"/>
  <c r="E45" i="11"/>
  <c r="H45" i="11"/>
  <c r="O58" i="16" l="1"/>
  <c r="I58" i="16"/>
  <c r="I29" i="16"/>
  <c r="F29" i="16"/>
  <c r="F58" i="16"/>
  <c r="E34" i="10"/>
  <c r="H34" i="10"/>
  <c r="E37" i="6"/>
  <c r="H37" i="6"/>
  <c r="E38" i="6"/>
  <c r="H38" i="6"/>
  <c r="E37" i="12"/>
  <c r="H37" i="12"/>
  <c r="E38" i="12"/>
  <c r="H38" i="12"/>
  <c r="E39" i="12"/>
  <c r="H39" i="12"/>
  <c r="F23" i="4"/>
  <c r="C23" i="4"/>
  <c r="E290" i="3" l="1"/>
  <c r="H290" i="3"/>
  <c r="K290" i="3"/>
  <c r="N290" i="3"/>
  <c r="E8" i="12"/>
  <c r="H8" i="12"/>
  <c r="E10" i="12"/>
  <c r="H10" i="12"/>
  <c r="E9" i="6"/>
  <c r="H9" i="6"/>
  <c r="E12" i="10"/>
  <c r="H12" i="10"/>
  <c r="E102" i="2" l="1"/>
  <c r="G102" i="2"/>
  <c r="E169" i="2"/>
  <c r="G169" i="2"/>
  <c r="E154" i="2"/>
  <c r="G154" i="2"/>
  <c r="E73" i="2"/>
  <c r="G73" i="2"/>
  <c r="E7" i="3" l="1"/>
  <c r="E8" i="3"/>
  <c r="E9" i="3"/>
  <c r="E10" i="3"/>
  <c r="E20" i="3"/>
  <c r="E21" i="3"/>
  <c r="E22" i="3"/>
  <c r="E24" i="3"/>
  <c r="E25" i="3"/>
  <c r="E26" i="3"/>
  <c r="E27" i="3"/>
  <c r="E29" i="3"/>
  <c r="E30" i="3"/>
  <c r="E31" i="3"/>
  <c r="E33" i="3"/>
  <c r="E34" i="3"/>
  <c r="E35" i="3"/>
  <c r="E36" i="3"/>
  <c r="E37" i="3"/>
  <c r="E41" i="3"/>
  <c r="E42" i="3"/>
  <c r="E43" i="3"/>
  <c r="E44" i="3"/>
  <c r="E46" i="3"/>
  <c r="E47" i="3"/>
  <c r="E48" i="3"/>
  <c r="E49" i="3"/>
  <c r="E50" i="3"/>
  <c r="E51" i="3"/>
  <c r="E52" i="3"/>
  <c r="E53" i="3"/>
  <c r="E54" i="3"/>
  <c r="E55" i="3"/>
  <c r="E57" i="3"/>
  <c r="E58" i="3"/>
  <c r="E59" i="3"/>
  <c r="E60" i="3"/>
  <c r="E61" i="3"/>
  <c r="E62" i="3"/>
  <c r="E64" i="3"/>
  <c r="E65" i="3"/>
  <c r="E66" i="3"/>
  <c r="E67" i="3"/>
  <c r="E68" i="3"/>
  <c r="E69" i="3"/>
  <c r="E71" i="3"/>
  <c r="E72" i="3"/>
  <c r="E73" i="3"/>
  <c r="E74" i="3"/>
  <c r="E75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64" i="3"/>
  <c r="E165" i="3"/>
  <c r="E166" i="3"/>
  <c r="E168" i="3"/>
  <c r="E169" i="3"/>
  <c r="E170" i="3"/>
  <c r="E172" i="3"/>
  <c r="E176" i="3"/>
  <c r="E177" i="3"/>
  <c r="E178" i="3"/>
  <c r="E179" i="3"/>
  <c r="E181" i="3"/>
  <c r="E182" i="3"/>
  <c r="E183" i="3"/>
  <c r="E184" i="3"/>
  <c r="E185" i="3"/>
  <c r="E186" i="3"/>
  <c r="E187" i="3"/>
  <c r="E188" i="3"/>
  <c r="E190" i="3"/>
  <c r="E191" i="3"/>
  <c r="E192" i="3"/>
  <c r="E193" i="3"/>
  <c r="E194" i="3"/>
  <c r="E195" i="3"/>
  <c r="E197" i="3"/>
  <c r="E198" i="3"/>
  <c r="E199" i="3"/>
  <c r="E200" i="3"/>
  <c r="E201" i="3"/>
  <c r="E202" i="3"/>
  <c r="E204" i="3"/>
  <c r="E205" i="3"/>
  <c r="E206" i="3"/>
  <c r="E207" i="3"/>
  <c r="E208" i="3"/>
  <c r="E210" i="3"/>
  <c r="E211" i="3"/>
  <c r="E212" i="3"/>
  <c r="E213" i="3"/>
  <c r="E214" i="3"/>
  <c r="E215" i="3"/>
  <c r="E216" i="3"/>
  <c r="E217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6" i="3"/>
  <c r="E277" i="3"/>
  <c r="E278" i="3"/>
  <c r="E280" i="3"/>
  <c r="E281" i="3"/>
  <c r="E282" i="3"/>
  <c r="E283" i="3"/>
  <c r="E285" i="3"/>
  <c r="E286" i="3"/>
  <c r="E287" i="3"/>
  <c r="E289" i="3"/>
  <c r="E292" i="3"/>
  <c r="E293" i="3"/>
  <c r="E294" i="3"/>
  <c r="E296" i="3"/>
  <c r="E297" i="3"/>
  <c r="E298" i="3"/>
  <c r="E299" i="3"/>
  <c r="E300" i="3"/>
  <c r="E301" i="3"/>
  <c r="E302" i="3"/>
  <c r="E304" i="3"/>
  <c r="E305" i="3"/>
  <c r="E306" i="3"/>
  <c r="E307" i="3"/>
  <c r="E308" i="3"/>
  <c r="E309" i="3"/>
  <c r="E310" i="3"/>
  <c r="E311" i="3"/>
  <c r="E313" i="3"/>
  <c r="E314" i="3"/>
  <c r="E315" i="3"/>
  <c r="E316" i="3"/>
  <c r="E317" i="3"/>
  <c r="E318" i="3"/>
  <c r="E319" i="3"/>
  <c r="E326" i="3"/>
  <c r="E327" i="3"/>
  <c r="E328" i="3"/>
  <c r="E329" i="3"/>
  <c r="E330" i="3"/>
  <c r="E331" i="3"/>
  <c r="E333" i="3"/>
  <c r="E334" i="3"/>
  <c r="E335" i="3"/>
  <c r="E336" i="3"/>
  <c r="E337" i="3"/>
  <c r="E338" i="3"/>
  <c r="E339" i="3"/>
  <c r="E340" i="3"/>
  <c r="E341" i="3"/>
  <c r="E342" i="3"/>
  <c r="E343" i="3"/>
  <c r="E345" i="3"/>
  <c r="E346" i="3"/>
  <c r="E347" i="3"/>
  <c r="E348" i="3"/>
  <c r="E349" i="3"/>
  <c r="E350" i="3"/>
  <c r="E351" i="3"/>
  <c r="E352" i="3"/>
  <c r="E354" i="3"/>
  <c r="E355" i="3"/>
  <c r="E356" i="3"/>
  <c r="E357" i="3"/>
  <c r="E358" i="3"/>
  <c r="E359" i="3"/>
  <c r="E360" i="3"/>
  <c r="E361" i="3"/>
  <c r="E365" i="3"/>
  <c r="E377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3" i="3"/>
  <c r="E394" i="3"/>
  <c r="E395" i="3"/>
  <c r="E396" i="3"/>
  <c r="E397" i="3"/>
  <c r="E398" i="3"/>
  <c r="E399" i="3"/>
  <c r="E400" i="3"/>
  <c r="E401" i="3"/>
  <c r="E402" i="3"/>
  <c r="E403" i="3"/>
  <c r="E405" i="3"/>
  <c r="E406" i="3"/>
  <c r="E407" i="3"/>
  <c r="E408" i="3"/>
  <c r="E409" i="3"/>
  <c r="E410" i="3"/>
  <c r="E411" i="3"/>
  <c r="E412" i="3"/>
  <c r="E413" i="3"/>
  <c r="E425" i="3"/>
  <c r="E426" i="3"/>
  <c r="E427" i="3"/>
  <c r="E428" i="3"/>
  <c r="E429" i="3"/>
  <c r="E430" i="3"/>
  <c r="E431" i="3"/>
  <c r="E432" i="3"/>
  <c r="E433" i="3"/>
  <c r="E434" i="3"/>
  <c r="E435" i="3"/>
  <c r="E437" i="3"/>
  <c r="E438" i="3"/>
  <c r="E439" i="3"/>
  <c r="E440" i="3"/>
  <c r="E441" i="3"/>
  <c r="E442" i="3"/>
  <c r="E443" i="3"/>
  <c r="E444" i="3"/>
  <c r="L19" i="4" s="1"/>
  <c r="E446" i="3"/>
  <c r="L20" i="4" s="1"/>
  <c r="E448" i="3"/>
  <c r="E449" i="3"/>
  <c r="E450" i="3"/>
  <c r="E451" i="3"/>
  <c r="E452" i="3"/>
  <c r="E453" i="3"/>
  <c r="E455" i="3"/>
  <c r="E456" i="3"/>
  <c r="E457" i="3"/>
  <c r="E458" i="3"/>
  <c r="E459" i="3"/>
  <c r="E460" i="3"/>
  <c r="E461" i="3"/>
  <c r="E462" i="3"/>
  <c r="E463" i="3"/>
  <c r="E472" i="3"/>
  <c r="E473" i="3"/>
  <c r="E474" i="3"/>
  <c r="E475" i="3"/>
  <c r="E477" i="3"/>
  <c r="E478" i="3"/>
  <c r="E479" i="3"/>
  <c r="E480" i="3"/>
  <c r="E481" i="3"/>
  <c r="E482" i="3"/>
  <c r="E483" i="3"/>
  <c r="E484" i="3"/>
  <c r="E485" i="3"/>
  <c r="E486" i="3"/>
  <c r="E488" i="3"/>
  <c r="E489" i="3"/>
  <c r="E490" i="3"/>
  <c r="E491" i="3"/>
  <c r="E492" i="3"/>
  <c r="E493" i="3"/>
  <c r="E494" i="3"/>
  <c r="E495" i="3"/>
  <c r="E496" i="3"/>
  <c r="E497" i="3"/>
  <c r="E498" i="3"/>
  <c r="E500" i="3"/>
  <c r="E501" i="3"/>
  <c r="E502" i="3"/>
  <c r="E503" i="3"/>
  <c r="E504" i="3"/>
  <c r="E505" i="3"/>
  <c r="E506" i="3"/>
  <c r="E507" i="3"/>
  <c r="E508" i="3"/>
  <c r="E509" i="3"/>
  <c r="E511" i="3"/>
  <c r="E512" i="3"/>
  <c r="E513" i="3"/>
  <c r="E514" i="3"/>
  <c r="E515" i="3"/>
  <c r="E516" i="3"/>
  <c r="E517" i="3"/>
  <c r="E518" i="3"/>
  <c r="E519" i="3"/>
  <c r="E531" i="3"/>
  <c r="E532" i="3"/>
  <c r="E533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9" i="3"/>
  <c r="E550" i="3"/>
  <c r="E551" i="3"/>
  <c r="E552" i="3"/>
  <c r="E553" i="3"/>
  <c r="E554" i="3"/>
  <c r="E555" i="3"/>
  <c r="E556" i="3"/>
  <c r="E557" i="3"/>
  <c r="E558" i="3"/>
  <c r="E559" i="3"/>
  <c r="E561" i="3"/>
  <c r="E562" i="3"/>
  <c r="E563" i="3"/>
  <c r="E564" i="3"/>
  <c r="E565" i="3"/>
  <c r="E566" i="3"/>
  <c r="E567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L45" i="4" s="1"/>
  <c r="E602" i="3"/>
  <c r="E603" i="3"/>
  <c r="E604" i="3"/>
  <c r="E605" i="3"/>
  <c r="E606" i="3"/>
  <c r="E607" i="3"/>
  <c r="E608" i="3"/>
  <c r="E609" i="3"/>
  <c r="E611" i="3"/>
  <c r="E612" i="3"/>
  <c r="E613" i="3"/>
  <c r="E614" i="3"/>
  <c r="E615" i="3"/>
  <c r="E616" i="3"/>
  <c r="E617" i="3"/>
  <c r="E618" i="3"/>
  <c r="L50" i="4" s="1"/>
  <c r="E621" i="3"/>
  <c r="E622" i="3"/>
  <c r="E625" i="3"/>
  <c r="E626" i="3"/>
  <c r="E627" i="3"/>
  <c r="E628" i="3"/>
  <c r="E629" i="3"/>
  <c r="E630" i="3"/>
  <c r="E632" i="3"/>
  <c r="E633" i="3"/>
  <c r="E634" i="3"/>
  <c r="E635" i="3"/>
  <c r="E636" i="3"/>
  <c r="E637" i="3"/>
  <c r="E638" i="3"/>
  <c r="G19" i="8"/>
  <c r="J19" i="8"/>
  <c r="M19" i="8"/>
  <c r="P19" i="8"/>
  <c r="N140" i="3"/>
  <c r="H140" i="3"/>
  <c r="K140" i="3"/>
  <c r="E19" i="5"/>
  <c r="H19" i="5"/>
  <c r="K19" i="5"/>
  <c r="N19" i="5"/>
  <c r="E18" i="12"/>
  <c r="E19" i="12"/>
  <c r="E20" i="12"/>
  <c r="E21" i="12"/>
  <c r="E22" i="12"/>
  <c r="E23" i="12"/>
  <c r="E24" i="12"/>
  <c r="E25" i="12"/>
  <c r="E26" i="12"/>
  <c r="G171" i="2"/>
  <c r="E171" i="2"/>
  <c r="N172" i="3"/>
  <c r="H172" i="3"/>
  <c r="K172" i="3"/>
  <c r="N37" i="3"/>
  <c r="H37" i="3"/>
  <c r="K37" i="3"/>
  <c r="E18" i="6"/>
  <c r="H18" i="6"/>
  <c r="K18" i="6"/>
  <c r="N18" i="6"/>
  <c r="E11" i="6"/>
  <c r="H11" i="6"/>
  <c r="K11" i="6"/>
  <c r="N11" i="6"/>
  <c r="E639" i="3" l="1"/>
  <c r="E320" i="3"/>
  <c r="E160" i="3"/>
  <c r="N254" i="3"/>
  <c r="H254" i="3"/>
  <c r="K254" i="3"/>
  <c r="E19" i="2"/>
  <c r="G19" i="2"/>
  <c r="F56" i="3" l="1"/>
  <c r="F180" i="3"/>
  <c r="F196" i="3"/>
  <c r="F189" i="3"/>
  <c r="F203" i="3"/>
  <c r="F70" i="3"/>
  <c r="F63" i="3"/>
  <c r="F45" i="3"/>
  <c r="F465" i="3"/>
  <c r="F303" i="3"/>
  <c r="F173" i="3"/>
  <c r="F291" i="3"/>
  <c r="F131" i="3"/>
  <c r="F175" i="3"/>
  <c r="F174" i="3"/>
  <c r="F38" i="3"/>
  <c r="F130" i="3"/>
  <c r="F39" i="3"/>
  <c r="F40" i="3"/>
  <c r="F17" i="3"/>
  <c r="F13" i="3"/>
  <c r="F102" i="3"/>
  <c r="F467" i="3"/>
  <c r="F422" i="3"/>
  <c r="F528" i="3"/>
  <c r="F373" i="3"/>
  <c r="F419" i="3"/>
  <c r="F525" i="3"/>
  <c r="F470" i="3"/>
  <c r="F416" i="3"/>
  <c r="F522" i="3"/>
  <c r="F376" i="3"/>
  <c r="F288" i="3"/>
  <c r="F367" i="3"/>
  <c r="F523" i="3"/>
  <c r="F476" i="3"/>
  <c r="F312" i="3"/>
  <c r="F436" i="3"/>
  <c r="F392" i="3"/>
  <c r="F466" i="3"/>
  <c r="F167" i="3"/>
  <c r="F423" i="3"/>
  <c r="F447" i="3"/>
  <c r="F487" i="3"/>
  <c r="F521" i="3"/>
  <c r="F424" i="3"/>
  <c r="F624" i="3"/>
  <c r="F332" i="3"/>
  <c r="F370" i="3"/>
  <c r="F445" i="3"/>
  <c r="F369" i="3"/>
  <c r="F404" i="3"/>
  <c r="F534" i="3"/>
  <c r="F499" i="3"/>
  <c r="F368" i="3"/>
  <c r="F610" i="3"/>
  <c r="F548" i="3"/>
  <c r="F284" i="3"/>
  <c r="F362" i="3"/>
  <c r="F371" i="3"/>
  <c r="F420" i="3"/>
  <c r="F464" i="3"/>
  <c r="F374" i="3"/>
  <c r="F560" i="3"/>
  <c r="F468" i="3"/>
  <c r="F218" i="3"/>
  <c r="F279" i="3"/>
  <c r="F415" i="3"/>
  <c r="F582" i="3"/>
  <c r="F471" i="3"/>
  <c r="F524" i="3"/>
  <c r="F366" i="3"/>
  <c r="F568" i="3"/>
  <c r="F353" i="3"/>
  <c r="F529" i="3"/>
  <c r="F631" i="3"/>
  <c r="F375" i="3"/>
  <c r="F418" i="3"/>
  <c r="F372" i="3"/>
  <c r="F454" i="3"/>
  <c r="F527" i="3"/>
  <c r="F414" i="3"/>
  <c r="F530" i="3"/>
  <c r="F378" i="3"/>
  <c r="F209" i="3"/>
  <c r="F620" i="3"/>
  <c r="F364" i="3"/>
  <c r="F421" i="3"/>
  <c r="F520" i="3"/>
  <c r="F344" i="3"/>
  <c r="F363" i="3"/>
  <c r="F469" i="3"/>
  <c r="F417" i="3"/>
  <c r="F510" i="3"/>
  <c r="F526" i="3"/>
  <c r="F171" i="3"/>
  <c r="F239" i="3"/>
  <c r="F32" i="3"/>
  <c r="F76" i="3"/>
  <c r="F23" i="3"/>
  <c r="F28" i="3"/>
  <c r="F16" i="3"/>
  <c r="F18" i="3"/>
  <c r="F19" i="3"/>
  <c r="F14" i="3"/>
  <c r="F15" i="3"/>
  <c r="F11" i="3"/>
  <c r="F12" i="3"/>
  <c r="F623" i="3"/>
  <c r="F619" i="3"/>
  <c r="F601" i="3"/>
  <c r="F295" i="3"/>
  <c r="F275" i="3"/>
  <c r="F290" i="3"/>
  <c r="F7" i="3"/>
  <c r="F9" i="3"/>
  <c r="F20" i="3"/>
  <c r="F22" i="3"/>
  <c r="F25" i="3"/>
  <c r="F27" i="3"/>
  <c r="F30" i="3"/>
  <c r="F33" i="3"/>
  <c r="F35" i="3"/>
  <c r="F37" i="3"/>
  <c r="F42" i="3"/>
  <c r="F44" i="3"/>
  <c r="F47" i="3"/>
  <c r="F49" i="3"/>
  <c r="F51" i="3"/>
  <c r="F53" i="3"/>
  <c r="F55" i="3"/>
  <c r="F58" i="3"/>
  <c r="F60" i="3"/>
  <c r="F62" i="3"/>
  <c r="F65" i="3"/>
  <c r="F67" i="3"/>
  <c r="F69" i="3"/>
  <c r="F72" i="3"/>
  <c r="F74" i="3"/>
  <c r="F77" i="3"/>
  <c r="F79" i="3"/>
  <c r="F81" i="3"/>
  <c r="F83" i="3"/>
  <c r="F85" i="3"/>
  <c r="F87" i="3"/>
  <c r="F89" i="3"/>
  <c r="F91" i="3"/>
  <c r="F93" i="3"/>
  <c r="F95" i="3"/>
  <c r="F97" i="3"/>
  <c r="F99" i="3"/>
  <c r="F101" i="3"/>
  <c r="F104" i="3"/>
  <c r="F106" i="3"/>
  <c r="F108" i="3"/>
  <c r="F110" i="3"/>
  <c r="F112" i="3"/>
  <c r="F114" i="3"/>
  <c r="F116" i="3"/>
  <c r="F118" i="3"/>
  <c r="F120" i="3"/>
  <c r="F122" i="3"/>
  <c r="F124" i="3"/>
  <c r="F126" i="3"/>
  <c r="F128" i="3"/>
  <c r="F132" i="3"/>
  <c r="F134" i="3"/>
  <c r="F136" i="3"/>
  <c r="F138" i="3"/>
  <c r="F140" i="3"/>
  <c r="F142" i="3"/>
  <c r="F144" i="3"/>
  <c r="F146" i="3"/>
  <c r="F148" i="3"/>
  <c r="F150" i="3"/>
  <c r="F152" i="3"/>
  <c r="F154" i="3"/>
  <c r="F156" i="3"/>
  <c r="F158" i="3"/>
  <c r="F165" i="3"/>
  <c r="F168" i="3"/>
  <c r="F170" i="3"/>
  <c r="F176" i="3"/>
  <c r="F178" i="3"/>
  <c r="F181" i="3"/>
  <c r="F183" i="3"/>
  <c r="F185" i="3"/>
  <c r="F187" i="3"/>
  <c r="F190" i="3"/>
  <c r="F192" i="3"/>
  <c r="F194" i="3"/>
  <c r="F197" i="3"/>
  <c r="F199" i="3"/>
  <c r="F201" i="3"/>
  <c r="F204" i="3"/>
  <c r="F206" i="3"/>
  <c r="F208" i="3"/>
  <c r="F210" i="3"/>
  <c r="F212" i="3"/>
  <c r="F21" i="3"/>
  <c r="F31" i="3"/>
  <c r="F43" i="3"/>
  <c r="F52" i="3"/>
  <c r="F61" i="3"/>
  <c r="F71" i="3"/>
  <c r="F80" i="3"/>
  <c r="F88" i="3"/>
  <c r="F96" i="3"/>
  <c r="F105" i="3"/>
  <c r="F113" i="3"/>
  <c r="F121" i="3"/>
  <c r="F129" i="3"/>
  <c r="F139" i="3"/>
  <c r="F147" i="3"/>
  <c r="F155" i="3"/>
  <c r="F169" i="3"/>
  <c r="F182" i="3"/>
  <c r="F191" i="3"/>
  <c r="F200" i="3"/>
  <c r="F214" i="3"/>
  <c r="F216" i="3"/>
  <c r="F219" i="3"/>
  <c r="F221" i="3"/>
  <c r="F223" i="3"/>
  <c r="F225" i="3"/>
  <c r="F227" i="3"/>
  <c r="F229" i="3"/>
  <c r="F231" i="3"/>
  <c r="F233" i="3"/>
  <c r="F235" i="3"/>
  <c r="F237" i="3"/>
  <c r="F240" i="3"/>
  <c r="F242" i="3"/>
  <c r="F244" i="3"/>
  <c r="F246" i="3"/>
  <c r="F248" i="3"/>
  <c r="F250" i="3"/>
  <c r="F252" i="3"/>
  <c r="F254" i="3"/>
  <c r="F256" i="3"/>
  <c r="F258" i="3"/>
  <c r="F260" i="3"/>
  <c r="F262" i="3"/>
  <c r="F264" i="3"/>
  <c r="F266" i="3"/>
  <c r="F268" i="3"/>
  <c r="F270" i="3"/>
  <c r="F272" i="3"/>
  <c r="F274" i="3"/>
  <c r="F277" i="3"/>
  <c r="F280" i="3"/>
  <c r="F282" i="3"/>
  <c r="F285" i="3"/>
  <c r="F287" i="3"/>
  <c r="F292" i="3"/>
  <c r="F294" i="3"/>
  <c r="F297" i="3"/>
  <c r="F299" i="3"/>
  <c r="F301" i="3"/>
  <c r="F304" i="3"/>
  <c r="F306" i="3"/>
  <c r="F308" i="3"/>
  <c r="F310" i="3"/>
  <c r="F313" i="3"/>
  <c r="F315" i="3"/>
  <c r="F317" i="3"/>
  <c r="F319" i="3"/>
  <c r="F10" i="3"/>
  <c r="F29" i="3"/>
  <c r="F41" i="3"/>
  <c r="F50" i="3"/>
  <c r="F59" i="3"/>
  <c r="F68" i="3"/>
  <c r="F78" i="3"/>
  <c r="F86" i="3"/>
  <c r="F94" i="3"/>
  <c r="F103" i="3"/>
  <c r="F111" i="3"/>
  <c r="F119" i="3"/>
  <c r="F127" i="3"/>
  <c r="F137" i="3"/>
  <c r="F145" i="3"/>
  <c r="F153" i="3"/>
  <c r="F159" i="3"/>
  <c r="F166" i="3"/>
  <c r="F179" i="3"/>
  <c r="F188" i="3"/>
  <c r="F198" i="3"/>
  <c r="F207" i="3"/>
  <c r="F327" i="3"/>
  <c r="F329" i="3"/>
  <c r="F331" i="3"/>
  <c r="F334" i="3"/>
  <c r="F336" i="3"/>
  <c r="F338" i="3"/>
  <c r="F340" i="3"/>
  <c r="F342" i="3"/>
  <c r="F345" i="3"/>
  <c r="F347" i="3"/>
  <c r="F349" i="3"/>
  <c r="F351" i="3"/>
  <c r="F354" i="3"/>
  <c r="F356" i="3"/>
  <c r="F358" i="3"/>
  <c r="F360" i="3"/>
  <c r="F365" i="3"/>
  <c r="F377" i="3"/>
  <c r="F380" i="3"/>
  <c r="F382" i="3"/>
  <c r="F384" i="3"/>
  <c r="F386" i="3"/>
  <c r="F388" i="3"/>
  <c r="F390" i="3"/>
  <c r="F393" i="3"/>
  <c r="F395" i="3"/>
  <c r="F397" i="3"/>
  <c r="F399" i="3"/>
  <c r="F401" i="3"/>
  <c r="F403" i="3"/>
  <c r="F406" i="3"/>
  <c r="F408" i="3"/>
  <c r="F410" i="3"/>
  <c r="F412" i="3"/>
  <c r="F426" i="3"/>
  <c r="F428" i="3"/>
  <c r="F430" i="3"/>
  <c r="F432" i="3"/>
  <c r="F434" i="3"/>
  <c r="F437" i="3"/>
  <c r="F439" i="3"/>
  <c r="F441" i="3"/>
  <c r="F443" i="3"/>
  <c r="F446" i="3"/>
  <c r="F449" i="3"/>
  <c r="F451" i="3"/>
  <c r="F453" i="3"/>
  <c r="F456" i="3"/>
  <c r="F458" i="3"/>
  <c r="F460" i="3"/>
  <c r="F462" i="3"/>
  <c r="F472" i="3"/>
  <c r="F474" i="3"/>
  <c r="F477" i="3"/>
  <c r="F479" i="3"/>
  <c r="F481" i="3"/>
  <c r="F483" i="3"/>
  <c r="F485" i="3"/>
  <c r="F488" i="3"/>
  <c r="F490" i="3"/>
  <c r="F492" i="3"/>
  <c r="F494" i="3"/>
  <c r="F496" i="3"/>
  <c r="F498" i="3"/>
  <c r="F501" i="3"/>
  <c r="F503" i="3"/>
  <c r="F505" i="3"/>
  <c r="F507" i="3"/>
  <c r="F509" i="3"/>
  <c r="F512" i="3"/>
  <c r="F514" i="3"/>
  <c r="F516" i="3"/>
  <c r="F518" i="3"/>
  <c r="F531" i="3"/>
  <c r="F533" i="3"/>
  <c r="F536" i="3"/>
  <c r="F538" i="3"/>
  <c r="F540" i="3"/>
  <c r="F542" i="3"/>
  <c r="F544" i="3"/>
  <c r="F546" i="3"/>
  <c r="F549" i="3"/>
  <c r="F551" i="3"/>
  <c r="F553" i="3"/>
  <c r="F555" i="3"/>
  <c r="F557" i="3"/>
  <c r="F559" i="3"/>
  <c r="F562" i="3"/>
  <c r="F564" i="3"/>
  <c r="F566" i="3"/>
  <c r="F569" i="3"/>
  <c r="F571" i="3"/>
  <c r="F573" i="3"/>
  <c r="F575" i="3"/>
  <c r="F577" i="3"/>
  <c r="F579" i="3"/>
  <c r="F581" i="3"/>
  <c r="F584" i="3"/>
  <c r="F586" i="3"/>
  <c r="F588" i="3"/>
  <c r="F590" i="3"/>
  <c r="F592" i="3"/>
  <c r="F594" i="3"/>
  <c r="F596" i="3"/>
  <c r="F598" i="3"/>
  <c r="F600" i="3"/>
  <c r="F603" i="3"/>
  <c r="F605" i="3"/>
  <c r="F607" i="3"/>
  <c r="F609" i="3"/>
  <c r="F612" i="3"/>
  <c r="F614" i="3"/>
  <c r="F616" i="3"/>
  <c r="F618" i="3"/>
  <c r="F622" i="3"/>
  <c r="F626" i="3"/>
  <c r="F628" i="3"/>
  <c r="F630" i="3"/>
  <c r="F633" i="3"/>
  <c r="F635" i="3"/>
  <c r="F637" i="3"/>
  <c r="F24" i="3"/>
  <c r="F34" i="3"/>
  <c r="F46" i="3"/>
  <c r="F54" i="3"/>
  <c r="F64" i="3"/>
  <c r="F73" i="3"/>
  <c r="F82" i="3"/>
  <c r="F90" i="3"/>
  <c r="F98" i="3"/>
  <c r="F107" i="3"/>
  <c r="F123" i="3"/>
  <c r="F8" i="3"/>
  <c r="F26" i="3"/>
  <c r="F36" i="3"/>
  <c r="F48" i="3"/>
  <c r="F57" i="3"/>
  <c r="F66" i="3"/>
  <c r="F75" i="3"/>
  <c r="F84" i="3"/>
  <c r="F92" i="3"/>
  <c r="F100" i="3"/>
  <c r="F109" i="3"/>
  <c r="F117" i="3"/>
  <c r="F125" i="3"/>
  <c r="F135" i="3"/>
  <c r="F143" i="3"/>
  <c r="F151" i="3"/>
  <c r="F164" i="3"/>
  <c r="F177" i="3"/>
  <c r="F186" i="3"/>
  <c r="F195" i="3"/>
  <c r="F205" i="3"/>
  <c r="F213" i="3"/>
  <c r="F215" i="3"/>
  <c r="F217" i="3"/>
  <c r="F220" i="3"/>
  <c r="F222" i="3"/>
  <c r="F224" i="3"/>
  <c r="F226" i="3"/>
  <c r="F228" i="3"/>
  <c r="F230" i="3"/>
  <c r="F232" i="3"/>
  <c r="F234" i="3"/>
  <c r="F236" i="3"/>
  <c r="F238" i="3"/>
  <c r="F241" i="3"/>
  <c r="F243" i="3"/>
  <c r="F245" i="3"/>
  <c r="F247" i="3"/>
  <c r="F249" i="3"/>
  <c r="F251" i="3"/>
  <c r="F253" i="3"/>
  <c r="F255" i="3"/>
  <c r="F257" i="3"/>
  <c r="F259" i="3"/>
  <c r="F261" i="3"/>
  <c r="F263" i="3"/>
  <c r="F265" i="3"/>
  <c r="F267" i="3"/>
  <c r="F269" i="3"/>
  <c r="F271" i="3"/>
  <c r="F273" i="3"/>
  <c r="F276" i="3"/>
  <c r="F278" i="3"/>
  <c r="F281" i="3"/>
  <c r="F283" i="3"/>
  <c r="F286" i="3"/>
  <c r="F289" i="3"/>
  <c r="F293" i="3"/>
  <c r="F296" i="3"/>
  <c r="F298" i="3"/>
  <c r="F300" i="3"/>
  <c r="F302" i="3"/>
  <c r="F305" i="3"/>
  <c r="F307" i="3"/>
  <c r="F309" i="3"/>
  <c r="F311" i="3"/>
  <c r="F314" i="3"/>
  <c r="F316" i="3"/>
  <c r="F318" i="3"/>
  <c r="F320" i="3"/>
  <c r="F115" i="3"/>
  <c r="F157" i="3"/>
  <c r="F184" i="3"/>
  <c r="F133" i="3"/>
  <c r="F193" i="3"/>
  <c r="E322" i="3"/>
  <c r="F333" i="3"/>
  <c r="F341" i="3"/>
  <c r="F350" i="3"/>
  <c r="F359" i="3"/>
  <c r="F381" i="3"/>
  <c r="F389" i="3"/>
  <c r="F398" i="3"/>
  <c r="F407" i="3"/>
  <c r="F425" i="3"/>
  <c r="F433" i="3"/>
  <c r="F442" i="3"/>
  <c r="F452" i="3"/>
  <c r="F461" i="3"/>
  <c r="F480" i="3"/>
  <c r="F489" i="3"/>
  <c r="F497" i="3"/>
  <c r="F506" i="3"/>
  <c r="F515" i="3"/>
  <c r="F532" i="3"/>
  <c r="F541" i="3"/>
  <c r="F550" i="3"/>
  <c r="F558" i="3"/>
  <c r="F567" i="3"/>
  <c r="F576" i="3"/>
  <c r="F585" i="3"/>
  <c r="F593" i="3"/>
  <c r="F602" i="3"/>
  <c r="F611" i="3"/>
  <c r="F621" i="3"/>
  <c r="F632" i="3"/>
  <c r="F547" i="3"/>
  <c r="F556" i="3"/>
  <c r="F565" i="3"/>
  <c r="F583" i="3"/>
  <c r="F591" i="3"/>
  <c r="F599" i="3"/>
  <c r="F608" i="3"/>
  <c r="F617" i="3"/>
  <c r="F629" i="3"/>
  <c r="F638" i="3"/>
  <c r="F149" i="3"/>
  <c r="F172" i="3"/>
  <c r="F211" i="3"/>
  <c r="F328" i="3"/>
  <c r="F337" i="3"/>
  <c r="F346" i="3"/>
  <c r="F355" i="3"/>
  <c r="F385" i="3"/>
  <c r="F394" i="3"/>
  <c r="F402" i="3"/>
  <c r="F411" i="3"/>
  <c r="F429" i="3"/>
  <c r="F438" i="3"/>
  <c r="F448" i="3"/>
  <c r="F457" i="3"/>
  <c r="F475" i="3"/>
  <c r="F484" i="3"/>
  <c r="F493" i="3"/>
  <c r="F502" i="3"/>
  <c r="F511" i="3"/>
  <c r="F519" i="3"/>
  <c r="F537" i="3"/>
  <c r="F545" i="3"/>
  <c r="F554" i="3"/>
  <c r="F563" i="3"/>
  <c r="F572" i="3"/>
  <c r="F580" i="3"/>
  <c r="F589" i="3"/>
  <c r="F597" i="3"/>
  <c r="F606" i="3"/>
  <c r="F615" i="3"/>
  <c r="F627" i="3"/>
  <c r="F636" i="3"/>
  <c r="F326" i="3"/>
  <c r="F335" i="3"/>
  <c r="F343" i="3"/>
  <c r="F352" i="3"/>
  <c r="F361" i="3"/>
  <c r="F383" i="3"/>
  <c r="F391" i="3"/>
  <c r="F400" i="3"/>
  <c r="F409" i="3"/>
  <c r="F427" i="3"/>
  <c r="F435" i="3"/>
  <c r="F444" i="3"/>
  <c r="F455" i="3"/>
  <c r="F463" i="3"/>
  <c r="F473" i="3"/>
  <c r="F482" i="3"/>
  <c r="F491" i="3"/>
  <c r="F500" i="3"/>
  <c r="F508" i="3"/>
  <c r="F517" i="3"/>
  <c r="F535" i="3"/>
  <c r="F543" i="3"/>
  <c r="F552" i="3"/>
  <c r="F561" i="3"/>
  <c r="F570" i="3"/>
  <c r="F578" i="3"/>
  <c r="F587" i="3"/>
  <c r="F595" i="3"/>
  <c r="F604" i="3"/>
  <c r="F613" i="3"/>
  <c r="F625" i="3"/>
  <c r="F634" i="3"/>
  <c r="F141" i="3"/>
  <c r="F160" i="3"/>
  <c r="F202" i="3"/>
  <c r="F330" i="3"/>
  <c r="F339" i="3"/>
  <c r="F348" i="3"/>
  <c r="F357" i="3"/>
  <c r="F379" i="3"/>
  <c r="F387" i="3"/>
  <c r="F396" i="3"/>
  <c r="F405" i="3"/>
  <c r="F413" i="3"/>
  <c r="F431" i="3"/>
  <c r="F440" i="3"/>
  <c r="F450" i="3"/>
  <c r="F459" i="3"/>
  <c r="F478" i="3"/>
  <c r="F486" i="3"/>
  <c r="F495" i="3"/>
  <c r="F504" i="3"/>
  <c r="F513" i="3"/>
  <c r="F539" i="3"/>
  <c r="F574" i="3"/>
  <c r="F639" i="3"/>
  <c r="E126" i="15"/>
  <c r="G126" i="15"/>
  <c r="K126" i="15" s="1"/>
  <c r="M126" i="15"/>
  <c r="F322" i="3" l="1"/>
  <c r="E641" i="3"/>
  <c r="F641" i="3" s="1"/>
  <c r="E12" i="2"/>
  <c r="G12" i="2"/>
  <c r="E13" i="2"/>
  <c r="G13" i="2"/>
  <c r="E14" i="2"/>
  <c r="G14" i="2"/>
  <c r="N34" i="6" l="1"/>
  <c r="N35" i="6"/>
  <c r="N36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33" i="6"/>
  <c r="N17" i="6"/>
  <c r="N19" i="6"/>
  <c r="N20" i="6"/>
  <c r="N21" i="6"/>
  <c r="N22" i="6"/>
  <c r="N23" i="6"/>
  <c r="N24" i="6"/>
  <c r="N25" i="6"/>
  <c r="N27" i="6"/>
  <c r="N16" i="6"/>
  <c r="N39" i="9"/>
  <c r="N25" i="9"/>
  <c r="N26" i="9"/>
  <c r="N27" i="9"/>
  <c r="N28" i="9"/>
  <c r="N29" i="9"/>
  <c r="N30" i="9"/>
  <c r="N31" i="9"/>
  <c r="N32" i="9"/>
  <c r="N33" i="9"/>
  <c r="N34" i="9"/>
  <c r="N24" i="9"/>
  <c r="K39" i="9"/>
  <c r="K25" i="9"/>
  <c r="K26" i="9"/>
  <c r="K27" i="9"/>
  <c r="K28" i="9"/>
  <c r="K29" i="9"/>
  <c r="K30" i="9"/>
  <c r="K31" i="9"/>
  <c r="K32" i="9"/>
  <c r="K33" i="9"/>
  <c r="K34" i="9"/>
  <c r="K24" i="9"/>
  <c r="N14" i="9"/>
  <c r="N16" i="9"/>
  <c r="N17" i="9"/>
  <c r="N18" i="9"/>
  <c r="N19" i="9"/>
  <c r="K14" i="9"/>
  <c r="K16" i="9"/>
  <c r="K17" i="9"/>
  <c r="K18" i="9"/>
  <c r="K19" i="9"/>
  <c r="K13" i="9"/>
  <c r="N13" i="9"/>
  <c r="G155" i="2"/>
  <c r="G164" i="2" s="1"/>
  <c r="G175" i="2"/>
  <c r="G168" i="2"/>
  <c r="E175" i="2"/>
  <c r="N29" i="6" l="1"/>
  <c r="K20" i="9"/>
  <c r="N20" i="9"/>
  <c r="N35" i="9"/>
  <c r="A85" i="15"/>
  <c r="A3" i="15"/>
  <c r="N30" i="24" l="1"/>
  <c r="N19" i="25"/>
  <c r="K30" i="24"/>
  <c r="K19" i="25"/>
  <c r="N27" i="24"/>
  <c r="N16" i="25"/>
  <c r="N48" i="24"/>
  <c r="N29" i="25"/>
  <c r="A3" i="4"/>
  <c r="E91" i="2"/>
  <c r="G91" i="2"/>
  <c r="E142" i="2" l="1"/>
  <c r="G142" i="2"/>
  <c r="G172" i="2" l="1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8" i="2"/>
  <c r="G108" i="2"/>
  <c r="G98" i="2"/>
  <c r="G99" i="2"/>
  <c r="G101" i="2"/>
  <c r="G103" i="2"/>
  <c r="G104" i="2"/>
  <c r="G105" i="2"/>
  <c r="G97" i="2"/>
  <c r="G90" i="2"/>
  <c r="G89" i="2"/>
  <c r="G88" i="2"/>
  <c r="G87" i="2"/>
  <c r="G86" i="2"/>
  <c r="G85" i="2"/>
  <c r="G84" i="2"/>
  <c r="G83" i="2"/>
  <c r="G82" i="2"/>
  <c r="G78" i="2"/>
  <c r="G79" i="2"/>
  <c r="G77" i="2"/>
  <c r="G71" i="2"/>
  <c r="G72" i="2"/>
  <c r="G74" i="2"/>
  <c r="G70" i="2"/>
  <c r="G34" i="2"/>
  <c r="G35" i="2"/>
  <c r="G36" i="2"/>
  <c r="G38" i="2"/>
  <c r="G39" i="2"/>
  <c r="G42" i="2"/>
  <c r="G43" i="2"/>
  <c r="G44" i="2"/>
  <c r="G45" i="2"/>
  <c r="G46" i="2"/>
  <c r="G47" i="2"/>
  <c r="G48" i="2"/>
  <c r="G51" i="2"/>
  <c r="G52" i="2"/>
  <c r="G26" i="2"/>
  <c r="G27" i="2"/>
  <c r="G28" i="2"/>
  <c r="G33" i="2"/>
  <c r="G25" i="2"/>
  <c r="G18" i="2"/>
  <c r="G20" i="2"/>
  <c r="G21" i="2"/>
  <c r="G22" i="2"/>
  <c r="G17" i="2"/>
  <c r="G11" i="2"/>
  <c r="G10" i="2"/>
  <c r="G6" i="2"/>
  <c r="G5" i="2"/>
  <c r="G94" i="2" l="1"/>
  <c r="G57" i="2"/>
  <c r="G149" i="2"/>
  <c r="G80" i="2"/>
  <c r="N13" i="5"/>
  <c r="N14" i="5"/>
  <c r="N15" i="5"/>
  <c r="N16" i="5"/>
  <c r="N18" i="5"/>
  <c r="N20" i="5"/>
  <c r="N21" i="5"/>
  <c r="N22" i="5"/>
  <c r="N12" i="5"/>
  <c r="K13" i="5"/>
  <c r="K14" i="5"/>
  <c r="K15" i="5"/>
  <c r="K16" i="5"/>
  <c r="K18" i="5"/>
  <c r="K20" i="5"/>
  <c r="K21" i="5"/>
  <c r="K22" i="5"/>
  <c r="K12" i="5"/>
  <c r="H13" i="5"/>
  <c r="H14" i="5"/>
  <c r="H15" i="5"/>
  <c r="H16" i="5"/>
  <c r="H18" i="5"/>
  <c r="H20" i="5"/>
  <c r="H21" i="5"/>
  <c r="H22" i="5"/>
  <c r="H12" i="5"/>
  <c r="E13" i="5"/>
  <c r="E14" i="5"/>
  <c r="E15" i="5"/>
  <c r="E16" i="5"/>
  <c r="E18" i="5"/>
  <c r="E20" i="5"/>
  <c r="E21" i="5"/>
  <c r="E22" i="5"/>
  <c r="E12" i="5"/>
  <c r="E8" i="5"/>
  <c r="E9" i="5"/>
  <c r="E13" i="7"/>
  <c r="H13" i="7"/>
  <c r="K13" i="7"/>
  <c r="N13" i="7"/>
  <c r="E15" i="7"/>
  <c r="H15" i="7"/>
  <c r="K15" i="7"/>
  <c r="N15" i="7"/>
  <c r="E16" i="7"/>
  <c r="H16" i="7"/>
  <c r="K16" i="7"/>
  <c r="N16" i="7"/>
  <c r="E17" i="7"/>
  <c r="H17" i="7"/>
  <c r="K17" i="7"/>
  <c r="N17" i="7"/>
  <c r="E19" i="7"/>
  <c r="H19" i="7"/>
  <c r="K19" i="7"/>
  <c r="N19" i="7"/>
  <c r="E20" i="7"/>
  <c r="H20" i="7"/>
  <c r="K20" i="7"/>
  <c r="N20" i="7"/>
  <c r="E21" i="7"/>
  <c r="H21" i="7"/>
  <c r="K21" i="7"/>
  <c r="N21" i="7"/>
  <c r="E23" i="7"/>
  <c r="H23" i="7"/>
  <c r="K23" i="7"/>
  <c r="N23" i="7"/>
  <c r="E23" i="5" l="1"/>
  <c r="K23" i="5"/>
  <c r="N23" i="5"/>
  <c r="H23" i="5"/>
  <c r="N315" i="3"/>
  <c r="A66" i="2"/>
  <c r="H26" i="24" l="1"/>
  <c r="N26" i="24"/>
  <c r="K26" i="24"/>
  <c r="E26" i="24"/>
  <c r="H8" i="3"/>
  <c r="E141" i="2" l="1"/>
  <c r="E70" i="2" l="1"/>
  <c r="S754" i="1"/>
  <c r="T754" i="1"/>
  <c r="O3" i="1" l="1"/>
  <c r="X4" i="1"/>
  <c r="X3" i="1"/>
  <c r="M7" i="15"/>
  <c r="G86" i="15"/>
  <c r="K86" i="15" s="1"/>
  <c r="I7" i="15"/>
  <c r="E86" i="15"/>
  <c r="K7" i="15" l="1"/>
  <c r="E122" i="15"/>
  <c r="E132" i="15" s="1"/>
  <c r="M86" i="15"/>
  <c r="M131" i="15"/>
  <c r="M122" i="15" l="1"/>
  <c r="M132" i="15" s="1"/>
  <c r="G122" i="15"/>
  <c r="I122" i="15" l="1"/>
  <c r="I132" i="15" s="1"/>
  <c r="K122" i="15"/>
  <c r="E139" i="2"/>
  <c r="E140" i="2"/>
  <c r="E79" i="2" l="1"/>
  <c r="H9" i="5" l="1"/>
  <c r="K9" i="5"/>
  <c r="N9" i="5"/>
  <c r="N122" i="3"/>
  <c r="H122" i="3"/>
  <c r="K122" i="3"/>
  <c r="A3" i="7" l="1"/>
  <c r="A3" i="6"/>
  <c r="A3" i="3"/>
  <c r="N25" i="10"/>
  <c r="K25" i="10"/>
  <c r="H25" i="10"/>
  <c r="E25" i="10"/>
  <c r="E24" i="10"/>
  <c r="H24" i="10"/>
  <c r="K24" i="10"/>
  <c r="N24" i="10"/>
  <c r="A3" i="14" l="1"/>
  <c r="G33" i="8" l="1"/>
  <c r="J33" i="8"/>
  <c r="M33" i="8"/>
  <c r="P33" i="8"/>
  <c r="G34" i="8"/>
  <c r="J34" i="8"/>
  <c r="M34" i="8"/>
  <c r="P34" i="8"/>
  <c r="G35" i="8"/>
  <c r="J35" i="8"/>
  <c r="M35" i="8"/>
  <c r="P35" i="8"/>
  <c r="E52" i="7"/>
  <c r="H52" i="7"/>
  <c r="K52" i="7"/>
  <c r="N52" i="7"/>
  <c r="E47" i="7"/>
  <c r="H47" i="7"/>
  <c r="K47" i="7"/>
  <c r="N47" i="7"/>
  <c r="E48" i="7"/>
  <c r="H48" i="7"/>
  <c r="K48" i="7"/>
  <c r="N48" i="7"/>
  <c r="E50" i="7"/>
  <c r="H50" i="7"/>
  <c r="K50" i="7"/>
  <c r="N50" i="7"/>
  <c r="E43" i="7"/>
  <c r="H43" i="7"/>
  <c r="K43" i="7"/>
  <c r="N43" i="7"/>
  <c r="E44" i="7"/>
  <c r="H44" i="7"/>
  <c r="K44" i="7"/>
  <c r="N44" i="7"/>
  <c r="E46" i="7"/>
  <c r="H46" i="7"/>
  <c r="K46" i="7"/>
  <c r="N46" i="7"/>
  <c r="E42" i="7"/>
  <c r="H42" i="7"/>
  <c r="K42" i="7"/>
  <c r="N42" i="7"/>
  <c r="E40" i="7"/>
  <c r="H40" i="7"/>
  <c r="K40" i="7"/>
  <c r="N40" i="7"/>
  <c r="H17" i="12"/>
  <c r="H18" i="12"/>
  <c r="H19" i="12"/>
  <c r="H20" i="12"/>
  <c r="H21" i="12"/>
  <c r="H22" i="12"/>
  <c r="H23" i="12"/>
  <c r="H24" i="12"/>
  <c r="H25" i="12"/>
  <c r="H33" i="12"/>
  <c r="H34" i="12"/>
  <c r="H26" i="12"/>
  <c r="H5" i="14"/>
  <c r="E5" i="14"/>
  <c r="N51" i="11"/>
  <c r="K51" i="11"/>
  <c r="H51" i="11"/>
  <c r="E51" i="11"/>
  <c r="E17" i="11"/>
  <c r="H17" i="11"/>
  <c r="K17" i="11"/>
  <c r="N17" i="11"/>
  <c r="E18" i="11"/>
  <c r="H18" i="11"/>
  <c r="K18" i="11"/>
  <c r="N18" i="11"/>
  <c r="E19" i="11"/>
  <c r="H19" i="11"/>
  <c r="K19" i="11"/>
  <c r="N19" i="11"/>
  <c r="E20" i="11"/>
  <c r="H20" i="11"/>
  <c r="K20" i="11"/>
  <c r="N20" i="11"/>
  <c r="E21" i="11"/>
  <c r="H21" i="11"/>
  <c r="K21" i="11"/>
  <c r="N21" i="11"/>
  <c r="E22" i="11"/>
  <c r="H22" i="11"/>
  <c r="K22" i="11"/>
  <c r="N22" i="11"/>
  <c r="E23" i="11"/>
  <c r="H23" i="11"/>
  <c r="K23" i="11"/>
  <c r="N23" i="11"/>
  <c r="E24" i="11"/>
  <c r="H24" i="11"/>
  <c r="K24" i="11"/>
  <c r="N24" i="11"/>
  <c r="E25" i="11"/>
  <c r="H25" i="11"/>
  <c r="K25" i="11"/>
  <c r="N25" i="11"/>
  <c r="E26" i="11"/>
  <c r="H26" i="11"/>
  <c r="K26" i="11"/>
  <c r="N26" i="11"/>
  <c r="E27" i="11"/>
  <c r="H27" i="11"/>
  <c r="K27" i="11"/>
  <c r="N27" i="11"/>
  <c r="E28" i="11"/>
  <c r="H28" i="11"/>
  <c r="K28" i="11"/>
  <c r="N28" i="11"/>
  <c r="E29" i="11"/>
  <c r="H29" i="11"/>
  <c r="K29" i="11"/>
  <c r="N29" i="11"/>
  <c r="E30" i="11"/>
  <c r="H30" i="11"/>
  <c r="K30" i="11"/>
  <c r="N30" i="11"/>
  <c r="E31" i="11"/>
  <c r="H31" i="11"/>
  <c r="K31" i="11"/>
  <c r="N31" i="11"/>
  <c r="E32" i="11"/>
  <c r="H32" i="11"/>
  <c r="K32" i="11"/>
  <c r="N32" i="11"/>
  <c r="E33" i="11"/>
  <c r="H33" i="11"/>
  <c r="K33" i="11"/>
  <c r="N33" i="11"/>
  <c r="E34" i="11"/>
  <c r="H34" i="11"/>
  <c r="K34" i="11"/>
  <c r="N34" i="11"/>
  <c r="E35" i="11"/>
  <c r="H35" i="11"/>
  <c r="K35" i="11"/>
  <c r="N35" i="11"/>
  <c r="E36" i="11"/>
  <c r="H36" i="11"/>
  <c r="K36" i="11"/>
  <c r="N36" i="11"/>
  <c r="E37" i="11"/>
  <c r="H37" i="11"/>
  <c r="K37" i="11"/>
  <c r="N37" i="11"/>
  <c r="E38" i="11"/>
  <c r="H38" i="11"/>
  <c r="K38" i="11"/>
  <c r="N38" i="11"/>
  <c r="E39" i="11"/>
  <c r="H39" i="11"/>
  <c r="K39" i="11"/>
  <c r="N39" i="11"/>
  <c r="E40" i="11"/>
  <c r="H40" i="11"/>
  <c r="K40" i="11"/>
  <c r="N40" i="11"/>
  <c r="E41" i="11"/>
  <c r="H41" i="11"/>
  <c r="K41" i="11"/>
  <c r="N41" i="11"/>
  <c r="E42" i="11"/>
  <c r="H42" i="11"/>
  <c r="K42" i="11"/>
  <c r="N42" i="11"/>
  <c r="E43" i="11"/>
  <c r="H43" i="11"/>
  <c r="K43" i="11"/>
  <c r="N43" i="11"/>
  <c r="E44" i="11"/>
  <c r="H44" i="11"/>
  <c r="K44" i="11"/>
  <c r="N44" i="11"/>
  <c r="N16" i="11"/>
  <c r="K16" i="11"/>
  <c r="H16" i="11"/>
  <c r="E16" i="11"/>
  <c r="E9" i="11"/>
  <c r="H9" i="11"/>
  <c r="K9" i="11"/>
  <c r="N9" i="11"/>
  <c r="E10" i="11"/>
  <c r="H10" i="11"/>
  <c r="K10" i="11"/>
  <c r="N10" i="11"/>
  <c r="E11" i="11"/>
  <c r="H11" i="11"/>
  <c r="K11" i="11"/>
  <c r="N11" i="11"/>
  <c r="N7" i="11"/>
  <c r="K7" i="11"/>
  <c r="H7" i="11"/>
  <c r="E7" i="11"/>
  <c r="A3" i="11"/>
  <c r="A3" i="10"/>
  <c r="N48" i="10"/>
  <c r="K48" i="10"/>
  <c r="H48" i="10"/>
  <c r="E48" i="10"/>
  <c r="E32" i="10"/>
  <c r="H32" i="10"/>
  <c r="K32" i="10"/>
  <c r="N32" i="10"/>
  <c r="E33" i="10"/>
  <c r="H33" i="10"/>
  <c r="K33" i="10"/>
  <c r="N33" i="10"/>
  <c r="E35" i="10"/>
  <c r="H35" i="10"/>
  <c r="K35" i="10"/>
  <c r="N35" i="10"/>
  <c r="E36" i="10"/>
  <c r="H36" i="10"/>
  <c r="K36" i="10"/>
  <c r="N36" i="10"/>
  <c r="E37" i="10"/>
  <c r="H37" i="10"/>
  <c r="K37" i="10"/>
  <c r="N37" i="10"/>
  <c r="E38" i="10"/>
  <c r="H38" i="10"/>
  <c r="K38" i="10"/>
  <c r="N38" i="10"/>
  <c r="E39" i="10"/>
  <c r="H39" i="10"/>
  <c r="K39" i="10"/>
  <c r="N39" i="10"/>
  <c r="E41" i="10"/>
  <c r="H41" i="10"/>
  <c r="K41" i="10"/>
  <c r="N41" i="10"/>
  <c r="E42" i="10"/>
  <c r="H42" i="10"/>
  <c r="K42" i="10"/>
  <c r="N42" i="10"/>
  <c r="E43" i="10"/>
  <c r="H43" i="10"/>
  <c r="K43" i="10"/>
  <c r="N43" i="10"/>
  <c r="E44" i="10"/>
  <c r="H44" i="10"/>
  <c r="K44" i="10"/>
  <c r="N44" i="10"/>
  <c r="N31" i="10"/>
  <c r="K31" i="10"/>
  <c r="H31" i="10"/>
  <c r="E31" i="10"/>
  <c r="E17" i="10"/>
  <c r="H17" i="10"/>
  <c r="K17" i="10"/>
  <c r="N17" i="10"/>
  <c r="E18" i="10"/>
  <c r="H18" i="10"/>
  <c r="K18" i="10"/>
  <c r="N18" i="10"/>
  <c r="E19" i="10"/>
  <c r="H19" i="10"/>
  <c r="K19" i="10"/>
  <c r="N19" i="10"/>
  <c r="E20" i="10"/>
  <c r="H20" i="10"/>
  <c r="K20" i="10"/>
  <c r="N20" i="10"/>
  <c r="E21" i="10"/>
  <c r="H21" i="10"/>
  <c r="K21" i="10"/>
  <c r="N21" i="10"/>
  <c r="E22" i="10"/>
  <c r="H22" i="10"/>
  <c r="K22" i="10"/>
  <c r="N22" i="10"/>
  <c r="E23" i="10"/>
  <c r="H23" i="10"/>
  <c r="K23" i="10"/>
  <c r="N23" i="10"/>
  <c r="N16" i="10"/>
  <c r="H16" i="10"/>
  <c r="K16" i="10"/>
  <c r="E16" i="10"/>
  <c r="E8" i="10"/>
  <c r="H8" i="10"/>
  <c r="K8" i="10"/>
  <c r="N8" i="10"/>
  <c r="E9" i="10"/>
  <c r="H9" i="10"/>
  <c r="K9" i="10"/>
  <c r="N9" i="10"/>
  <c r="E10" i="10"/>
  <c r="H10" i="10"/>
  <c r="K10" i="10"/>
  <c r="N10" i="10"/>
  <c r="E11" i="10"/>
  <c r="H11" i="10"/>
  <c r="K11" i="10"/>
  <c r="N11" i="10"/>
  <c r="E13" i="10"/>
  <c r="H13" i="10"/>
  <c r="K13" i="10"/>
  <c r="N13" i="10"/>
  <c r="N7" i="10"/>
  <c r="K7" i="10"/>
  <c r="H7" i="10"/>
  <c r="E7" i="10"/>
  <c r="H39" i="9"/>
  <c r="E39" i="9"/>
  <c r="E25" i="9"/>
  <c r="H25" i="9"/>
  <c r="E26" i="9"/>
  <c r="H26" i="9"/>
  <c r="E27" i="9"/>
  <c r="H27" i="9"/>
  <c r="E28" i="9"/>
  <c r="H28" i="9"/>
  <c r="E29" i="9"/>
  <c r="H29" i="9"/>
  <c r="E30" i="9"/>
  <c r="H30" i="9"/>
  <c r="E31" i="9"/>
  <c r="H31" i="9"/>
  <c r="E32" i="9"/>
  <c r="H32" i="9"/>
  <c r="E33" i="9"/>
  <c r="H33" i="9"/>
  <c r="E34" i="9"/>
  <c r="H34" i="9"/>
  <c r="H24" i="9"/>
  <c r="E24" i="9"/>
  <c r="E16" i="9"/>
  <c r="H16" i="9"/>
  <c r="E13" i="9"/>
  <c r="H13" i="9"/>
  <c r="E18" i="9"/>
  <c r="H18" i="9"/>
  <c r="E19" i="9"/>
  <c r="H19" i="9"/>
  <c r="E17" i="9"/>
  <c r="H17" i="9"/>
  <c r="H14" i="9"/>
  <c r="E14" i="9"/>
  <c r="E9" i="9"/>
  <c r="H9" i="9"/>
  <c r="K9" i="9"/>
  <c r="N9" i="9"/>
  <c r="E10" i="9"/>
  <c r="H10" i="9"/>
  <c r="K10" i="9"/>
  <c r="N10" i="9"/>
  <c r="N8" i="9"/>
  <c r="K8" i="9"/>
  <c r="H8" i="9"/>
  <c r="E8" i="9"/>
  <c r="A3" i="8"/>
  <c r="A3" i="9"/>
  <c r="P80" i="8"/>
  <c r="M80" i="8"/>
  <c r="J80" i="8"/>
  <c r="G80" i="8"/>
  <c r="E35" i="7"/>
  <c r="H35" i="7"/>
  <c r="K35" i="7"/>
  <c r="N35" i="7"/>
  <c r="E36" i="7"/>
  <c r="H36" i="7"/>
  <c r="K36" i="7"/>
  <c r="N36" i="7"/>
  <c r="E38" i="7"/>
  <c r="H38" i="7"/>
  <c r="K38" i="7"/>
  <c r="N38" i="7"/>
  <c r="E39" i="7"/>
  <c r="H39" i="7"/>
  <c r="K39" i="7"/>
  <c r="N39" i="7"/>
  <c r="E51" i="7"/>
  <c r="H51" i="7"/>
  <c r="K51" i="7"/>
  <c r="N51" i="7"/>
  <c r="E53" i="7"/>
  <c r="H53" i="7"/>
  <c r="K53" i="7"/>
  <c r="N53" i="7"/>
  <c r="E60" i="7"/>
  <c r="H60" i="7"/>
  <c r="K60" i="7"/>
  <c r="N60" i="7"/>
  <c r="E61" i="7"/>
  <c r="H61" i="7"/>
  <c r="K61" i="7"/>
  <c r="N61" i="7"/>
  <c r="E62" i="7"/>
  <c r="H62" i="7"/>
  <c r="K62" i="7"/>
  <c r="N62" i="7"/>
  <c r="E63" i="7"/>
  <c r="H63" i="7"/>
  <c r="K63" i="7"/>
  <c r="N63" i="7"/>
  <c r="E64" i="7"/>
  <c r="H64" i="7"/>
  <c r="K64" i="7"/>
  <c r="N64" i="7"/>
  <c r="E65" i="7"/>
  <c r="H65" i="7"/>
  <c r="K65" i="7"/>
  <c r="N65" i="7"/>
  <c r="E66" i="7"/>
  <c r="H66" i="7"/>
  <c r="K66" i="7"/>
  <c r="N66" i="7"/>
  <c r="E67" i="7"/>
  <c r="H67" i="7"/>
  <c r="K67" i="7"/>
  <c r="N67" i="7"/>
  <c r="E68" i="7"/>
  <c r="H68" i="7"/>
  <c r="K68" i="7"/>
  <c r="N68" i="7"/>
  <c r="E69" i="7"/>
  <c r="H69" i="7"/>
  <c r="K69" i="7"/>
  <c r="N69" i="7"/>
  <c r="E70" i="7"/>
  <c r="H70" i="7"/>
  <c r="K70" i="7"/>
  <c r="N70" i="7"/>
  <c r="E71" i="7"/>
  <c r="H71" i="7"/>
  <c r="K71" i="7"/>
  <c r="N71" i="7"/>
  <c r="E72" i="7"/>
  <c r="H72" i="7"/>
  <c r="K72" i="7"/>
  <c r="N72" i="7"/>
  <c r="E73" i="7"/>
  <c r="H73" i="7"/>
  <c r="K73" i="7"/>
  <c r="N73" i="7"/>
  <c r="E74" i="7"/>
  <c r="H74" i="7"/>
  <c r="K74" i="7"/>
  <c r="N74" i="7"/>
  <c r="E75" i="7"/>
  <c r="H75" i="7"/>
  <c r="K75" i="7"/>
  <c r="N75" i="7"/>
  <c r="E76" i="7"/>
  <c r="H76" i="7"/>
  <c r="K76" i="7"/>
  <c r="N76" i="7"/>
  <c r="E77" i="7"/>
  <c r="H77" i="7"/>
  <c r="K77" i="7"/>
  <c r="N77" i="7"/>
  <c r="E78" i="7"/>
  <c r="H78" i="7"/>
  <c r="K78" i="7"/>
  <c r="N78" i="7"/>
  <c r="E79" i="7"/>
  <c r="H79" i="7"/>
  <c r="K79" i="7"/>
  <c r="N79" i="7"/>
  <c r="E8" i="7"/>
  <c r="H8" i="7"/>
  <c r="K8" i="7"/>
  <c r="N8" i="7"/>
  <c r="E9" i="7"/>
  <c r="H9" i="7"/>
  <c r="K9" i="7"/>
  <c r="N9" i="7"/>
  <c r="E10" i="7"/>
  <c r="H10" i="7"/>
  <c r="K10" i="7"/>
  <c r="N10" i="7"/>
  <c r="E12" i="7"/>
  <c r="H12" i="7"/>
  <c r="K12" i="7"/>
  <c r="N12" i="7"/>
  <c r="E24" i="7"/>
  <c r="H24" i="7"/>
  <c r="K24" i="7"/>
  <c r="N24" i="7"/>
  <c r="E25" i="7"/>
  <c r="H25" i="7"/>
  <c r="K25" i="7"/>
  <c r="N25" i="7"/>
  <c r="E26" i="7"/>
  <c r="H26" i="7"/>
  <c r="K26" i="7"/>
  <c r="N26" i="7"/>
  <c r="E27" i="7"/>
  <c r="K27" i="7"/>
  <c r="N27" i="7"/>
  <c r="E28" i="7"/>
  <c r="H28" i="7"/>
  <c r="K28" i="7"/>
  <c r="N28" i="7"/>
  <c r="E29" i="7"/>
  <c r="H29" i="7"/>
  <c r="K29" i="7"/>
  <c r="N29" i="7"/>
  <c r="E30" i="7"/>
  <c r="H30" i="7"/>
  <c r="K30" i="7"/>
  <c r="N30" i="7"/>
  <c r="E31" i="7"/>
  <c r="H31" i="7"/>
  <c r="K31" i="7"/>
  <c r="N31" i="7"/>
  <c r="G53" i="8"/>
  <c r="J53" i="8"/>
  <c r="M53" i="8"/>
  <c r="P53" i="8"/>
  <c r="G54" i="8"/>
  <c r="J54" i="8"/>
  <c r="M54" i="8"/>
  <c r="P54" i="8"/>
  <c r="G55" i="8"/>
  <c r="J55" i="8"/>
  <c r="M55" i="8"/>
  <c r="P55" i="8"/>
  <c r="G56" i="8"/>
  <c r="J56" i="8"/>
  <c r="M56" i="8"/>
  <c r="P56" i="8"/>
  <c r="G57" i="8"/>
  <c r="J57" i="8"/>
  <c r="M57" i="8"/>
  <c r="P57" i="8"/>
  <c r="G58" i="8"/>
  <c r="J58" i="8"/>
  <c r="M58" i="8"/>
  <c r="P58" i="8"/>
  <c r="G59" i="8"/>
  <c r="J59" i="8"/>
  <c r="M59" i="8"/>
  <c r="P59" i="8"/>
  <c r="G60" i="8"/>
  <c r="J60" i="8"/>
  <c r="M60" i="8"/>
  <c r="P60" i="8"/>
  <c r="G61" i="8"/>
  <c r="J61" i="8"/>
  <c r="M61" i="8"/>
  <c r="P61" i="8"/>
  <c r="G62" i="8"/>
  <c r="J62" i="8"/>
  <c r="M62" i="8"/>
  <c r="P62" i="8"/>
  <c r="G63" i="8"/>
  <c r="J63" i="8"/>
  <c r="M63" i="8"/>
  <c r="P63" i="8"/>
  <c r="G64" i="8"/>
  <c r="J64" i="8"/>
  <c r="M64" i="8"/>
  <c r="P64" i="8"/>
  <c r="G65" i="8"/>
  <c r="J65" i="8"/>
  <c r="M65" i="8"/>
  <c r="P65" i="8"/>
  <c r="G66" i="8"/>
  <c r="J66" i="8"/>
  <c r="M66" i="8"/>
  <c r="P66" i="8"/>
  <c r="G67" i="8"/>
  <c r="J67" i="8"/>
  <c r="M67" i="8"/>
  <c r="P67" i="8"/>
  <c r="G68" i="8"/>
  <c r="J68" i="8"/>
  <c r="M68" i="8"/>
  <c r="P68" i="8"/>
  <c r="G69" i="8"/>
  <c r="J69" i="8"/>
  <c r="M69" i="8"/>
  <c r="P69" i="8"/>
  <c r="G70" i="8"/>
  <c r="J70" i="8"/>
  <c r="M70" i="8"/>
  <c r="P70" i="8"/>
  <c r="G71" i="8"/>
  <c r="J71" i="8"/>
  <c r="M71" i="8"/>
  <c r="P71" i="8"/>
  <c r="G72" i="8"/>
  <c r="J72" i="8"/>
  <c r="M72" i="8"/>
  <c r="P72" i="8"/>
  <c r="G73" i="8"/>
  <c r="J73" i="8"/>
  <c r="M73" i="8"/>
  <c r="P73" i="8"/>
  <c r="G74" i="8"/>
  <c r="J74" i="8"/>
  <c r="M74" i="8"/>
  <c r="P74" i="8"/>
  <c r="G75" i="8"/>
  <c r="J75" i="8"/>
  <c r="M75" i="8"/>
  <c r="P75" i="8"/>
  <c r="G47" i="8"/>
  <c r="J47" i="8"/>
  <c r="M47" i="8"/>
  <c r="P47" i="8"/>
  <c r="G31" i="8"/>
  <c r="J31" i="8"/>
  <c r="M31" i="8"/>
  <c r="P31" i="8"/>
  <c r="G40" i="8"/>
  <c r="J40" i="8"/>
  <c r="M40" i="8"/>
  <c r="P40" i="8"/>
  <c r="G32" i="8"/>
  <c r="J32" i="8"/>
  <c r="M32" i="8"/>
  <c r="P32" i="8"/>
  <c r="G37" i="8"/>
  <c r="J37" i="8"/>
  <c r="M37" i="8"/>
  <c r="P37" i="8"/>
  <c r="G36" i="8"/>
  <c r="J36" i="8"/>
  <c r="M36" i="8"/>
  <c r="P36" i="8"/>
  <c r="G43" i="8"/>
  <c r="J43" i="8"/>
  <c r="M43" i="8"/>
  <c r="P43" i="8"/>
  <c r="G38" i="8"/>
  <c r="J38" i="8"/>
  <c r="M38" i="8"/>
  <c r="P38" i="8"/>
  <c r="G41" i="8"/>
  <c r="J41" i="8"/>
  <c r="M41" i="8"/>
  <c r="P41" i="8"/>
  <c r="G42" i="8"/>
  <c r="J42" i="8"/>
  <c r="M42" i="8"/>
  <c r="P42" i="8"/>
  <c r="G44" i="8"/>
  <c r="J44" i="8"/>
  <c r="M44" i="8"/>
  <c r="P44" i="8"/>
  <c r="G45" i="8"/>
  <c r="J45" i="8"/>
  <c r="M45" i="8"/>
  <c r="P45" i="8"/>
  <c r="G8" i="8"/>
  <c r="J8" i="8"/>
  <c r="M8" i="8"/>
  <c r="P8" i="8"/>
  <c r="G9" i="8"/>
  <c r="J9" i="8"/>
  <c r="M9" i="8"/>
  <c r="P9" i="8"/>
  <c r="G10" i="8"/>
  <c r="J10" i="8"/>
  <c r="M10" i="8"/>
  <c r="P10" i="8"/>
  <c r="G11" i="8"/>
  <c r="J11" i="8"/>
  <c r="M11" i="8"/>
  <c r="P11" i="8"/>
  <c r="G12" i="8"/>
  <c r="J12" i="8"/>
  <c r="M12" i="8"/>
  <c r="P12" i="8"/>
  <c r="G13" i="8"/>
  <c r="J13" i="8"/>
  <c r="M13" i="8"/>
  <c r="P13" i="8"/>
  <c r="G14" i="8"/>
  <c r="J14" i="8"/>
  <c r="M14" i="8"/>
  <c r="P14" i="8"/>
  <c r="G15" i="8"/>
  <c r="J15" i="8"/>
  <c r="M15" i="8"/>
  <c r="P15" i="8"/>
  <c r="G16" i="8"/>
  <c r="J16" i="8"/>
  <c r="M16" i="8"/>
  <c r="P16" i="8"/>
  <c r="G17" i="8"/>
  <c r="J17" i="8"/>
  <c r="M17" i="8"/>
  <c r="P17" i="8"/>
  <c r="G18" i="8"/>
  <c r="J18" i="8"/>
  <c r="M18" i="8"/>
  <c r="P18" i="8"/>
  <c r="G20" i="8"/>
  <c r="J20" i="8"/>
  <c r="M20" i="8"/>
  <c r="P20" i="8"/>
  <c r="G21" i="8"/>
  <c r="J21" i="8"/>
  <c r="M21" i="8"/>
  <c r="P21" i="8"/>
  <c r="G22" i="8"/>
  <c r="J22" i="8"/>
  <c r="M22" i="8"/>
  <c r="P22" i="8"/>
  <c r="G23" i="8"/>
  <c r="J23" i="8"/>
  <c r="M23" i="8"/>
  <c r="P23" i="8"/>
  <c r="G24" i="8"/>
  <c r="J24" i="8"/>
  <c r="M24" i="8"/>
  <c r="P24" i="8"/>
  <c r="G25" i="8"/>
  <c r="J25" i="8"/>
  <c r="M25" i="8"/>
  <c r="P25" i="8"/>
  <c r="G26" i="8"/>
  <c r="J26" i="8"/>
  <c r="M26" i="8"/>
  <c r="P26" i="8"/>
  <c r="G27" i="8"/>
  <c r="J27" i="8"/>
  <c r="M27" i="8"/>
  <c r="P27" i="8"/>
  <c r="G28" i="8"/>
  <c r="J28" i="8"/>
  <c r="M28" i="8"/>
  <c r="P28" i="8"/>
  <c r="G52" i="8"/>
  <c r="J52" i="8"/>
  <c r="M52" i="8"/>
  <c r="P52" i="8"/>
  <c r="G39" i="8"/>
  <c r="J39" i="8"/>
  <c r="M39" i="8"/>
  <c r="P39" i="8"/>
  <c r="P7" i="8"/>
  <c r="M7" i="8"/>
  <c r="J7" i="8"/>
  <c r="G7" i="8"/>
  <c r="N85" i="7"/>
  <c r="K85" i="7"/>
  <c r="H85" i="7"/>
  <c r="E85" i="7"/>
  <c r="N59" i="7"/>
  <c r="K59" i="7"/>
  <c r="H59" i="7"/>
  <c r="E59" i="7"/>
  <c r="E54" i="7"/>
  <c r="H54" i="7"/>
  <c r="K54" i="7"/>
  <c r="N54" i="7"/>
  <c r="N34" i="7"/>
  <c r="K34" i="7"/>
  <c r="H34" i="7"/>
  <c r="E34" i="7"/>
  <c r="N7" i="7"/>
  <c r="K7" i="7"/>
  <c r="H7" i="7"/>
  <c r="E7" i="7"/>
  <c r="N59" i="6"/>
  <c r="K59" i="6"/>
  <c r="H59" i="6"/>
  <c r="E59" i="6"/>
  <c r="E34" i="6"/>
  <c r="H34" i="6"/>
  <c r="K34" i="6"/>
  <c r="E35" i="6"/>
  <c r="H35" i="6"/>
  <c r="K35" i="6"/>
  <c r="E36" i="6"/>
  <c r="H36" i="6"/>
  <c r="K36" i="6"/>
  <c r="E39" i="6"/>
  <c r="H39" i="6"/>
  <c r="K39" i="6"/>
  <c r="E40" i="6"/>
  <c r="H40" i="6"/>
  <c r="K40" i="6"/>
  <c r="E41" i="6"/>
  <c r="H41" i="6"/>
  <c r="K41" i="6"/>
  <c r="E42" i="6"/>
  <c r="H42" i="6"/>
  <c r="K42" i="6"/>
  <c r="E43" i="6"/>
  <c r="H43" i="6"/>
  <c r="K43" i="6"/>
  <c r="E44" i="6"/>
  <c r="H44" i="6"/>
  <c r="K44" i="6"/>
  <c r="E45" i="6"/>
  <c r="H45" i="6"/>
  <c r="K45" i="6"/>
  <c r="E46" i="6"/>
  <c r="H46" i="6"/>
  <c r="K46" i="6"/>
  <c r="E47" i="6"/>
  <c r="H47" i="6"/>
  <c r="K47" i="6"/>
  <c r="E48" i="6"/>
  <c r="H48" i="6"/>
  <c r="K48" i="6"/>
  <c r="E49" i="6"/>
  <c r="H49" i="6"/>
  <c r="K49" i="6"/>
  <c r="E50" i="6"/>
  <c r="H50" i="6"/>
  <c r="K50" i="6"/>
  <c r="E51" i="6"/>
  <c r="H51" i="6"/>
  <c r="K51" i="6"/>
  <c r="E52" i="6"/>
  <c r="H52" i="6"/>
  <c r="K52" i="6"/>
  <c r="E53" i="6"/>
  <c r="H53" i="6"/>
  <c r="K53" i="6"/>
  <c r="E54" i="6"/>
  <c r="H54" i="6"/>
  <c r="K54" i="6"/>
  <c r="E55" i="6"/>
  <c r="H55" i="6"/>
  <c r="K55" i="6"/>
  <c r="K33" i="6"/>
  <c r="H33" i="6"/>
  <c r="E33" i="6"/>
  <c r="E17" i="6"/>
  <c r="H17" i="6"/>
  <c r="K17" i="6"/>
  <c r="E19" i="6"/>
  <c r="H19" i="6"/>
  <c r="K19" i="6"/>
  <c r="E20" i="6"/>
  <c r="H20" i="6"/>
  <c r="K20" i="6"/>
  <c r="E21" i="6"/>
  <c r="H21" i="6"/>
  <c r="K21" i="6"/>
  <c r="E22" i="6"/>
  <c r="H22" i="6"/>
  <c r="K22" i="6"/>
  <c r="E23" i="6"/>
  <c r="H23" i="6"/>
  <c r="K23" i="6"/>
  <c r="E24" i="6"/>
  <c r="H24" i="6"/>
  <c r="K24" i="6"/>
  <c r="E27" i="6"/>
  <c r="H27" i="6"/>
  <c r="K27" i="6"/>
  <c r="E25" i="6"/>
  <c r="H25" i="6"/>
  <c r="K25" i="6"/>
  <c r="K16" i="6"/>
  <c r="H16" i="6"/>
  <c r="E16" i="6"/>
  <c r="A3" i="5"/>
  <c r="E8" i="6"/>
  <c r="H8" i="6"/>
  <c r="K8" i="6"/>
  <c r="N8" i="6"/>
  <c r="E10" i="6"/>
  <c r="H10" i="6"/>
  <c r="K10" i="6"/>
  <c r="N10" i="6"/>
  <c r="E12" i="6"/>
  <c r="H12" i="6"/>
  <c r="K12" i="6"/>
  <c r="N12" i="6"/>
  <c r="E13" i="6"/>
  <c r="H13" i="6"/>
  <c r="K13" i="6"/>
  <c r="N13" i="6"/>
  <c r="N7" i="6"/>
  <c r="K7" i="6"/>
  <c r="H7" i="6"/>
  <c r="E7" i="6"/>
  <c r="N52" i="5"/>
  <c r="K52" i="5"/>
  <c r="H52" i="5"/>
  <c r="E52" i="5"/>
  <c r="E29" i="5"/>
  <c r="H29" i="5"/>
  <c r="K29" i="5"/>
  <c r="N29" i="5"/>
  <c r="E30" i="5"/>
  <c r="H30" i="5"/>
  <c r="K30" i="5"/>
  <c r="N30" i="5"/>
  <c r="E31" i="5"/>
  <c r="H31" i="5"/>
  <c r="K31" i="5"/>
  <c r="N31" i="5"/>
  <c r="E32" i="5"/>
  <c r="H32" i="5"/>
  <c r="K32" i="5"/>
  <c r="N32" i="5"/>
  <c r="E33" i="5"/>
  <c r="H33" i="5"/>
  <c r="K33" i="5"/>
  <c r="N33" i="5"/>
  <c r="E34" i="5"/>
  <c r="H34" i="5"/>
  <c r="K34" i="5"/>
  <c r="N34" i="5"/>
  <c r="E35" i="5"/>
  <c r="H35" i="5"/>
  <c r="K35" i="5"/>
  <c r="N35" i="5"/>
  <c r="E36" i="5"/>
  <c r="H36" i="5"/>
  <c r="K36" i="5"/>
  <c r="N36" i="5"/>
  <c r="E37" i="5"/>
  <c r="H37" i="5"/>
  <c r="K37" i="5"/>
  <c r="N37" i="5"/>
  <c r="E38" i="5"/>
  <c r="H38" i="5"/>
  <c r="K38" i="5"/>
  <c r="N38" i="5"/>
  <c r="E39" i="5"/>
  <c r="H39" i="5"/>
  <c r="K39" i="5"/>
  <c r="N39" i="5"/>
  <c r="E40" i="5"/>
  <c r="H40" i="5"/>
  <c r="K40" i="5"/>
  <c r="N40" i="5"/>
  <c r="E41" i="5"/>
  <c r="H41" i="5"/>
  <c r="K41" i="5"/>
  <c r="N41" i="5"/>
  <c r="E42" i="5"/>
  <c r="H42" i="5"/>
  <c r="K42" i="5"/>
  <c r="N42" i="5"/>
  <c r="E43" i="5"/>
  <c r="H43" i="5"/>
  <c r="K43" i="5"/>
  <c r="N43" i="5"/>
  <c r="E44" i="5"/>
  <c r="H44" i="5"/>
  <c r="K44" i="5"/>
  <c r="N44" i="5"/>
  <c r="E45" i="5"/>
  <c r="H45" i="5"/>
  <c r="K45" i="5"/>
  <c r="N45" i="5"/>
  <c r="E46" i="5"/>
  <c r="H46" i="5"/>
  <c r="K46" i="5"/>
  <c r="N46" i="5"/>
  <c r="E47" i="5"/>
  <c r="H47" i="5"/>
  <c r="K47" i="5"/>
  <c r="N47" i="5"/>
  <c r="K28" i="5"/>
  <c r="H28" i="5"/>
  <c r="E28" i="5"/>
  <c r="N28" i="5"/>
  <c r="H8" i="5"/>
  <c r="K8" i="5"/>
  <c r="N8" i="5"/>
  <c r="N7" i="5"/>
  <c r="K7" i="5"/>
  <c r="H7" i="5"/>
  <c r="E7" i="5"/>
  <c r="E10" i="5" s="1"/>
  <c r="F48" i="5" s="1"/>
  <c r="A3" i="12"/>
  <c r="N155" i="3"/>
  <c r="H155" i="3"/>
  <c r="K155" i="3"/>
  <c r="N156" i="3"/>
  <c r="H156" i="3"/>
  <c r="K156" i="3"/>
  <c r="N157" i="3"/>
  <c r="H157" i="3"/>
  <c r="K157" i="3"/>
  <c r="N158" i="3"/>
  <c r="H158" i="3"/>
  <c r="K158" i="3"/>
  <c r="N327" i="3"/>
  <c r="H327" i="3"/>
  <c r="K327" i="3"/>
  <c r="N328" i="3"/>
  <c r="H328" i="3"/>
  <c r="K328" i="3"/>
  <c r="N329" i="3"/>
  <c r="H329" i="3"/>
  <c r="K329" i="3"/>
  <c r="N330" i="3"/>
  <c r="H330" i="3"/>
  <c r="K330" i="3"/>
  <c r="N331" i="3"/>
  <c r="H331" i="3"/>
  <c r="K331" i="3"/>
  <c r="N333" i="3"/>
  <c r="H333" i="3"/>
  <c r="K333" i="3"/>
  <c r="N334" i="3"/>
  <c r="H334" i="3"/>
  <c r="K334" i="3"/>
  <c r="N335" i="3"/>
  <c r="H335" i="3"/>
  <c r="K335" i="3"/>
  <c r="N336" i="3"/>
  <c r="H336" i="3"/>
  <c r="K336" i="3"/>
  <c r="N337" i="3"/>
  <c r="H337" i="3"/>
  <c r="K337" i="3"/>
  <c r="N338" i="3"/>
  <c r="H338" i="3"/>
  <c r="K338" i="3"/>
  <c r="N339" i="3"/>
  <c r="H339" i="3"/>
  <c r="K339" i="3"/>
  <c r="N340" i="3"/>
  <c r="K340" i="3"/>
  <c r="N341" i="3"/>
  <c r="H341" i="3"/>
  <c r="K341" i="3"/>
  <c r="N342" i="3"/>
  <c r="H342" i="3"/>
  <c r="K342" i="3"/>
  <c r="N343" i="3"/>
  <c r="H343" i="3"/>
  <c r="K343" i="3"/>
  <c r="N345" i="3"/>
  <c r="H345" i="3"/>
  <c r="K345" i="3"/>
  <c r="N346" i="3"/>
  <c r="H346" i="3"/>
  <c r="K346" i="3"/>
  <c r="N304" i="3"/>
  <c r="H304" i="3"/>
  <c r="K304" i="3"/>
  <c r="N305" i="3"/>
  <c r="H305" i="3"/>
  <c r="K305" i="3"/>
  <c r="N347" i="3"/>
  <c r="H347" i="3"/>
  <c r="K347" i="3"/>
  <c r="N348" i="3"/>
  <c r="H348" i="3"/>
  <c r="K348" i="3"/>
  <c r="N349" i="3"/>
  <c r="H349" i="3"/>
  <c r="K349" i="3"/>
  <c r="N350" i="3"/>
  <c r="H350" i="3"/>
  <c r="K350" i="3"/>
  <c r="N351" i="3"/>
  <c r="H351" i="3"/>
  <c r="K351" i="3"/>
  <c r="N352" i="3"/>
  <c r="H352" i="3"/>
  <c r="K352" i="3"/>
  <c r="N354" i="3"/>
  <c r="H354" i="3"/>
  <c r="K354" i="3"/>
  <c r="N355" i="3"/>
  <c r="H355" i="3"/>
  <c r="K355" i="3"/>
  <c r="N356" i="3"/>
  <c r="H356" i="3"/>
  <c r="K356" i="3"/>
  <c r="N357" i="3"/>
  <c r="H357" i="3"/>
  <c r="K357" i="3"/>
  <c r="N358" i="3"/>
  <c r="H358" i="3"/>
  <c r="K358" i="3"/>
  <c r="N359" i="3"/>
  <c r="H359" i="3"/>
  <c r="K359" i="3"/>
  <c r="N360" i="3"/>
  <c r="H360" i="3"/>
  <c r="K360" i="3"/>
  <c r="N361" i="3"/>
  <c r="H361" i="3"/>
  <c r="K361" i="3"/>
  <c r="N365" i="3"/>
  <c r="H365" i="3"/>
  <c r="K365" i="3"/>
  <c r="N377" i="3"/>
  <c r="H377" i="3"/>
  <c r="K377" i="3"/>
  <c r="N379" i="3"/>
  <c r="H379" i="3"/>
  <c r="K379" i="3"/>
  <c r="N380" i="3"/>
  <c r="H380" i="3"/>
  <c r="K380" i="3"/>
  <c r="N381" i="3"/>
  <c r="H381" i="3"/>
  <c r="K381" i="3"/>
  <c r="N382" i="3"/>
  <c r="H382" i="3"/>
  <c r="K382" i="3"/>
  <c r="N383" i="3"/>
  <c r="H383" i="3"/>
  <c r="K383" i="3"/>
  <c r="N384" i="3"/>
  <c r="H384" i="3"/>
  <c r="K384" i="3"/>
  <c r="N385" i="3"/>
  <c r="H385" i="3"/>
  <c r="K385" i="3"/>
  <c r="N386" i="3"/>
  <c r="H386" i="3"/>
  <c r="K386" i="3"/>
  <c r="N387" i="3"/>
  <c r="H387" i="3"/>
  <c r="K387" i="3"/>
  <c r="N388" i="3"/>
  <c r="H388" i="3"/>
  <c r="K388" i="3"/>
  <c r="N389" i="3"/>
  <c r="H389" i="3"/>
  <c r="K389" i="3"/>
  <c r="N390" i="3"/>
  <c r="H390" i="3"/>
  <c r="K390" i="3"/>
  <c r="N391" i="3"/>
  <c r="H391" i="3"/>
  <c r="K391" i="3"/>
  <c r="N393" i="3"/>
  <c r="H393" i="3"/>
  <c r="K393" i="3"/>
  <c r="N394" i="3"/>
  <c r="H394" i="3"/>
  <c r="K394" i="3"/>
  <c r="N395" i="3"/>
  <c r="H395" i="3"/>
  <c r="K395" i="3"/>
  <c r="N396" i="3"/>
  <c r="H396" i="3"/>
  <c r="K396" i="3"/>
  <c r="N397" i="3"/>
  <c r="H397" i="3"/>
  <c r="K397" i="3"/>
  <c r="N398" i="3"/>
  <c r="H398" i="3"/>
  <c r="K398" i="3"/>
  <c r="N399" i="3"/>
  <c r="H399" i="3"/>
  <c r="K399" i="3"/>
  <c r="N400" i="3"/>
  <c r="H400" i="3"/>
  <c r="K400" i="3"/>
  <c r="N401" i="3"/>
  <c r="H401" i="3"/>
  <c r="K401" i="3"/>
  <c r="N402" i="3"/>
  <c r="H402" i="3"/>
  <c r="K402" i="3"/>
  <c r="N403" i="3"/>
  <c r="H403" i="3"/>
  <c r="K403" i="3"/>
  <c r="N405" i="3"/>
  <c r="H405" i="3"/>
  <c r="K405" i="3"/>
  <c r="N406" i="3"/>
  <c r="H406" i="3"/>
  <c r="K406" i="3"/>
  <c r="N407" i="3"/>
  <c r="H407" i="3"/>
  <c r="K407" i="3"/>
  <c r="N408" i="3"/>
  <c r="H408" i="3"/>
  <c r="K408" i="3"/>
  <c r="N409" i="3"/>
  <c r="H409" i="3"/>
  <c r="K409" i="3"/>
  <c r="N410" i="3"/>
  <c r="H410" i="3"/>
  <c r="K410" i="3"/>
  <c r="N411" i="3"/>
  <c r="H411" i="3"/>
  <c r="K411" i="3"/>
  <c r="N412" i="3"/>
  <c r="H412" i="3"/>
  <c r="K412" i="3"/>
  <c r="N413" i="3"/>
  <c r="H413" i="3"/>
  <c r="K413" i="3"/>
  <c r="N425" i="3"/>
  <c r="H425" i="3"/>
  <c r="K425" i="3"/>
  <c r="N426" i="3"/>
  <c r="H426" i="3"/>
  <c r="K426" i="3"/>
  <c r="N427" i="3"/>
  <c r="H427" i="3"/>
  <c r="K427" i="3"/>
  <c r="N428" i="3"/>
  <c r="H428" i="3"/>
  <c r="K428" i="3"/>
  <c r="N429" i="3"/>
  <c r="H429" i="3"/>
  <c r="K429" i="3"/>
  <c r="N430" i="3"/>
  <c r="H430" i="3"/>
  <c r="K430" i="3"/>
  <c r="N431" i="3"/>
  <c r="H431" i="3"/>
  <c r="K431" i="3"/>
  <c r="N432" i="3"/>
  <c r="H432" i="3"/>
  <c r="K432" i="3"/>
  <c r="N433" i="3"/>
  <c r="H433" i="3"/>
  <c r="K433" i="3"/>
  <c r="N434" i="3"/>
  <c r="H434" i="3"/>
  <c r="K434" i="3"/>
  <c r="N435" i="3"/>
  <c r="H435" i="3"/>
  <c r="K435" i="3"/>
  <c r="N437" i="3"/>
  <c r="H437" i="3"/>
  <c r="K437" i="3"/>
  <c r="N438" i="3"/>
  <c r="H438" i="3"/>
  <c r="K438" i="3"/>
  <c r="N439" i="3"/>
  <c r="H439" i="3"/>
  <c r="K439" i="3"/>
  <c r="N440" i="3"/>
  <c r="H440" i="3"/>
  <c r="K440" i="3"/>
  <c r="N441" i="3"/>
  <c r="H441" i="3"/>
  <c r="K441" i="3"/>
  <c r="N442" i="3"/>
  <c r="H442" i="3"/>
  <c r="K442" i="3"/>
  <c r="N443" i="3"/>
  <c r="H443" i="3"/>
  <c r="K443" i="3"/>
  <c r="N444" i="3"/>
  <c r="C19" i="4" s="1"/>
  <c r="H444" i="3"/>
  <c r="K444" i="3"/>
  <c r="N446" i="3"/>
  <c r="C20" i="4" s="1"/>
  <c r="H446" i="3"/>
  <c r="F20" i="4" s="1"/>
  <c r="K446" i="3"/>
  <c r="I20" i="4" s="1"/>
  <c r="N448" i="3"/>
  <c r="H448" i="3"/>
  <c r="K448" i="3"/>
  <c r="N449" i="3"/>
  <c r="H449" i="3"/>
  <c r="K449" i="3"/>
  <c r="N450" i="3"/>
  <c r="H450" i="3"/>
  <c r="K450" i="3"/>
  <c r="N451" i="3"/>
  <c r="H451" i="3"/>
  <c r="K451" i="3"/>
  <c r="N452" i="3"/>
  <c r="H452" i="3"/>
  <c r="K452" i="3"/>
  <c r="N453" i="3"/>
  <c r="H453" i="3"/>
  <c r="K453" i="3"/>
  <c r="N455" i="3"/>
  <c r="H455" i="3"/>
  <c r="K455" i="3"/>
  <c r="N456" i="3"/>
  <c r="H456" i="3"/>
  <c r="K456" i="3"/>
  <c r="N457" i="3"/>
  <c r="H457" i="3"/>
  <c r="K457" i="3"/>
  <c r="N458" i="3"/>
  <c r="H458" i="3"/>
  <c r="K458" i="3"/>
  <c r="N459" i="3"/>
  <c r="H459" i="3"/>
  <c r="K459" i="3"/>
  <c r="N460" i="3"/>
  <c r="H460" i="3"/>
  <c r="K460" i="3"/>
  <c r="N461" i="3"/>
  <c r="H461" i="3"/>
  <c r="K461" i="3"/>
  <c r="N462" i="3"/>
  <c r="H462" i="3"/>
  <c r="K462" i="3"/>
  <c r="N463" i="3"/>
  <c r="H463" i="3"/>
  <c r="K463" i="3"/>
  <c r="N306" i="3"/>
  <c r="H306" i="3"/>
  <c r="K306" i="3"/>
  <c r="N307" i="3"/>
  <c r="H307" i="3"/>
  <c r="K307" i="3"/>
  <c r="N309" i="3"/>
  <c r="H309" i="3"/>
  <c r="K309" i="3"/>
  <c r="N310" i="3"/>
  <c r="H310" i="3"/>
  <c r="K310" i="3"/>
  <c r="N311" i="3"/>
  <c r="H311" i="3"/>
  <c r="K311" i="3"/>
  <c r="N313" i="3"/>
  <c r="H313" i="3"/>
  <c r="K313" i="3"/>
  <c r="C25" i="4"/>
  <c r="F25" i="4"/>
  <c r="I25" i="4"/>
  <c r="L25" i="4"/>
  <c r="N308" i="3"/>
  <c r="H308" i="3"/>
  <c r="K308" i="3"/>
  <c r="N472" i="3"/>
  <c r="H472" i="3"/>
  <c r="K472" i="3"/>
  <c r="N473" i="3"/>
  <c r="H473" i="3"/>
  <c r="K473" i="3"/>
  <c r="N474" i="3"/>
  <c r="H474" i="3"/>
  <c r="K474" i="3"/>
  <c r="N475" i="3"/>
  <c r="H475" i="3"/>
  <c r="K475" i="3"/>
  <c r="N477" i="3"/>
  <c r="H477" i="3"/>
  <c r="K477" i="3"/>
  <c r="N478" i="3"/>
  <c r="H478" i="3"/>
  <c r="K478" i="3"/>
  <c r="N479" i="3"/>
  <c r="H479" i="3"/>
  <c r="K479" i="3"/>
  <c r="N480" i="3"/>
  <c r="H480" i="3"/>
  <c r="K480" i="3"/>
  <c r="N481" i="3"/>
  <c r="H481" i="3"/>
  <c r="K481" i="3"/>
  <c r="N482" i="3"/>
  <c r="C27" i="4" s="1"/>
  <c r="H482" i="3"/>
  <c r="F27" i="4" s="1"/>
  <c r="K482" i="3"/>
  <c r="I27" i="4" s="1"/>
  <c r="L27" i="4"/>
  <c r="N483" i="3"/>
  <c r="H483" i="3"/>
  <c r="K483" i="3"/>
  <c r="N484" i="3"/>
  <c r="H484" i="3"/>
  <c r="K484" i="3"/>
  <c r="N485" i="3"/>
  <c r="H485" i="3"/>
  <c r="K485" i="3"/>
  <c r="N486" i="3"/>
  <c r="H486" i="3"/>
  <c r="K486" i="3"/>
  <c r="N488" i="3"/>
  <c r="H488" i="3"/>
  <c r="K488" i="3"/>
  <c r="N489" i="3"/>
  <c r="H489" i="3"/>
  <c r="K489" i="3"/>
  <c r="N490" i="3"/>
  <c r="H490" i="3"/>
  <c r="K490" i="3"/>
  <c r="N491" i="3"/>
  <c r="H491" i="3"/>
  <c r="K491" i="3"/>
  <c r="N492" i="3"/>
  <c r="H492" i="3"/>
  <c r="K492" i="3"/>
  <c r="N493" i="3"/>
  <c r="H493" i="3"/>
  <c r="K493" i="3"/>
  <c r="N494" i="3"/>
  <c r="H494" i="3"/>
  <c r="K494" i="3"/>
  <c r="N495" i="3"/>
  <c r="H495" i="3"/>
  <c r="K495" i="3"/>
  <c r="N496" i="3"/>
  <c r="H496" i="3"/>
  <c r="K496" i="3"/>
  <c r="N497" i="3"/>
  <c r="H497" i="3"/>
  <c r="K497" i="3"/>
  <c r="N498" i="3"/>
  <c r="H498" i="3"/>
  <c r="K498" i="3"/>
  <c r="N500" i="3"/>
  <c r="H500" i="3"/>
  <c r="K500" i="3"/>
  <c r="N501" i="3"/>
  <c r="H501" i="3"/>
  <c r="K501" i="3"/>
  <c r="N502" i="3"/>
  <c r="H502" i="3"/>
  <c r="K502" i="3"/>
  <c r="N503" i="3"/>
  <c r="H503" i="3"/>
  <c r="K503" i="3"/>
  <c r="N504" i="3"/>
  <c r="H504" i="3"/>
  <c r="K504" i="3"/>
  <c r="N505" i="3"/>
  <c r="H505" i="3"/>
  <c r="K505" i="3"/>
  <c r="N506" i="3"/>
  <c r="H506" i="3"/>
  <c r="K506" i="3"/>
  <c r="N507" i="3"/>
  <c r="H507" i="3"/>
  <c r="K507" i="3"/>
  <c r="N508" i="3"/>
  <c r="H508" i="3"/>
  <c r="K508" i="3"/>
  <c r="N509" i="3"/>
  <c r="H509" i="3"/>
  <c r="K509" i="3"/>
  <c r="N511" i="3"/>
  <c r="H511" i="3"/>
  <c r="K511" i="3"/>
  <c r="N512" i="3"/>
  <c r="H512" i="3"/>
  <c r="K512" i="3"/>
  <c r="N513" i="3"/>
  <c r="H513" i="3"/>
  <c r="K513" i="3"/>
  <c r="N514" i="3"/>
  <c r="H514" i="3"/>
  <c r="K514" i="3"/>
  <c r="N515" i="3"/>
  <c r="H515" i="3"/>
  <c r="K515" i="3"/>
  <c r="N516" i="3"/>
  <c r="H516" i="3"/>
  <c r="K516" i="3"/>
  <c r="N517" i="3"/>
  <c r="H517" i="3"/>
  <c r="K517" i="3"/>
  <c r="N518" i="3"/>
  <c r="H518" i="3"/>
  <c r="K518" i="3"/>
  <c r="N519" i="3"/>
  <c r="H519" i="3"/>
  <c r="K519" i="3"/>
  <c r="C32" i="4"/>
  <c r="F32" i="4"/>
  <c r="I32" i="4"/>
  <c r="L32" i="4"/>
  <c r="C33" i="4"/>
  <c r="F33" i="4"/>
  <c r="I33" i="4"/>
  <c r="L33" i="4"/>
  <c r="N531" i="3"/>
  <c r="H531" i="3"/>
  <c r="K531" i="3"/>
  <c r="N532" i="3"/>
  <c r="H532" i="3"/>
  <c r="K532" i="3"/>
  <c r="N533" i="3"/>
  <c r="H533" i="3"/>
  <c r="K533" i="3"/>
  <c r="N535" i="3"/>
  <c r="H535" i="3"/>
  <c r="K535" i="3"/>
  <c r="N536" i="3"/>
  <c r="H536" i="3"/>
  <c r="K536" i="3"/>
  <c r="N537" i="3"/>
  <c r="H537" i="3"/>
  <c r="K537" i="3"/>
  <c r="N538" i="3"/>
  <c r="H538" i="3"/>
  <c r="K538" i="3"/>
  <c r="N539" i="3"/>
  <c r="H539" i="3"/>
  <c r="K539" i="3"/>
  <c r="N540" i="3"/>
  <c r="H540" i="3"/>
  <c r="K540" i="3"/>
  <c r="N541" i="3"/>
  <c r="H541" i="3"/>
  <c r="K541" i="3"/>
  <c r="N542" i="3"/>
  <c r="H542" i="3"/>
  <c r="K542" i="3"/>
  <c r="N543" i="3"/>
  <c r="H543" i="3"/>
  <c r="K543" i="3"/>
  <c r="N544" i="3"/>
  <c r="H544" i="3"/>
  <c r="K544" i="3"/>
  <c r="N545" i="3"/>
  <c r="H545" i="3"/>
  <c r="K545" i="3"/>
  <c r="N546" i="3"/>
  <c r="H546" i="3"/>
  <c r="K546" i="3"/>
  <c r="N547" i="3"/>
  <c r="H547" i="3"/>
  <c r="K547" i="3"/>
  <c r="N549" i="3"/>
  <c r="H549" i="3"/>
  <c r="K549" i="3"/>
  <c r="N550" i="3"/>
  <c r="H550" i="3"/>
  <c r="K550" i="3"/>
  <c r="N551" i="3"/>
  <c r="H551" i="3"/>
  <c r="K551" i="3"/>
  <c r="N552" i="3"/>
  <c r="H552" i="3"/>
  <c r="K552" i="3"/>
  <c r="N553" i="3"/>
  <c r="H553" i="3"/>
  <c r="K553" i="3"/>
  <c r="N554" i="3"/>
  <c r="H554" i="3"/>
  <c r="K554" i="3"/>
  <c r="N555" i="3"/>
  <c r="H555" i="3"/>
  <c r="K555" i="3"/>
  <c r="N556" i="3"/>
  <c r="H556" i="3"/>
  <c r="K556" i="3"/>
  <c r="N557" i="3"/>
  <c r="H557" i="3"/>
  <c r="K557" i="3"/>
  <c r="N558" i="3"/>
  <c r="H558" i="3"/>
  <c r="K558" i="3"/>
  <c r="N559" i="3"/>
  <c r="H559" i="3"/>
  <c r="K559" i="3"/>
  <c r="N561" i="3"/>
  <c r="C37" i="4" s="1"/>
  <c r="H561" i="3"/>
  <c r="F37" i="4" s="1"/>
  <c r="K561" i="3"/>
  <c r="I37" i="4" s="1"/>
  <c r="J37" i="4" s="1"/>
  <c r="L37" i="4"/>
  <c r="M37" i="4" s="1"/>
  <c r="N562" i="3"/>
  <c r="H562" i="3"/>
  <c r="K562" i="3"/>
  <c r="N563" i="3"/>
  <c r="H563" i="3"/>
  <c r="K563" i="3"/>
  <c r="N564" i="3"/>
  <c r="H564" i="3"/>
  <c r="K564" i="3"/>
  <c r="N565" i="3"/>
  <c r="H565" i="3"/>
  <c r="K565" i="3"/>
  <c r="N566" i="3"/>
  <c r="H566" i="3"/>
  <c r="K566" i="3"/>
  <c r="N567" i="3"/>
  <c r="H567" i="3"/>
  <c r="K567" i="3"/>
  <c r="N569" i="3"/>
  <c r="H569" i="3"/>
  <c r="K569" i="3"/>
  <c r="N570" i="3"/>
  <c r="H570" i="3"/>
  <c r="K570" i="3"/>
  <c r="N571" i="3"/>
  <c r="H571" i="3"/>
  <c r="K571" i="3"/>
  <c r="N572" i="3"/>
  <c r="H572" i="3"/>
  <c r="K572" i="3"/>
  <c r="N573" i="3"/>
  <c r="H573" i="3"/>
  <c r="K573" i="3"/>
  <c r="N574" i="3"/>
  <c r="H574" i="3"/>
  <c r="K574" i="3"/>
  <c r="N575" i="3"/>
  <c r="H575" i="3"/>
  <c r="K575" i="3"/>
  <c r="N576" i="3"/>
  <c r="C39" i="4" s="1"/>
  <c r="H576" i="3"/>
  <c r="F39" i="4" s="1"/>
  <c r="K576" i="3"/>
  <c r="I39" i="4" s="1"/>
  <c r="L39" i="4"/>
  <c r="N314" i="3"/>
  <c r="H314" i="3"/>
  <c r="K314" i="3"/>
  <c r="N577" i="3"/>
  <c r="H577" i="3"/>
  <c r="K577" i="3"/>
  <c r="N578" i="3"/>
  <c r="H578" i="3"/>
  <c r="K578" i="3"/>
  <c r="N579" i="3"/>
  <c r="H579" i="3"/>
  <c r="K579" i="3"/>
  <c r="N580" i="3"/>
  <c r="H580" i="3"/>
  <c r="K580" i="3"/>
  <c r="N581" i="3"/>
  <c r="H581" i="3"/>
  <c r="K581" i="3"/>
  <c r="N583" i="3"/>
  <c r="H583" i="3"/>
  <c r="K583" i="3"/>
  <c r="N584" i="3"/>
  <c r="H584" i="3"/>
  <c r="K584" i="3"/>
  <c r="N585" i="3"/>
  <c r="H585" i="3"/>
  <c r="K585" i="3"/>
  <c r="N586" i="3"/>
  <c r="H586" i="3"/>
  <c r="K586" i="3"/>
  <c r="N587" i="3"/>
  <c r="H587" i="3"/>
  <c r="K587" i="3"/>
  <c r="H315" i="3"/>
  <c r="K315" i="3"/>
  <c r="N588" i="3"/>
  <c r="H588" i="3"/>
  <c r="K588" i="3"/>
  <c r="N589" i="3"/>
  <c r="H589" i="3"/>
  <c r="K589" i="3"/>
  <c r="N590" i="3"/>
  <c r="H590" i="3"/>
  <c r="K590" i="3"/>
  <c r="N591" i="3"/>
  <c r="H591" i="3"/>
  <c r="K591" i="3"/>
  <c r="N592" i="3"/>
  <c r="H592" i="3"/>
  <c r="K592" i="3"/>
  <c r="N593" i="3"/>
  <c r="H593" i="3"/>
  <c r="K593" i="3"/>
  <c r="N594" i="3"/>
  <c r="H594" i="3"/>
  <c r="K594" i="3"/>
  <c r="N595" i="3"/>
  <c r="H595" i="3"/>
  <c r="K595" i="3"/>
  <c r="N596" i="3"/>
  <c r="H596" i="3"/>
  <c r="K596" i="3"/>
  <c r="N597" i="3"/>
  <c r="H597" i="3"/>
  <c r="K597" i="3"/>
  <c r="N598" i="3"/>
  <c r="H598" i="3"/>
  <c r="K598" i="3"/>
  <c r="N599" i="3"/>
  <c r="C44" i="4" s="1"/>
  <c r="H599" i="3"/>
  <c r="F44" i="4" s="1"/>
  <c r="K599" i="3"/>
  <c r="I44" i="4" s="1"/>
  <c r="L44" i="4"/>
  <c r="N316" i="3"/>
  <c r="H316" i="3"/>
  <c r="K316" i="3"/>
  <c r="N317" i="3"/>
  <c r="H317" i="3"/>
  <c r="K317" i="3"/>
  <c r="N318" i="3"/>
  <c r="H318" i="3"/>
  <c r="K318" i="3"/>
  <c r="N600" i="3"/>
  <c r="C45" i="4" s="1"/>
  <c r="H600" i="3"/>
  <c r="F45" i="4" s="1"/>
  <c r="K600" i="3"/>
  <c r="I45" i="4" s="1"/>
  <c r="N602" i="3"/>
  <c r="C46" i="4" s="1"/>
  <c r="H602" i="3"/>
  <c r="F46" i="4" s="1"/>
  <c r="K602" i="3"/>
  <c r="I46" i="4" s="1"/>
  <c r="L46" i="4"/>
  <c r="N319" i="3"/>
  <c r="H319" i="3"/>
  <c r="K319" i="3"/>
  <c r="N603" i="3"/>
  <c r="C47" i="4" s="1"/>
  <c r="H603" i="3"/>
  <c r="F47" i="4" s="1"/>
  <c r="K603" i="3"/>
  <c r="I47" i="4" s="1"/>
  <c r="L47" i="4"/>
  <c r="N604" i="3"/>
  <c r="H604" i="3"/>
  <c r="K604" i="3"/>
  <c r="N605" i="3"/>
  <c r="H605" i="3"/>
  <c r="K605" i="3"/>
  <c r="N606" i="3"/>
  <c r="H606" i="3"/>
  <c r="K606" i="3"/>
  <c r="N607" i="3"/>
  <c r="H607" i="3"/>
  <c r="K607" i="3"/>
  <c r="N608" i="3"/>
  <c r="H608" i="3"/>
  <c r="K608" i="3"/>
  <c r="N609" i="3"/>
  <c r="H609" i="3"/>
  <c r="K609" i="3"/>
  <c r="N611" i="3"/>
  <c r="H611" i="3"/>
  <c r="K611" i="3"/>
  <c r="N612" i="3"/>
  <c r="H612" i="3"/>
  <c r="K612" i="3"/>
  <c r="N613" i="3"/>
  <c r="H613" i="3"/>
  <c r="K613" i="3"/>
  <c r="N614" i="3"/>
  <c r="H614" i="3"/>
  <c r="K614" i="3"/>
  <c r="N615" i="3"/>
  <c r="H615" i="3"/>
  <c r="K615" i="3"/>
  <c r="N616" i="3"/>
  <c r="H616" i="3"/>
  <c r="K616" i="3"/>
  <c r="N617" i="3"/>
  <c r="H617" i="3"/>
  <c r="K617" i="3"/>
  <c r="N618" i="3"/>
  <c r="C50" i="4" s="1"/>
  <c r="H618" i="3"/>
  <c r="F50" i="4" s="1"/>
  <c r="K618" i="3"/>
  <c r="I50" i="4" s="1"/>
  <c r="N621" i="3"/>
  <c r="H621" i="3"/>
  <c r="K621" i="3"/>
  <c r="N622" i="3"/>
  <c r="H622" i="3"/>
  <c r="K622" i="3"/>
  <c r="N625" i="3"/>
  <c r="H625" i="3"/>
  <c r="K625" i="3"/>
  <c r="N626" i="3"/>
  <c r="H626" i="3"/>
  <c r="K626" i="3"/>
  <c r="N627" i="3"/>
  <c r="H627" i="3"/>
  <c r="K627" i="3"/>
  <c r="N628" i="3"/>
  <c r="H628" i="3"/>
  <c r="K628" i="3"/>
  <c r="N629" i="3"/>
  <c r="H629" i="3"/>
  <c r="K629" i="3"/>
  <c r="N630" i="3"/>
  <c r="H630" i="3"/>
  <c r="K630" i="3"/>
  <c r="N632" i="3"/>
  <c r="H632" i="3"/>
  <c r="K632" i="3"/>
  <c r="N633" i="3"/>
  <c r="H633" i="3"/>
  <c r="K633" i="3"/>
  <c r="N634" i="3"/>
  <c r="H634" i="3"/>
  <c r="K634" i="3"/>
  <c r="N635" i="3"/>
  <c r="H635" i="3"/>
  <c r="K635" i="3"/>
  <c r="N636" i="3"/>
  <c r="H636" i="3"/>
  <c r="K636" i="3"/>
  <c r="N637" i="3"/>
  <c r="H637" i="3"/>
  <c r="K637" i="3"/>
  <c r="N638" i="3"/>
  <c r="H638" i="3"/>
  <c r="K638" i="3"/>
  <c r="N165" i="3"/>
  <c r="H165" i="3"/>
  <c r="K165" i="3"/>
  <c r="N166" i="3"/>
  <c r="H166" i="3"/>
  <c r="K166" i="3"/>
  <c r="N168" i="3"/>
  <c r="H168" i="3"/>
  <c r="K168" i="3"/>
  <c r="N169" i="3"/>
  <c r="H169" i="3"/>
  <c r="K169" i="3"/>
  <c r="N170" i="3"/>
  <c r="H170" i="3"/>
  <c r="K170" i="3"/>
  <c r="N176" i="3"/>
  <c r="H176" i="3"/>
  <c r="K176" i="3"/>
  <c r="N177" i="3"/>
  <c r="H177" i="3"/>
  <c r="K177" i="3"/>
  <c r="N178" i="3"/>
  <c r="H178" i="3"/>
  <c r="K178" i="3"/>
  <c r="N179" i="3"/>
  <c r="H179" i="3"/>
  <c r="K179" i="3"/>
  <c r="N181" i="3"/>
  <c r="H181" i="3"/>
  <c r="K181" i="3"/>
  <c r="N182" i="3"/>
  <c r="H182" i="3"/>
  <c r="K182" i="3"/>
  <c r="N183" i="3"/>
  <c r="H183" i="3"/>
  <c r="K183" i="3"/>
  <c r="N184" i="3"/>
  <c r="H184" i="3"/>
  <c r="K184" i="3"/>
  <c r="N185" i="3"/>
  <c r="H185" i="3"/>
  <c r="K185" i="3"/>
  <c r="N186" i="3"/>
  <c r="H186" i="3"/>
  <c r="K186" i="3"/>
  <c r="N187" i="3"/>
  <c r="H187" i="3"/>
  <c r="K187" i="3"/>
  <c r="N188" i="3"/>
  <c r="H188" i="3"/>
  <c r="K188" i="3"/>
  <c r="N190" i="3"/>
  <c r="H190" i="3"/>
  <c r="K190" i="3"/>
  <c r="N191" i="3"/>
  <c r="H191" i="3"/>
  <c r="K191" i="3"/>
  <c r="N192" i="3"/>
  <c r="H192" i="3"/>
  <c r="K192" i="3"/>
  <c r="N193" i="3"/>
  <c r="H193" i="3"/>
  <c r="K193" i="3"/>
  <c r="N194" i="3"/>
  <c r="H194" i="3"/>
  <c r="K194" i="3"/>
  <c r="N195" i="3"/>
  <c r="H195" i="3"/>
  <c r="K195" i="3"/>
  <c r="N197" i="3"/>
  <c r="H197" i="3"/>
  <c r="K197" i="3"/>
  <c r="N198" i="3"/>
  <c r="H198" i="3"/>
  <c r="K198" i="3"/>
  <c r="N199" i="3"/>
  <c r="H199" i="3"/>
  <c r="K199" i="3"/>
  <c r="N200" i="3"/>
  <c r="H200" i="3"/>
  <c r="K200" i="3"/>
  <c r="N201" i="3"/>
  <c r="H201" i="3"/>
  <c r="K201" i="3"/>
  <c r="N202" i="3"/>
  <c r="H202" i="3"/>
  <c r="K202" i="3"/>
  <c r="N204" i="3"/>
  <c r="H204" i="3"/>
  <c r="K204" i="3"/>
  <c r="N205" i="3"/>
  <c r="H205" i="3"/>
  <c r="K205" i="3"/>
  <c r="N206" i="3"/>
  <c r="H206" i="3"/>
  <c r="K206" i="3"/>
  <c r="N207" i="3"/>
  <c r="H207" i="3"/>
  <c r="K207" i="3"/>
  <c r="N208" i="3"/>
  <c r="H208" i="3"/>
  <c r="K208" i="3"/>
  <c r="N210" i="3"/>
  <c r="H210" i="3"/>
  <c r="K210" i="3"/>
  <c r="N211" i="3"/>
  <c r="H211" i="3"/>
  <c r="K211" i="3"/>
  <c r="N212" i="3"/>
  <c r="H212" i="3"/>
  <c r="K212" i="3"/>
  <c r="N213" i="3"/>
  <c r="H213" i="3"/>
  <c r="K213" i="3"/>
  <c r="N214" i="3"/>
  <c r="H214" i="3"/>
  <c r="K214" i="3"/>
  <c r="N215" i="3"/>
  <c r="H215" i="3"/>
  <c r="K215" i="3"/>
  <c r="N216" i="3"/>
  <c r="H216" i="3"/>
  <c r="K216" i="3"/>
  <c r="N217" i="3"/>
  <c r="H217" i="3"/>
  <c r="K217" i="3"/>
  <c r="N219" i="3"/>
  <c r="H219" i="3"/>
  <c r="K219" i="3"/>
  <c r="N220" i="3"/>
  <c r="H220" i="3"/>
  <c r="K220" i="3"/>
  <c r="N221" i="3"/>
  <c r="H221" i="3"/>
  <c r="K221" i="3"/>
  <c r="N222" i="3"/>
  <c r="H222" i="3"/>
  <c r="K222" i="3"/>
  <c r="N223" i="3"/>
  <c r="H223" i="3"/>
  <c r="K223" i="3"/>
  <c r="N224" i="3"/>
  <c r="H224" i="3"/>
  <c r="K224" i="3"/>
  <c r="N225" i="3"/>
  <c r="H225" i="3"/>
  <c r="K225" i="3"/>
  <c r="N226" i="3"/>
  <c r="H226" i="3"/>
  <c r="K226" i="3"/>
  <c r="N227" i="3"/>
  <c r="H227" i="3"/>
  <c r="K227" i="3"/>
  <c r="N228" i="3"/>
  <c r="H228" i="3"/>
  <c r="K228" i="3"/>
  <c r="N229" i="3"/>
  <c r="H229" i="3"/>
  <c r="K229" i="3"/>
  <c r="N230" i="3"/>
  <c r="H230" i="3"/>
  <c r="K230" i="3"/>
  <c r="N231" i="3"/>
  <c r="H231" i="3"/>
  <c r="K231" i="3"/>
  <c r="N232" i="3"/>
  <c r="H232" i="3"/>
  <c r="K232" i="3"/>
  <c r="N233" i="3"/>
  <c r="H233" i="3"/>
  <c r="K233" i="3"/>
  <c r="N234" i="3"/>
  <c r="H234" i="3"/>
  <c r="K234" i="3"/>
  <c r="N235" i="3"/>
  <c r="H235" i="3"/>
  <c r="K235" i="3"/>
  <c r="N236" i="3"/>
  <c r="H236" i="3"/>
  <c r="K236" i="3"/>
  <c r="N237" i="3"/>
  <c r="H237" i="3"/>
  <c r="K237" i="3"/>
  <c r="N238" i="3"/>
  <c r="H238" i="3"/>
  <c r="K238" i="3"/>
  <c r="N240" i="3"/>
  <c r="H240" i="3"/>
  <c r="K240" i="3"/>
  <c r="N241" i="3"/>
  <c r="H241" i="3"/>
  <c r="K241" i="3"/>
  <c r="N242" i="3"/>
  <c r="H242" i="3"/>
  <c r="K242" i="3"/>
  <c r="N243" i="3"/>
  <c r="H243" i="3"/>
  <c r="K243" i="3"/>
  <c r="N244" i="3"/>
  <c r="H244" i="3"/>
  <c r="K244" i="3"/>
  <c r="N245" i="3"/>
  <c r="H245" i="3"/>
  <c r="K245" i="3"/>
  <c r="N246" i="3"/>
  <c r="H246" i="3"/>
  <c r="K246" i="3"/>
  <c r="N247" i="3"/>
  <c r="H247" i="3"/>
  <c r="K247" i="3"/>
  <c r="N248" i="3"/>
  <c r="H248" i="3"/>
  <c r="K248" i="3"/>
  <c r="N249" i="3"/>
  <c r="H249" i="3"/>
  <c r="K249" i="3"/>
  <c r="N250" i="3"/>
  <c r="H250" i="3"/>
  <c r="K250" i="3"/>
  <c r="N251" i="3"/>
  <c r="H251" i="3"/>
  <c r="K251" i="3"/>
  <c r="N252" i="3"/>
  <c r="H252" i="3"/>
  <c r="K252" i="3"/>
  <c r="N253" i="3"/>
  <c r="H253" i="3"/>
  <c r="K253" i="3"/>
  <c r="N255" i="3"/>
  <c r="H255" i="3"/>
  <c r="K255" i="3"/>
  <c r="N256" i="3"/>
  <c r="H256" i="3"/>
  <c r="K256" i="3"/>
  <c r="N257" i="3"/>
  <c r="H257" i="3"/>
  <c r="K257" i="3"/>
  <c r="N258" i="3"/>
  <c r="H258" i="3"/>
  <c r="K258" i="3"/>
  <c r="N259" i="3"/>
  <c r="H259" i="3"/>
  <c r="K259" i="3"/>
  <c r="N260" i="3"/>
  <c r="H260" i="3"/>
  <c r="K260" i="3"/>
  <c r="N261" i="3"/>
  <c r="H261" i="3"/>
  <c r="K261" i="3"/>
  <c r="N262" i="3"/>
  <c r="H262" i="3"/>
  <c r="K262" i="3"/>
  <c r="N263" i="3"/>
  <c r="H263" i="3"/>
  <c r="K263" i="3"/>
  <c r="N264" i="3"/>
  <c r="H264" i="3"/>
  <c r="K264" i="3"/>
  <c r="N265" i="3"/>
  <c r="H265" i="3"/>
  <c r="K265" i="3"/>
  <c r="N266" i="3"/>
  <c r="H266" i="3"/>
  <c r="K266" i="3"/>
  <c r="N267" i="3"/>
  <c r="H267" i="3"/>
  <c r="K267" i="3"/>
  <c r="N268" i="3"/>
  <c r="H268" i="3"/>
  <c r="K268" i="3"/>
  <c r="N269" i="3"/>
  <c r="H269" i="3"/>
  <c r="K269" i="3"/>
  <c r="N270" i="3"/>
  <c r="H270" i="3"/>
  <c r="K270" i="3"/>
  <c r="N271" i="3"/>
  <c r="H271" i="3"/>
  <c r="K271" i="3"/>
  <c r="N272" i="3"/>
  <c r="H272" i="3"/>
  <c r="K272" i="3"/>
  <c r="N273" i="3"/>
  <c r="H273" i="3"/>
  <c r="K273" i="3"/>
  <c r="N274" i="3"/>
  <c r="H274" i="3"/>
  <c r="K274" i="3"/>
  <c r="N276" i="3"/>
  <c r="H276" i="3"/>
  <c r="K276" i="3"/>
  <c r="N277" i="3"/>
  <c r="H277" i="3"/>
  <c r="K277" i="3"/>
  <c r="N278" i="3"/>
  <c r="H278" i="3"/>
  <c r="K278" i="3"/>
  <c r="N280" i="3"/>
  <c r="H280" i="3"/>
  <c r="K280" i="3"/>
  <c r="N281" i="3"/>
  <c r="H281" i="3"/>
  <c r="K281" i="3"/>
  <c r="N282" i="3"/>
  <c r="H282" i="3"/>
  <c r="K282" i="3"/>
  <c r="N283" i="3"/>
  <c r="H283" i="3"/>
  <c r="K283" i="3"/>
  <c r="N285" i="3"/>
  <c r="H285" i="3"/>
  <c r="K285" i="3"/>
  <c r="N286" i="3"/>
  <c r="H286" i="3"/>
  <c r="K286" i="3"/>
  <c r="N287" i="3"/>
  <c r="H287" i="3"/>
  <c r="K287" i="3"/>
  <c r="N289" i="3"/>
  <c r="H289" i="3"/>
  <c r="K289" i="3"/>
  <c r="N292" i="3"/>
  <c r="H292" i="3"/>
  <c r="K292" i="3"/>
  <c r="N293" i="3"/>
  <c r="H293" i="3"/>
  <c r="K293" i="3"/>
  <c r="N294" i="3"/>
  <c r="H294" i="3"/>
  <c r="K294" i="3"/>
  <c r="N296" i="3"/>
  <c r="H296" i="3"/>
  <c r="K296" i="3"/>
  <c r="N297" i="3"/>
  <c r="H297" i="3"/>
  <c r="K297" i="3"/>
  <c r="N298" i="3"/>
  <c r="H298" i="3"/>
  <c r="K298" i="3"/>
  <c r="N299" i="3"/>
  <c r="H299" i="3"/>
  <c r="K299" i="3"/>
  <c r="N300" i="3"/>
  <c r="H300" i="3"/>
  <c r="K300" i="3"/>
  <c r="N301" i="3"/>
  <c r="H301" i="3"/>
  <c r="K301" i="3"/>
  <c r="N302" i="3"/>
  <c r="H302" i="3"/>
  <c r="K302" i="3"/>
  <c r="N8" i="3"/>
  <c r="K8" i="3"/>
  <c r="N9" i="3"/>
  <c r="H9" i="3"/>
  <c r="K9" i="3"/>
  <c r="N10" i="3"/>
  <c r="H10" i="3"/>
  <c r="K10" i="3"/>
  <c r="N20" i="3"/>
  <c r="H20" i="3"/>
  <c r="K20" i="3"/>
  <c r="N21" i="3"/>
  <c r="H21" i="3"/>
  <c r="K21" i="3"/>
  <c r="N22" i="3"/>
  <c r="H22" i="3"/>
  <c r="K22" i="3"/>
  <c r="N24" i="3"/>
  <c r="H24" i="3"/>
  <c r="K24" i="3"/>
  <c r="N25" i="3"/>
  <c r="H25" i="3"/>
  <c r="K25" i="3"/>
  <c r="N26" i="3"/>
  <c r="H26" i="3"/>
  <c r="K26" i="3"/>
  <c r="N27" i="3"/>
  <c r="H27" i="3"/>
  <c r="K27" i="3"/>
  <c r="N29" i="3"/>
  <c r="H29" i="3"/>
  <c r="K29" i="3"/>
  <c r="N30" i="3"/>
  <c r="H30" i="3"/>
  <c r="K30" i="3"/>
  <c r="N31" i="3"/>
  <c r="H31" i="3"/>
  <c r="K31" i="3"/>
  <c r="N33" i="3"/>
  <c r="H33" i="3"/>
  <c r="K33" i="3"/>
  <c r="N34" i="3"/>
  <c r="H34" i="3"/>
  <c r="K34" i="3"/>
  <c r="N35" i="3"/>
  <c r="H35" i="3"/>
  <c r="K35" i="3"/>
  <c r="N36" i="3"/>
  <c r="H36" i="3"/>
  <c r="K36" i="3"/>
  <c r="N41" i="3"/>
  <c r="H41" i="3"/>
  <c r="K41" i="3"/>
  <c r="N42" i="3"/>
  <c r="H42" i="3"/>
  <c r="K42" i="3"/>
  <c r="N43" i="3"/>
  <c r="H43" i="3"/>
  <c r="K43" i="3"/>
  <c r="N44" i="3"/>
  <c r="H44" i="3"/>
  <c r="K44" i="3"/>
  <c r="N46" i="3"/>
  <c r="H46" i="3"/>
  <c r="K46" i="3"/>
  <c r="N47" i="3"/>
  <c r="H47" i="3"/>
  <c r="K47" i="3"/>
  <c r="N48" i="3"/>
  <c r="H48" i="3"/>
  <c r="K48" i="3"/>
  <c r="N49" i="3"/>
  <c r="H49" i="3"/>
  <c r="K49" i="3"/>
  <c r="N50" i="3"/>
  <c r="H50" i="3"/>
  <c r="K50" i="3"/>
  <c r="N51" i="3"/>
  <c r="H51" i="3"/>
  <c r="K51" i="3"/>
  <c r="N52" i="3"/>
  <c r="H52" i="3"/>
  <c r="K52" i="3"/>
  <c r="N53" i="3"/>
  <c r="H53" i="3"/>
  <c r="K53" i="3"/>
  <c r="N54" i="3"/>
  <c r="H54" i="3"/>
  <c r="K54" i="3"/>
  <c r="N55" i="3"/>
  <c r="H55" i="3"/>
  <c r="K55" i="3"/>
  <c r="N57" i="3"/>
  <c r="H57" i="3"/>
  <c r="K57" i="3"/>
  <c r="N58" i="3"/>
  <c r="H58" i="3"/>
  <c r="K58" i="3"/>
  <c r="N59" i="3"/>
  <c r="H59" i="3"/>
  <c r="K59" i="3"/>
  <c r="N60" i="3"/>
  <c r="H60" i="3"/>
  <c r="K60" i="3"/>
  <c r="N61" i="3"/>
  <c r="H61" i="3"/>
  <c r="K61" i="3"/>
  <c r="N62" i="3"/>
  <c r="H62" i="3"/>
  <c r="K62" i="3"/>
  <c r="N64" i="3"/>
  <c r="H64" i="3"/>
  <c r="K64" i="3"/>
  <c r="N65" i="3"/>
  <c r="H65" i="3"/>
  <c r="K65" i="3"/>
  <c r="N66" i="3"/>
  <c r="H66" i="3"/>
  <c r="K66" i="3"/>
  <c r="N67" i="3"/>
  <c r="H67" i="3"/>
  <c r="K67" i="3"/>
  <c r="N68" i="3"/>
  <c r="H68" i="3"/>
  <c r="K68" i="3"/>
  <c r="N69" i="3"/>
  <c r="H69" i="3"/>
  <c r="K69" i="3"/>
  <c r="N71" i="3"/>
  <c r="H71" i="3"/>
  <c r="K71" i="3"/>
  <c r="N72" i="3"/>
  <c r="H72" i="3"/>
  <c r="K72" i="3"/>
  <c r="N73" i="3"/>
  <c r="H73" i="3"/>
  <c r="K73" i="3"/>
  <c r="N74" i="3"/>
  <c r="H74" i="3"/>
  <c r="K74" i="3"/>
  <c r="N75" i="3"/>
  <c r="H75" i="3"/>
  <c r="K75" i="3"/>
  <c r="N77" i="3"/>
  <c r="H77" i="3"/>
  <c r="K77" i="3"/>
  <c r="N78" i="3"/>
  <c r="H78" i="3"/>
  <c r="K78" i="3"/>
  <c r="N79" i="3"/>
  <c r="H79" i="3"/>
  <c r="K79" i="3"/>
  <c r="N80" i="3"/>
  <c r="H80" i="3"/>
  <c r="K80" i="3"/>
  <c r="N81" i="3"/>
  <c r="H81" i="3"/>
  <c r="K81" i="3"/>
  <c r="N82" i="3"/>
  <c r="H82" i="3"/>
  <c r="K82" i="3"/>
  <c r="N83" i="3"/>
  <c r="H83" i="3"/>
  <c r="K83" i="3"/>
  <c r="N84" i="3"/>
  <c r="H84" i="3"/>
  <c r="K84" i="3"/>
  <c r="N85" i="3"/>
  <c r="H85" i="3"/>
  <c r="K85" i="3"/>
  <c r="N86" i="3"/>
  <c r="H86" i="3"/>
  <c r="K86" i="3"/>
  <c r="N87" i="3"/>
  <c r="H87" i="3"/>
  <c r="K87" i="3"/>
  <c r="N88" i="3"/>
  <c r="H88" i="3"/>
  <c r="K88" i="3"/>
  <c r="N89" i="3"/>
  <c r="H89" i="3"/>
  <c r="K89" i="3"/>
  <c r="N90" i="3"/>
  <c r="H90" i="3"/>
  <c r="K90" i="3"/>
  <c r="N91" i="3"/>
  <c r="H91" i="3"/>
  <c r="K91" i="3"/>
  <c r="N92" i="3"/>
  <c r="H92" i="3"/>
  <c r="K92" i="3"/>
  <c r="N93" i="3"/>
  <c r="H93" i="3"/>
  <c r="K93" i="3"/>
  <c r="N94" i="3"/>
  <c r="H94" i="3"/>
  <c r="K94" i="3"/>
  <c r="N95" i="3"/>
  <c r="H95" i="3"/>
  <c r="K95" i="3"/>
  <c r="N96" i="3"/>
  <c r="H96" i="3"/>
  <c r="K96" i="3"/>
  <c r="N97" i="3"/>
  <c r="H97" i="3"/>
  <c r="K97" i="3"/>
  <c r="N98" i="3"/>
  <c r="H98" i="3"/>
  <c r="K98" i="3"/>
  <c r="N99" i="3"/>
  <c r="H99" i="3"/>
  <c r="K99" i="3"/>
  <c r="N100" i="3"/>
  <c r="H100" i="3"/>
  <c r="K100" i="3"/>
  <c r="N101" i="3"/>
  <c r="H101" i="3"/>
  <c r="K101" i="3"/>
  <c r="N103" i="3"/>
  <c r="H103" i="3"/>
  <c r="K103" i="3"/>
  <c r="N104" i="3"/>
  <c r="H104" i="3"/>
  <c r="K104" i="3"/>
  <c r="N105" i="3"/>
  <c r="H105" i="3"/>
  <c r="K105" i="3"/>
  <c r="N106" i="3"/>
  <c r="H106" i="3"/>
  <c r="K106" i="3"/>
  <c r="N107" i="3"/>
  <c r="H107" i="3"/>
  <c r="K107" i="3"/>
  <c r="N108" i="3"/>
  <c r="H108" i="3"/>
  <c r="K108" i="3"/>
  <c r="N109" i="3"/>
  <c r="H109" i="3"/>
  <c r="K109" i="3"/>
  <c r="N110" i="3"/>
  <c r="H110" i="3"/>
  <c r="K110" i="3"/>
  <c r="N111" i="3"/>
  <c r="H111" i="3"/>
  <c r="K111" i="3"/>
  <c r="N112" i="3"/>
  <c r="H112" i="3"/>
  <c r="K112" i="3"/>
  <c r="N113" i="3"/>
  <c r="H113" i="3"/>
  <c r="K113" i="3"/>
  <c r="N114" i="3"/>
  <c r="H114" i="3"/>
  <c r="K114" i="3"/>
  <c r="N115" i="3"/>
  <c r="H115" i="3"/>
  <c r="K115" i="3"/>
  <c r="N116" i="3"/>
  <c r="H116" i="3"/>
  <c r="K116" i="3"/>
  <c r="N117" i="3"/>
  <c r="H117" i="3"/>
  <c r="K117" i="3"/>
  <c r="N118" i="3"/>
  <c r="H118" i="3"/>
  <c r="K118" i="3"/>
  <c r="N119" i="3"/>
  <c r="H119" i="3"/>
  <c r="K119" i="3"/>
  <c r="N120" i="3"/>
  <c r="H120" i="3"/>
  <c r="K120" i="3"/>
  <c r="N121" i="3"/>
  <c r="H121" i="3"/>
  <c r="K121" i="3"/>
  <c r="N123" i="3"/>
  <c r="H123" i="3"/>
  <c r="K123" i="3"/>
  <c r="N124" i="3"/>
  <c r="H124" i="3"/>
  <c r="K124" i="3"/>
  <c r="N125" i="3"/>
  <c r="H125" i="3"/>
  <c r="K125" i="3"/>
  <c r="N126" i="3"/>
  <c r="H126" i="3"/>
  <c r="K126" i="3"/>
  <c r="N127" i="3"/>
  <c r="H127" i="3"/>
  <c r="K127" i="3"/>
  <c r="N128" i="3"/>
  <c r="H128" i="3"/>
  <c r="K128" i="3"/>
  <c r="N129" i="3"/>
  <c r="H129" i="3"/>
  <c r="K129" i="3"/>
  <c r="N132" i="3"/>
  <c r="H132" i="3"/>
  <c r="K132" i="3"/>
  <c r="N133" i="3"/>
  <c r="H133" i="3"/>
  <c r="K133" i="3"/>
  <c r="N134" i="3"/>
  <c r="H134" i="3"/>
  <c r="K134" i="3"/>
  <c r="N135" i="3"/>
  <c r="H135" i="3"/>
  <c r="K135" i="3"/>
  <c r="N136" i="3"/>
  <c r="H136" i="3"/>
  <c r="K136" i="3"/>
  <c r="N137" i="3"/>
  <c r="H137" i="3"/>
  <c r="K137" i="3"/>
  <c r="N138" i="3"/>
  <c r="H138" i="3"/>
  <c r="K138" i="3"/>
  <c r="N139" i="3"/>
  <c r="H139" i="3"/>
  <c r="K139" i="3"/>
  <c r="N141" i="3"/>
  <c r="H141" i="3"/>
  <c r="K141" i="3"/>
  <c r="N142" i="3"/>
  <c r="H142" i="3"/>
  <c r="K142" i="3"/>
  <c r="N143" i="3"/>
  <c r="H143" i="3"/>
  <c r="K143" i="3"/>
  <c r="N144" i="3"/>
  <c r="H144" i="3"/>
  <c r="K144" i="3"/>
  <c r="N145" i="3"/>
  <c r="H145" i="3"/>
  <c r="K145" i="3"/>
  <c r="N146" i="3"/>
  <c r="H146" i="3"/>
  <c r="K146" i="3"/>
  <c r="N147" i="3"/>
  <c r="H147" i="3"/>
  <c r="K147" i="3"/>
  <c r="N148" i="3"/>
  <c r="H148" i="3"/>
  <c r="K148" i="3"/>
  <c r="N149" i="3"/>
  <c r="H149" i="3"/>
  <c r="K149" i="3"/>
  <c r="N150" i="3"/>
  <c r="H150" i="3"/>
  <c r="K150" i="3"/>
  <c r="N151" i="3"/>
  <c r="H151" i="3"/>
  <c r="K151" i="3"/>
  <c r="N152" i="3"/>
  <c r="H152" i="3"/>
  <c r="K152" i="3"/>
  <c r="N153" i="3"/>
  <c r="H153" i="3"/>
  <c r="K153" i="3"/>
  <c r="N154" i="3"/>
  <c r="H154" i="3"/>
  <c r="K154" i="3"/>
  <c r="N60" i="12"/>
  <c r="K60" i="12"/>
  <c r="H60" i="12"/>
  <c r="E60" i="12"/>
  <c r="E34" i="12"/>
  <c r="K34" i="12"/>
  <c r="N34" i="12"/>
  <c r="E35" i="12"/>
  <c r="H35" i="12"/>
  <c r="K35" i="12"/>
  <c r="N35" i="12"/>
  <c r="E36" i="12"/>
  <c r="H36" i="12"/>
  <c r="E40" i="12"/>
  <c r="H40" i="12"/>
  <c r="K40" i="12"/>
  <c r="N40" i="12"/>
  <c r="E41" i="12"/>
  <c r="H41" i="12"/>
  <c r="K41" i="12"/>
  <c r="N41" i="12"/>
  <c r="E42" i="12"/>
  <c r="H42" i="12"/>
  <c r="K42" i="12"/>
  <c r="N42" i="12"/>
  <c r="E43" i="12"/>
  <c r="H43" i="12"/>
  <c r="K43" i="12"/>
  <c r="N43" i="12"/>
  <c r="E44" i="12"/>
  <c r="H44" i="12"/>
  <c r="K44" i="12"/>
  <c r="N44" i="12"/>
  <c r="E45" i="12"/>
  <c r="H45" i="12"/>
  <c r="K45" i="12"/>
  <c r="N45" i="12"/>
  <c r="E46" i="12"/>
  <c r="H46" i="12"/>
  <c r="K46" i="12"/>
  <c r="N46" i="12"/>
  <c r="E47" i="12"/>
  <c r="H47" i="12"/>
  <c r="K47" i="12"/>
  <c r="N47" i="12"/>
  <c r="E48" i="12"/>
  <c r="H48" i="12"/>
  <c r="K48" i="12"/>
  <c r="N48" i="12"/>
  <c r="E49" i="12"/>
  <c r="H49" i="12"/>
  <c r="K49" i="12"/>
  <c r="N49" i="12"/>
  <c r="E50" i="12"/>
  <c r="H50" i="12"/>
  <c r="K50" i="12"/>
  <c r="N50" i="12"/>
  <c r="E51" i="12"/>
  <c r="H51" i="12"/>
  <c r="K51" i="12"/>
  <c r="N51" i="12"/>
  <c r="E52" i="12"/>
  <c r="H52" i="12"/>
  <c r="K52" i="12"/>
  <c r="N52" i="12"/>
  <c r="E53" i="12"/>
  <c r="H53" i="12"/>
  <c r="K53" i="12"/>
  <c r="N53" i="12"/>
  <c r="E54" i="12"/>
  <c r="H54" i="12"/>
  <c r="K54" i="12"/>
  <c r="N54" i="12"/>
  <c r="E55" i="12"/>
  <c r="H55" i="12"/>
  <c r="K55" i="12"/>
  <c r="N55" i="12"/>
  <c r="E56" i="12"/>
  <c r="H56" i="12"/>
  <c r="K56" i="12"/>
  <c r="N56" i="12"/>
  <c r="N33" i="12"/>
  <c r="K33" i="12"/>
  <c r="E33" i="12"/>
  <c r="K18" i="12"/>
  <c r="N18" i="12"/>
  <c r="K19" i="12"/>
  <c r="N19" i="12"/>
  <c r="K20" i="12"/>
  <c r="N20" i="12"/>
  <c r="K21" i="12"/>
  <c r="N21" i="12"/>
  <c r="K22" i="12"/>
  <c r="N22" i="12"/>
  <c r="K23" i="12"/>
  <c r="N23" i="12"/>
  <c r="K24" i="12"/>
  <c r="N24" i="12"/>
  <c r="K25" i="12"/>
  <c r="N25" i="12"/>
  <c r="K26" i="12"/>
  <c r="N26" i="12"/>
  <c r="N17" i="12"/>
  <c r="K17" i="12"/>
  <c r="N9" i="12"/>
  <c r="N11" i="12"/>
  <c r="N12" i="12"/>
  <c r="N6" i="12"/>
  <c r="E7" i="12"/>
  <c r="H7" i="12"/>
  <c r="E9" i="12"/>
  <c r="H9" i="12"/>
  <c r="K9" i="12"/>
  <c r="E11" i="12"/>
  <c r="H11" i="12"/>
  <c r="K11" i="12"/>
  <c r="E12" i="12"/>
  <c r="H12" i="12"/>
  <c r="K12" i="12"/>
  <c r="H6" i="12"/>
  <c r="K6" i="12"/>
  <c r="E17" i="12"/>
  <c r="E27" i="12" s="1"/>
  <c r="E6" i="12"/>
  <c r="F5" i="4"/>
  <c r="C5" i="4"/>
  <c r="H5" i="11"/>
  <c r="E5" i="11"/>
  <c r="H5" i="10"/>
  <c r="E5" i="10"/>
  <c r="H5" i="9"/>
  <c r="E5" i="9"/>
  <c r="J5" i="8"/>
  <c r="G5" i="8"/>
  <c r="H5" i="7"/>
  <c r="E5" i="7"/>
  <c r="H5" i="6"/>
  <c r="E5" i="6"/>
  <c r="H5" i="5"/>
  <c r="E5" i="5"/>
  <c r="H5" i="12"/>
  <c r="E5" i="12"/>
  <c r="H164" i="3"/>
  <c r="K326" i="3"/>
  <c r="H326" i="3"/>
  <c r="N326" i="3"/>
  <c r="K164" i="3"/>
  <c r="N164" i="3"/>
  <c r="K7" i="3"/>
  <c r="H7" i="3"/>
  <c r="N7" i="3"/>
  <c r="H4" i="3"/>
  <c r="H325" i="3" s="1"/>
  <c r="N4" i="3"/>
  <c r="N163" i="3" s="1"/>
  <c r="K11" i="9" l="1"/>
  <c r="E11" i="9"/>
  <c r="N11" i="9"/>
  <c r="H11" i="9"/>
  <c r="F19" i="4"/>
  <c r="E9" i="24"/>
  <c r="E24" i="24"/>
  <c r="E29" i="6"/>
  <c r="E56" i="6"/>
  <c r="C24" i="4"/>
  <c r="F19" i="5"/>
  <c r="F17" i="5"/>
  <c r="E47" i="11"/>
  <c r="K47" i="11"/>
  <c r="H47" i="11"/>
  <c r="N47" i="11"/>
  <c r="K27" i="12"/>
  <c r="N27" i="12"/>
  <c r="H27" i="12"/>
  <c r="E55" i="7"/>
  <c r="C12" i="4"/>
  <c r="E27" i="10"/>
  <c r="L12" i="4"/>
  <c r="G48" i="8"/>
  <c r="E20" i="9"/>
  <c r="I12" i="4"/>
  <c r="F12" i="4"/>
  <c r="K14" i="6"/>
  <c r="N14" i="6"/>
  <c r="K29" i="6"/>
  <c r="J48" i="8"/>
  <c r="H20" i="9"/>
  <c r="P48" i="8"/>
  <c r="H29" i="6"/>
  <c r="M48" i="8"/>
  <c r="N14" i="10"/>
  <c r="K55" i="7"/>
  <c r="H49" i="5"/>
  <c r="L40" i="4"/>
  <c r="N49" i="5"/>
  <c r="G76" i="8"/>
  <c r="K27" i="10"/>
  <c r="I40" i="4"/>
  <c r="H27" i="10"/>
  <c r="L24" i="4"/>
  <c r="I24" i="4"/>
  <c r="F24" i="4"/>
  <c r="F10" i="4"/>
  <c r="E14" i="10"/>
  <c r="E45" i="10"/>
  <c r="E32" i="7"/>
  <c r="E12" i="11"/>
  <c r="E14" i="12"/>
  <c r="F13" i="12" s="1"/>
  <c r="N320" i="3"/>
  <c r="G29" i="8"/>
  <c r="C10" i="4"/>
  <c r="E14" i="6"/>
  <c r="H320" i="3"/>
  <c r="N55" i="7"/>
  <c r="H55" i="7"/>
  <c r="H160" i="3"/>
  <c r="E80" i="7"/>
  <c r="H14" i="12"/>
  <c r="I13" i="12" s="1"/>
  <c r="N10" i="5"/>
  <c r="O48" i="5" s="1"/>
  <c r="K49" i="5"/>
  <c r="K25" i="14"/>
  <c r="E35" i="9"/>
  <c r="K10" i="5"/>
  <c r="L48" i="5" s="1"/>
  <c r="N14" i="12"/>
  <c r="N25" i="14"/>
  <c r="H21" i="14"/>
  <c r="F51" i="4"/>
  <c r="F49" i="4"/>
  <c r="F43" i="4"/>
  <c r="F42" i="4"/>
  <c r="F41" i="4"/>
  <c r="F40" i="4"/>
  <c r="F38" i="4"/>
  <c r="F36" i="4"/>
  <c r="F35" i="4"/>
  <c r="F34" i="4"/>
  <c r="F31" i="4"/>
  <c r="F30" i="4"/>
  <c r="F29" i="4"/>
  <c r="F28" i="4"/>
  <c r="F26" i="4"/>
  <c r="F22" i="4"/>
  <c r="F21" i="4"/>
  <c r="F18" i="4"/>
  <c r="F17" i="4"/>
  <c r="F16" i="4"/>
  <c r="F15" i="4"/>
  <c r="F14" i="4"/>
  <c r="F13" i="4"/>
  <c r="F11" i="4"/>
  <c r="H10" i="5"/>
  <c r="I48" i="5" s="1"/>
  <c r="E49" i="5"/>
  <c r="K21" i="14"/>
  <c r="K14" i="12"/>
  <c r="E57" i="12"/>
  <c r="C40" i="4"/>
  <c r="N27" i="10"/>
  <c r="N21" i="14"/>
  <c r="K320" i="3"/>
  <c r="N22" i="14"/>
  <c r="F16" i="5"/>
  <c r="L10" i="4"/>
  <c r="I10" i="4"/>
  <c r="C43" i="4"/>
  <c r="C16" i="4"/>
  <c r="C42" i="4"/>
  <c r="L51" i="4"/>
  <c r="L49" i="4"/>
  <c r="L43" i="4"/>
  <c r="L42" i="4"/>
  <c r="L41" i="4"/>
  <c r="L38" i="4"/>
  <c r="L36" i="4"/>
  <c r="L35" i="4"/>
  <c r="L34" i="4"/>
  <c r="L31" i="4"/>
  <c r="M31" i="4" s="1"/>
  <c r="L30" i="4"/>
  <c r="L29" i="4"/>
  <c r="L28" i="4"/>
  <c r="L26" i="4"/>
  <c r="L22" i="4"/>
  <c r="L21" i="4"/>
  <c r="L18" i="4"/>
  <c r="L17" i="4"/>
  <c r="L16" i="4"/>
  <c r="L15" i="4"/>
  <c r="L14" i="4"/>
  <c r="L13" i="4"/>
  <c r="L11" i="4"/>
  <c r="I51" i="4"/>
  <c r="I49" i="4"/>
  <c r="I43" i="4"/>
  <c r="I42" i="4"/>
  <c r="I41" i="4"/>
  <c r="I38" i="4"/>
  <c r="I36" i="4"/>
  <c r="I35" i="4"/>
  <c r="I34" i="4"/>
  <c r="I31" i="4"/>
  <c r="J31" i="4" s="1"/>
  <c r="I30" i="4"/>
  <c r="I29" i="4"/>
  <c r="I28" i="4"/>
  <c r="I26" i="4"/>
  <c r="I22" i="4"/>
  <c r="I21" i="4"/>
  <c r="I18" i="4"/>
  <c r="I17" i="4"/>
  <c r="I16" i="4"/>
  <c r="I15" i="4"/>
  <c r="I14" i="4"/>
  <c r="I13" i="4"/>
  <c r="I11" i="4"/>
  <c r="K12" i="11"/>
  <c r="J76" i="8"/>
  <c r="M76" i="8"/>
  <c r="N80" i="7"/>
  <c r="H32" i="7"/>
  <c r="P76" i="8"/>
  <c r="N32" i="7"/>
  <c r="P29" i="8"/>
  <c r="H14" i="10"/>
  <c r="J29" i="8"/>
  <c r="H12" i="11"/>
  <c r="C51" i="4"/>
  <c r="C49" i="4"/>
  <c r="C41" i="4"/>
  <c r="C38" i="4"/>
  <c r="C36" i="4"/>
  <c r="C35" i="4"/>
  <c r="C34" i="4"/>
  <c r="C31" i="4"/>
  <c r="C30" i="4"/>
  <c r="C29" i="4"/>
  <c r="C28" i="4"/>
  <c r="C26" i="4"/>
  <c r="C22" i="4"/>
  <c r="C21" i="4"/>
  <c r="C18" i="4"/>
  <c r="C17" i="4"/>
  <c r="C15" i="4"/>
  <c r="C14" i="4"/>
  <c r="C13" i="4"/>
  <c r="C11" i="4"/>
  <c r="F31" i="5"/>
  <c r="H56" i="6"/>
  <c r="M29" i="8"/>
  <c r="H14" i="6"/>
  <c r="K56" i="6"/>
  <c r="N56" i="6"/>
  <c r="H80" i="7"/>
  <c r="K14" i="10"/>
  <c r="H45" i="10"/>
  <c r="N45" i="10"/>
  <c r="N38" i="14"/>
  <c r="H35" i="9"/>
  <c r="N12" i="11"/>
  <c r="K32" i="7"/>
  <c r="K80" i="7"/>
  <c r="K35" i="9"/>
  <c r="K45" i="10"/>
  <c r="N160" i="3"/>
  <c r="K160" i="3"/>
  <c r="K57" i="12"/>
  <c r="N57" i="12"/>
  <c r="H57" i="12"/>
  <c r="N639" i="3"/>
  <c r="H639" i="3"/>
  <c r="K639" i="3"/>
  <c r="N325" i="3"/>
  <c r="H163" i="3"/>
  <c r="I18" i="7" l="1"/>
  <c r="I22" i="7"/>
  <c r="F18" i="7"/>
  <c r="F22" i="7"/>
  <c r="O18" i="7"/>
  <c r="O22" i="7"/>
  <c r="L18" i="7"/>
  <c r="L22" i="7"/>
  <c r="I11" i="7"/>
  <c r="I14" i="7"/>
  <c r="L11" i="7"/>
  <c r="L14" i="7"/>
  <c r="O11" i="7"/>
  <c r="O14" i="7"/>
  <c r="F11" i="7"/>
  <c r="F14" i="7"/>
  <c r="I56" i="3"/>
  <c r="I203" i="3"/>
  <c r="I180" i="3"/>
  <c r="I189" i="3"/>
  <c r="I196" i="3"/>
  <c r="L56" i="3"/>
  <c r="L203" i="3"/>
  <c r="L180" i="3"/>
  <c r="L196" i="3"/>
  <c r="L189" i="3"/>
  <c r="O56" i="3"/>
  <c r="O189" i="3"/>
  <c r="O203" i="3"/>
  <c r="O196" i="3"/>
  <c r="O180" i="3"/>
  <c r="L70" i="3"/>
  <c r="L63" i="3"/>
  <c r="O70" i="3"/>
  <c r="O63" i="3"/>
  <c r="I70" i="3"/>
  <c r="I63" i="3"/>
  <c r="L45" i="3"/>
  <c r="O45" i="3"/>
  <c r="I45" i="3"/>
  <c r="F7" i="9"/>
  <c r="F15" i="9"/>
  <c r="L7" i="9"/>
  <c r="L15" i="9"/>
  <c r="O7" i="9"/>
  <c r="O15" i="9"/>
  <c r="I7" i="9"/>
  <c r="I15" i="9"/>
  <c r="I465" i="3"/>
  <c r="L465" i="3"/>
  <c r="O465" i="3"/>
  <c r="I303" i="3"/>
  <c r="L303" i="3"/>
  <c r="O303" i="3"/>
  <c r="I173" i="3"/>
  <c r="I291" i="3"/>
  <c r="L173" i="3"/>
  <c r="L291" i="3"/>
  <c r="O173" i="3"/>
  <c r="O291" i="3"/>
  <c r="I131" i="3"/>
  <c r="I174" i="3"/>
  <c r="I175" i="3"/>
  <c r="L131" i="3"/>
  <c r="L174" i="3"/>
  <c r="L175" i="3"/>
  <c r="O131" i="3"/>
  <c r="O175" i="3"/>
  <c r="O174" i="3"/>
  <c r="I38" i="3"/>
  <c r="I130" i="3"/>
  <c r="O38" i="3"/>
  <c r="O130" i="3"/>
  <c r="L38" i="3"/>
  <c r="L130" i="3"/>
  <c r="I39" i="3"/>
  <c r="I40" i="3"/>
  <c r="O39" i="3"/>
  <c r="O40" i="3"/>
  <c r="L39" i="3"/>
  <c r="L40" i="3"/>
  <c r="I17" i="3"/>
  <c r="I13" i="3"/>
  <c r="L17" i="3"/>
  <c r="L13" i="3"/>
  <c r="O17" i="3"/>
  <c r="O13" i="3"/>
  <c r="I102" i="3"/>
  <c r="I469" i="3"/>
  <c r="I415" i="3"/>
  <c r="I521" i="3"/>
  <c r="I375" i="3"/>
  <c r="I466" i="3"/>
  <c r="I421" i="3"/>
  <c r="I527" i="3"/>
  <c r="I372" i="3"/>
  <c r="I418" i="3"/>
  <c r="I524" i="3"/>
  <c r="I367" i="3"/>
  <c r="I424" i="3"/>
  <c r="I523" i="3"/>
  <c r="I476" i="3"/>
  <c r="I369" i="3"/>
  <c r="I404" i="3"/>
  <c r="I436" i="3"/>
  <c r="I368" i="3"/>
  <c r="I392" i="3"/>
  <c r="I288" i="3"/>
  <c r="I414" i="3"/>
  <c r="I624" i="3"/>
  <c r="I332" i="3"/>
  <c r="I445" i="3"/>
  <c r="I534" i="3"/>
  <c r="I312" i="3"/>
  <c r="I499" i="3"/>
  <c r="I520" i="3"/>
  <c r="I631" i="3"/>
  <c r="I470" i="3"/>
  <c r="I209" i="3"/>
  <c r="I620" i="3"/>
  <c r="I239" i="3"/>
  <c r="I560" i="3"/>
  <c r="I363" i="3"/>
  <c r="I370" i="3"/>
  <c r="I417" i="3"/>
  <c r="I510" i="3"/>
  <c r="I362" i="3"/>
  <c r="I371" i="3"/>
  <c r="I526" i="3"/>
  <c r="I171" i="3"/>
  <c r="I344" i="3"/>
  <c r="I447" i="3"/>
  <c r="I530" i="3"/>
  <c r="I218" i="3"/>
  <c r="I548" i="3"/>
  <c r="I284" i="3"/>
  <c r="I420" i="3"/>
  <c r="I464" i="3"/>
  <c r="I374" i="3"/>
  <c r="I529" i="3"/>
  <c r="I610" i="3"/>
  <c r="I416" i="3"/>
  <c r="I366" i="3"/>
  <c r="I353" i="3"/>
  <c r="I167" i="3"/>
  <c r="I423" i="3"/>
  <c r="I522" i="3"/>
  <c r="I582" i="3"/>
  <c r="I471" i="3"/>
  <c r="I525" i="3"/>
  <c r="I419" i="3"/>
  <c r="I568" i="3"/>
  <c r="I279" i="3"/>
  <c r="I528" i="3"/>
  <c r="I468" i="3"/>
  <c r="I378" i="3"/>
  <c r="I373" i="3"/>
  <c r="I454" i="3"/>
  <c r="I364" i="3"/>
  <c r="I422" i="3"/>
  <c r="I467" i="3"/>
  <c r="I376" i="3"/>
  <c r="I487" i="3"/>
  <c r="L102" i="3"/>
  <c r="L417" i="3"/>
  <c r="L370" i="3"/>
  <c r="L523" i="3"/>
  <c r="L218" i="3"/>
  <c r="L468" i="3"/>
  <c r="L414" i="3"/>
  <c r="L423" i="3"/>
  <c r="L520" i="3"/>
  <c r="L529" i="3"/>
  <c r="L374" i="3"/>
  <c r="L353" i="3"/>
  <c r="L464" i="3"/>
  <c r="L420" i="3"/>
  <c r="L279" i="3"/>
  <c r="L526" i="3"/>
  <c r="L371" i="3"/>
  <c r="L445" i="3"/>
  <c r="L476" i="3"/>
  <c r="L404" i="3"/>
  <c r="L620" i="3"/>
  <c r="L312" i="3"/>
  <c r="L436" i="3"/>
  <c r="L368" i="3"/>
  <c r="L392" i="3"/>
  <c r="L521" i="3"/>
  <c r="L631" i="3"/>
  <c r="L487" i="3"/>
  <c r="L522" i="3"/>
  <c r="L367" i="3"/>
  <c r="L582" i="3"/>
  <c r="L332" i="3"/>
  <c r="L369" i="3"/>
  <c r="L499" i="3"/>
  <c r="L167" i="3"/>
  <c r="L344" i="3"/>
  <c r="L447" i="3"/>
  <c r="L424" i="3"/>
  <c r="L524" i="3"/>
  <c r="L525" i="3"/>
  <c r="L366" i="3"/>
  <c r="L419" i="3"/>
  <c r="L373" i="3"/>
  <c r="L528" i="3"/>
  <c r="L416" i="3"/>
  <c r="L209" i="3"/>
  <c r="L568" i="3"/>
  <c r="L454" i="3"/>
  <c r="L364" i="3"/>
  <c r="L422" i="3"/>
  <c r="L467" i="3"/>
  <c r="L560" i="3"/>
  <c r="L376" i="3"/>
  <c r="L530" i="3"/>
  <c r="L624" i="3"/>
  <c r="L418" i="3"/>
  <c r="L288" i="3"/>
  <c r="L415" i="3"/>
  <c r="L378" i="3"/>
  <c r="L510" i="3"/>
  <c r="L372" i="3"/>
  <c r="L527" i="3"/>
  <c r="L171" i="3"/>
  <c r="L421" i="3"/>
  <c r="L239" i="3"/>
  <c r="L610" i="3"/>
  <c r="L363" i="3"/>
  <c r="L470" i="3"/>
  <c r="L284" i="3"/>
  <c r="L362" i="3"/>
  <c r="L466" i="3"/>
  <c r="L375" i="3"/>
  <c r="L469" i="3"/>
  <c r="L471" i="3"/>
  <c r="L534" i="3"/>
  <c r="L548" i="3"/>
  <c r="O102" i="3"/>
  <c r="O419" i="3"/>
  <c r="O525" i="3"/>
  <c r="O470" i="3"/>
  <c r="O416" i="3"/>
  <c r="O522" i="3"/>
  <c r="O467" i="3"/>
  <c r="O422" i="3"/>
  <c r="O528" i="3"/>
  <c r="O373" i="3"/>
  <c r="O620" i="3"/>
  <c r="O312" i="3"/>
  <c r="O436" i="3"/>
  <c r="O521" i="3"/>
  <c r="O631" i="3"/>
  <c r="O288" i="3"/>
  <c r="O487" i="3"/>
  <c r="O624" i="3"/>
  <c r="O526" i="3"/>
  <c r="O369" i="3"/>
  <c r="O499" i="3"/>
  <c r="O520" i="3"/>
  <c r="O423" i="3"/>
  <c r="O167" i="3"/>
  <c r="O447" i="3"/>
  <c r="O370" i="3"/>
  <c r="O424" i="3"/>
  <c r="O332" i="3"/>
  <c r="O445" i="3"/>
  <c r="O476" i="3"/>
  <c r="O362" i="3"/>
  <c r="O404" i="3"/>
  <c r="O466" i="3"/>
  <c r="O414" i="3"/>
  <c r="O469" i="3"/>
  <c r="O523" i="3"/>
  <c r="O367" i="3"/>
  <c r="O284" i="3"/>
  <c r="O510" i="3"/>
  <c r="O420" i="3"/>
  <c r="O534" i="3"/>
  <c r="O417" i="3"/>
  <c r="O582" i="3"/>
  <c r="O371" i="3"/>
  <c r="O366" i="3"/>
  <c r="O464" i="3"/>
  <c r="O374" i="3"/>
  <c r="O529" i="3"/>
  <c r="O364" i="3"/>
  <c r="O392" i="3"/>
  <c r="O218" i="3"/>
  <c r="O471" i="3"/>
  <c r="O279" i="3"/>
  <c r="O568" i="3"/>
  <c r="O353" i="3"/>
  <c r="O454" i="3"/>
  <c r="O468" i="3"/>
  <c r="O560" i="3"/>
  <c r="O376" i="3"/>
  <c r="O530" i="3"/>
  <c r="O372" i="3"/>
  <c r="O368" i="3"/>
  <c r="O415" i="3"/>
  <c r="O363" i="3"/>
  <c r="O378" i="3"/>
  <c r="O524" i="3"/>
  <c r="O209" i="3"/>
  <c r="O527" i="3"/>
  <c r="O171" i="3"/>
  <c r="O421" i="3"/>
  <c r="O239" i="3"/>
  <c r="O375" i="3"/>
  <c r="O610" i="3"/>
  <c r="O344" i="3"/>
  <c r="O548" i="3"/>
  <c r="O418" i="3"/>
  <c r="L32" i="3"/>
  <c r="L76" i="3"/>
  <c r="I32" i="3"/>
  <c r="I76" i="3"/>
  <c r="O32" i="3"/>
  <c r="O76" i="3"/>
  <c r="L23" i="3"/>
  <c r="L28" i="3"/>
  <c r="I23" i="3"/>
  <c r="I28" i="3"/>
  <c r="O23" i="3"/>
  <c r="O28" i="3"/>
  <c r="I16" i="3"/>
  <c r="I18" i="3"/>
  <c r="I19" i="3"/>
  <c r="L16" i="3"/>
  <c r="L19" i="3"/>
  <c r="L18" i="3"/>
  <c r="O16" i="3"/>
  <c r="O18" i="3"/>
  <c r="O19" i="3"/>
  <c r="I14" i="3"/>
  <c r="I15" i="3"/>
  <c r="L14" i="3"/>
  <c r="L15" i="3"/>
  <c r="O14" i="3"/>
  <c r="O15" i="3"/>
  <c r="I11" i="3"/>
  <c r="I12" i="3"/>
  <c r="L11" i="3"/>
  <c r="L12" i="3"/>
  <c r="O11" i="3"/>
  <c r="O12" i="3"/>
  <c r="O8" i="12"/>
  <c r="O10" i="12"/>
  <c r="L8" i="12"/>
  <c r="L10" i="12"/>
  <c r="O13" i="12"/>
  <c r="O7" i="12"/>
  <c r="L13" i="12"/>
  <c r="L7" i="12"/>
  <c r="I623" i="3"/>
  <c r="L623" i="3"/>
  <c r="O623" i="3"/>
  <c r="I619" i="3"/>
  <c r="I601" i="3"/>
  <c r="L619" i="3"/>
  <c r="L601" i="3"/>
  <c r="O619" i="3"/>
  <c r="O601" i="3"/>
  <c r="H47" i="24"/>
  <c r="H28" i="25"/>
  <c r="K7" i="24"/>
  <c r="H7" i="24"/>
  <c r="E10" i="24"/>
  <c r="E7" i="25"/>
  <c r="K29" i="24"/>
  <c r="K18" i="25"/>
  <c r="K27" i="24"/>
  <c r="K16" i="25"/>
  <c r="K49" i="24"/>
  <c r="K30" i="25"/>
  <c r="K45" i="24"/>
  <c r="K26" i="25"/>
  <c r="N11" i="24"/>
  <c r="N8" i="25"/>
  <c r="K15" i="24"/>
  <c r="K12" i="25"/>
  <c r="K9" i="24"/>
  <c r="E46" i="24"/>
  <c r="E27" i="25"/>
  <c r="E13" i="24"/>
  <c r="E10" i="25"/>
  <c r="H27" i="24"/>
  <c r="H16" i="25"/>
  <c r="N10" i="24"/>
  <c r="N7" i="25"/>
  <c r="K24" i="24"/>
  <c r="H42" i="24"/>
  <c r="K48" i="24"/>
  <c r="K29" i="25"/>
  <c r="N49" i="24"/>
  <c r="N30" i="25"/>
  <c r="H10" i="24"/>
  <c r="H7" i="25"/>
  <c r="H15" i="24"/>
  <c r="H12" i="25"/>
  <c r="N47" i="24"/>
  <c r="N28" i="25"/>
  <c r="E44" i="24"/>
  <c r="E48" i="24"/>
  <c r="E29" i="25"/>
  <c r="E12" i="24"/>
  <c r="E9" i="25"/>
  <c r="E49" i="24"/>
  <c r="E30" i="25"/>
  <c r="H31" i="24"/>
  <c r="H20" i="25"/>
  <c r="H44" i="24"/>
  <c r="K13" i="24"/>
  <c r="K10" i="25"/>
  <c r="K10" i="24"/>
  <c r="K7" i="25"/>
  <c r="E31" i="24"/>
  <c r="E20" i="25"/>
  <c r="N57" i="24"/>
  <c r="N33" i="25"/>
  <c r="N7" i="24"/>
  <c r="N44" i="24"/>
  <c r="E29" i="24"/>
  <c r="E18" i="25"/>
  <c r="K12" i="24"/>
  <c r="K9" i="25"/>
  <c r="K28" i="24"/>
  <c r="K17" i="25"/>
  <c r="H48" i="24"/>
  <c r="H29" i="25"/>
  <c r="N24" i="24"/>
  <c r="K46" i="24"/>
  <c r="K27" i="25"/>
  <c r="H12" i="24"/>
  <c r="H9" i="25"/>
  <c r="H9" i="24"/>
  <c r="N29" i="24"/>
  <c r="N18" i="25"/>
  <c r="H57" i="24"/>
  <c r="H33" i="25"/>
  <c r="E45" i="24"/>
  <c r="E26" i="25"/>
  <c r="K11" i="24"/>
  <c r="K8" i="25"/>
  <c r="K14" i="24"/>
  <c r="K11" i="25"/>
  <c r="N46" i="24"/>
  <c r="N27" i="25"/>
  <c r="E7" i="24"/>
  <c r="K31" i="24"/>
  <c r="K20" i="25"/>
  <c r="H30" i="24"/>
  <c r="H19" i="25"/>
  <c r="K57" i="24"/>
  <c r="K33" i="25"/>
  <c r="N45" i="24"/>
  <c r="N26" i="25"/>
  <c r="N12" i="24"/>
  <c r="N9" i="25"/>
  <c r="E11" i="24"/>
  <c r="E8" i="25"/>
  <c r="N42" i="24"/>
  <c r="H49" i="24"/>
  <c r="H30" i="25"/>
  <c r="H11" i="24"/>
  <c r="H8" i="25"/>
  <c r="N31" i="24"/>
  <c r="N20" i="25"/>
  <c r="H28" i="24"/>
  <c r="H17" i="25"/>
  <c r="E14" i="24"/>
  <c r="E11" i="25"/>
  <c r="K42" i="24"/>
  <c r="H45" i="24"/>
  <c r="H26" i="25"/>
  <c r="H14" i="24"/>
  <c r="H11" i="25"/>
  <c r="K44" i="24"/>
  <c r="N28" i="24"/>
  <c r="N17" i="25"/>
  <c r="N14" i="24"/>
  <c r="N11" i="25"/>
  <c r="E28" i="24"/>
  <c r="E17" i="25"/>
  <c r="E27" i="24"/>
  <c r="E16" i="25"/>
  <c r="N15" i="24"/>
  <c r="N12" i="25"/>
  <c r="H46" i="24"/>
  <c r="H27" i="25"/>
  <c r="H13" i="24"/>
  <c r="H10" i="25"/>
  <c r="K47" i="24"/>
  <c r="K28" i="25"/>
  <c r="E42" i="24"/>
  <c r="N9" i="24"/>
  <c r="E15" i="24"/>
  <c r="E12" i="25"/>
  <c r="E47" i="24"/>
  <c r="E28" i="25"/>
  <c r="N13" i="24"/>
  <c r="N10" i="25"/>
  <c r="H29" i="24"/>
  <c r="H18" i="25"/>
  <c r="E30" i="24"/>
  <c r="E19" i="25"/>
  <c r="H24" i="24"/>
  <c r="E57" i="24"/>
  <c r="E33" i="25"/>
  <c r="K35" i="14"/>
  <c r="K38" i="14"/>
  <c r="H12" i="23"/>
  <c r="I32" i="23" s="1"/>
  <c r="H34" i="14"/>
  <c r="N32" i="14"/>
  <c r="N46" i="8"/>
  <c r="N26" i="14"/>
  <c r="H23" i="14"/>
  <c r="F40" i="10"/>
  <c r="K23" i="14"/>
  <c r="N24" i="14"/>
  <c r="H42" i="14"/>
  <c r="E35" i="14"/>
  <c r="K32" i="14"/>
  <c r="L34" i="10"/>
  <c r="H35" i="14"/>
  <c r="I40" i="10"/>
  <c r="N36" i="14"/>
  <c r="K34" i="14"/>
  <c r="N23" i="14"/>
  <c r="K26" i="14"/>
  <c r="H25" i="14"/>
  <c r="E23" i="14"/>
  <c r="K42" i="14"/>
  <c r="E22" i="14"/>
  <c r="N39" i="14"/>
  <c r="E38" i="14"/>
  <c r="E39" i="14"/>
  <c r="N42" i="14"/>
  <c r="K36" i="14"/>
  <c r="K46" i="8"/>
  <c r="N15" i="14"/>
  <c r="H36" i="14"/>
  <c r="K37" i="14"/>
  <c r="E32" i="14"/>
  <c r="E37" i="14"/>
  <c r="H24" i="14"/>
  <c r="E25" i="14"/>
  <c r="H19" i="14"/>
  <c r="E42" i="14"/>
  <c r="H32" i="14"/>
  <c r="N37" i="14"/>
  <c r="H26" i="14"/>
  <c r="K13" i="14"/>
  <c r="H39" i="14"/>
  <c r="H38" i="14"/>
  <c r="N35" i="14"/>
  <c r="Q46" i="8"/>
  <c r="H37" i="14"/>
  <c r="N34" i="14"/>
  <c r="K24" i="14"/>
  <c r="K22" i="14"/>
  <c r="E24" i="14"/>
  <c r="N19" i="14"/>
  <c r="K39" i="14"/>
  <c r="K15" i="14"/>
  <c r="E36" i="14"/>
  <c r="F8" i="9"/>
  <c r="H22" i="14"/>
  <c r="K19" i="14"/>
  <c r="H46" i="8"/>
  <c r="E12" i="14"/>
  <c r="L295" i="3"/>
  <c r="O295" i="3"/>
  <c r="I295" i="3"/>
  <c r="O46" i="11"/>
  <c r="O8" i="11"/>
  <c r="I46" i="11"/>
  <c r="I8" i="11"/>
  <c r="F46" i="11"/>
  <c r="F8" i="11"/>
  <c r="L46" i="11"/>
  <c r="L8" i="11"/>
  <c r="O275" i="3"/>
  <c r="I28" i="6"/>
  <c r="I26" i="6"/>
  <c r="F28" i="6"/>
  <c r="F26" i="6"/>
  <c r="I275" i="3"/>
  <c r="L28" i="6"/>
  <c r="L26" i="6"/>
  <c r="O28" i="6"/>
  <c r="O26" i="6"/>
  <c r="L275" i="3"/>
  <c r="O36" i="12"/>
  <c r="O38" i="12"/>
  <c r="O37" i="12"/>
  <c r="O39" i="12"/>
  <c r="L36" i="12"/>
  <c r="L37" i="12"/>
  <c r="L39" i="12"/>
  <c r="L38" i="12"/>
  <c r="O38" i="6"/>
  <c r="O37" i="6"/>
  <c r="L38" i="6"/>
  <c r="L37" i="6"/>
  <c r="O40" i="10"/>
  <c r="O34" i="10"/>
  <c r="O17" i="5"/>
  <c r="L17" i="5"/>
  <c r="I17" i="5"/>
  <c r="L40" i="10"/>
  <c r="O17" i="11"/>
  <c r="O45" i="11"/>
  <c r="H15" i="14"/>
  <c r="I45" i="11"/>
  <c r="L23" i="11"/>
  <c r="L45" i="11"/>
  <c r="E14" i="11"/>
  <c r="E49" i="11" s="1"/>
  <c r="E53" i="11" s="1"/>
  <c r="F45" i="11"/>
  <c r="I38" i="6"/>
  <c r="I37" i="6"/>
  <c r="F38" i="6"/>
  <c r="F37" i="6"/>
  <c r="I12" i="10"/>
  <c r="I34" i="10"/>
  <c r="F12" i="10"/>
  <c r="F34" i="10"/>
  <c r="F39" i="12"/>
  <c r="F38" i="12"/>
  <c r="F37" i="12"/>
  <c r="I38" i="12"/>
  <c r="I37" i="12"/>
  <c r="I39" i="12"/>
  <c r="O12" i="10"/>
  <c r="K19" i="8"/>
  <c r="H19" i="8"/>
  <c r="N19" i="8"/>
  <c r="Q19" i="8"/>
  <c r="L290" i="3"/>
  <c r="I290" i="3"/>
  <c r="O290" i="3"/>
  <c r="F10" i="12"/>
  <c r="F8" i="12"/>
  <c r="I10" i="12"/>
  <c r="I8" i="12"/>
  <c r="O18" i="6"/>
  <c r="O9" i="6"/>
  <c r="L18" i="6"/>
  <c r="L9" i="6"/>
  <c r="F18" i="6"/>
  <c r="F9" i="6"/>
  <c r="I18" i="6"/>
  <c r="I9" i="6"/>
  <c r="L12" i="10"/>
  <c r="O172" i="3"/>
  <c r="O140" i="3"/>
  <c r="I172" i="3"/>
  <c r="I140" i="3"/>
  <c r="L172" i="3"/>
  <c r="L140" i="3"/>
  <c r="E7" i="14"/>
  <c r="F38" i="10"/>
  <c r="I7" i="10"/>
  <c r="O33" i="10"/>
  <c r="I19" i="5"/>
  <c r="L19" i="5"/>
  <c r="O19" i="5"/>
  <c r="I37" i="3"/>
  <c r="O37" i="3"/>
  <c r="L37" i="3"/>
  <c r="O14" i="6"/>
  <c r="O11" i="6"/>
  <c r="L44" i="6"/>
  <c r="L11" i="6"/>
  <c r="I11" i="6"/>
  <c r="F8" i="6"/>
  <c r="F11" i="6"/>
  <c r="C7" i="4"/>
  <c r="D48" i="4" s="1"/>
  <c r="O254" i="3"/>
  <c r="L7" i="4"/>
  <c r="M23" i="4" s="1"/>
  <c r="I7" i="4"/>
  <c r="J23" i="4" s="1"/>
  <c r="L254" i="3"/>
  <c r="F7" i="4"/>
  <c r="G48" i="4" s="1"/>
  <c r="I254" i="3"/>
  <c r="I16" i="5"/>
  <c r="L16" i="5"/>
  <c r="O16" i="5"/>
  <c r="L52" i="4"/>
  <c r="E29" i="10"/>
  <c r="E47" i="10" s="1"/>
  <c r="E50" i="10" s="1"/>
  <c r="L13" i="7"/>
  <c r="L15" i="7"/>
  <c r="L16" i="7"/>
  <c r="L17" i="7"/>
  <c r="L19" i="7"/>
  <c r="L20" i="7"/>
  <c r="L21" i="7"/>
  <c r="L23" i="7"/>
  <c r="O25" i="7"/>
  <c r="O13" i="7"/>
  <c r="O21" i="7"/>
  <c r="O23" i="7"/>
  <c r="O15" i="7"/>
  <c r="O16" i="7"/>
  <c r="O17" i="7"/>
  <c r="O19" i="7"/>
  <c r="O20" i="7"/>
  <c r="F76" i="7"/>
  <c r="F13" i="7"/>
  <c r="F15" i="7"/>
  <c r="F16" i="7"/>
  <c r="F17" i="7"/>
  <c r="F19" i="7"/>
  <c r="F20" i="7"/>
  <c r="F21" i="7"/>
  <c r="F23" i="7"/>
  <c r="I16" i="7"/>
  <c r="I17" i="7"/>
  <c r="I19" i="7"/>
  <c r="I20" i="7"/>
  <c r="I13" i="7"/>
  <c r="I15" i="7"/>
  <c r="I21" i="7"/>
  <c r="I23" i="7"/>
  <c r="F11" i="11"/>
  <c r="H322" i="3"/>
  <c r="Q12" i="8"/>
  <c r="F43" i="5"/>
  <c r="F52" i="5"/>
  <c r="F14" i="5"/>
  <c r="F32" i="5"/>
  <c r="F46" i="5"/>
  <c r="F47" i="5"/>
  <c r="F22" i="5"/>
  <c r="F36" i="5"/>
  <c r="F18" i="5"/>
  <c r="F9" i="5"/>
  <c r="F8" i="5"/>
  <c r="F30" i="5"/>
  <c r="F13" i="5"/>
  <c r="F39" i="5"/>
  <c r="F34" i="5"/>
  <c r="F40" i="5"/>
  <c r="F15" i="5"/>
  <c r="F37" i="5"/>
  <c r="F33" i="5"/>
  <c r="F35" i="5"/>
  <c r="F28" i="5"/>
  <c r="F10" i="5"/>
  <c r="F41" i="5"/>
  <c r="F7" i="5"/>
  <c r="F29" i="5"/>
  <c r="F45" i="5"/>
  <c r="F20" i="5"/>
  <c r="F42" i="5"/>
  <c r="F38" i="5"/>
  <c r="F21" i="5"/>
  <c r="F44" i="5"/>
  <c r="E9" i="14"/>
  <c r="F12" i="5"/>
  <c r="I320" i="3"/>
  <c r="N322" i="3"/>
  <c r="O320" i="3"/>
  <c r="L122" i="3"/>
  <c r="I122" i="3"/>
  <c r="F18" i="10"/>
  <c r="L17" i="11"/>
  <c r="I36" i="5"/>
  <c r="L22" i="5"/>
  <c r="O9" i="11"/>
  <c r="L14" i="6"/>
  <c r="F36" i="10"/>
  <c r="L26" i="9"/>
  <c r="L28" i="9"/>
  <c r="L39" i="9"/>
  <c r="L11" i="9"/>
  <c r="O16" i="10"/>
  <c r="L33" i="9"/>
  <c r="O7" i="10"/>
  <c r="L24" i="9"/>
  <c r="L32" i="9"/>
  <c r="L31" i="9"/>
  <c r="O31" i="11"/>
  <c r="O9" i="5"/>
  <c r="O10" i="5"/>
  <c r="L9" i="5"/>
  <c r="L10" i="5"/>
  <c r="I10" i="5"/>
  <c r="I9" i="5"/>
  <c r="O155" i="3"/>
  <c r="O122" i="3"/>
  <c r="F17" i="11"/>
  <c r="I36" i="11"/>
  <c r="I10" i="11"/>
  <c r="I44" i="11"/>
  <c r="I26" i="11"/>
  <c r="I12" i="11"/>
  <c r="I22" i="11"/>
  <c r="I35" i="11"/>
  <c r="I29" i="11"/>
  <c r="F33" i="11"/>
  <c r="F19" i="11"/>
  <c r="F26" i="11"/>
  <c r="F35" i="11"/>
  <c r="I43" i="11"/>
  <c r="I25" i="11"/>
  <c r="F9" i="11"/>
  <c r="F10" i="10"/>
  <c r="E14" i="14"/>
  <c r="F24" i="10"/>
  <c r="I22" i="10"/>
  <c r="I24" i="10"/>
  <c r="L31" i="11"/>
  <c r="L43" i="11"/>
  <c r="L19" i="10"/>
  <c r="L24" i="10"/>
  <c r="O41" i="10"/>
  <c r="O24" i="10"/>
  <c r="I35" i="10"/>
  <c r="I37" i="10"/>
  <c r="F11" i="10"/>
  <c r="F37" i="10"/>
  <c r="L11" i="10"/>
  <c r="F33" i="10"/>
  <c r="L31" i="10"/>
  <c r="O40" i="11"/>
  <c r="O39" i="11"/>
  <c r="O36" i="11"/>
  <c r="O25" i="11"/>
  <c r="F34" i="9"/>
  <c r="N14" i="11"/>
  <c r="N49" i="11" s="1"/>
  <c r="N53" i="11" s="1"/>
  <c r="O53" i="11" s="1"/>
  <c r="O16" i="11"/>
  <c r="O27" i="11"/>
  <c r="F24" i="9"/>
  <c r="O11" i="11"/>
  <c r="O18" i="11"/>
  <c r="O28" i="11"/>
  <c r="O24" i="11"/>
  <c r="O22" i="11"/>
  <c r="O43" i="11"/>
  <c r="O29" i="11"/>
  <c r="O42" i="11"/>
  <c r="O30" i="11"/>
  <c r="O7" i="11"/>
  <c r="O47" i="11"/>
  <c r="O35" i="11"/>
  <c r="O33" i="11"/>
  <c r="O12" i="11"/>
  <c r="L23" i="10"/>
  <c r="O44" i="11"/>
  <c r="O34" i="11"/>
  <c r="O19" i="11"/>
  <c r="O37" i="11"/>
  <c r="O20" i="11"/>
  <c r="L24" i="11"/>
  <c r="L38" i="11"/>
  <c r="L10" i="10"/>
  <c r="L20" i="11"/>
  <c r="L36" i="11"/>
  <c r="L13" i="9"/>
  <c r="L35" i="9"/>
  <c r="L20" i="9"/>
  <c r="L25" i="9"/>
  <c r="O23" i="10"/>
  <c r="L7" i="11"/>
  <c r="L21" i="11"/>
  <c r="L37" i="11"/>
  <c r="K14" i="11"/>
  <c r="K49" i="11" s="1"/>
  <c r="K53" i="11" s="1"/>
  <c r="L53" i="11" s="1"/>
  <c r="L16" i="11"/>
  <c r="L26" i="11"/>
  <c r="L19" i="11"/>
  <c r="F41" i="10"/>
  <c r="F39" i="11"/>
  <c r="F20" i="10"/>
  <c r="I39" i="11"/>
  <c r="L12" i="11"/>
  <c r="F16" i="10"/>
  <c r="I11" i="11"/>
  <c r="I32" i="11"/>
  <c r="I27" i="11"/>
  <c r="F13" i="10"/>
  <c r="F25" i="6"/>
  <c r="L35" i="11"/>
  <c r="L33" i="11"/>
  <c r="L44" i="11"/>
  <c r="L22" i="11"/>
  <c r="L47" i="11"/>
  <c r="F44" i="10"/>
  <c r="F43" i="11"/>
  <c r="F20" i="11"/>
  <c r="I40" i="11"/>
  <c r="I9" i="11"/>
  <c r="I28" i="11"/>
  <c r="I23" i="11"/>
  <c r="F8" i="10"/>
  <c r="F12" i="11"/>
  <c r="L41" i="10"/>
  <c r="L39" i="10"/>
  <c r="L16" i="10"/>
  <c r="L42" i="10"/>
  <c r="L33" i="10"/>
  <c r="L25" i="10"/>
  <c r="L37" i="10"/>
  <c r="L45" i="10"/>
  <c r="L35" i="10"/>
  <c r="F36" i="11"/>
  <c r="F7" i="6"/>
  <c r="F25" i="11"/>
  <c r="F35" i="10"/>
  <c r="F22" i="10"/>
  <c r="F18" i="11"/>
  <c r="F34" i="11"/>
  <c r="F27" i="11"/>
  <c r="F37" i="11"/>
  <c r="F41" i="11"/>
  <c r="F25" i="10"/>
  <c r="F28" i="11"/>
  <c r="I37" i="11"/>
  <c r="I41" i="11"/>
  <c r="F17" i="10"/>
  <c r="I34" i="11"/>
  <c r="I18" i="11"/>
  <c r="I16" i="11"/>
  <c r="I21" i="11"/>
  <c r="I24" i="11"/>
  <c r="H14" i="11"/>
  <c r="H49" i="11" s="1"/>
  <c r="I49" i="11" s="1"/>
  <c r="I19" i="11"/>
  <c r="F9" i="10"/>
  <c r="F45" i="10"/>
  <c r="F7" i="11"/>
  <c r="E15" i="14"/>
  <c r="F21" i="11"/>
  <c r="F30" i="11"/>
  <c r="F23" i="11"/>
  <c r="F40" i="11"/>
  <c r="F44" i="11"/>
  <c r="F24" i="11"/>
  <c r="F51" i="11"/>
  <c r="F29" i="11"/>
  <c r="F39" i="10"/>
  <c r="F22" i="11"/>
  <c r="F16" i="11"/>
  <c r="F23" i="10"/>
  <c r="F31" i="11"/>
  <c r="F38" i="11"/>
  <c r="F42" i="11"/>
  <c r="F32" i="10"/>
  <c r="I51" i="11"/>
  <c r="F32" i="11"/>
  <c r="I38" i="11"/>
  <c r="I42" i="11"/>
  <c r="F21" i="10"/>
  <c r="I30" i="11"/>
  <c r="I7" i="11"/>
  <c r="I33" i="11"/>
  <c r="I17" i="11"/>
  <c r="I20" i="11"/>
  <c r="I31" i="11"/>
  <c r="I47" i="11"/>
  <c r="F14" i="10"/>
  <c r="F10" i="11"/>
  <c r="H7" i="14"/>
  <c r="K48" i="8"/>
  <c r="H12" i="14"/>
  <c r="K34" i="8"/>
  <c r="K33" i="8"/>
  <c r="K35" i="8"/>
  <c r="F48" i="7"/>
  <c r="F50" i="7"/>
  <c r="I33" i="6"/>
  <c r="H10" i="14"/>
  <c r="I29" i="5"/>
  <c r="H9" i="14"/>
  <c r="I42" i="10"/>
  <c r="H14" i="14"/>
  <c r="I12" i="5"/>
  <c r="F52" i="7"/>
  <c r="H72" i="8"/>
  <c r="H35" i="8"/>
  <c r="H34" i="8"/>
  <c r="F49" i="5"/>
  <c r="E34" i="14"/>
  <c r="I18" i="9"/>
  <c r="H13" i="14"/>
  <c r="I52" i="7"/>
  <c r="H11" i="14"/>
  <c r="I47" i="7"/>
  <c r="I48" i="7"/>
  <c r="I50" i="7"/>
  <c r="F47" i="7"/>
  <c r="H33" i="8"/>
  <c r="L41" i="11"/>
  <c r="L32" i="11"/>
  <c r="L51" i="11"/>
  <c r="L29" i="11"/>
  <c r="L10" i="11"/>
  <c r="L42" i="11"/>
  <c r="L34" i="11"/>
  <c r="L18" i="11"/>
  <c r="L27" i="11"/>
  <c r="L34" i="9"/>
  <c r="L8" i="9"/>
  <c r="L9" i="9"/>
  <c r="L10" i="9"/>
  <c r="L14" i="9"/>
  <c r="L29" i="9"/>
  <c r="O20" i="10"/>
  <c r="O44" i="10"/>
  <c r="O12" i="6"/>
  <c r="N10" i="14"/>
  <c r="L39" i="11"/>
  <c r="L28" i="11"/>
  <c r="L9" i="11"/>
  <c r="L25" i="11"/>
  <c r="L40" i="11"/>
  <c r="L30" i="11"/>
  <c r="L47" i="7"/>
  <c r="K11" i="14"/>
  <c r="L52" i="7"/>
  <c r="L50" i="7"/>
  <c r="L48" i="7"/>
  <c r="L30" i="9"/>
  <c r="L17" i="9"/>
  <c r="L16" i="9"/>
  <c r="L19" i="9"/>
  <c r="L18" i="9"/>
  <c r="L27" i="9"/>
  <c r="O25" i="10"/>
  <c r="O21" i="11"/>
  <c r="L14" i="10"/>
  <c r="K14" i="14"/>
  <c r="O39" i="9"/>
  <c r="N13" i="14"/>
  <c r="Q60" i="8"/>
  <c r="N12" i="14"/>
  <c r="Q33" i="8"/>
  <c r="Q34" i="8"/>
  <c r="Q35" i="8"/>
  <c r="K10" i="14"/>
  <c r="O79" i="7"/>
  <c r="O50" i="7"/>
  <c r="N11" i="14"/>
  <c r="O48" i="7"/>
  <c r="O47" i="7"/>
  <c r="O52" i="7"/>
  <c r="O37" i="5"/>
  <c r="O12" i="5"/>
  <c r="N9" i="14"/>
  <c r="L11" i="11"/>
  <c r="N7" i="14"/>
  <c r="K7" i="14"/>
  <c r="N54" i="8"/>
  <c r="K12" i="14"/>
  <c r="N33" i="8"/>
  <c r="N34" i="8"/>
  <c r="N35" i="8"/>
  <c r="L35" i="5"/>
  <c r="K9" i="14"/>
  <c r="L12" i="5"/>
  <c r="O14" i="10"/>
  <c r="N14" i="14"/>
  <c r="I25" i="9"/>
  <c r="I32" i="9"/>
  <c r="Q45" i="8"/>
  <c r="Q74" i="8"/>
  <c r="Q73" i="8"/>
  <c r="Q47" i="8"/>
  <c r="Q27" i="8"/>
  <c r="Q57" i="8"/>
  <c r="Q70" i="8"/>
  <c r="Q16" i="8"/>
  <c r="Q24" i="8"/>
  <c r="Q67" i="8"/>
  <c r="H12" i="8"/>
  <c r="H9" i="8"/>
  <c r="H65" i="8"/>
  <c r="H22" i="8"/>
  <c r="H21" i="8"/>
  <c r="J50" i="8"/>
  <c r="K71" i="8"/>
  <c r="Q68" i="8"/>
  <c r="N13" i="8"/>
  <c r="H17" i="8"/>
  <c r="H70" i="8"/>
  <c r="H26" i="8"/>
  <c r="H13" i="8"/>
  <c r="Q7" i="8"/>
  <c r="P50" i="8"/>
  <c r="Q21" i="8"/>
  <c r="Q11" i="8"/>
  <c r="N14" i="8"/>
  <c r="H44" i="8"/>
  <c r="K31" i="8"/>
  <c r="H55" i="8"/>
  <c r="H25" i="8"/>
  <c r="H16" i="8"/>
  <c r="H8" i="8"/>
  <c r="H36" i="8"/>
  <c r="K43" i="8"/>
  <c r="N75" i="8"/>
  <c r="N69" i="8"/>
  <c r="N18" i="8"/>
  <c r="N21" i="8"/>
  <c r="H63" i="8"/>
  <c r="N68" i="8"/>
  <c r="N66" i="8"/>
  <c r="H61" i="8"/>
  <c r="H66" i="8"/>
  <c r="N11" i="8"/>
  <c r="N71" i="8"/>
  <c r="N15" i="8"/>
  <c r="N64" i="8"/>
  <c r="N29" i="8"/>
  <c r="N65" i="8"/>
  <c r="N17" i="8"/>
  <c r="N62" i="8"/>
  <c r="K70" i="8"/>
  <c r="K61" i="8"/>
  <c r="K60" i="8"/>
  <c r="K55" i="8"/>
  <c r="H28" i="8"/>
  <c r="H24" i="8"/>
  <c r="H20" i="8"/>
  <c r="H15" i="8"/>
  <c r="H11" i="8"/>
  <c r="H7" i="8"/>
  <c r="N36" i="8"/>
  <c r="N59" i="8"/>
  <c r="N44" i="8"/>
  <c r="N27" i="8"/>
  <c r="N38" i="8"/>
  <c r="N53" i="8"/>
  <c r="N47" i="8"/>
  <c r="N76" i="8"/>
  <c r="H73" i="8"/>
  <c r="H54" i="8"/>
  <c r="H40" i="8"/>
  <c r="H71" i="8"/>
  <c r="K54" i="8"/>
  <c r="K24" i="8"/>
  <c r="K23" i="8"/>
  <c r="H27" i="8"/>
  <c r="H23" i="8"/>
  <c r="H18" i="8"/>
  <c r="H14" i="8"/>
  <c r="H10" i="8"/>
  <c r="N31" i="8"/>
  <c r="N55" i="8"/>
  <c r="N43" i="8"/>
  <c r="N23" i="8"/>
  <c r="N32" i="8"/>
  <c r="N7" i="8"/>
  <c r="H57" i="8"/>
  <c r="H31" i="8"/>
  <c r="H62" i="8"/>
  <c r="H43" i="8"/>
  <c r="K13" i="8"/>
  <c r="K12" i="8"/>
  <c r="K29" i="8"/>
  <c r="K45" i="8"/>
  <c r="O64" i="7"/>
  <c r="O44" i="7"/>
  <c r="O43" i="7"/>
  <c r="I44" i="7"/>
  <c r="I43" i="7"/>
  <c r="L44" i="7"/>
  <c r="L43" i="7"/>
  <c r="F43" i="7"/>
  <c r="F44" i="7"/>
  <c r="I42" i="7"/>
  <c r="I46" i="7"/>
  <c r="O42" i="7"/>
  <c r="O46" i="7"/>
  <c r="F46" i="7"/>
  <c r="L42" i="7"/>
  <c r="L46" i="7"/>
  <c r="F42" i="7"/>
  <c r="I39" i="7"/>
  <c r="I40" i="7"/>
  <c r="L8" i="7"/>
  <c r="L40" i="7"/>
  <c r="I8" i="7"/>
  <c r="O7" i="7"/>
  <c r="O40" i="7"/>
  <c r="F40" i="7"/>
  <c r="I35" i="7"/>
  <c r="I27" i="7"/>
  <c r="I78" i="7"/>
  <c r="F29" i="7"/>
  <c r="I53" i="7"/>
  <c r="I69" i="7"/>
  <c r="I26" i="7"/>
  <c r="L27" i="7"/>
  <c r="I25" i="7"/>
  <c r="L12" i="7"/>
  <c r="I71" i="7"/>
  <c r="I72" i="7"/>
  <c r="I62" i="7"/>
  <c r="L33" i="5"/>
  <c r="O8" i="10"/>
  <c r="O22" i="10"/>
  <c r="O18" i="10"/>
  <c r="O19" i="10"/>
  <c r="O39" i="10"/>
  <c r="I31" i="10"/>
  <c r="I43" i="10"/>
  <c r="O10" i="10"/>
  <c r="O32" i="10"/>
  <c r="O37" i="10"/>
  <c r="O38" i="10"/>
  <c r="I45" i="10"/>
  <c r="I36" i="10"/>
  <c r="I9" i="10"/>
  <c r="I16" i="10"/>
  <c r="I23" i="10"/>
  <c r="I13" i="10"/>
  <c r="I18" i="10"/>
  <c r="I38" i="10"/>
  <c r="I25" i="10"/>
  <c r="I32" i="10"/>
  <c r="L8" i="10"/>
  <c r="L13" i="10"/>
  <c r="O27" i="10"/>
  <c r="O11" i="10"/>
  <c r="O13" i="10"/>
  <c r="O21" i="10"/>
  <c r="O31" i="10"/>
  <c r="O45" i="10"/>
  <c r="O35" i="10"/>
  <c r="O36" i="10"/>
  <c r="L22" i="10"/>
  <c r="L20" i="10"/>
  <c r="L21" i="10"/>
  <c r="L36" i="10"/>
  <c r="L32" i="10"/>
  <c r="L43" i="10"/>
  <c r="L48" i="10"/>
  <c r="I19" i="10"/>
  <c r="I10" i="10"/>
  <c r="I44" i="10"/>
  <c r="I21" i="10"/>
  <c r="I33" i="10"/>
  <c r="I20" i="10"/>
  <c r="I14" i="10"/>
  <c r="L9" i="10"/>
  <c r="L7" i="10"/>
  <c r="O42" i="10"/>
  <c r="O9" i="10"/>
  <c r="O43" i="10"/>
  <c r="O48" i="10"/>
  <c r="O17" i="10"/>
  <c r="L44" i="10"/>
  <c r="L18" i="10"/>
  <c r="L17" i="10"/>
  <c r="L27" i="10"/>
  <c r="L38" i="10"/>
  <c r="F48" i="10"/>
  <c r="F31" i="10"/>
  <c r="F19" i="10"/>
  <c r="F42" i="10"/>
  <c r="I48" i="10"/>
  <c r="F43" i="10"/>
  <c r="F7" i="10"/>
  <c r="I41" i="10"/>
  <c r="I8" i="10"/>
  <c r="I39" i="10"/>
  <c r="I17" i="10"/>
  <c r="I11" i="10"/>
  <c r="F29" i="9"/>
  <c r="F19" i="9"/>
  <c r="F30" i="9"/>
  <c r="F26" i="9"/>
  <c r="F31" i="9"/>
  <c r="F14" i="9"/>
  <c r="F11" i="9"/>
  <c r="F25" i="9"/>
  <c r="F27" i="9"/>
  <c r="F33" i="9"/>
  <c r="F35" i="9"/>
  <c r="E13" i="14"/>
  <c r="I35" i="9"/>
  <c r="I17" i="9"/>
  <c r="I28" i="9"/>
  <c r="F9" i="9"/>
  <c r="F10" i="9"/>
  <c r="O10" i="9"/>
  <c r="I39" i="9"/>
  <c r="I14" i="9"/>
  <c r="I11" i="9"/>
  <c r="I29" i="9"/>
  <c r="I33" i="9"/>
  <c r="O17" i="9"/>
  <c r="I16" i="9"/>
  <c r="I8" i="9"/>
  <c r="I19" i="9"/>
  <c r="I26" i="9"/>
  <c r="I30" i="9"/>
  <c r="I34" i="9"/>
  <c r="O14" i="9"/>
  <c r="O30" i="9"/>
  <c r="F39" i="9"/>
  <c r="F28" i="9"/>
  <c r="F32" i="9"/>
  <c r="F13" i="9"/>
  <c r="I24" i="9"/>
  <c r="F17" i="9"/>
  <c r="I13" i="9"/>
  <c r="I9" i="9"/>
  <c r="I27" i="9"/>
  <c r="I31" i="9"/>
  <c r="F16" i="9"/>
  <c r="F18" i="9"/>
  <c r="O20" i="9"/>
  <c r="O13" i="9"/>
  <c r="O28" i="9"/>
  <c r="O33" i="9"/>
  <c r="O9" i="9"/>
  <c r="O31" i="9"/>
  <c r="O16" i="9"/>
  <c r="O26" i="9"/>
  <c r="O8" i="9"/>
  <c r="O29" i="9"/>
  <c r="O27" i="9"/>
  <c r="O34" i="9"/>
  <c r="O11" i="9"/>
  <c r="I10" i="9"/>
  <c r="F12" i="7"/>
  <c r="O26" i="7"/>
  <c r="O80" i="7"/>
  <c r="O32" i="7"/>
  <c r="O61" i="7"/>
  <c r="O31" i="7"/>
  <c r="O63" i="7"/>
  <c r="O74" i="7"/>
  <c r="O77" i="7"/>
  <c r="I80" i="7"/>
  <c r="I31" i="7"/>
  <c r="I60" i="7"/>
  <c r="I24" i="7"/>
  <c r="I51" i="7"/>
  <c r="I29" i="7"/>
  <c r="I66" i="7"/>
  <c r="I30" i="7"/>
  <c r="L31" i="7"/>
  <c r="L10" i="7"/>
  <c r="I63" i="7"/>
  <c r="I79" i="7"/>
  <c r="I64" i="7"/>
  <c r="I59" i="7"/>
  <c r="I28" i="7"/>
  <c r="I61" i="7"/>
  <c r="I77" i="7"/>
  <c r="I36" i="7"/>
  <c r="I70" i="7"/>
  <c r="I34" i="7"/>
  <c r="I75" i="7"/>
  <c r="I76" i="7"/>
  <c r="I73" i="7"/>
  <c r="I85" i="7"/>
  <c r="I7" i="7"/>
  <c r="L30" i="7"/>
  <c r="I38" i="7"/>
  <c r="I67" i="7"/>
  <c r="I12" i="7"/>
  <c r="I68" i="7"/>
  <c r="I32" i="7"/>
  <c r="I54" i="7"/>
  <c r="I65" i="7"/>
  <c r="I9" i="7"/>
  <c r="I74" i="7"/>
  <c r="I10" i="7"/>
  <c r="O39" i="7"/>
  <c r="O68" i="7"/>
  <c r="O59" i="7"/>
  <c r="O54" i="7"/>
  <c r="O67" i="7"/>
  <c r="O8" i="7"/>
  <c r="O28" i="7"/>
  <c r="O62" i="7"/>
  <c r="O55" i="7"/>
  <c r="O65" i="7"/>
  <c r="O85" i="7"/>
  <c r="O27" i="7"/>
  <c r="O72" i="7"/>
  <c r="O38" i="7"/>
  <c r="O71" i="7"/>
  <c r="O10" i="7"/>
  <c r="O30" i="7"/>
  <c r="O66" i="7"/>
  <c r="O78" i="7"/>
  <c r="O35" i="7"/>
  <c r="O69" i="7"/>
  <c r="O9" i="7"/>
  <c r="O29" i="7"/>
  <c r="O60" i="7"/>
  <c r="O76" i="7"/>
  <c r="O34" i="7"/>
  <c r="O53" i="7"/>
  <c r="O75" i="7"/>
  <c r="O24" i="7"/>
  <c r="O36" i="7"/>
  <c r="O70" i="7"/>
  <c r="O51" i="7"/>
  <c r="O73" i="7"/>
  <c r="O12" i="7"/>
  <c r="F10" i="6"/>
  <c r="F50" i="6"/>
  <c r="F47" i="6"/>
  <c r="F21" i="6"/>
  <c r="F23" i="6"/>
  <c r="F12" i="6"/>
  <c r="L24" i="6"/>
  <c r="F54" i="6"/>
  <c r="F55" i="6"/>
  <c r="F40" i="6"/>
  <c r="F35" i="6"/>
  <c r="F36" i="6"/>
  <c r="F19" i="6"/>
  <c r="F48" i="6"/>
  <c r="F53" i="6"/>
  <c r="F16" i="6"/>
  <c r="L56" i="6"/>
  <c r="L13" i="6"/>
  <c r="L27" i="6"/>
  <c r="F46" i="6"/>
  <c r="F39" i="6"/>
  <c r="F20" i="6"/>
  <c r="F59" i="6"/>
  <c r="F22" i="6"/>
  <c r="E10" i="14"/>
  <c r="O10" i="6"/>
  <c r="I55" i="6"/>
  <c r="F45" i="6"/>
  <c r="F13" i="6"/>
  <c r="I12" i="6"/>
  <c r="L29" i="6"/>
  <c r="L45" i="6"/>
  <c r="F42" i="6"/>
  <c r="F33" i="6"/>
  <c r="F27" i="6"/>
  <c r="F43" i="6"/>
  <c r="F34" i="6"/>
  <c r="F52" i="6"/>
  <c r="F49" i="6"/>
  <c r="O8" i="6"/>
  <c r="L41" i="6"/>
  <c r="L39" i="6"/>
  <c r="F51" i="6"/>
  <c r="F24" i="6"/>
  <c r="F44" i="6"/>
  <c r="F41" i="6"/>
  <c r="F17" i="6"/>
  <c r="L12" i="6"/>
  <c r="L7" i="6"/>
  <c r="I10" i="6"/>
  <c r="L20" i="6"/>
  <c r="L59" i="6"/>
  <c r="O13" i="6"/>
  <c r="L21" i="6"/>
  <c r="L46" i="6"/>
  <c r="L53" i="6"/>
  <c r="L43" i="6"/>
  <c r="F56" i="6"/>
  <c r="L19" i="6"/>
  <c r="L10" i="6"/>
  <c r="I8" i="6"/>
  <c r="O7" i="6"/>
  <c r="L40" i="6"/>
  <c r="L17" i="6"/>
  <c r="L42" i="6"/>
  <c r="L33" i="6"/>
  <c r="L8" i="6"/>
  <c r="I13" i="6"/>
  <c r="I7" i="6"/>
  <c r="L36" i="6"/>
  <c r="L54" i="6"/>
  <c r="L52" i="6"/>
  <c r="L55" i="6"/>
  <c r="L16" i="6"/>
  <c r="L47" i="6"/>
  <c r="L35" i="6"/>
  <c r="I59" i="6"/>
  <c r="F14" i="6"/>
  <c r="O44" i="5"/>
  <c r="L46" i="5"/>
  <c r="L47" i="5"/>
  <c r="L52" i="5"/>
  <c r="I44" i="5"/>
  <c r="I42" i="5"/>
  <c r="I21" i="5"/>
  <c r="I45" i="5"/>
  <c r="I20" i="5"/>
  <c r="I38" i="5"/>
  <c r="O21" i="5"/>
  <c r="L36" i="5"/>
  <c r="L42" i="5"/>
  <c r="O22" i="5"/>
  <c r="O31" i="5"/>
  <c r="O33" i="5"/>
  <c r="O43" i="5"/>
  <c r="L23" i="5"/>
  <c r="L20" i="5"/>
  <c r="O34" i="5"/>
  <c r="I52" i="5"/>
  <c r="I37" i="5"/>
  <c r="I15" i="5"/>
  <c r="I31" i="5"/>
  <c r="I40" i="5"/>
  <c r="I43" i="5"/>
  <c r="I34" i="5"/>
  <c r="I18" i="5"/>
  <c r="I32" i="5"/>
  <c r="I46" i="5"/>
  <c r="I22" i="5"/>
  <c r="I35" i="5"/>
  <c r="I39" i="5"/>
  <c r="I30" i="5"/>
  <c r="I49" i="5"/>
  <c r="I28" i="5"/>
  <c r="I13" i="5"/>
  <c r="I47" i="5"/>
  <c r="I8" i="5"/>
  <c r="I41" i="5"/>
  <c r="I14" i="5"/>
  <c r="I7" i="5"/>
  <c r="I33" i="5"/>
  <c r="L7" i="5"/>
  <c r="L32" i="5"/>
  <c r="L29" i="5"/>
  <c r="L38" i="5"/>
  <c r="L43" i="5"/>
  <c r="O14" i="5"/>
  <c r="O20" i="5"/>
  <c r="O52" i="5"/>
  <c r="O40" i="5"/>
  <c r="O29" i="5"/>
  <c r="L28" i="5"/>
  <c r="L21" i="5"/>
  <c r="L13" i="5"/>
  <c r="L49" i="5"/>
  <c r="L31" i="5"/>
  <c r="O38" i="5"/>
  <c r="O46" i="5"/>
  <c r="O23" i="5"/>
  <c r="O7" i="5"/>
  <c r="L18" i="5"/>
  <c r="L44" i="5"/>
  <c r="L41" i="5"/>
  <c r="L14" i="5"/>
  <c r="L34" i="5"/>
  <c r="L15" i="5"/>
  <c r="L39" i="5"/>
  <c r="O8" i="5"/>
  <c r="O45" i="5"/>
  <c r="O30" i="5"/>
  <c r="O15" i="5"/>
  <c r="O39" i="5"/>
  <c r="O28" i="5"/>
  <c r="O36" i="5"/>
  <c r="O41" i="5"/>
  <c r="L40" i="5"/>
  <c r="L8" i="5"/>
  <c r="L37" i="5"/>
  <c r="L45" i="5"/>
  <c r="L30" i="5"/>
  <c r="O13" i="5"/>
  <c r="O42" i="5"/>
  <c r="O49" i="5"/>
  <c r="O35" i="5"/>
  <c r="O18" i="5"/>
  <c r="O47" i="5"/>
  <c r="O32" i="5"/>
  <c r="Q61" i="8"/>
  <c r="Q37" i="8"/>
  <c r="Q58" i="8"/>
  <c r="Q36" i="8"/>
  <c r="Q55" i="8"/>
  <c r="Q39" i="8"/>
  <c r="Q56" i="8"/>
  <c r="H75" i="8"/>
  <c r="H64" i="8"/>
  <c r="Q54" i="8"/>
  <c r="Q31" i="8"/>
  <c r="Q44" i="8"/>
  <c r="Q80" i="8"/>
  <c r="H45" i="8"/>
  <c r="Q14" i="8"/>
  <c r="Q71" i="8"/>
  <c r="Q15" i="8"/>
  <c r="Q72" i="8"/>
  <c r="Q17" i="8"/>
  <c r="Q23" i="8"/>
  <c r="Q38" i="8"/>
  <c r="Q69" i="8"/>
  <c r="Q53" i="8"/>
  <c r="Q10" i="8"/>
  <c r="Q66" i="8"/>
  <c r="Q76" i="8"/>
  <c r="Q8" i="8"/>
  <c r="Q48" i="8"/>
  <c r="Q63" i="8"/>
  <c r="Q26" i="8"/>
  <c r="Q9" i="8"/>
  <c r="Q43" i="8"/>
  <c r="Q64" i="8"/>
  <c r="Q13" i="8"/>
  <c r="Q22" i="8"/>
  <c r="Q20" i="8"/>
  <c r="Q32" i="8"/>
  <c r="Q65" i="8"/>
  <c r="Q28" i="8"/>
  <c r="Q41" i="8"/>
  <c r="Q52" i="8"/>
  <c r="Q62" i="8"/>
  <c r="Q25" i="8"/>
  <c r="Q42" i="8"/>
  <c r="Q75" i="8"/>
  <c r="Q59" i="8"/>
  <c r="Q18" i="8"/>
  <c r="Q29" i="8"/>
  <c r="Q40" i="8"/>
  <c r="N25" i="8"/>
  <c r="N8" i="8"/>
  <c r="N48" i="8"/>
  <c r="N67" i="8"/>
  <c r="N80" i="8"/>
  <c r="N12" i="8"/>
  <c r="N40" i="8"/>
  <c r="N60" i="8"/>
  <c r="N20" i="8"/>
  <c r="N39" i="8"/>
  <c r="M50" i="8"/>
  <c r="N61" i="8"/>
  <c r="N28" i="8"/>
  <c r="N41" i="8"/>
  <c r="N74" i="8"/>
  <c r="N58" i="8"/>
  <c r="N10" i="8"/>
  <c r="N22" i="8"/>
  <c r="N42" i="8"/>
  <c r="N52" i="8"/>
  <c r="N63" i="8"/>
  <c r="N26" i="8"/>
  <c r="N9" i="8"/>
  <c r="N72" i="8"/>
  <c r="N56" i="8"/>
  <c r="N16" i="8"/>
  <c r="N45" i="8"/>
  <c r="N73" i="8"/>
  <c r="N57" i="8"/>
  <c r="N24" i="8"/>
  <c r="N37" i="8"/>
  <c r="N70" i="8"/>
  <c r="H59" i="8"/>
  <c r="H32" i="8"/>
  <c r="H80" i="8"/>
  <c r="H68" i="8"/>
  <c r="H47" i="8"/>
  <c r="F47" i="11"/>
  <c r="F30" i="7"/>
  <c r="F25" i="7"/>
  <c r="F51" i="7"/>
  <c r="F65" i="7"/>
  <c r="H60" i="8"/>
  <c r="H41" i="8"/>
  <c r="I56" i="6"/>
  <c r="K17" i="8"/>
  <c r="K44" i="8"/>
  <c r="K74" i="8"/>
  <c r="K58" i="8"/>
  <c r="K16" i="8"/>
  <c r="K36" i="8"/>
  <c r="K65" i="8"/>
  <c r="K28" i="8"/>
  <c r="K11" i="8"/>
  <c r="K47" i="8"/>
  <c r="K64" i="8"/>
  <c r="K27" i="8"/>
  <c r="K10" i="8"/>
  <c r="K75" i="8"/>
  <c r="K59" i="8"/>
  <c r="F7" i="7"/>
  <c r="F27" i="7"/>
  <c r="F10" i="7"/>
  <c r="F35" i="7"/>
  <c r="F74" i="7"/>
  <c r="K80" i="8"/>
  <c r="K26" i="8"/>
  <c r="K9" i="8"/>
  <c r="K40" i="8"/>
  <c r="K66" i="8"/>
  <c r="K25" i="8"/>
  <c r="K8" i="8"/>
  <c r="K73" i="8"/>
  <c r="K57" i="8"/>
  <c r="K20" i="8"/>
  <c r="K41" i="8"/>
  <c r="K72" i="8"/>
  <c r="K56" i="8"/>
  <c r="K18" i="8"/>
  <c r="K38" i="8"/>
  <c r="K67" i="8"/>
  <c r="K76" i="8"/>
  <c r="F31" i="7"/>
  <c r="F26" i="7"/>
  <c r="F9" i="7"/>
  <c r="F73" i="7"/>
  <c r="F36" i="7"/>
  <c r="F66" i="7"/>
  <c r="K22" i="8"/>
  <c r="K39" i="8"/>
  <c r="K52" i="8"/>
  <c r="K62" i="8"/>
  <c r="K21" i="8"/>
  <c r="K42" i="8"/>
  <c r="K69" i="8"/>
  <c r="K53" i="8"/>
  <c r="K15" i="8"/>
  <c r="K37" i="8"/>
  <c r="K68" i="8"/>
  <c r="K7" i="8"/>
  <c r="K14" i="8"/>
  <c r="K32" i="8"/>
  <c r="K63" i="8"/>
  <c r="F28" i="7"/>
  <c r="F24" i="7"/>
  <c r="F8" i="7"/>
  <c r="L26" i="7"/>
  <c r="F80" i="7"/>
  <c r="O10" i="11"/>
  <c r="O38" i="11"/>
  <c r="O26" i="11"/>
  <c r="O23" i="11"/>
  <c r="O41" i="11"/>
  <c r="O32" i="11"/>
  <c r="O51" i="11"/>
  <c r="O18" i="9"/>
  <c r="O25" i="9"/>
  <c r="O19" i="9"/>
  <c r="O24" i="9"/>
  <c r="O35" i="9"/>
  <c r="O32" i="9"/>
  <c r="L48" i="6"/>
  <c r="L22" i="6"/>
  <c r="L49" i="6"/>
  <c r="L23" i="6"/>
  <c r="L50" i="6"/>
  <c r="L25" i="6"/>
  <c r="L51" i="6"/>
  <c r="L34" i="6"/>
  <c r="F61" i="7"/>
  <c r="F69" i="7"/>
  <c r="F77" i="7"/>
  <c r="H69" i="8"/>
  <c r="H42" i="8"/>
  <c r="F62" i="7"/>
  <c r="F70" i="7"/>
  <c r="F78" i="7"/>
  <c r="H58" i="8"/>
  <c r="H74" i="8"/>
  <c r="H67" i="8"/>
  <c r="H38" i="8"/>
  <c r="I34" i="6"/>
  <c r="I40" i="6"/>
  <c r="I44" i="6"/>
  <c r="I48" i="6"/>
  <c r="I52" i="6"/>
  <c r="I21" i="6"/>
  <c r="I35" i="6"/>
  <c r="I41" i="6"/>
  <c r="I45" i="6"/>
  <c r="I49" i="6"/>
  <c r="I53" i="6"/>
  <c r="I17" i="6"/>
  <c r="I22" i="6"/>
  <c r="I36" i="6"/>
  <c r="I42" i="6"/>
  <c r="I46" i="6"/>
  <c r="I50" i="6"/>
  <c r="I54" i="6"/>
  <c r="I19" i="6"/>
  <c r="I23" i="6"/>
  <c r="I27" i="6"/>
  <c r="I16" i="6"/>
  <c r="I39" i="6"/>
  <c r="I43" i="6"/>
  <c r="I47" i="6"/>
  <c r="I51" i="6"/>
  <c r="I20" i="6"/>
  <c r="I24" i="6"/>
  <c r="I25" i="6"/>
  <c r="I14" i="6"/>
  <c r="H56" i="8"/>
  <c r="F38" i="7"/>
  <c r="F63" i="7"/>
  <c r="F71" i="7"/>
  <c r="F79" i="7"/>
  <c r="F60" i="7"/>
  <c r="F68" i="7"/>
  <c r="H76" i="8"/>
  <c r="H53" i="8"/>
  <c r="H52" i="8"/>
  <c r="H39" i="8"/>
  <c r="H48" i="8"/>
  <c r="G50" i="8"/>
  <c r="G78" i="8" s="1"/>
  <c r="G82" i="8" s="1"/>
  <c r="H29" i="8"/>
  <c r="E11" i="14"/>
  <c r="F85" i="7"/>
  <c r="F34" i="7"/>
  <c r="F59" i="7"/>
  <c r="F32" i="7"/>
  <c r="F54" i="7"/>
  <c r="H37" i="8"/>
  <c r="F53" i="7"/>
  <c r="F67" i="7"/>
  <c r="F75" i="7"/>
  <c r="F39" i="7"/>
  <c r="F64" i="7"/>
  <c r="F72" i="7"/>
  <c r="L29" i="7"/>
  <c r="L9" i="7"/>
  <c r="L7" i="7"/>
  <c r="L28" i="7"/>
  <c r="L24" i="7"/>
  <c r="O39" i="6"/>
  <c r="O59" i="6"/>
  <c r="O56" i="6"/>
  <c r="O35" i="6"/>
  <c r="O41" i="6"/>
  <c r="O45" i="6"/>
  <c r="O49" i="6"/>
  <c r="O53" i="6"/>
  <c r="O17" i="6"/>
  <c r="O22" i="6"/>
  <c r="O43" i="6"/>
  <c r="O46" i="6"/>
  <c r="O51" i="6"/>
  <c r="O54" i="6"/>
  <c r="O19" i="6"/>
  <c r="O24" i="6"/>
  <c r="O27" i="6"/>
  <c r="O34" i="6"/>
  <c r="O36" i="6"/>
  <c r="O40" i="6"/>
  <c r="O48" i="6"/>
  <c r="O21" i="6"/>
  <c r="O42" i="6"/>
  <c r="O47" i="6"/>
  <c r="O50" i="6"/>
  <c r="O55" i="6"/>
  <c r="O29" i="6"/>
  <c r="O20" i="6"/>
  <c r="O23" i="6"/>
  <c r="O25" i="6"/>
  <c r="O44" i="6"/>
  <c r="O52" i="6"/>
  <c r="O33" i="6"/>
  <c r="O16" i="6"/>
  <c r="L36" i="7"/>
  <c r="L62" i="7"/>
  <c r="L66" i="7"/>
  <c r="L70" i="7"/>
  <c r="L74" i="7"/>
  <c r="L78" i="7"/>
  <c r="L35" i="7"/>
  <c r="L51" i="7"/>
  <c r="L61" i="7"/>
  <c r="L65" i="7"/>
  <c r="L69" i="7"/>
  <c r="L73" i="7"/>
  <c r="L77" i="7"/>
  <c r="L59" i="7"/>
  <c r="L34" i="7"/>
  <c r="L32" i="7"/>
  <c r="L54" i="7"/>
  <c r="L39" i="7"/>
  <c r="L60" i="7"/>
  <c r="L64" i="7"/>
  <c r="L68" i="7"/>
  <c r="L72" i="7"/>
  <c r="L76" i="7"/>
  <c r="L85" i="7"/>
  <c r="L38" i="7"/>
  <c r="L53" i="7"/>
  <c r="L63" i="7"/>
  <c r="L67" i="7"/>
  <c r="L71" i="7"/>
  <c r="L75" i="7"/>
  <c r="L79" i="7"/>
  <c r="L80" i="7"/>
  <c r="L55" i="7"/>
  <c r="L25" i="7"/>
  <c r="O57" i="12"/>
  <c r="O60" i="12"/>
  <c r="I50" i="12"/>
  <c r="I60" i="12"/>
  <c r="F14" i="12"/>
  <c r="F60" i="12"/>
  <c r="L60" i="12"/>
  <c r="O157" i="3"/>
  <c r="O156" i="3"/>
  <c r="O158" i="3"/>
  <c r="I155" i="3"/>
  <c r="I156" i="3"/>
  <c r="I157" i="3"/>
  <c r="I158" i="3"/>
  <c r="L155" i="3"/>
  <c r="L156" i="3"/>
  <c r="L157" i="3"/>
  <c r="L158" i="3"/>
  <c r="F50" i="12"/>
  <c r="L335" i="3"/>
  <c r="L343" i="3"/>
  <c r="L350" i="3"/>
  <c r="L359" i="3"/>
  <c r="L381" i="3"/>
  <c r="L328" i="3"/>
  <c r="L331" i="3"/>
  <c r="L334" i="3"/>
  <c r="L337" i="3"/>
  <c r="L340" i="3"/>
  <c r="L342" i="3"/>
  <c r="L346" i="3"/>
  <c r="L347" i="3"/>
  <c r="L349" i="3"/>
  <c r="L352" i="3"/>
  <c r="L356" i="3"/>
  <c r="L358" i="3"/>
  <c r="L361" i="3"/>
  <c r="L377" i="3"/>
  <c r="L380" i="3"/>
  <c r="L383" i="3"/>
  <c r="L386" i="3"/>
  <c r="L388" i="3"/>
  <c r="L391" i="3"/>
  <c r="L395" i="3"/>
  <c r="L397" i="3"/>
  <c r="L400" i="3"/>
  <c r="L403" i="3"/>
  <c r="L406" i="3"/>
  <c r="L409" i="3"/>
  <c r="L412" i="3"/>
  <c r="L427" i="3"/>
  <c r="L430" i="3"/>
  <c r="L432" i="3"/>
  <c r="L434" i="3"/>
  <c r="L437" i="3"/>
  <c r="L439" i="3"/>
  <c r="L441" i="3"/>
  <c r="L443" i="3"/>
  <c r="L446" i="3"/>
  <c r="L449" i="3"/>
  <c r="L451" i="3"/>
  <c r="L453" i="3"/>
  <c r="L456" i="3"/>
  <c r="L327" i="3"/>
  <c r="L330" i="3"/>
  <c r="L339" i="3"/>
  <c r="L305" i="3"/>
  <c r="L355" i="3"/>
  <c r="L329" i="3"/>
  <c r="L333" i="3"/>
  <c r="L336" i="3"/>
  <c r="L338" i="3"/>
  <c r="L304" i="3"/>
  <c r="L348" i="3"/>
  <c r="L351" i="3"/>
  <c r="L365" i="3"/>
  <c r="L379" i="3"/>
  <c r="L387" i="3"/>
  <c r="L393" i="3"/>
  <c r="L399" i="3"/>
  <c r="L402" i="3"/>
  <c r="L405" i="3"/>
  <c r="L410" i="3"/>
  <c r="L428" i="3"/>
  <c r="L433" i="3"/>
  <c r="L438" i="3"/>
  <c r="L442" i="3"/>
  <c r="L448" i="3"/>
  <c r="L452" i="3"/>
  <c r="L457" i="3"/>
  <c r="L459" i="3"/>
  <c r="L461" i="3"/>
  <c r="L463" i="3"/>
  <c r="L307" i="3"/>
  <c r="L309" i="3"/>
  <c r="L311" i="3"/>
  <c r="L308" i="3"/>
  <c r="L472" i="3"/>
  <c r="L474" i="3"/>
  <c r="L477" i="3"/>
  <c r="L479" i="3"/>
  <c r="L481" i="3"/>
  <c r="L483" i="3"/>
  <c r="L485" i="3"/>
  <c r="L488" i="3"/>
  <c r="L490" i="3"/>
  <c r="L492" i="3"/>
  <c r="L494" i="3"/>
  <c r="L382" i="3"/>
  <c r="L385" i="3"/>
  <c r="L398" i="3"/>
  <c r="L341" i="3"/>
  <c r="L345" i="3"/>
  <c r="L354" i="3"/>
  <c r="L357" i="3"/>
  <c r="L360" i="3"/>
  <c r="L390" i="3"/>
  <c r="L394" i="3"/>
  <c r="L396" i="3"/>
  <c r="L401" i="3"/>
  <c r="L408" i="3"/>
  <c r="L411" i="3"/>
  <c r="L413" i="3"/>
  <c r="L426" i="3"/>
  <c r="L429" i="3"/>
  <c r="L431" i="3"/>
  <c r="L435" i="3"/>
  <c r="L440" i="3"/>
  <c r="L444" i="3"/>
  <c r="L450" i="3"/>
  <c r="L384" i="3"/>
  <c r="L389" i="3"/>
  <c r="L407" i="3"/>
  <c r="L495" i="3"/>
  <c r="L496" i="3"/>
  <c r="L497" i="3"/>
  <c r="L498" i="3"/>
  <c r="L500" i="3"/>
  <c r="L501" i="3"/>
  <c r="L502" i="3"/>
  <c r="L503" i="3"/>
  <c r="L504" i="3"/>
  <c r="L505" i="3"/>
  <c r="L506" i="3"/>
  <c r="L507" i="3"/>
  <c r="L508" i="3"/>
  <c r="L509" i="3"/>
  <c r="L511" i="3"/>
  <c r="L512" i="3"/>
  <c r="L513" i="3"/>
  <c r="L514" i="3"/>
  <c r="L515" i="3"/>
  <c r="L516" i="3"/>
  <c r="L517" i="3"/>
  <c r="L455" i="3"/>
  <c r="L460" i="3"/>
  <c r="L306" i="3"/>
  <c r="L310" i="3"/>
  <c r="L475" i="3"/>
  <c r="L480" i="3"/>
  <c r="L484" i="3"/>
  <c r="L489" i="3"/>
  <c r="L493" i="3"/>
  <c r="L538" i="3"/>
  <c r="L546" i="3"/>
  <c r="L555" i="3"/>
  <c r="L564" i="3"/>
  <c r="L573" i="3"/>
  <c r="L519" i="3"/>
  <c r="L531" i="3"/>
  <c r="L535" i="3"/>
  <c r="L537" i="3"/>
  <c r="L540" i="3"/>
  <c r="L543" i="3"/>
  <c r="L545" i="3"/>
  <c r="L549" i="3"/>
  <c r="L552" i="3"/>
  <c r="L554" i="3"/>
  <c r="L557" i="3"/>
  <c r="L561" i="3"/>
  <c r="L563" i="3"/>
  <c r="L566" i="3"/>
  <c r="L570" i="3"/>
  <c r="L572" i="3"/>
  <c r="L575" i="3"/>
  <c r="L577" i="3"/>
  <c r="L579" i="3"/>
  <c r="L583" i="3"/>
  <c r="L586" i="3"/>
  <c r="L315" i="3"/>
  <c r="L590" i="3"/>
  <c r="L593" i="3"/>
  <c r="L595" i="3"/>
  <c r="L598" i="3"/>
  <c r="L317" i="3"/>
  <c r="L600" i="3"/>
  <c r="L603" i="3"/>
  <c r="L425" i="3"/>
  <c r="L458" i="3"/>
  <c r="L462" i="3"/>
  <c r="L313" i="3"/>
  <c r="L473" i="3"/>
  <c r="L478" i="3"/>
  <c r="L482" i="3"/>
  <c r="L486" i="3"/>
  <c r="L491" i="3"/>
  <c r="L518" i="3"/>
  <c r="L533" i="3"/>
  <c r="L542" i="3"/>
  <c r="L551" i="3"/>
  <c r="L581" i="3"/>
  <c r="L585" i="3"/>
  <c r="L587" i="3"/>
  <c r="L591" i="3"/>
  <c r="L597" i="3"/>
  <c r="L316" i="3"/>
  <c r="L318" i="3"/>
  <c r="L604" i="3"/>
  <c r="L609" i="3"/>
  <c r="L618" i="3"/>
  <c r="L630" i="3"/>
  <c r="L168" i="3"/>
  <c r="L170" i="3"/>
  <c r="L541" i="3"/>
  <c r="L544" i="3"/>
  <c r="L547" i="3"/>
  <c r="L558" i="3"/>
  <c r="L567" i="3"/>
  <c r="L576" i="3"/>
  <c r="L580" i="3"/>
  <c r="L596" i="3"/>
  <c r="L606" i="3"/>
  <c r="L608" i="3"/>
  <c r="L612" i="3"/>
  <c r="L615" i="3"/>
  <c r="L617" i="3"/>
  <c r="L622" i="3"/>
  <c r="L627" i="3"/>
  <c r="L629" i="3"/>
  <c r="L633" i="3"/>
  <c r="L636" i="3"/>
  <c r="L638" i="3"/>
  <c r="L166" i="3"/>
  <c r="L177" i="3"/>
  <c r="L179" i="3"/>
  <c r="L187" i="3"/>
  <c r="L190" i="3"/>
  <c r="L195" i="3"/>
  <c r="L198" i="3"/>
  <c r="L206" i="3"/>
  <c r="L208" i="3"/>
  <c r="L214" i="3"/>
  <c r="L216" i="3"/>
  <c r="L224" i="3"/>
  <c r="L227" i="3"/>
  <c r="L229" i="3"/>
  <c r="L232" i="3"/>
  <c r="L235" i="3"/>
  <c r="L237" i="3"/>
  <c r="L562" i="3"/>
  <c r="L571" i="3"/>
  <c r="L578" i="3"/>
  <c r="L584" i="3"/>
  <c r="L589" i="3"/>
  <c r="L592" i="3"/>
  <c r="L594" i="3"/>
  <c r="L599" i="3"/>
  <c r="L319" i="3"/>
  <c r="L605" i="3"/>
  <c r="L614" i="3"/>
  <c r="L626" i="3"/>
  <c r="L635" i="3"/>
  <c r="L326" i="3"/>
  <c r="L165" i="3"/>
  <c r="L169" i="3"/>
  <c r="L176" i="3"/>
  <c r="L182" i="3"/>
  <c r="L184" i="3"/>
  <c r="L192" i="3"/>
  <c r="L194" i="3"/>
  <c r="L200" i="3"/>
  <c r="L202" i="3"/>
  <c r="L211" i="3"/>
  <c r="L213" i="3"/>
  <c r="L219" i="3"/>
  <c r="L221" i="3"/>
  <c r="L226" i="3"/>
  <c r="L234" i="3"/>
  <c r="L243" i="3"/>
  <c r="L251" i="3"/>
  <c r="L260" i="3"/>
  <c r="L532" i="3"/>
  <c r="L536" i="3"/>
  <c r="L539" i="3"/>
  <c r="L550" i="3"/>
  <c r="L553" i="3"/>
  <c r="L556" i="3"/>
  <c r="L559" i="3"/>
  <c r="L565" i="3"/>
  <c r="L569" i="3"/>
  <c r="L574" i="3"/>
  <c r="L314" i="3"/>
  <c r="L588" i="3"/>
  <c r="L602" i="3"/>
  <c r="L607" i="3"/>
  <c r="L611" i="3"/>
  <c r="L613" i="3"/>
  <c r="L616" i="3"/>
  <c r="L621" i="3"/>
  <c r="L625" i="3"/>
  <c r="L628" i="3"/>
  <c r="L632" i="3"/>
  <c r="L634" i="3"/>
  <c r="L637" i="3"/>
  <c r="L178" i="3"/>
  <c r="L181" i="3"/>
  <c r="L186" i="3"/>
  <c r="L188" i="3"/>
  <c r="L197" i="3"/>
  <c r="L199" i="3"/>
  <c r="L205" i="3"/>
  <c r="L183" i="3"/>
  <c r="L201" i="3"/>
  <c r="L210" i="3"/>
  <c r="L217" i="3"/>
  <c r="L244" i="3"/>
  <c r="L246" i="3"/>
  <c r="L253" i="3"/>
  <c r="L261" i="3"/>
  <c r="L263" i="3"/>
  <c r="L159" i="3"/>
  <c r="L191" i="3"/>
  <c r="L207" i="3"/>
  <c r="L222" i="3"/>
  <c r="L225" i="3"/>
  <c r="L230" i="3"/>
  <c r="L233" i="3"/>
  <c r="L238" i="3"/>
  <c r="L241" i="3"/>
  <c r="L248" i="3"/>
  <c r="L250" i="3"/>
  <c r="L256" i="3"/>
  <c r="L258" i="3"/>
  <c r="L265" i="3"/>
  <c r="L267" i="3"/>
  <c r="L269" i="3"/>
  <c r="L271" i="3"/>
  <c r="L273" i="3"/>
  <c r="L276" i="3"/>
  <c r="L278" i="3"/>
  <c r="L281" i="3"/>
  <c r="L283" i="3"/>
  <c r="L286" i="3"/>
  <c r="L289" i="3"/>
  <c r="L293" i="3"/>
  <c r="L296" i="3"/>
  <c r="L298" i="3"/>
  <c r="L300" i="3"/>
  <c r="L302" i="3"/>
  <c r="L185" i="3"/>
  <c r="L204" i="3"/>
  <c r="L212" i="3"/>
  <c r="L215" i="3"/>
  <c r="L228" i="3"/>
  <c r="L236" i="3"/>
  <c r="L245" i="3"/>
  <c r="L252" i="3"/>
  <c r="L255" i="3"/>
  <c r="L262" i="3"/>
  <c r="L164" i="3"/>
  <c r="L193" i="3"/>
  <c r="L220" i="3"/>
  <c r="L223" i="3"/>
  <c r="L231" i="3"/>
  <c r="L240" i="3"/>
  <c r="L242" i="3"/>
  <c r="L247" i="3"/>
  <c r="L249" i="3"/>
  <c r="L257" i="3"/>
  <c r="L259" i="3"/>
  <c r="L264" i="3"/>
  <c r="L266" i="3"/>
  <c r="L268" i="3"/>
  <c r="L270" i="3"/>
  <c r="L272" i="3"/>
  <c r="L274" i="3"/>
  <c r="L277" i="3"/>
  <c r="L280" i="3"/>
  <c r="L282" i="3"/>
  <c r="L285" i="3"/>
  <c r="L287" i="3"/>
  <c r="L292" i="3"/>
  <c r="L294" i="3"/>
  <c r="L297" i="3"/>
  <c r="L299" i="3"/>
  <c r="L301" i="3"/>
  <c r="L160" i="3"/>
  <c r="L8" i="3"/>
  <c r="L9" i="3"/>
  <c r="L10" i="3"/>
  <c r="L20" i="3"/>
  <c r="L21" i="3"/>
  <c r="L22" i="3"/>
  <c r="L24" i="3"/>
  <c r="L25" i="3"/>
  <c r="L26" i="3"/>
  <c r="L27" i="3"/>
  <c r="L29" i="3"/>
  <c r="L30" i="3"/>
  <c r="L31" i="3"/>
  <c r="L33" i="3"/>
  <c r="L34" i="3"/>
  <c r="L35" i="3"/>
  <c r="L36" i="3"/>
  <c r="L41" i="3"/>
  <c r="L42" i="3"/>
  <c r="L43" i="3"/>
  <c r="L44" i="3"/>
  <c r="L46" i="3"/>
  <c r="L47" i="3"/>
  <c r="L48" i="3"/>
  <c r="L49" i="3"/>
  <c r="L50" i="3"/>
  <c r="L51" i="3"/>
  <c r="L52" i="3"/>
  <c r="L53" i="3"/>
  <c r="L54" i="3"/>
  <c r="L55" i="3"/>
  <c r="L57" i="3"/>
  <c r="L58" i="3"/>
  <c r="L59" i="3"/>
  <c r="L60" i="3"/>
  <c r="L61" i="3"/>
  <c r="L62" i="3"/>
  <c r="L64" i="3"/>
  <c r="L65" i="3"/>
  <c r="L66" i="3"/>
  <c r="L67" i="3"/>
  <c r="L68" i="3"/>
  <c r="L69" i="3"/>
  <c r="L72" i="3"/>
  <c r="L74" i="3"/>
  <c r="L77" i="3"/>
  <c r="L79" i="3"/>
  <c r="L81" i="3"/>
  <c r="L83" i="3"/>
  <c r="L85" i="3"/>
  <c r="L87" i="3"/>
  <c r="L89" i="3"/>
  <c r="L91" i="3"/>
  <c r="L93" i="3"/>
  <c r="L95" i="3"/>
  <c r="L97" i="3"/>
  <c r="L99" i="3"/>
  <c r="L101" i="3"/>
  <c r="L71" i="3"/>
  <c r="L73" i="3"/>
  <c r="L75" i="3"/>
  <c r="L78" i="3"/>
  <c r="L80" i="3"/>
  <c r="L82" i="3"/>
  <c r="L84" i="3"/>
  <c r="L86" i="3"/>
  <c r="L88" i="3"/>
  <c r="L90" i="3"/>
  <c r="L92" i="3"/>
  <c r="L94" i="3"/>
  <c r="L96" i="3"/>
  <c r="L98" i="3"/>
  <c r="L100" i="3"/>
  <c r="L103" i="3"/>
  <c r="L104" i="3"/>
  <c r="L106" i="3"/>
  <c r="L108" i="3"/>
  <c r="L110" i="3"/>
  <c r="L112" i="3"/>
  <c r="L114" i="3"/>
  <c r="L116" i="3"/>
  <c r="L118" i="3"/>
  <c r="L120" i="3"/>
  <c r="L123" i="3"/>
  <c r="L125" i="3"/>
  <c r="L127" i="3"/>
  <c r="L129" i="3"/>
  <c r="L133" i="3"/>
  <c r="L135" i="3"/>
  <c r="L137" i="3"/>
  <c r="L139" i="3"/>
  <c r="L105" i="3"/>
  <c r="L107" i="3"/>
  <c r="L109" i="3"/>
  <c r="L111" i="3"/>
  <c r="L113" i="3"/>
  <c r="L115" i="3"/>
  <c r="L117" i="3"/>
  <c r="L119" i="3"/>
  <c r="L121" i="3"/>
  <c r="L124" i="3"/>
  <c r="L126" i="3"/>
  <c r="L128" i="3"/>
  <c r="L132" i="3"/>
  <c r="L134" i="3"/>
  <c r="L136" i="3"/>
  <c r="L138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7" i="3"/>
  <c r="I25" i="12"/>
  <c r="F40" i="12"/>
  <c r="I6" i="12"/>
  <c r="O43" i="12"/>
  <c r="O55" i="12"/>
  <c r="O23" i="12"/>
  <c r="I56" i="12"/>
  <c r="I53" i="12"/>
  <c r="F55" i="12"/>
  <c r="I26" i="12"/>
  <c r="I24" i="12"/>
  <c r="F53" i="12"/>
  <c r="I47" i="12"/>
  <c r="F12" i="12"/>
  <c r="I52" i="12"/>
  <c r="O49" i="12"/>
  <c r="F36" i="12"/>
  <c r="F24" i="12"/>
  <c r="O26" i="12"/>
  <c r="O24" i="12"/>
  <c r="F44" i="12"/>
  <c r="F43" i="12"/>
  <c r="F35" i="12"/>
  <c r="F34" i="12"/>
  <c r="F56" i="12"/>
  <c r="F17" i="12"/>
  <c r="I43" i="12"/>
  <c r="I48" i="12"/>
  <c r="I54" i="12"/>
  <c r="F48" i="12"/>
  <c r="F22" i="12"/>
  <c r="F47" i="12"/>
  <c r="F25" i="12"/>
  <c r="F42" i="12"/>
  <c r="I55" i="12"/>
  <c r="F41" i="12"/>
  <c r="F19" i="12"/>
  <c r="F9" i="12"/>
  <c r="I11" i="12"/>
  <c r="I33" i="12"/>
  <c r="I36" i="12"/>
  <c r="I18" i="12"/>
  <c r="I44" i="12"/>
  <c r="I19" i="12"/>
  <c r="I41" i="12"/>
  <c r="I46" i="12"/>
  <c r="I57" i="12"/>
  <c r="F18" i="12"/>
  <c r="F21" i="12"/>
  <c r="F54" i="12"/>
  <c r="I21" i="12"/>
  <c r="I22" i="12"/>
  <c r="I7" i="12"/>
  <c r="I45" i="12"/>
  <c r="F52" i="12"/>
  <c r="F26" i="12"/>
  <c r="F51" i="12"/>
  <c r="I17" i="12"/>
  <c r="F46" i="12"/>
  <c r="F20" i="12"/>
  <c r="F45" i="12"/>
  <c r="F11" i="12"/>
  <c r="F7" i="12"/>
  <c r="I14" i="12"/>
  <c r="I51" i="12"/>
  <c r="I9" i="12"/>
  <c r="I40" i="12"/>
  <c r="I34" i="12"/>
  <c r="I35" i="12"/>
  <c r="O25" i="12"/>
  <c r="O40" i="12"/>
  <c r="O46" i="12"/>
  <c r="O21" i="12"/>
  <c r="O22" i="12"/>
  <c r="O52" i="12"/>
  <c r="O19" i="12"/>
  <c r="O45" i="12"/>
  <c r="O27" i="12"/>
  <c r="O42" i="12"/>
  <c r="O6" i="12"/>
  <c r="O51" i="12"/>
  <c r="O12" i="12"/>
  <c r="O18" i="12"/>
  <c r="O48" i="12"/>
  <c r="O11" i="12"/>
  <c r="O34" i="12"/>
  <c r="O56" i="12"/>
  <c r="O35" i="12"/>
  <c r="O47" i="12"/>
  <c r="O17" i="12"/>
  <c r="O44" i="12"/>
  <c r="O14" i="12"/>
  <c r="O53" i="12"/>
  <c r="O9" i="12"/>
  <c r="O54" i="12"/>
  <c r="I20" i="12"/>
  <c r="O33" i="12"/>
  <c r="O41" i="12"/>
  <c r="O20" i="12"/>
  <c r="O50" i="12"/>
  <c r="L57" i="12"/>
  <c r="L20" i="12"/>
  <c r="F57" i="12"/>
  <c r="L9" i="12"/>
  <c r="L53" i="12"/>
  <c r="L52" i="12"/>
  <c r="L45" i="12"/>
  <c r="L56" i="12"/>
  <c r="L21" i="12"/>
  <c r="L44" i="12"/>
  <c r="L17" i="12"/>
  <c r="L34" i="12"/>
  <c r="L50" i="12"/>
  <c r="L51" i="12"/>
  <c r="L22" i="12"/>
  <c r="L19" i="12"/>
  <c r="L14" i="12"/>
  <c r="L42" i="12"/>
  <c r="L43" i="12"/>
  <c r="F33" i="12"/>
  <c r="I42" i="12"/>
  <c r="L12" i="12"/>
  <c r="L41" i="12"/>
  <c r="L24" i="12"/>
  <c r="L54" i="12"/>
  <c r="L35" i="12"/>
  <c r="L27" i="12"/>
  <c r="L26" i="12"/>
  <c r="L55" i="12"/>
  <c r="L40" i="12"/>
  <c r="F49" i="12"/>
  <c r="F23" i="12"/>
  <c r="F6" i="12"/>
  <c r="I23" i="12"/>
  <c r="I49" i="12"/>
  <c r="I12" i="12"/>
  <c r="L23" i="12"/>
  <c r="L49" i="12"/>
  <c r="L11" i="12"/>
  <c r="L33" i="12"/>
  <c r="L46" i="12"/>
  <c r="L25" i="12"/>
  <c r="L47" i="12"/>
  <c r="L6" i="12"/>
  <c r="L18" i="12"/>
  <c r="L48" i="12"/>
  <c r="G59" i="2"/>
  <c r="G15" i="2"/>
  <c r="E5" i="2"/>
  <c r="H21" i="24" l="1"/>
  <c r="I50" i="24" s="1"/>
  <c r="H37" i="24"/>
  <c r="E21" i="24"/>
  <c r="F36" i="24" s="1"/>
  <c r="K37" i="24"/>
  <c r="N37" i="24"/>
  <c r="K21" i="24"/>
  <c r="L52" i="24" s="1"/>
  <c r="N21" i="24"/>
  <c r="O51" i="24" s="1"/>
  <c r="E37" i="24"/>
  <c r="M43" i="4"/>
  <c r="M48" i="4"/>
  <c r="J33" i="4"/>
  <c r="J48" i="4"/>
  <c r="N27" i="14"/>
  <c r="H13" i="25"/>
  <c r="I11" i="25" s="1"/>
  <c r="E21" i="25"/>
  <c r="N31" i="25"/>
  <c r="K40" i="14"/>
  <c r="E31" i="25"/>
  <c r="K31" i="25"/>
  <c r="H31" i="25"/>
  <c r="E55" i="24"/>
  <c r="K55" i="24"/>
  <c r="N55" i="24"/>
  <c r="H55" i="24"/>
  <c r="K13" i="25"/>
  <c r="E13" i="25"/>
  <c r="K21" i="25"/>
  <c r="H21" i="25"/>
  <c r="N21" i="25"/>
  <c r="N13" i="25"/>
  <c r="K27" i="14"/>
  <c r="H40" i="14"/>
  <c r="H27" i="14"/>
  <c r="N40" i="14"/>
  <c r="N20" i="23"/>
  <c r="N12" i="23"/>
  <c r="O7" i="23" s="1"/>
  <c r="E12" i="23"/>
  <c r="K12" i="23"/>
  <c r="H30" i="23"/>
  <c r="I30" i="23" s="1"/>
  <c r="K20" i="23"/>
  <c r="K30" i="23"/>
  <c r="N30" i="23"/>
  <c r="I27" i="23"/>
  <c r="I18" i="23"/>
  <c r="I15" i="23"/>
  <c r="I11" i="23"/>
  <c r="I8" i="23"/>
  <c r="I29" i="23"/>
  <c r="I26" i="23"/>
  <c r="I17" i="23"/>
  <c r="I12" i="23"/>
  <c r="I10" i="23"/>
  <c r="I7" i="23"/>
  <c r="I28" i="23"/>
  <c r="I25" i="23"/>
  <c r="I19" i="23"/>
  <c r="I16" i="23"/>
  <c r="I9" i="23"/>
  <c r="E30" i="23"/>
  <c r="E20" i="23"/>
  <c r="E40" i="14"/>
  <c r="H20" i="23"/>
  <c r="I20" i="23" s="1"/>
  <c r="J43" i="4"/>
  <c r="M7" i="4"/>
  <c r="M46" i="4"/>
  <c r="J7" i="4"/>
  <c r="J46" i="4"/>
  <c r="M33" i="4"/>
  <c r="M49" i="4"/>
  <c r="J49" i="4"/>
  <c r="D7" i="4"/>
  <c r="D23" i="4"/>
  <c r="G7" i="4"/>
  <c r="G23" i="4"/>
  <c r="L49" i="11"/>
  <c r="J18" i="4"/>
  <c r="M18" i="4"/>
  <c r="M27" i="4"/>
  <c r="M30" i="4"/>
  <c r="M25" i="4"/>
  <c r="J25" i="4"/>
  <c r="J27" i="4"/>
  <c r="J30" i="4"/>
  <c r="G39" i="4"/>
  <c r="M32" i="4"/>
  <c r="G46" i="4"/>
  <c r="M41" i="4"/>
  <c r="G37" i="4"/>
  <c r="G34" i="4"/>
  <c r="J42" i="4"/>
  <c r="M17" i="4"/>
  <c r="M21" i="4"/>
  <c r="M20" i="4"/>
  <c r="M36" i="4"/>
  <c r="J51" i="4"/>
  <c r="G41" i="4"/>
  <c r="G43" i="4"/>
  <c r="M39" i="4"/>
  <c r="M51" i="4"/>
  <c r="M14" i="4"/>
  <c r="M10" i="4"/>
  <c r="M16" i="4"/>
  <c r="M26" i="4"/>
  <c r="J14" i="4"/>
  <c r="J13" i="4"/>
  <c r="M29" i="4"/>
  <c r="J36" i="4"/>
  <c r="G10" i="4"/>
  <c r="D16" i="4"/>
  <c r="G25" i="4"/>
  <c r="G27" i="4"/>
  <c r="M34" i="4"/>
  <c r="J15" i="4"/>
  <c r="M19" i="4"/>
  <c r="M13" i="4"/>
  <c r="M50" i="4"/>
  <c r="M42" i="4"/>
  <c r="M15" i="4"/>
  <c r="G28" i="4"/>
  <c r="G30" i="4"/>
  <c r="G17" i="4"/>
  <c r="G50" i="4"/>
  <c r="G20" i="4"/>
  <c r="G22" i="4"/>
  <c r="M44" i="4"/>
  <c r="M28" i="4"/>
  <c r="M22" i="4"/>
  <c r="M38" i="4"/>
  <c r="M35" i="4"/>
  <c r="M11" i="4"/>
  <c r="G21" i="4"/>
  <c r="G14" i="4"/>
  <c r="D45" i="4"/>
  <c r="D28" i="4"/>
  <c r="J35" i="4"/>
  <c r="J11" i="4"/>
  <c r="J41" i="4"/>
  <c r="J38" i="4"/>
  <c r="D35" i="4"/>
  <c r="D40" i="4"/>
  <c r="J10" i="4"/>
  <c r="J29" i="4"/>
  <c r="J50" i="4"/>
  <c r="J34" i="4"/>
  <c r="J26" i="4"/>
  <c r="J22" i="4"/>
  <c r="D50" i="4"/>
  <c r="D46" i="4"/>
  <c r="J21" i="4"/>
  <c r="J32" i="4"/>
  <c r="J28" i="4"/>
  <c r="J39" i="4"/>
  <c r="J17" i="4"/>
  <c r="J16" i="4"/>
  <c r="J44" i="4"/>
  <c r="J20" i="4"/>
  <c r="D22" i="4"/>
  <c r="D42" i="4"/>
  <c r="D38" i="4"/>
  <c r="D37" i="4"/>
  <c r="D29" i="4"/>
  <c r="D44" i="4"/>
  <c r="D18" i="4"/>
  <c r="D32" i="4"/>
  <c r="D31" i="4"/>
  <c r="D39" i="4"/>
  <c r="D51" i="4"/>
  <c r="D15" i="4"/>
  <c r="D11" i="4"/>
  <c r="D25" i="4"/>
  <c r="D21" i="4"/>
  <c r="D33" i="4"/>
  <c r="D41" i="4"/>
  <c r="D13" i="4"/>
  <c r="D20" i="4"/>
  <c r="D26" i="4"/>
  <c r="D27" i="4"/>
  <c r="D36" i="4"/>
  <c r="D10" i="4"/>
  <c r="D49" i="4"/>
  <c r="D14" i="4"/>
  <c r="D24" i="4"/>
  <c r="D34" i="4"/>
  <c r="D47" i="4"/>
  <c r="D43" i="4"/>
  <c r="D17" i="4"/>
  <c r="D19" i="4"/>
  <c r="D30" i="4"/>
  <c r="G15" i="4"/>
  <c r="G42" i="4"/>
  <c r="G45" i="4"/>
  <c r="G29" i="4"/>
  <c r="G47" i="4"/>
  <c r="G31" i="4"/>
  <c r="G32" i="4"/>
  <c r="G49" i="4"/>
  <c r="G18" i="4"/>
  <c r="G40" i="4"/>
  <c r="G11" i="4"/>
  <c r="G51" i="4"/>
  <c r="G33" i="4"/>
  <c r="G16" i="4"/>
  <c r="G35" i="4"/>
  <c r="G38" i="4"/>
  <c r="G24" i="4"/>
  <c r="G44" i="4"/>
  <c r="G13" i="4"/>
  <c r="G26" i="4"/>
  <c r="G36" i="4"/>
  <c r="G19" i="4"/>
  <c r="O14" i="11"/>
  <c r="C8" i="4"/>
  <c r="D8" i="4" s="1"/>
  <c r="F8" i="4"/>
  <c r="G8" i="4" s="1"/>
  <c r="G12" i="4"/>
  <c r="F53" i="11"/>
  <c r="E58" i="11"/>
  <c r="Q50" i="8"/>
  <c r="P78" i="8"/>
  <c r="K50" i="8"/>
  <c r="J78" i="8"/>
  <c r="E16" i="14"/>
  <c r="F33" i="14" s="1"/>
  <c r="N50" i="8"/>
  <c r="M78" i="8"/>
  <c r="G75" i="2"/>
  <c r="H53" i="11"/>
  <c r="L14" i="11"/>
  <c r="O49" i="11"/>
  <c r="F14" i="11"/>
  <c r="F49" i="11"/>
  <c r="I14" i="11"/>
  <c r="H16" i="14"/>
  <c r="I33" i="14" s="1"/>
  <c r="K16" i="14"/>
  <c r="N16" i="14"/>
  <c r="H82" i="8"/>
  <c r="H78" i="8"/>
  <c r="H50" i="8"/>
  <c r="G29" i="2"/>
  <c r="G106" i="2"/>
  <c r="G23" i="2"/>
  <c r="G7" i="2"/>
  <c r="F37" i="24" l="1"/>
  <c r="F43" i="24"/>
  <c r="O53" i="24"/>
  <c r="O52" i="24"/>
  <c r="O54" i="24"/>
  <c r="I28" i="25"/>
  <c r="I31" i="25"/>
  <c r="F32" i="24"/>
  <c r="O7" i="24"/>
  <c r="O10" i="24"/>
  <c r="O21" i="24"/>
  <c r="O29" i="24"/>
  <c r="O24" i="24"/>
  <c r="O44" i="24"/>
  <c r="O31" i="24"/>
  <c r="O42" i="24"/>
  <c r="O26" i="24"/>
  <c r="O48" i="24"/>
  <c r="O16" i="24"/>
  <c r="O13" i="24"/>
  <c r="O8" i="24"/>
  <c r="O11" i="24"/>
  <c r="O14" i="24"/>
  <c r="O36" i="24"/>
  <c r="O30" i="24"/>
  <c r="F29" i="24"/>
  <c r="F31" i="24"/>
  <c r="F18" i="24"/>
  <c r="F14" i="24"/>
  <c r="F53" i="24"/>
  <c r="O27" i="24"/>
  <c r="O57" i="24"/>
  <c r="O35" i="24"/>
  <c r="O47" i="24"/>
  <c r="O43" i="24"/>
  <c r="O49" i="24"/>
  <c r="O46" i="24"/>
  <c r="O9" i="24"/>
  <c r="O15" i="24"/>
  <c r="O12" i="24"/>
  <c r="O25" i="24"/>
  <c r="O37" i="24"/>
  <c r="O28" i="24"/>
  <c r="L47" i="24"/>
  <c r="N39" i="24"/>
  <c r="N59" i="24" s="1"/>
  <c r="N62" i="24" s="1"/>
  <c r="O45" i="24"/>
  <c r="L7" i="24"/>
  <c r="O19" i="24"/>
  <c r="L20" i="24"/>
  <c r="I13" i="24"/>
  <c r="O55" i="24"/>
  <c r="L37" i="24"/>
  <c r="F46" i="24"/>
  <c r="F27" i="24"/>
  <c r="F10" i="24"/>
  <c r="F12" i="24"/>
  <c r="F45" i="24"/>
  <c r="F17" i="24"/>
  <c r="F50" i="24"/>
  <c r="F49" i="24"/>
  <c r="F30" i="24"/>
  <c r="F13" i="24"/>
  <c r="F15" i="24"/>
  <c r="F48" i="24"/>
  <c r="F20" i="24"/>
  <c r="F35" i="24"/>
  <c r="F51" i="24"/>
  <c r="F55" i="24"/>
  <c r="F8" i="24"/>
  <c r="F44" i="24"/>
  <c r="F21" i="24"/>
  <c r="F25" i="24"/>
  <c r="F57" i="24"/>
  <c r="F16" i="24"/>
  <c r="F33" i="24"/>
  <c r="F54" i="24"/>
  <c r="I10" i="24"/>
  <c r="F11" i="24"/>
  <c r="F47" i="24"/>
  <c r="F26" i="24"/>
  <c r="F28" i="24"/>
  <c r="F19" i="24"/>
  <c r="F34" i="24"/>
  <c r="F52" i="24"/>
  <c r="I45" i="24"/>
  <c r="F24" i="24"/>
  <c r="F7" i="24"/>
  <c r="F9" i="24"/>
  <c r="F42" i="24"/>
  <c r="I19" i="25"/>
  <c r="I28" i="24"/>
  <c r="O17" i="24"/>
  <c r="I21" i="24"/>
  <c r="I57" i="24"/>
  <c r="I46" i="24"/>
  <c r="I24" i="24"/>
  <c r="I43" i="24"/>
  <c r="I11" i="24"/>
  <c r="I49" i="24"/>
  <c r="O18" i="24"/>
  <c r="I25" i="24"/>
  <c r="L33" i="24"/>
  <c r="O33" i="24"/>
  <c r="L21" i="24"/>
  <c r="I26" i="24"/>
  <c r="I9" i="24"/>
  <c r="I48" i="24"/>
  <c r="I30" i="24"/>
  <c r="I18" i="24"/>
  <c r="I42" i="24"/>
  <c r="I29" i="24"/>
  <c r="I12" i="24"/>
  <c r="H39" i="24"/>
  <c r="H59" i="24" s="1"/>
  <c r="I59" i="24" s="1"/>
  <c r="I44" i="24"/>
  <c r="I7" i="24"/>
  <c r="I37" i="24"/>
  <c r="I15" i="24"/>
  <c r="I31" i="24"/>
  <c r="I47" i="24"/>
  <c r="I35" i="24"/>
  <c r="I8" i="24"/>
  <c r="O32" i="24"/>
  <c r="L24" i="24"/>
  <c r="I14" i="24"/>
  <c r="L25" i="24"/>
  <c r="I27" i="24"/>
  <c r="L42" i="24"/>
  <c r="L9" i="24"/>
  <c r="L49" i="24"/>
  <c r="L35" i="24"/>
  <c r="O34" i="24"/>
  <c r="O50" i="24"/>
  <c r="I21" i="25"/>
  <c r="I33" i="24"/>
  <c r="I17" i="25"/>
  <c r="I20" i="25"/>
  <c r="I33" i="25"/>
  <c r="I17" i="24"/>
  <c r="I29" i="25"/>
  <c r="I16" i="24"/>
  <c r="I10" i="25"/>
  <c r="I19" i="24"/>
  <c r="I36" i="24"/>
  <c r="I9" i="25"/>
  <c r="I13" i="25"/>
  <c r="L57" i="24"/>
  <c r="O20" i="24"/>
  <c r="I34" i="24"/>
  <c r="I18" i="25"/>
  <c r="I54" i="24"/>
  <c r="I16" i="25"/>
  <c r="I51" i="24"/>
  <c r="I20" i="24"/>
  <c r="I32" i="24"/>
  <c r="I26" i="25"/>
  <c r="I27" i="25"/>
  <c r="I55" i="24"/>
  <c r="I30" i="25"/>
  <c r="L51" i="24"/>
  <c r="L14" i="24"/>
  <c r="L27" i="24"/>
  <c r="L28" i="24"/>
  <c r="K39" i="24"/>
  <c r="L39" i="24" s="1"/>
  <c r="L26" i="24"/>
  <c r="L17" i="24"/>
  <c r="L36" i="24"/>
  <c r="L54" i="24"/>
  <c r="L44" i="24"/>
  <c r="L30" i="24"/>
  <c r="L31" i="24"/>
  <c r="L55" i="24"/>
  <c r="L29" i="24"/>
  <c r="L19" i="24"/>
  <c r="L53" i="24"/>
  <c r="L8" i="24"/>
  <c r="L12" i="24"/>
  <c r="L45" i="24"/>
  <c r="L10" i="24"/>
  <c r="L43" i="24"/>
  <c r="L16" i="24"/>
  <c r="L32" i="24"/>
  <c r="L50" i="24"/>
  <c r="L11" i="24"/>
  <c r="L15" i="24"/>
  <c r="L48" i="24"/>
  <c r="L13" i="24"/>
  <c r="L46" i="24"/>
  <c r="L18" i="24"/>
  <c r="L34" i="24"/>
  <c r="I53" i="24"/>
  <c r="I12" i="25"/>
  <c r="I7" i="25"/>
  <c r="I8" i="25"/>
  <c r="E39" i="24"/>
  <c r="E59" i="24" s="1"/>
  <c r="F59" i="24" s="1"/>
  <c r="I52" i="24"/>
  <c r="H23" i="25"/>
  <c r="H35" i="25" s="1"/>
  <c r="I35" i="25" s="1"/>
  <c r="O33" i="25"/>
  <c r="O29" i="25"/>
  <c r="O26" i="25"/>
  <c r="O20" i="25"/>
  <c r="O17" i="25"/>
  <c r="O12" i="25"/>
  <c r="O9" i="25"/>
  <c r="O31" i="25"/>
  <c r="O28" i="25"/>
  <c r="O19" i="25"/>
  <c r="O16" i="25"/>
  <c r="O11" i="25"/>
  <c r="O8" i="25"/>
  <c r="N23" i="25"/>
  <c r="N35" i="25" s="1"/>
  <c r="N38" i="25" s="1"/>
  <c r="O30" i="25"/>
  <c r="O27" i="25"/>
  <c r="O21" i="25"/>
  <c r="O18" i="25"/>
  <c r="O13" i="25"/>
  <c r="O10" i="25"/>
  <c r="O7" i="25"/>
  <c r="F33" i="25"/>
  <c r="F29" i="25"/>
  <c r="F26" i="25"/>
  <c r="F20" i="25"/>
  <c r="F17" i="25"/>
  <c r="F12" i="25"/>
  <c r="F9" i="25"/>
  <c r="F31" i="25"/>
  <c r="F28" i="25"/>
  <c r="F19" i="25"/>
  <c r="F16" i="25"/>
  <c r="F11" i="25"/>
  <c r="F8" i="25"/>
  <c r="E23" i="25"/>
  <c r="E35" i="25" s="1"/>
  <c r="F35" i="25" s="1"/>
  <c r="F30" i="25"/>
  <c r="F27" i="25"/>
  <c r="F21" i="25"/>
  <c r="F18" i="25"/>
  <c r="F13" i="25"/>
  <c r="F10" i="25"/>
  <c r="F7" i="25"/>
  <c r="L30" i="25"/>
  <c r="L27" i="25"/>
  <c r="L21" i="25"/>
  <c r="L18" i="25"/>
  <c r="L13" i="25"/>
  <c r="L10" i="25"/>
  <c r="L7" i="25"/>
  <c r="L33" i="25"/>
  <c r="L29" i="25"/>
  <c r="L26" i="25"/>
  <c r="L20" i="25"/>
  <c r="L17" i="25"/>
  <c r="L12" i="25"/>
  <c r="L9" i="25"/>
  <c r="L31" i="25"/>
  <c r="L28" i="25"/>
  <c r="L19" i="25"/>
  <c r="L16" i="25"/>
  <c r="L11" i="25"/>
  <c r="L8" i="25"/>
  <c r="K23" i="25"/>
  <c r="K35" i="25" s="1"/>
  <c r="L35" i="25" s="1"/>
  <c r="L17" i="23"/>
  <c r="L32" i="23"/>
  <c r="F25" i="23"/>
  <c r="F32" i="23"/>
  <c r="O19" i="23"/>
  <c r="O32" i="23"/>
  <c r="O8" i="23"/>
  <c r="O10" i="23"/>
  <c r="O15" i="23"/>
  <c r="O11" i="23"/>
  <c r="O25" i="23"/>
  <c r="O16" i="23"/>
  <c r="O12" i="23"/>
  <c r="O28" i="23"/>
  <c r="L20" i="23"/>
  <c r="F30" i="23"/>
  <c r="O30" i="23"/>
  <c r="O17" i="23"/>
  <c r="O18" i="23"/>
  <c r="O26" i="23"/>
  <c r="O27" i="23"/>
  <c r="O29" i="23"/>
  <c r="O9" i="23"/>
  <c r="L25" i="23"/>
  <c r="F7" i="23"/>
  <c r="F12" i="23"/>
  <c r="L8" i="23"/>
  <c r="L18" i="23"/>
  <c r="L27" i="23"/>
  <c r="L10" i="23"/>
  <c r="L9" i="23"/>
  <c r="L7" i="23"/>
  <c r="L30" i="23"/>
  <c r="F10" i="23"/>
  <c r="F17" i="23"/>
  <c r="F20" i="23"/>
  <c r="F26" i="23"/>
  <c r="L11" i="23"/>
  <c r="L16" i="23"/>
  <c r="L12" i="23"/>
  <c r="F29" i="23"/>
  <c r="L15" i="23"/>
  <c r="L19" i="23"/>
  <c r="F15" i="23"/>
  <c r="O20" i="23"/>
  <c r="F8" i="23"/>
  <c r="N22" i="23"/>
  <c r="O22" i="23" s="1"/>
  <c r="F11" i="23"/>
  <c r="L26" i="23"/>
  <c r="F18" i="23"/>
  <c r="L29" i="23"/>
  <c r="F9" i="23"/>
  <c r="L28" i="23"/>
  <c r="F16" i="23"/>
  <c r="F19" i="23"/>
  <c r="F27" i="23"/>
  <c r="F28" i="23"/>
  <c r="E22" i="23"/>
  <c r="E34" i="23" s="1"/>
  <c r="F34" i="23" s="1"/>
  <c r="K22" i="23"/>
  <c r="L22" i="23" s="1"/>
  <c r="H22" i="23"/>
  <c r="O15" i="14"/>
  <c r="O33" i="14"/>
  <c r="L15" i="14"/>
  <c r="L33" i="14"/>
  <c r="O8" i="14"/>
  <c r="O20" i="14"/>
  <c r="L8" i="14"/>
  <c r="L20" i="14"/>
  <c r="I8" i="14"/>
  <c r="I20" i="14"/>
  <c r="F8" i="14"/>
  <c r="F20" i="14"/>
  <c r="C52" i="4"/>
  <c r="D52" i="4" s="1"/>
  <c r="D12" i="4"/>
  <c r="E62" i="11"/>
  <c r="E63" i="11"/>
  <c r="E61" i="11"/>
  <c r="E64" i="11"/>
  <c r="E60" i="11"/>
  <c r="E65" i="11"/>
  <c r="E66" i="11"/>
  <c r="I53" i="11"/>
  <c r="H58" i="11"/>
  <c r="M82" i="8"/>
  <c r="N82" i="8" s="1"/>
  <c r="N78" i="8"/>
  <c r="P82" i="8"/>
  <c r="Q82" i="8" s="1"/>
  <c r="Q78" i="8"/>
  <c r="L40" i="14"/>
  <c r="I40" i="14"/>
  <c r="J82" i="8"/>
  <c r="K82" i="8" s="1"/>
  <c r="K78" i="8"/>
  <c r="O40" i="14"/>
  <c r="L36" i="14"/>
  <c r="L24" i="14"/>
  <c r="L7" i="14"/>
  <c r="L9" i="14"/>
  <c r="L34" i="14"/>
  <c r="L22" i="14"/>
  <c r="L39" i="14"/>
  <c r="L25" i="14"/>
  <c r="L26" i="14"/>
  <c r="L35" i="14"/>
  <c r="L12" i="14"/>
  <c r="L13" i="14"/>
  <c r="L14" i="14"/>
  <c r="L37" i="14"/>
  <c r="L16" i="14"/>
  <c r="L32" i="14"/>
  <c r="L27" i="14"/>
  <c r="L19" i="14"/>
  <c r="L11" i="14"/>
  <c r="K29" i="14"/>
  <c r="L21" i="14"/>
  <c r="F37" i="14"/>
  <c r="F25" i="14"/>
  <c r="F12" i="14"/>
  <c r="F16" i="14"/>
  <c r="F34" i="14"/>
  <c r="F38" i="14"/>
  <c r="F32" i="14"/>
  <c r="F22" i="14"/>
  <c r="F9" i="14"/>
  <c r="F13" i="14"/>
  <c r="F7" i="14"/>
  <c r="F35" i="14"/>
  <c r="F39" i="14"/>
  <c r="F23" i="14"/>
  <c r="F10" i="14"/>
  <c r="F14" i="14"/>
  <c r="F36" i="14"/>
  <c r="F42" i="14"/>
  <c r="F24" i="14"/>
  <c r="F11" i="14"/>
  <c r="F15" i="14"/>
  <c r="L42" i="14"/>
  <c r="L23" i="14"/>
  <c r="L10" i="14"/>
  <c r="L38" i="14"/>
  <c r="I36" i="14"/>
  <c r="I42" i="14"/>
  <c r="I32" i="14"/>
  <c r="I27" i="14"/>
  <c r="I23" i="14"/>
  <c r="I16" i="14"/>
  <c r="I12" i="14"/>
  <c r="I7" i="14"/>
  <c r="I37" i="14"/>
  <c r="I26" i="14"/>
  <c r="I22" i="14"/>
  <c r="I15" i="14"/>
  <c r="I11" i="14"/>
  <c r="I34" i="14"/>
  <c r="I38" i="14"/>
  <c r="I25" i="14"/>
  <c r="I21" i="14"/>
  <c r="I14" i="14"/>
  <c r="I10" i="14"/>
  <c r="I35" i="14"/>
  <c r="I39" i="14"/>
  <c r="I24" i="14"/>
  <c r="I19" i="14"/>
  <c r="I13" i="14"/>
  <c r="I9" i="14"/>
  <c r="H29" i="14"/>
  <c r="O36" i="14"/>
  <c r="O42" i="14"/>
  <c r="O25" i="14"/>
  <c r="O21" i="14"/>
  <c r="O14" i="14"/>
  <c r="O10" i="14"/>
  <c r="O37" i="14"/>
  <c r="O24" i="14"/>
  <c r="O19" i="14"/>
  <c r="O13" i="14"/>
  <c r="O9" i="14"/>
  <c r="O34" i="14"/>
  <c r="O38" i="14"/>
  <c r="O32" i="14"/>
  <c r="O27" i="14"/>
  <c r="O23" i="14"/>
  <c r="O16" i="14"/>
  <c r="O12" i="14"/>
  <c r="O7" i="14"/>
  <c r="O35" i="14"/>
  <c r="O39" i="14"/>
  <c r="O26" i="14"/>
  <c r="O22" i="14"/>
  <c r="O11" i="14"/>
  <c r="N29" i="14"/>
  <c r="G151" i="2"/>
  <c r="G166" i="2" s="1"/>
  <c r="G31" i="2"/>
  <c r="G61" i="2" s="1"/>
  <c r="A3" i="2"/>
  <c r="E155" i="2"/>
  <c r="E71" i="2"/>
  <c r="E72" i="2"/>
  <c r="E74" i="2"/>
  <c r="E77" i="2"/>
  <c r="E78" i="2"/>
  <c r="E82" i="2"/>
  <c r="E83" i="2"/>
  <c r="E84" i="2"/>
  <c r="E85" i="2"/>
  <c r="E86" i="2"/>
  <c r="E87" i="2"/>
  <c r="E88" i="2"/>
  <c r="E89" i="2"/>
  <c r="E90" i="2"/>
  <c r="E97" i="2"/>
  <c r="E98" i="2"/>
  <c r="E105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48" i="2"/>
  <c r="E99" i="2"/>
  <c r="E101" i="2"/>
  <c r="E103" i="2"/>
  <c r="E104" i="2"/>
  <c r="E168" i="2"/>
  <c r="E172" i="2"/>
  <c r="E153" i="2"/>
  <c r="E106" i="2" l="1"/>
  <c r="O59" i="24"/>
  <c r="O39" i="24"/>
  <c r="I39" i="24"/>
  <c r="F39" i="24"/>
  <c r="K59" i="24"/>
  <c r="L59" i="24" s="1"/>
  <c r="I23" i="25"/>
  <c r="O35" i="25"/>
  <c r="F23" i="25"/>
  <c r="L23" i="25"/>
  <c r="O23" i="25"/>
  <c r="K34" i="23"/>
  <c r="L34" i="23" s="1"/>
  <c r="N34" i="23"/>
  <c r="N37" i="23" s="1"/>
  <c r="F22" i="23"/>
  <c r="H34" i="23"/>
  <c r="I22" i="23"/>
  <c r="E164" i="2"/>
  <c r="E94" i="2"/>
  <c r="K44" i="14"/>
  <c r="N44" i="14"/>
  <c r="H44" i="14"/>
  <c r="E149" i="2"/>
  <c r="H63" i="11"/>
  <c r="H60" i="11"/>
  <c r="H65" i="11"/>
  <c r="H66" i="11"/>
  <c r="H64" i="11"/>
  <c r="H61" i="11"/>
  <c r="H62" i="11"/>
  <c r="E67" i="11"/>
  <c r="E80" i="2"/>
  <c r="E75" i="2"/>
  <c r="O29" i="14"/>
  <c r="L29" i="14"/>
  <c r="I29" i="14"/>
  <c r="E6" i="2"/>
  <c r="E7" i="2" s="1"/>
  <c r="E10" i="2"/>
  <c r="E11" i="2"/>
  <c r="E17" i="2"/>
  <c r="E18" i="2"/>
  <c r="E20" i="2"/>
  <c r="E21" i="2"/>
  <c r="E22" i="2"/>
  <c r="E26" i="2"/>
  <c r="E27" i="2"/>
  <c r="E28" i="2"/>
  <c r="E33" i="2"/>
  <c r="E34" i="2"/>
  <c r="E35" i="2"/>
  <c r="E36" i="2"/>
  <c r="E38" i="2"/>
  <c r="E39" i="2"/>
  <c r="E42" i="2"/>
  <c r="E59" i="2"/>
  <c r="E43" i="2"/>
  <c r="E44" i="2"/>
  <c r="E45" i="2"/>
  <c r="E46" i="2"/>
  <c r="E47" i="2"/>
  <c r="E48" i="2"/>
  <c r="E51" i="2"/>
  <c r="E52" i="2"/>
  <c r="E25" i="2"/>
  <c r="O34" i="23" l="1"/>
  <c r="I34" i="23"/>
  <c r="E57" i="2"/>
  <c r="O44" i="14"/>
  <c r="I44" i="14"/>
  <c r="L44" i="14"/>
  <c r="E15" i="2"/>
  <c r="H67" i="11"/>
  <c r="O496" i="3"/>
  <c r="O498" i="3"/>
  <c r="O501" i="3"/>
  <c r="O503" i="3"/>
  <c r="O505" i="3"/>
  <c r="O507" i="3"/>
  <c r="O509" i="3"/>
  <c r="O512" i="3"/>
  <c r="O514" i="3"/>
  <c r="O516" i="3"/>
  <c r="O497" i="3"/>
  <c r="O500" i="3"/>
  <c r="O502" i="3"/>
  <c r="O504" i="3"/>
  <c r="O506" i="3"/>
  <c r="O508" i="3"/>
  <c r="O511" i="3"/>
  <c r="O513" i="3"/>
  <c r="O515" i="3"/>
  <c r="O517" i="3"/>
  <c r="O265" i="3"/>
  <c r="O164" i="3"/>
  <c r="O160" i="3"/>
  <c r="O159" i="3"/>
  <c r="O326" i="3"/>
  <c r="O264" i="3"/>
  <c r="O240" i="3"/>
  <c r="O199" i="3"/>
  <c r="O194" i="3"/>
  <c r="O263" i="3"/>
  <c r="O253" i="3"/>
  <c r="O238" i="3"/>
  <c r="O229" i="3"/>
  <c r="O216" i="3"/>
  <c r="O212" i="3"/>
  <c r="O187" i="3"/>
  <c r="O165" i="3"/>
  <c r="O235" i="3"/>
  <c r="O207" i="3"/>
  <c r="O299" i="3"/>
  <c r="O294" i="3"/>
  <c r="O287" i="3"/>
  <c r="O282" i="3"/>
  <c r="O277" i="3"/>
  <c r="O272" i="3"/>
  <c r="O268" i="3"/>
  <c r="O260" i="3"/>
  <c r="O250" i="3"/>
  <c r="O241" i="3"/>
  <c r="O226" i="3"/>
  <c r="O178" i="3"/>
  <c r="O634" i="3"/>
  <c r="O622" i="3"/>
  <c r="O596" i="3"/>
  <c r="O583" i="3"/>
  <c r="O551" i="3"/>
  <c r="O532" i="3"/>
  <c r="O170" i="3"/>
  <c r="O611" i="3"/>
  <c r="O600" i="3"/>
  <c r="O580" i="3"/>
  <c r="O563" i="3"/>
  <c r="O544" i="3"/>
  <c r="O630" i="3"/>
  <c r="O617" i="3"/>
  <c r="O607" i="3"/>
  <c r="O316" i="3"/>
  <c r="O576" i="3"/>
  <c r="O557" i="3"/>
  <c r="O221" i="3"/>
  <c r="O201" i="3"/>
  <c r="O186" i="3"/>
  <c r="O248" i="3"/>
  <c r="O198" i="3"/>
  <c r="O193" i="3"/>
  <c r="O262" i="3"/>
  <c r="O247" i="3"/>
  <c r="O237" i="3"/>
  <c r="O228" i="3"/>
  <c r="O215" i="3"/>
  <c r="O211" i="3"/>
  <c r="O191" i="3"/>
  <c r="O244" i="3"/>
  <c r="O206" i="3"/>
  <c r="O302" i="3"/>
  <c r="O298" i="3"/>
  <c r="O293" i="3"/>
  <c r="O286" i="3"/>
  <c r="O281" i="3"/>
  <c r="O276" i="3"/>
  <c r="O271" i="3"/>
  <c r="O267" i="3"/>
  <c r="O259" i="3"/>
  <c r="O249" i="3"/>
  <c r="O234" i="3"/>
  <c r="O225" i="3"/>
  <c r="O182" i="3"/>
  <c r="O633" i="3"/>
  <c r="O614" i="3"/>
  <c r="O595" i="3"/>
  <c r="O569" i="3"/>
  <c r="O550" i="3"/>
  <c r="O531" i="3"/>
  <c r="O169" i="3"/>
  <c r="O621" i="3"/>
  <c r="O318" i="3"/>
  <c r="O592" i="3"/>
  <c r="O579" i="3"/>
  <c r="O562" i="3"/>
  <c r="O629" i="3"/>
  <c r="O616" i="3"/>
  <c r="O606" i="3"/>
  <c r="O599" i="3"/>
  <c r="O575" i="3"/>
  <c r="O542" i="3"/>
  <c r="O220" i="3"/>
  <c r="O257" i="3"/>
  <c r="O223" i="3"/>
  <c r="O197" i="3"/>
  <c r="O231" i="3"/>
  <c r="O222" i="3"/>
  <c r="O200" i="3"/>
  <c r="O195" i="3"/>
  <c r="O255" i="3"/>
  <c r="O245" i="3"/>
  <c r="O230" i="3"/>
  <c r="O217" i="3"/>
  <c r="O213" i="3"/>
  <c r="O188" i="3"/>
  <c r="O261" i="3"/>
  <c r="O227" i="3"/>
  <c r="O208" i="3"/>
  <c r="O300" i="3"/>
  <c r="O296" i="3"/>
  <c r="O289" i="3"/>
  <c r="O283" i="3"/>
  <c r="O278" i="3"/>
  <c r="O273" i="3"/>
  <c r="O269" i="3"/>
  <c r="O251" i="3"/>
  <c r="O242" i="3"/>
  <c r="O232" i="3"/>
  <c r="O179" i="3"/>
  <c r="O635" i="3"/>
  <c r="O625" i="3"/>
  <c r="O612" i="3"/>
  <c r="O593" i="3"/>
  <c r="O584" i="3"/>
  <c r="O566" i="3"/>
  <c r="O533" i="3"/>
  <c r="O176" i="3"/>
  <c r="O602" i="3"/>
  <c r="O590" i="3"/>
  <c r="O564" i="3"/>
  <c r="O545" i="3"/>
  <c r="O637" i="3"/>
  <c r="O618" i="3"/>
  <c r="O608" i="3"/>
  <c r="O314" i="3"/>
  <c r="O558" i="3"/>
  <c r="O540" i="3"/>
  <c r="O202" i="3"/>
  <c r="O183" i="3"/>
  <c r="O166" i="3"/>
  <c r="O605" i="3"/>
  <c r="O315" i="3"/>
  <c r="O571" i="3"/>
  <c r="O538" i="3"/>
  <c r="O581" i="3"/>
  <c r="O547" i="3"/>
  <c r="O493" i="3"/>
  <c r="O489" i="3"/>
  <c r="O484" i="3"/>
  <c r="O480" i="3"/>
  <c r="O475" i="3"/>
  <c r="O577" i="3"/>
  <c r="O543" i="3"/>
  <c r="O192" i="3"/>
  <c r="O246" i="3"/>
  <c r="O301" i="3"/>
  <c r="O280" i="3"/>
  <c r="O258" i="3"/>
  <c r="O585" i="3"/>
  <c r="O317" i="3"/>
  <c r="O628" i="3"/>
  <c r="O559" i="3"/>
  <c r="O204" i="3"/>
  <c r="O184" i="3"/>
  <c r="O636" i="3"/>
  <c r="O615" i="3"/>
  <c r="O603" i="3"/>
  <c r="O572" i="3"/>
  <c r="O537" i="3"/>
  <c r="O518" i="3"/>
  <c r="O319" i="3"/>
  <c r="O589" i="3"/>
  <c r="O494" i="3"/>
  <c r="O488" i="3"/>
  <c r="O482" i="3"/>
  <c r="O477" i="3"/>
  <c r="O586" i="3"/>
  <c r="O382" i="3"/>
  <c r="O336" i="3"/>
  <c r="O310" i="3"/>
  <c r="O306" i="3"/>
  <c r="O460" i="3"/>
  <c r="O456" i="3"/>
  <c r="O451" i="3"/>
  <c r="O446" i="3"/>
  <c r="O441" i="3"/>
  <c r="O437" i="3"/>
  <c r="O432" i="3"/>
  <c r="O407" i="3"/>
  <c r="O397" i="3"/>
  <c r="O387" i="3"/>
  <c r="O359" i="3"/>
  <c r="O349" i="3"/>
  <c r="O341" i="3"/>
  <c r="O327" i="3"/>
  <c r="O386" i="3"/>
  <c r="O340" i="3"/>
  <c r="O410" i="3"/>
  <c r="O400" i="3"/>
  <c r="O385" i="3"/>
  <c r="O365" i="3"/>
  <c r="O352" i="3"/>
  <c r="O339" i="3"/>
  <c r="O329" i="3"/>
  <c r="O236" i="3"/>
  <c r="O574" i="3"/>
  <c r="O481" i="3"/>
  <c r="O552" i="3"/>
  <c r="O463" i="3"/>
  <c r="O450" i="3"/>
  <c r="O440" i="3"/>
  <c r="O396" i="3"/>
  <c r="O348" i="3"/>
  <c r="O430" i="3"/>
  <c r="O395" i="3"/>
  <c r="O429" i="3"/>
  <c r="O394" i="3"/>
  <c r="O361" i="3"/>
  <c r="O399" i="3"/>
  <c r="O462" i="3"/>
  <c r="O449" i="3"/>
  <c r="O434" i="3"/>
  <c r="O405" i="3"/>
  <c r="O343" i="3"/>
  <c r="O403" i="3"/>
  <c r="O383" i="3"/>
  <c r="O190" i="3"/>
  <c r="O297" i="3"/>
  <c r="O274" i="3"/>
  <c r="O243" i="3"/>
  <c r="O626" i="3"/>
  <c r="O567" i="3"/>
  <c r="O591" i="3"/>
  <c r="O536" i="3"/>
  <c r="O492" i="3"/>
  <c r="O345" i="3"/>
  <c r="O455" i="3"/>
  <c r="O431" i="3"/>
  <c r="O358" i="3"/>
  <c r="O347" i="3"/>
  <c r="O409" i="3"/>
  <c r="O305" i="3"/>
  <c r="O587" i="3"/>
  <c r="O485" i="3"/>
  <c r="O473" i="3"/>
  <c r="O519" i="3"/>
  <c r="O351" i="3"/>
  <c r="O458" i="3"/>
  <c r="O443" i="3"/>
  <c r="O425" i="3"/>
  <c r="O380" i="3"/>
  <c r="O402" i="3"/>
  <c r="O304" i="3"/>
  <c r="O219" i="3"/>
  <c r="O210" i="3"/>
  <c r="O292" i="3"/>
  <c r="O270" i="3"/>
  <c r="O233" i="3"/>
  <c r="O613" i="3"/>
  <c r="O549" i="3"/>
  <c r="O578" i="3"/>
  <c r="O627" i="3"/>
  <c r="O597" i="3"/>
  <c r="O491" i="3"/>
  <c r="O313" i="3"/>
  <c r="O389" i="3"/>
  <c r="O355" i="3"/>
  <c r="O256" i="3"/>
  <c r="O214" i="3"/>
  <c r="O252" i="3"/>
  <c r="O285" i="3"/>
  <c r="O266" i="3"/>
  <c r="O224" i="3"/>
  <c r="O594" i="3"/>
  <c r="O177" i="3"/>
  <c r="O546" i="3"/>
  <c r="O638" i="3"/>
  <c r="O598" i="3"/>
  <c r="O205" i="3"/>
  <c r="O185" i="3"/>
  <c r="O604" i="3"/>
  <c r="O573" i="3"/>
  <c r="O553" i="3"/>
  <c r="O565" i="3"/>
  <c r="O495" i="3"/>
  <c r="O490" i="3"/>
  <c r="O483" i="3"/>
  <c r="O478" i="3"/>
  <c r="O472" i="3"/>
  <c r="O561" i="3"/>
  <c r="O408" i="3"/>
  <c r="O360" i="3"/>
  <c r="O328" i="3"/>
  <c r="O311" i="3"/>
  <c r="O307" i="3"/>
  <c r="O461" i="3"/>
  <c r="O457" i="3"/>
  <c r="O452" i="3"/>
  <c r="O448" i="3"/>
  <c r="O442" i="3"/>
  <c r="O438" i="3"/>
  <c r="O433" i="3"/>
  <c r="O413" i="3"/>
  <c r="O398" i="3"/>
  <c r="O388" i="3"/>
  <c r="O379" i="3"/>
  <c r="O350" i="3"/>
  <c r="O342" i="3"/>
  <c r="O333" i="3"/>
  <c r="O412" i="3"/>
  <c r="O377" i="3"/>
  <c r="O331" i="3"/>
  <c r="O427" i="3"/>
  <c r="O411" i="3"/>
  <c r="O401" i="3"/>
  <c r="O391" i="3"/>
  <c r="O354" i="3"/>
  <c r="O346" i="3"/>
  <c r="O330" i="3"/>
  <c r="O168" i="3"/>
  <c r="O181" i="3"/>
  <c r="O632" i="3"/>
  <c r="O609" i="3"/>
  <c r="O541" i="3"/>
  <c r="O588" i="3"/>
  <c r="O555" i="3"/>
  <c r="O556" i="3"/>
  <c r="O486" i="3"/>
  <c r="O474" i="3"/>
  <c r="O570" i="3"/>
  <c r="O426" i="3"/>
  <c r="O390" i="3"/>
  <c r="O308" i="3"/>
  <c r="O309" i="3"/>
  <c r="O459" i="3"/>
  <c r="O444" i="3"/>
  <c r="O435" i="3"/>
  <c r="O406" i="3"/>
  <c r="O381" i="3"/>
  <c r="O335" i="3"/>
  <c r="O384" i="3"/>
  <c r="O338" i="3"/>
  <c r="O554" i="3"/>
  <c r="O539" i="3"/>
  <c r="O479" i="3"/>
  <c r="O535" i="3"/>
  <c r="O453" i="3"/>
  <c r="O439" i="3"/>
  <c r="O357" i="3"/>
  <c r="O334" i="3"/>
  <c r="O356" i="3"/>
  <c r="O428" i="3"/>
  <c r="O393" i="3"/>
  <c r="O337" i="3"/>
  <c r="I327" i="3"/>
  <c r="I335" i="3"/>
  <c r="I343" i="3"/>
  <c r="I350" i="3"/>
  <c r="I359" i="3"/>
  <c r="I381" i="3"/>
  <c r="I389" i="3"/>
  <c r="I398" i="3"/>
  <c r="I407" i="3"/>
  <c r="I425" i="3"/>
  <c r="I328" i="3"/>
  <c r="I336" i="3"/>
  <c r="I345" i="3"/>
  <c r="I351" i="3"/>
  <c r="I360" i="3"/>
  <c r="I382" i="3"/>
  <c r="I390" i="3"/>
  <c r="I399" i="3"/>
  <c r="I408" i="3"/>
  <c r="I426" i="3"/>
  <c r="I330" i="3"/>
  <c r="I339" i="3"/>
  <c r="I305" i="3"/>
  <c r="I355" i="3"/>
  <c r="I385" i="3"/>
  <c r="I394" i="3"/>
  <c r="I402" i="3"/>
  <c r="I411" i="3"/>
  <c r="I429" i="3"/>
  <c r="I331" i="3"/>
  <c r="I340" i="3"/>
  <c r="I347" i="3"/>
  <c r="I356" i="3"/>
  <c r="I377" i="3"/>
  <c r="I386" i="3"/>
  <c r="I395" i="3"/>
  <c r="I403" i="3"/>
  <c r="I412" i="3"/>
  <c r="I430" i="3"/>
  <c r="I495" i="3"/>
  <c r="I497" i="3"/>
  <c r="I500" i="3"/>
  <c r="I502" i="3"/>
  <c r="I504" i="3"/>
  <c r="I506" i="3"/>
  <c r="I508" i="3"/>
  <c r="I511" i="3"/>
  <c r="I513" i="3"/>
  <c r="I515" i="3"/>
  <c r="I517" i="3"/>
  <c r="I539" i="3"/>
  <c r="I547" i="3"/>
  <c r="I556" i="3"/>
  <c r="I565" i="3"/>
  <c r="I574" i="3"/>
  <c r="I581" i="3"/>
  <c r="I518" i="3"/>
  <c r="I496" i="3"/>
  <c r="I498" i="3"/>
  <c r="I501" i="3"/>
  <c r="I503" i="3"/>
  <c r="I505" i="3"/>
  <c r="I507" i="3"/>
  <c r="I509" i="3"/>
  <c r="I512" i="3"/>
  <c r="I514" i="3"/>
  <c r="I516" i="3"/>
  <c r="I519" i="3"/>
  <c r="I535" i="3"/>
  <c r="I543" i="3"/>
  <c r="I552" i="3"/>
  <c r="I561" i="3"/>
  <c r="I570" i="3"/>
  <c r="I577" i="3"/>
  <c r="I586" i="3"/>
  <c r="I593" i="3"/>
  <c r="I317" i="3"/>
  <c r="I606" i="3"/>
  <c r="I546" i="3"/>
  <c r="I564" i="3"/>
  <c r="I580" i="3"/>
  <c r="I592" i="3"/>
  <c r="I602" i="3"/>
  <c r="I611" i="3"/>
  <c r="I621" i="3"/>
  <c r="I632" i="3"/>
  <c r="I177" i="3"/>
  <c r="I195" i="3"/>
  <c r="I214" i="3"/>
  <c r="I533" i="3"/>
  <c r="I551" i="3"/>
  <c r="I569" i="3"/>
  <c r="I585" i="3"/>
  <c r="I596" i="3"/>
  <c r="I319" i="3"/>
  <c r="I614" i="3"/>
  <c r="I626" i="3"/>
  <c r="I635" i="3"/>
  <c r="I538" i="3"/>
  <c r="I555" i="3"/>
  <c r="I573" i="3"/>
  <c r="I588" i="3"/>
  <c r="I597" i="3"/>
  <c r="I605" i="3"/>
  <c r="I615" i="3"/>
  <c r="I627" i="3"/>
  <c r="I636" i="3"/>
  <c r="I326" i="3"/>
  <c r="I166" i="3"/>
  <c r="I542" i="3"/>
  <c r="I559" i="3"/>
  <c r="I314" i="3"/>
  <c r="I589" i="3"/>
  <c r="I316" i="3"/>
  <c r="I609" i="3"/>
  <c r="I618" i="3"/>
  <c r="I630" i="3"/>
  <c r="I165" i="3"/>
  <c r="I191" i="3"/>
  <c r="I219" i="3"/>
  <c r="I230" i="3"/>
  <c r="I238" i="3"/>
  <c r="I247" i="3"/>
  <c r="I256" i="3"/>
  <c r="I168" i="3"/>
  <c r="I200" i="3"/>
  <c r="I223" i="3"/>
  <c r="I231" i="3"/>
  <c r="I240" i="3"/>
  <c r="I248" i="3"/>
  <c r="I257" i="3"/>
  <c r="I160" i="3"/>
  <c r="I182" i="3"/>
  <c r="I205" i="3"/>
  <c r="I226" i="3"/>
  <c r="I234" i="3"/>
  <c r="I243" i="3"/>
  <c r="I251" i="3"/>
  <c r="I260" i="3"/>
  <c r="I159" i="3"/>
  <c r="I186" i="3"/>
  <c r="I210" i="3"/>
  <c r="I227" i="3"/>
  <c r="I235" i="3"/>
  <c r="I244" i="3"/>
  <c r="I252" i="3"/>
  <c r="I261" i="3"/>
  <c r="I164" i="3"/>
  <c r="I263" i="3"/>
  <c r="I253" i="3"/>
  <c r="I229" i="3"/>
  <c r="I213" i="3"/>
  <c r="I188" i="3"/>
  <c r="I206" i="3"/>
  <c r="I302" i="3"/>
  <c r="I298" i="3"/>
  <c r="I293" i="3"/>
  <c r="I286" i="3"/>
  <c r="I281" i="3"/>
  <c r="I276" i="3"/>
  <c r="I271" i="3"/>
  <c r="I267" i="3"/>
  <c r="I259" i="3"/>
  <c r="I249" i="3"/>
  <c r="I225" i="3"/>
  <c r="I201" i="3"/>
  <c r="I221" i="3"/>
  <c r="I192" i="3"/>
  <c r="I591" i="3"/>
  <c r="I638" i="3"/>
  <c r="I628" i="3"/>
  <c r="I598" i="3"/>
  <c r="I215" i="3"/>
  <c r="I181" i="3"/>
  <c r="I262" i="3"/>
  <c r="I237" i="3"/>
  <c r="I228" i="3"/>
  <c r="I212" i="3"/>
  <c r="I187" i="3"/>
  <c r="I185" i="3"/>
  <c r="I301" i="3"/>
  <c r="I297" i="3"/>
  <c r="I292" i="3"/>
  <c r="I285" i="3"/>
  <c r="I280" i="3"/>
  <c r="I274" i="3"/>
  <c r="I270" i="3"/>
  <c r="I266" i="3"/>
  <c r="I258" i="3"/>
  <c r="I233" i="3"/>
  <c r="I224" i="3"/>
  <c r="I176" i="3"/>
  <c r="I220" i="3"/>
  <c r="I590" i="3"/>
  <c r="I637" i="3"/>
  <c r="I608" i="3"/>
  <c r="I246" i="3"/>
  <c r="I236" i="3"/>
  <c r="I211" i="3"/>
  <c r="I255" i="3"/>
  <c r="I245" i="3"/>
  <c r="I190" i="3"/>
  <c r="I207" i="3"/>
  <c r="I183" i="3"/>
  <c r="I299" i="3"/>
  <c r="I294" i="3"/>
  <c r="I287" i="3"/>
  <c r="I282" i="3"/>
  <c r="I277" i="3"/>
  <c r="I272" i="3"/>
  <c r="I268" i="3"/>
  <c r="I250" i="3"/>
  <c r="I241" i="3"/>
  <c r="I202" i="3"/>
  <c r="I169" i="3"/>
  <c r="I264" i="3"/>
  <c r="I222" i="3"/>
  <c r="I193" i="3"/>
  <c r="I629" i="3"/>
  <c r="I616" i="3"/>
  <c r="I599" i="3"/>
  <c r="I603" i="3"/>
  <c r="I216" i="3"/>
  <c r="I197" i="3"/>
  <c r="I634" i="3"/>
  <c r="I622" i="3"/>
  <c r="I493" i="3"/>
  <c r="I489" i="3"/>
  <c r="I484" i="3"/>
  <c r="I480" i="3"/>
  <c r="I475" i="3"/>
  <c r="I600" i="3"/>
  <c r="I594" i="3"/>
  <c r="I572" i="3"/>
  <c r="I562" i="3"/>
  <c r="I537" i="3"/>
  <c r="I567" i="3"/>
  <c r="I557" i="3"/>
  <c r="I532" i="3"/>
  <c r="I308" i="3"/>
  <c r="I309" i="3"/>
  <c r="I463" i="3"/>
  <c r="I459" i="3"/>
  <c r="I455" i="3"/>
  <c r="I450" i="3"/>
  <c r="I444" i="3"/>
  <c r="I19" i="4" s="1"/>
  <c r="J19" i="4" s="1"/>
  <c r="I440" i="3"/>
  <c r="I208" i="3"/>
  <c r="I296" i="3"/>
  <c r="I273" i="3"/>
  <c r="I242" i="3"/>
  <c r="I170" i="3"/>
  <c r="I194" i="3"/>
  <c r="I490" i="3"/>
  <c r="I483" i="3"/>
  <c r="I478" i="3"/>
  <c r="I578" i="3"/>
  <c r="I563" i="3"/>
  <c r="I545" i="3"/>
  <c r="I575" i="3"/>
  <c r="I558" i="3"/>
  <c r="I541" i="3"/>
  <c r="I313" i="3"/>
  <c r="I307" i="3"/>
  <c r="I460" i="3"/>
  <c r="I453" i="3"/>
  <c r="I448" i="3"/>
  <c r="I441" i="3"/>
  <c r="I435" i="3"/>
  <c r="I431" i="3"/>
  <c r="I406" i="3"/>
  <c r="I396" i="3"/>
  <c r="I358" i="3"/>
  <c r="I348" i="3"/>
  <c r="I410" i="3"/>
  <c r="I400" i="3"/>
  <c r="I365" i="3"/>
  <c r="I352" i="3"/>
  <c r="I329" i="3"/>
  <c r="I613" i="3"/>
  <c r="I482" i="3"/>
  <c r="I584" i="3"/>
  <c r="I306" i="3"/>
  <c r="I446" i="3"/>
  <c r="I434" i="3"/>
  <c r="I405" i="3"/>
  <c r="I380" i="3"/>
  <c r="I334" i="3"/>
  <c r="I361" i="3"/>
  <c r="I310" i="3"/>
  <c r="I342" i="3"/>
  <c r="I304" i="3"/>
  <c r="I289" i="3"/>
  <c r="I269" i="3"/>
  <c r="I232" i="3"/>
  <c r="I199" i="3"/>
  <c r="I318" i="3"/>
  <c r="I540" i="3"/>
  <c r="I452" i="3"/>
  <c r="I217" i="3"/>
  <c r="I178" i="3"/>
  <c r="I612" i="3"/>
  <c r="I492" i="3"/>
  <c r="I486" i="3"/>
  <c r="I481" i="3"/>
  <c r="I587" i="3"/>
  <c r="I554" i="3"/>
  <c r="I566" i="3"/>
  <c r="I462" i="3"/>
  <c r="I443" i="3"/>
  <c r="I433" i="3"/>
  <c r="I388" i="3"/>
  <c r="I428" i="3"/>
  <c r="I393" i="3"/>
  <c r="I337" i="3"/>
  <c r="I184" i="3"/>
  <c r="I283" i="3"/>
  <c r="I265" i="3"/>
  <c r="I617" i="3"/>
  <c r="I604" i="3"/>
  <c r="I198" i="3"/>
  <c r="I550" i="3"/>
  <c r="I457" i="3"/>
  <c r="I383" i="3"/>
  <c r="I300" i="3"/>
  <c r="I278" i="3"/>
  <c r="I204" i="3"/>
  <c r="I607" i="3"/>
  <c r="I625" i="3"/>
  <c r="I491" i="3"/>
  <c r="I485" i="3"/>
  <c r="I479" i="3"/>
  <c r="I473" i="3"/>
  <c r="I595" i="3"/>
  <c r="I579" i="3"/>
  <c r="I553" i="3"/>
  <c r="I536" i="3"/>
  <c r="I576" i="3"/>
  <c r="I549" i="3"/>
  <c r="I531" i="3"/>
  <c r="I472" i="3"/>
  <c r="I461" i="3"/>
  <c r="I456" i="3"/>
  <c r="I449" i="3"/>
  <c r="I442" i="3"/>
  <c r="I437" i="3"/>
  <c r="I432" i="3"/>
  <c r="I397" i="3"/>
  <c r="I387" i="3"/>
  <c r="I349" i="3"/>
  <c r="I341" i="3"/>
  <c r="I427" i="3"/>
  <c r="I401" i="3"/>
  <c r="I391" i="3"/>
  <c r="I354" i="3"/>
  <c r="I346" i="3"/>
  <c r="I179" i="3"/>
  <c r="I633" i="3"/>
  <c r="I494" i="3"/>
  <c r="I488" i="3"/>
  <c r="I477" i="3"/>
  <c r="I315" i="3"/>
  <c r="I544" i="3"/>
  <c r="I311" i="3"/>
  <c r="I458" i="3"/>
  <c r="I439" i="3"/>
  <c r="I357" i="3"/>
  <c r="I409" i="3"/>
  <c r="I384" i="3"/>
  <c r="I338" i="3"/>
  <c r="I474" i="3"/>
  <c r="I571" i="3"/>
  <c r="I583" i="3"/>
  <c r="I451" i="3"/>
  <c r="I438" i="3"/>
  <c r="I413" i="3"/>
  <c r="I379" i="3"/>
  <c r="I333" i="3"/>
  <c r="O8" i="3"/>
  <c r="O9" i="3"/>
  <c r="O10" i="3"/>
  <c r="O20" i="3"/>
  <c r="O21" i="3"/>
  <c r="O22" i="3"/>
  <c r="O24" i="3"/>
  <c r="O25" i="3"/>
  <c r="O26" i="3"/>
  <c r="O27" i="3"/>
  <c r="O29" i="3"/>
  <c r="O30" i="3"/>
  <c r="O31" i="3"/>
  <c r="O33" i="3"/>
  <c r="O34" i="3"/>
  <c r="O35" i="3"/>
  <c r="O36" i="3"/>
  <c r="O41" i="3"/>
  <c r="O42" i="3"/>
  <c r="O43" i="3"/>
  <c r="O44" i="3"/>
  <c r="O46" i="3"/>
  <c r="O47" i="3"/>
  <c r="O48" i="3"/>
  <c r="O49" i="3"/>
  <c r="O50" i="3"/>
  <c r="O51" i="3"/>
  <c r="O52" i="3"/>
  <c r="O53" i="3"/>
  <c r="O54" i="3"/>
  <c r="O55" i="3"/>
  <c r="O57" i="3"/>
  <c r="O58" i="3"/>
  <c r="O59" i="3"/>
  <c r="O60" i="3"/>
  <c r="O61" i="3"/>
  <c r="O62" i="3"/>
  <c r="O64" i="3"/>
  <c r="O65" i="3"/>
  <c r="O66" i="3"/>
  <c r="O67" i="3"/>
  <c r="O68" i="3"/>
  <c r="O69" i="3"/>
  <c r="O71" i="3"/>
  <c r="O73" i="3"/>
  <c r="O75" i="3"/>
  <c r="O78" i="3"/>
  <c r="O80" i="3"/>
  <c r="O82" i="3"/>
  <c r="O84" i="3"/>
  <c r="O86" i="3"/>
  <c r="O88" i="3"/>
  <c r="O90" i="3"/>
  <c r="O92" i="3"/>
  <c r="O94" i="3"/>
  <c r="O96" i="3"/>
  <c r="O98" i="3"/>
  <c r="O100" i="3"/>
  <c r="O103" i="3"/>
  <c r="O72" i="3"/>
  <c r="O74" i="3"/>
  <c r="O77" i="3"/>
  <c r="O79" i="3"/>
  <c r="O81" i="3"/>
  <c r="O83" i="3"/>
  <c r="O85" i="3"/>
  <c r="O87" i="3"/>
  <c r="O89" i="3"/>
  <c r="O91" i="3"/>
  <c r="O93" i="3"/>
  <c r="O95" i="3"/>
  <c r="O97" i="3"/>
  <c r="O99" i="3"/>
  <c r="O101" i="3"/>
  <c r="O7" i="3"/>
  <c r="O104" i="3"/>
  <c r="O106" i="3"/>
  <c r="O108" i="3"/>
  <c r="O110" i="3"/>
  <c r="O112" i="3"/>
  <c r="O114" i="3"/>
  <c r="O116" i="3"/>
  <c r="O118" i="3"/>
  <c r="O120" i="3"/>
  <c r="O123" i="3"/>
  <c r="O125" i="3"/>
  <c r="O127" i="3"/>
  <c r="O129" i="3"/>
  <c r="O133" i="3"/>
  <c r="O135" i="3"/>
  <c r="O137" i="3"/>
  <c r="O139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05" i="3"/>
  <c r="O107" i="3"/>
  <c r="O109" i="3"/>
  <c r="O111" i="3"/>
  <c r="O113" i="3"/>
  <c r="O115" i="3"/>
  <c r="O117" i="3"/>
  <c r="O119" i="3"/>
  <c r="O121" i="3"/>
  <c r="O124" i="3"/>
  <c r="O126" i="3"/>
  <c r="O128" i="3"/>
  <c r="O132" i="3"/>
  <c r="O134" i="3"/>
  <c r="O136" i="3"/>
  <c r="O138" i="3"/>
  <c r="O141" i="3"/>
  <c r="I9" i="3"/>
  <c r="I20" i="3"/>
  <c r="I22" i="3"/>
  <c r="I25" i="3"/>
  <c r="I27" i="3"/>
  <c r="I30" i="3"/>
  <c r="I33" i="3"/>
  <c r="I35" i="3"/>
  <c r="I41" i="3"/>
  <c r="I43" i="3"/>
  <c r="I46" i="3"/>
  <c r="I48" i="3"/>
  <c r="I50" i="3"/>
  <c r="I52" i="3"/>
  <c r="I54" i="3"/>
  <c r="I57" i="3"/>
  <c r="I59" i="3"/>
  <c r="I61" i="3"/>
  <c r="I64" i="3"/>
  <c r="I8" i="3"/>
  <c r="I10" i="3"/>
  <c r="I21" i="3"/>
  <c r="I24" i="3"/>
  <c r="I26" i="3"/>
  <c r="I29" i="3"/>
  <c r="I31" i="3"/>
  <c r="I34" i="3"/>
  <c r="I36" i="3"/>
  <c r="I42" i="3"/>
  <c r="I44" i="3"/>
  <c r="I47" i="3"/>
  <c r="I49" i="3"/>
  <c r="I51" i="3"/>
  <c r="I53" i="3"/>
  <c r="I55" i="3"/>
  <c r="I58" i="3"/>
  <c r="I60" i="3"/>
  <c r="I62" i="3"/>
  <c r="I65" i="3"/>
  <c r="I67" i="3"/>
  <c r="I69" i="3"/>
  <c r="I71" i="3"/>
  <c r="I72" i="3"/>
  <c r="I73" i="3"/>
  <c r="I74" i="3"/>
  <c r="I75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3" i="3"/>
  <c r="I124" i="3"/>
  <c r="I125" i="3"/>
  <c r="I126" i="3"/>
  <c r="I127" i="3"/>
  <c r="I128" i="3"/>
  <c r="I129" i="3"/>
  <c r="I132" i="3"/>
  <c r="I133" i="3"/>
  <c r="I134" i="3"/>
  <c r="I135" i="3"/>
  <c r="I136" i="3"/>
  <c r="I137" i="3"/>
  <c r="I138" i="3"/>
  <c r="I139" i="3"/>
  <c r="I141" i="3"/>
  <c r="I68" i="3"/>
  <c r="I66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7" i="3"/>
  <c r="E151" i="2"/>
  <c r="E166" i="2" s="1"/>
  <c r="E29" i="2"/>
  <c r="E23" i="2"/>
  <c r="O4" i="1"/>
  <c r="N5" i="24" l="1"/>
  <c r="K5" i="23"/>
  <c r="N5" i="22"/>
  <c r="K5" i="24"/>
  <c r="K5" i="22"/>
  <c r="N5" i="25"/>
  <c r="K5" i="25"/>
  <c r="N5" i="23"/>
  <c r="N5" i="21"/>
  <c r="K5" i="18"/>
  <c r="K5" i="21"/>
  <c r="P5" i="20"/>
  <c r="K5" i="17"/>
  <c r="M5" i="20"/>
  <c r="N5" i="17"/>
  <c r="N5" i="18"/>
  <c r="N5" i="16"/>
  <c r="K5" i="16"/>
  <c r="N5" i="14"/>
  <c r="K5" i="14"/>
  <c r="L5" i="4"/>
  <c r="N5" i="11"/>
  <c r="N5" i="10"/>
  <c r="N5" i="9"/>
  <c r="P5" i="8"/>
  <c r="N5" i="7"/>
  <c r="N5" i="6"/>
  <c r="N5" i="5"/>
  <c r="N5" i="12"/>
  <c r="I5" i="4"/>
  <c r="K5" i="11"/>
  <c r="K5" i="10"/>
  <c r="K5" i="9"/>
  <c r="M5" i="8"/>
  <c r="K5" i="7"/>
  <c r="K5" i="6"/>
  <c r="K5" i="5"/>
  <c r="K5" i="12"/>
  <c r="E4" i="3"/>
  <c r="K4" i="3"/>
  <c r="E31" i="2"/>
  <c r="E61" i="2" s="1"/>
  <c r="F52" i="4"/>
  <c r="G52" i="4" s="1"/>
  <c r="E325" i="3" l="1"/>
  <c r="E163" i="3"/>
  <c r="O322" i="3"/>
  <c r="K163" i="3"/>
  <c r="L320" i="3" s="1"/>
  <c r="K325" i="3"/>
  <c r="I322" i="3"/>
  <c r="O639" i="3"/>
  <c r="N641" i="3"/>
  <c r="H641" i="3"/>
  <c r="I639" i="3"/>
  <c r="H62" i="24" l="1"/>
  <c r="H38" i="25"/>
  <c r="E62" i="24"/>
  <c r="E38" i="25"/>
  <c r="H47" i="14"/>
  <c r="H37" i="23"/>
  <c r="E170" i="2"/>
  <c r="E173" i="2" s="1"/>
  <c r="E176" i="2" s="1"/>
  <c r="E180" i="2" s="1"/>
  <c r="E37" i="23"/>
  <c r="I641" i="3"/>
  <c r="G170" i="2"/>
  <c r="C56" i="4"/>
  <c r="K322" i="3"/>
  <c r="J12" i="4" s="1"/>
  <c r="M12" i="4"/>
  <c r="L639" i="3"/>
  <c r="O641" i="3"/>
  <c r="G132" i="15" l="1"/>
  <c r="G173" i="2"/>
  <c r="G176" i="2" s="1"/>
  <c r="J40" i="4"/>
  <c r="I8" i="4"/>
  <c r="J8" i="4" s="1"/>
  <c r="M45" i="4"/>
  <c r="L8" i="4"/>
  <c r="M8" i="4" s="1"/>
  <c r="M47" i="4"/>
  <c r="M40" i="4"/>
  <c r="J47" i="4"/>
  <c r="M24" i="4"/>
  <c r="L322" i="3"/>
  <c r="J45" i="4"/>
  <c r="K641" i="3"/>
  <c r="J24" i="4"/>
  <c r="I27" i="12"/>
  <c r="H30" i="12"/>
  <c r="H59" i="12" s="1"/>
  <c r="K62" i="24" l="1"/>
  <c r="K38" i="25"/>
  <c r="K47" i="14"/>
  <c r="K37" i="23"/>
  <c r="N47" i="14"/>
  <c r="K132" i="15"/>
  <c r="M52" i="4"/>
  <c r="L641" i="3"/>
  <c r="I52" i="4"/>
  <c r="J52" i="4" s="1"/>
  <c r="I30" i="12"/>
  <c r="H62" i="12"/>
  <c r="I62" i="12" s="1"/>
  <c r="I59" i="12"/>
  <c r="N30" i="12"/>
  <c r="E21" i="14"/>
  <c r="F23" i="5"/>
  <c r="E25" i="5"/>
  <c r="E51" i="5" s="1"/>
  <c r="F21" i="14" l="1"/>
  <c r="N59" i="12"/>
  <c r="O30" i="12"/>
  <c r="F25" i="5"/>
  <c r="E54" i="5"/>
  <c r="F51" i="5"/>
  <c r="N62" i="12" l="1"/>
  <c r="O62" i="12" s="1"/>
  <c r="O59" i="12"/>
  <c r="F54" i="5"/>
  <c r="H25" i="5"/>
  <c r="H51" i="5" s="1"/>
  <c r="I51" i="5" s="1"/>
  <c r="I23" i="5"/>
  <c r="I25" i="5" l="1"/>
  <c r="H54" i="5"/>
  <c r="I54" i="5" s="1"/>
  <c r="K25" i="5"/>
  <c r="N25" i="5"/>
  <c r="F29" i="6"/>
  <c r="E31" i="6"/>
  <c r="F31" i="6" s="1"/>
  <c r="I29" i="6"/>
  <c r="H31" i="6"/>
  <c r="H58" i="6" s="1"/>
  <c r="I58" i="6" s="1"/>
  <c r="N51" i="5" l="1"/>
  <c r="O25" i="5"/>
  <c r="K51" i="5"/>
  <c r="L25" i="5"/>
  <c r="I31" i="6"/>
  <c r="E58" i="6"/>
  <c r="H61" i="6"/>
  <c r="I61" i="6" s="1"/>
  <c r="K31" i="6"/>
  <c r="N31" i="6"/>
  <c r="E57" i="7"/>
  <c r="F57" i="7" s="1"/>
  <c r="F55" i="7"/>
  <c r="K58" i="6" l="1"/>
  <c r="L31" i="6"/>
  <c r="K54" i="5"/>
  <c r="L54" i="5" s="1"/>
  <c r="L51" i="5"/>
  <c r="N58" i="6"/>
  <c r="O31" i="6"/>
  <c r="N54" i="5"/>
  <c r="O54" i="5" s="1"/>
  <c r="O51" i="5"/>
  <c r="E83" i="7"/>
  <c r="F83" i="7" s="1"/>
  <c r="F58" i="6"/>
  <c r="E61" i="6"/>
  <c r="N61" i="6" l="1"/>
  <c r="O61" i="6" s="1"/>
  <c r="O58" i="6"/>
  <c r="K61" i="6"/>
  <c r="L61" i="6" s="1"/>
  <c r="L58" i="6"/>
  <c r="E87" i="7"/>
  <c r="F87" i="7" s="1"/>
  <c r="F61" i="6"/>
  <c r="H57" i="7"/>
  <c r="I57" i="7" s="1"/>
  <c r="I55" i="7"/>
  <c r="H83" i="7" l="1"/>
  <c r="I83" i="7" l="1"/>
  <c r="H87" i="7"/>
  <c r="I87" i="7" s="1"/>
  <c r="K57" i="7"/>
  <c r="N57" i="7"/>
  <c r="N83" i="7" l="1"/>
  <c r="O57" i="7"/>
  <c r="K83" i="7"/>
  <c r="L57" i="7"/>
  <c r="E19" i="14"/>
  <c r="E30" i="12"/>
  <c r="F30" i="12" s="1"/>
  <c r="F27" i="12"/>
  <c r="F19" i="14" l="1"/>
  <c r="K87" i="7"/>
  <c r="L87" i="7" s="1"/>
  <c r="L83" i="7"/>
  <c r="N87" i="7"/>
  <c r="O87" i="7" s="1"/>
  <c r="O83" i="7"/>
  <c r="E59" i="12"/>
  <c r="F59" i="12" l="1"/>
  <c r="E62" i="12"/>
  <c r="F62" i="12" l="1"/>
  <c r="K30" i="12"/>
  <c r="E26" i="14"/>
  <c r="E27" i="14" s="1"/>
  <c r="F29" i="10"/>
  <c r="F27" i="10"/>
  <c r="F26" i="14" l="1"/>
  <c r="K59" i="12"/>
  <c r="L30" i="12"/>
  <c r="K62" i="12" l="1"/>
  <c r="L62" i="12" s="1"/>
  <c r="L59" i="12"/>
  <c r="F47" i="10"/>
  <c r="F50" i="10" l="1"/>
  <c r="H29" i="10"/>
  <c r="I27" i="10"/>
  <c r="K29" i="10"/>
  <c r="N29" i="10"/>
  <c r="E22" i="9"/>
  <c r="F20" i="9"/>
  <c r="L29" i="10" l="1"/>
  <c r="K47" i="10"/>
  <c r="K50" i="10" s="1"/>
  <c r="L50" i="10" s="1"/>
  <c r="I29" i="10"/>
  <c r="H47" i="10"/>
  <c r="H50" i="10" s="1"/>
  <c r="I50" i="10" s="1"/>
  <c r="O29" i="10"/>
  <c r="N47" i="10"/>
  <c r="N50" i="10" s="1"/>
  <c r="O50" i="10" s="1"/>
  <c r="E29" i="14"/>
  <c r="F27" i="14"/>
  <c r="E37" i="9"/>
  <c r="E41" i="9" s="1"/>
  <c r="F41" i="9" s="1"/>
  <c r="F22" i="9"/>
  <c r="H22" i="9"/>
  <c r="I22" i="9" s="1"/>
  <c r="I20" i="9"/>
  <c r="F29" i="14" l="1"/>
  <c r="E44" i="14"/>
  <c r="E47" i="14" s="1"/>
  <c r="F37" i="9"/>
  <c r="F40" i="14"/>
  <c r="H37" i="9"/>
  <c r="F44" i="14" l="1"/>
  <c r="I37" i="9"/>
  <c r="H41" i="9"/>
  <c r="I41" i="9" s="1"/>
  <c r="K22" i="9"/>
  <c r="N22" i="9"/>
  <c r="N37" i="9" l="1"/>
  <c r="O22" i="9"/>
  <c r="K37" i="9"/>
  <c r="L22" i="9"/>
  <c r="K41" i="9" l="1"/>
  <c r="L41" i="9" s="1"/>
  <c r="L37" i="9"/>
  <c r="N41" i="9"/>
  <c r="O41" i="9" s="1"/>
  <c r="O37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206D49-648F-473B-A447-4851A6D24349}" name="TB" type="1" refreshedVersion="8" savePassword="1" background="1" saveData="1">
    <dbPr connection="DRIVER=ODBC Driver 18 for SQL Server;SERVER=tcp:evo1-sql-replica.database.windows.net,1433;UID=ind004user;PWD=a20135Jb06Red5Jn;APP=Microsoft Office;WSID=AMIE;DATABASE=evo;" command="SELECT_x000d__x000a_    GL.AccountNo,_x000d__x000a_    GL.Year,_x000d__x000a_    GL.Month,_x000d__x000a_    GL.YTD,_x000d__x000a_    GL.MTD,_x000d__x000a_    ChartOfAccounts.Description,_x000d__x000a_    ChartOfAccounts.Type_x000d__x000a_FROM ChartOfAccounts AS ChartOfAccounts_x000d__x000a_INNER JOIN GL AS GL_x000d__x000a_    ON ChartOfAccounts.AccountNo = GL.AccountNo_x000d__x000a_WHERE GL.AccountField = 'Actual'_x000d__x000a_  AND GL.Month = ?_x000d__x000a_  AND GL.Year = ?_x000d__x000a_ORDER BY GL.AccountNo;"/>
    <parameters count="2">
      <parameter name="What Month?" sqlType="5" parameterType="cell" refreshOnChange="1" cell="TB!$A$3"/>
      <parameter name="What Year?" sqlType="5" parameterType="cell" refreshOnChange="1" cell="TB!$A$4"/>
    </parameters>
  </connection>
  <connection id="2" xr16:uid="{8C0272AC-FF97-4A36-817A-A523E5E41BB6}" name="TB1" type="1" refreshedVersion="8" savePassword="1" background="1" saveData="1">
    <dbPr connection="DRIVER=ODBC Driver 18 for SQL Server;SERVER=tcp:evo1-sql-replica.database.windows.net,1433;UID=ind004user;PWD=a20135Jb06Red5Jn;APP=Microsoft Office;WSID=AMIE;DATABASE=evo;" command="SELECT_x000d__x000a_    GL.AccountNo,_x000d__x000a_    GL.Year,_x000d__x000a_    GL.Month,_x000d__x000a_    GL.YTD,_x000d__x000a_    GL.MTD,_x000d__x000a_    ChartOfAccounts.Description,_x000d__x000a_    ChartOfAccounts.Type_x000d__x000a_FROM ChartOfAccounts AS ChartOfAccounts_x000d__x000a_INNER JOIN GL AS GL_x000d__x000a_    ON ChartOfAccounts.AccountNo = GL.AccountNo_x000d__x000a_WHERE GL.AccountField = 'Actual'_x000d__x000a_  AND GL.Month = ?_x000d__x000a_  AND GL.Year = ?_x000d__x000a_ORDER BY GL.AccountNo;"/>
    <parameters count="2">
      <parameter name="What Month?" sqlType="5" parameterType="cell" refreshOnChange="1" cell="TB!$O$3"/>
      <parameter name="What Year?" sqlType="5" parameterType="cell" refreshOnChange="1" cell="TB!$O$4"/>
    </parameters>
  </connection>
  <connection id="3" xr16:uid="{8B98F266-6F5F-475F-8240-6887927DD6BE}" name="TB2" type="1" refreshedVersion="8" savePassword="1" background="1" saveData="1">
    <dbPr connection="DRIVER=ODBC Driver 18 for SQL Server;SERVER=tcp:evo1-sql-replica.database.windows.net,1433;UID=ind004user;PWD=a20135Jb06Red5Jn;APP=Microsoft Office;WSID=AMIE;DATABASE=evo;" command="SELECT_x000d__x000a_    GL.AccountNo,_x000d__x000a_    GL.AccountField,_x000d__x000a_    GL.YTD,_x000d__x000a_    GL.MTD,_x000d__x000a_    ChartOfAccounts.Type,_x000d__x000a_    ChartOfAccounts.Description_x000d__x000a_FROM ChartOfAccounts AS ChartOfAccounts_x000d__x000a_INNER JOIN GL AS GL_x000d__x000a_    ON ChartOfAccounts.AccountNo = GL.AccountNo_x000d__x000a_WHERE GL.AccountField = 'Actual'_x000d__x000a_  AND GL.Month = ?_x000d__x000a_  AND GL.Year = ?_x000d__x000a_ORDER BY GL.AccountNo;"/>
    <parameters count="2">
      <parameter name="What Month?" sqlType="5" parameterType="cell" refreshOnChange="1" cell="TB!$X$3"/>
      <parameter name="What Year?" sqlType="5" parameterType="cell" refreshOnChange="1" cell="TB!$X$4"/>
    </parameters>
  </connection>
</connections>
</file>

<file path=xl/sharedStrings.xml><?xml version="1.0" encoding="utf-8"?>
<sst xmlns="http://schemas.openxmlformats.org/spreadsheetml/2006/main" count="11190" uniqueCount="2112">
  <si>
    <t>AccountNo</t>
  </si>
  <si>
    <t>Year</t>
  </si>
  <si>
    <t>Month</t>
  </si>
  <si>
    <t>YTD</t>
  </si>
  <si>
    <t>MTD</t>
  </si>
  <si>
    <t>Description</t>
  </si>
  <si>
    <t>Type</t>
  </si>
  <si>
    <t>1010101</t>
  </si>
  <si>
    <t>Cash In Bank - Money Market</t>
  </si>
  <si>
    <t>A</t>
  </si>
  <si>
    <t>1011001</t>
  </si>
  <si>
    <t>Cash In Bank - Checking</t>
  </si>
  <si>
    <t>1014001</t>
  </si>
  <si>
    <t>Accounts Receivable-Other</t>
  </si>
  <si>
    <t>1031001</t>
  </si>
  <si>
    <t>Accounts Receivable-Trade</t>
  </si>
  <si>
    <t>1032001</t>
  </si>
  <si>
    <t>Accounts Receivable-Employees</t>
  </si>
  <si>
    <t>1110001</t>
  </si>
  <si>
    <t>New Equipment Inventory</t>
  </si>
  <si>
    <t>1120001</t>
  </si>
  <si>
    <t>Used Equipment Inventory</t>
  </si>
  <si>
    <t>1129901</t>
  </si>
  <si>
    <t>Parts Inventory</t>
  </si>
  <si>
    <t>1140001</t>
  </si>
  <si>
    <t>Allied Lines Inventory</t>
  </si>
  <si>
    <t>1150001</t>
  </si>
  <si>
    <t>Work in Progress-Labor</t>
  </si>
  <si>
    <t>1210001</t>
  </si>
  <si>
    <t>Prepaid Expense</t>
  </si>
  <si>
    <t>1213001</t>
  </si>
  <si>
    <t>Prepaid Income Tax</t>
  </si>
  <si>
    <t>1216001</t>
  </si>
  <si>
    <t>Prepaid Interest</t>
  </si>
  <si>
    <t>1220001</t>
  </si>
  <si>
    <t>Furniture and Fixtures-Shop</t>
  </si>
  <si>
    <t>1230001</t>
  </si>
  <si>
    <t>Furniture and Fixtures-Office</t>
  </si>
  <si>
    <t>1241001</t>
  </si>
  <si>
    <t>Furniture and Fixtures-Parts</t>
  </si>
  <si>
    <t>1242001</t>
  </si>
  <si>
    <t>1250001</t>
  </si>
  <si>
    <t>Rental Fleet</t>
  </si>
  <si>
    <t>1250101</t>
  </si>
  <si>
    <t>1250501</t>
  </si>
  <si>
    <t>1258001</t>
  </si>
  <si>
    <t>6400 Promler Building</t>
  </si>
  <si>
    <t>1259001</t>
  </si>
  <si>
    <t>6400 Promler Land</t>
  </si>
  <si>
    <t>1260001</t>
  </si>
  <si>
    <t>Leasehold Improvements</t>
  </si>
  <si>
    <t>1260401</t>
  </si>
  <si>
    <t>Deposits</t>
  </si>
  <si>
    <t>1513001</t>
  </si>
  <si>
    <t>Accum.Depr.- F &amp; E Shop</t>
  </si>
  <si>
    <t>1514001</t>
  </si>
  <si>
    <t>Accum.Depr.- F &amp; E Office</t>
  </si>
  <si>
    <t>1516001</t>
  </si>
  <si>
    <t>Accum.Depr.-F &amp; E Parts</t>
  </si>
  <si>
    <t>1517001</t>
  </si>
  <si>
    <t>Accum.Depr.-Vehicles</t>
  </si>
  <si>
    <t>1519001</t>
  </si>
  <si>
    <t>Accum.Depr.-Rental Fleet</t>
  </si>
  <si>
    <t>1519101</t>
  </si>
  <si>
    <t>1519501</t>
  </si>
  <si>
    <t>1559001</t>
  </si>
  <si>
    <t>Accum.Depr.-Building</t>
  </si>
  <si>
    <t>1560001</t>
  </si>
  <si>
    <t>Ammort. Leasehold Improvements</t>
  </si>
  <si>
    <t>1600011</t>
  </si>
  <si>
    <t>Clearing Account</t>
  </si>
  <si>
    <t>2030201</t>
  </si>
  <si>
    <t>Notes Payable L.T. Floorplan</t>
  </si>
  <si>
    <t>L</t>
  </si>
  <si>
    <t>2030301</t>
  </si>
  <si>
    <t>Notes Payable L.T.-Other</t>
  </si>
  <si>
    <t>2042001</t>
  </si>
  <si>
    <t>Notes Payable-Credit Line</t>
  </si>
  <si>
    <t>2042101</t>
  </si>
  <si>
    <t>Notes Payable S T Other</t>
  </si>
  <si>
    <t>2042201</t>
  </si>
  <si>
    <t>Notes Payable S.T. Floorplan</t>
  </si>
  <si>
    <t>2049501</t>
  </si>
  <si>
    <t>Suspense Account</t>
  </si>
  <si>
    <t>2050001</t>
  </si>
  <si>
    <t>Accounts Payable Trade</t>
  </si>
  <si>
    <t>2071001</t>
  </si>
  <si>
    <t>Accrued Federal Withholding</t>
  </si>
  <si>
    <t>2072001</t>
  </si>
  <si>
    <t>Accrued FICA Employer</t>
  </si>
  <si>
    <t>2073001</t>
  </si>
  <si>
    <t>Accrues State Withholding</t>
  </si>
  <si>
    <t>2073501</t>
  </si>
  <si>
    <t>Accrued School Income Tax</t>
  </si>
  <si>
    <t>2074001</t>
  </si>
  <si>
    <t>Accrued FICA Employee</t>
  </si>
  <si>
    <t>2074501</t>
  </si>
  <si>
    <t>Accured City Withholding</t>
  </si>
  <si>
    <t>2075001</t>
  </si>
  <si>
    <t>Accrued FUTA</t>
  </si>
  <si>
    <t>2076001</t>
  </si>
  <si>
    <t>Accrued SUTA</t>
  </si>
  <si>
    <t>2077001</t>
  </si>
  <si>
    <t>Accrued BWC</t>
  </si>
  <si>
    <t>2077201</t>
  </si>
  <si>
    <t>Payroll Withholding Grp. Ins.</t>
  </si>
  <si>
    <t>2078401</t>
  </si>
  <si>
    <t>Payroll Withholding Garnishment</t>
  </si>
  <si>
    <t>2078601</t>
  </si>
  <si>
    <t>Payroll Withholding 401K</t>
  </si>
  <si>
    <t>2080001</t>
  </si>
  <si>
    <t>Sales Tax Payable - Ohio</t>
  </si>
  <si>
    <t>2080003</t>
  </si>
  <si>
    <t>Sales Tax Payable - Arizona</t>
  </si>
  <si>
    <t>2080004</t>
  </si>
  <si>
    <t>Sales Tax Payable - Florida</t>
  </si>
  <si>
    <t>2080005</t>
  </si>
  <si>
    <t>Sales Tax Payable - Illinois</t>
  </si>
  <si>
    <t>2080006</t>
  </si>
  <si>
    <t>Sales Tax Payable - Kansas</t>
  </si>
  <si>
    <t>2080007</t>
  </si>
  <si>
    <t>Sales Tax Payable - Kentucky</t>
  </si>
  <si>
    <t>2080008</t>
  </si>
  <si>
    <t>Sales Tax Payable - Maryland</t>
  </si>
  <si>
    <t>2080009</t>
  </si>
  <si>
    <t>Sales Tax Payable - Massachusetts</t>
  </si>
  <si>
    <t>2080010</t>
  </si>
  <si>
    <t>Sales Tax Payable - Minnisota</t>
  </si>
  <si>
    <t>2080011</t>
  </si>
  <si>
    <t>Sales Tax Payable - Missouri</t>
  </si>
  <si>
    <t>2080013</t>
  </si>
  <si>
    <t>Sales Tax Payable - Texas</t>
  </si>
  <si>
    <t>2080014</t>
  </si>
  <si>
    <t>Sales Tax Payable - Virginia</t>
  </si>
  <si>
    <t>2080015</t>
  </si>
  <si>
    <t>Sales Tax Payable - Washington</t>
  </si>
  <si>
    <t>2080016</t>
  </si>
  <si>
    <t>Sales Tax Payable - West Virginia</t>
  </si>
  <si>
    <t>2080017</t>
  </si>
  <si>
    <t>Sales Tax Payable - New York</t>
  </si>
  <si>
    <t>2080018</t>
  </si>
  <si>
    <t>Sales Tax Payable - California</t>
  </si>
  <si>
    <t>2080019</t>
  </si>
  <si>
    <t>Sales Tax Payable - Connecticut</t>
  </si>
  <si>
    <t>2080020</t>
  </si>
  <si>
    <t>Sales Tax Payable - Iowa</t>
  </si>
  <si>
    <t>2080021</t>
  </si>
  <si>
    <t>Sales Tax Payable - New Jersey</t>
  </si>
  <si>
    <t>2080023</t>
  </si>
  <si>
    <t>Sales Tax Payable - Pennsylvania</t>
  </si>
  <si>
    <t>2080024</t>
  </si>
  <si>
    <t>Sales Tax Payable - Utah</t>
  </si>
  <si>
    <t>2080025</t>
  </si>
  <si>
    <t>Sales Tax Payable - Arkansas</t>
  </si>
  <si>
    <t>2080026</t>
  </si>
  <si>
    <t>Sales Tax Payable - Georgia</t>
  </si>
  <si>
    <t>2080027</t>
  </si>
  <si>
    <t>Sales Tax Payable - Indiana</t>
  </si>
  <si>
    <t>2080028</t>
  </si>
  <si>
    <t>Sales Tax Payable - Michigan</t>
  </si>
  <si>
    <t>2080029</t>
  </si>
  <si>
    <t>Sales Tax Payable - Nebraska</t>
  </si>
  <si>
    <t>2080030</t>
  </si>
  <si>
    <t>Sales Tax Payable - Tennesee</t>
  </si>
  <si>
    <t>2080031</t>
  </si>
  <si>
    <t>Sales Tax Payable - Colorado</t>
  </si>
  <si>
    <t>2080050</t>
  </si>
  <si>
    <t>Sales Tax Payable-Last State</t>
  </si>
  <si>
    <t>2081001</t>
  </si>
  <si>
    <t>Accrued Personal Property Tax</t>
  </si>
  <si>
    <t>2090501</t>
  </si>
  <si>
    <t>Accrued Payroll</t>
  </si>
  <si>
    <t>2091001</t>
  </si>
  <si>
    <t>2092001</t>
  </si>
  <si>
    <t>3911001</t>
  </si>
  <si>
    <t>Common Stock</t>
  </si>
  <si>
    <t>3940001</t>
  </si>
  <si>
    <t>Year to Date Net Income</t>
  </si>
  <si>
    <t>3940101</t>
  </si>
  <si>
    <t>Retained Earnings</t>
  </si>
  <si>
    <t>4036503</t>
  </si>
  <si>
    <t>Parts Sales to CH Steel</t>
  </si>
  <si>
    <t>S</t>
  </si>
  <si>
    <t>4110501</t>
  </si>
  <si>
    <t>New Equipment Linde Canton</t>
  </si>
  <si>
    <t>Commission-New Equipment</t>
  </si>
  <si>
    <t>4111501</t>
  </si>
  <si>
    <t>4111503</t>
  </si>
  <si>
    <t>4112201</t>
  </si>
  <si>
    <t>Freight Income</t>
  </si>
  <si>
    <t>4112501</t>
  </si>
  <si>
    <t>4112503</t>
  </si>
  <si>
    <t>4113501</t>
  </si>
  <si>
    <t>New Equipment Combi Canton</t>
  </si>
  <si>
    <t>4113503</t>
  </si>
  <si>
    <t>New Equipment Combi C H Steel</t>
  </si>
  <si>
    <t>4114201</t>
  </si>
  <si>
    <t>4114503</t>
  </si>
  <si>
    <t>4125601</t>
  </si>
  <si>
    <t>Linde Parts Sale</t>
  </si>
  <si>
    <t>4126601</t>
  </si>
  <si>
    <t>Combi Parts Sale</t>
  </si>
  <si>
    <t>4127601</t>
  </si>
  <si>
    <t>Tire Sale</t>
  </si>
  <si>
    <t>4128601</t>
  </si>
  <si>
    <t>Freight - Parts</t>
  </si>
  <si>
    <t>4129601</t>
  </si>
  <si>
    <t>Parts Sale Other</t>
  </si>
  <si>
    <t>4130601</t>
  </si>
  <si>
    <t>Shop Parts-Linde</t>
  </si>
  <si>
    <t>4131601</t>
  </si>
  <si>
    <t>Shop Parts-Combi</t>
  </si>
  <si>
    <t>4132601</t>
  </si>
  <si>
    <t>Shop Parts-Other</t>
  </si>
  <si>
    <t>4133601</t>
  </si>
  <si>
    <t>Road Parts-Linde</t>
  </si>
  <si>
    <t>4134601</t>
  </si>
  <si>
    <t>Road Parts-Combi</t>
  </si>
  <si>
    <t>4135601</t>
  </si>
  <si>
    <t>Road Parts-Other</t>
  </si>
  <si>
    <t>4136601</t>
  </si>
  <si>
    <t>P M -Linde</t>
  </si>
  <si>
    <t>4137601</t>
  </si>
  <si>
    <t>P M -Combi</t>
  </si>
  <si>
    <t>4138601</t>
  </si>
  <si>
    <t>P M - Other</t>
  </si>
  <si>
    <t>4140501</t>
  </si>
  <si>
    <t>Allied Lines Canton</t>
  </si>
  <si>
    <t>4140503</t>
  </si>
  <si>
    <t>Allied Lines C H Steel</t>
  </si>
  <si>
    <t>4143401</t>
  </si>
  <si>
    <t>Delivery Charge Used</t>
  </si>
  <si>
    <t>4152701</t>
  </si>
  <si>
    <t>Delivery Charge-Internal</t>
  </si>
  <si>
    <t>4153701</t>
  </si>
  <si>
    <t>Field Labor Variance</t>
  </si>
  <si>
    <t>4154701</t>
  </si>
  <si>
    <t>Shop Labor Variance</t>
  </si>
  <si>
    <t>4155701</t>
  </si>
  <si>
    <t>Shop Labor</t>
  </si>
  <si>
    <t>4156701</t>
  </si>
  <si>
    <t>Service Training</t>
  </si>
  <si>
    <t>4157701</t>
  </si>
  <si>
    <t>Customer P M-</t>
  </si>
  <si>
    <t>4158701</t>
  </si>
  <si>
    <t>Shop Supplies</t>
  </si>
  <si>
    <t>4160701</t>
  </si>
  <si>
    <t>Lease Maintenance</t>
  </si>
  <si>
    <t>4171701</t>
  </si>
  <si>
    <t>Delivery Income</t>
  </si>
  <si>
    <t>4173701</t>
  </si>
  <si>
    <t>Freight Recovery</t>
  </si>
  <si>
    <t>4181801</t>
  </si>
  <si>
    <t>Miscellaneous Income</t>
  </si>
  <si>
    <t>4182801</t>
  </si>
  <si>
    <t>Interest Income</t>
  </si>
  <si>
    <t>4183801</t>
  </si>
  <si>
    <t>Cash Discounts Earned</t>
  </si>
  <si>
    <t>4184801</t>
  </si>
  <si>
    <t>Gain or Loss on Sale of F.A.</t>
  </si>
  <si>
    <t>4191901</t>
  </si>
  <si>
    <t>Rental Income - Customer</t>
  </si>
  <si>
    <t>4192901</t>
  </si>
  <si>
    <t>Rental Income - Internal</t>
  </si>
  <si>
    <t>4193901</t>
  </si>
  <si>
    <t>Rental Delivery Income</t>
  </si>
  <si>
    <t>4210401</t>
  </si>
  <si>
    <t>Used Equipment Sale-Linde</t>
  </si>
  <si>
    <t>4211401</t>
  </si>
  <si>
    <t>Used Equipment Wholesale</t>
  </si>
  <si>
    <t>4212401</t>
  </si>
  <si>
    <t>Used Rental Equipment Sale</t>
  </si>
  <si>
    <t>4213401</t>
  </si>
  <si>
    <t>Used Equipment Sale Combi</t>
  </si>
  <si>
    <t>4214401</t>
  </si>
  <si>
    <t>Used Equipment Sale- Other</t>
  </si>
  <si>
    <t>4300601</t>
  </si>
  <si>
    <t>Internal Parts Sales-Service</t>
  </si>
  <si>
    <t>4306201</t>
  </si>
  <si>
    <t>4306401</t>
  </si>
  <si>
    <t>Parts Sales to Used</t>
  </si>
  <si>
    <t>4306501</t>
  </si>
  <si>
    <t>Parts Sales to New</t>
  </si>
  <si>
    <t>4306601</t>
  </si>
  <si>
    <t>Parts Sales to Parts</t>
  </si>
  <si>
    <t>4306701</t>
  </si>
  <si>
    <t>Parts Sales to Service</t>
  </si>
  <si>
    <t>4306901</t>
  </si>
  <si>
    <t>Parts Sales to Rental</t>
  </si>
  <si>
    <t>4311701</t>
  </si>
  <si>
    <t>Nonbillable Field Time</t>
  </si>
  <si>
    <t>4322701</t>
  </si>
  <si>
    <t>Nonbillable Shop Time</t>
  </si>
  <si>
    <t>4340701</t>
  </si>
  <si>
    <t>Internal Labor-Used</t>
  </si>
  <si>
    <t>4350701</t>
  </si>
  <si>
    <t>Internal Labor-Sales</t>
  </si>
  <si>
    <t>4360701</t>
  </si>
  <si>
    <t>Internal Labor-Parts</t>
  </si>
  <si>
    <t>4370701</t>
  </si>
  <si>
    <t>4380701</t>
  </si>
  <si>
    <t>Internal Labor-Building and Grounds</t>
  </si>
  <si>
    <t>4390701</t>
  </si>
  <si>
    <t>Internal Labor-Rental</t>
  </si>
  <si>
    <t>4400701</t>
  </si>
  <si>
    <t>Warranty-Customer</t>
  </si>
  <si>
    <t>4410701</t>
  </si>
  <si>
    <t>Warranty-Internal</t>
  </si>
  <si>
    <t>C</t>
  </si>
  <si>
    <t>5110501</t>
  </si>
  <si>
    <t>5110503</t>
  </si>
  <si>
    <t>New Equip Combi</t>
  </si>
  <si>
    <t>5113501</t>
  </si>
  <si>
    <t>5113503</t>
  </si>
  <si>
    <t>5125601</t>
  </si>
  <si>
    <t>Parts-Linde</t>
  </si>
  <si>
    <t>5126601</t>
  </si>
  <si>
    <t>Parts-Combi</t>
  </si>
  <si>
    <t>5127601</t>
  </si>
  <si>
    <t>Tires</t>
  </si>
  <si>
    <t>5129601</t>
  </si>
  <si>
    <t>Parts-Other</t>
  </si>
  <si>
    <t>5130601</t>
  </si>
  <si>
    <t>5131601</t>
  </si>
  <si>
    <t>5132601</t>
  </si>
  <si>
    <t>5133601</t>
  </si>
  <si>
    <t>5134601</t>
  </si>
  <si>
    <t>5135601</t>
  </si>
  <si>
    <t>5136601</t>
  </si>
  <si>
    <t>5137601</t>
  </si>
  <si>
    <t>5138601</t>
  </si>
  <si>
    <t>Allied Line</t>
  </si>
  <si>
    <t>5140501</t>
  </si>
  <si>
    <t>5140503</t>
  </si>
  <si>
    <t>5151701</t>
  </si>
  <si>
    <t>CGS Customer Road Labor</t>
  </si>
  <si>
    <t>5152201</t>
  </si>
  <si>
    <t>Internal Delivery Charge-I F</t>
  </si>
  <si>
    <t>5152401</t>
  </si>
  <si>
    <t>Internal Delivery Charge-Used</t>
  </si>
  <si>
    <t>5152501</t>
  </si>
  <si>
    <t>Internal Delivery Charge-Canton</t>
  </si>
  <si>
    <t>5152503</t>
  </si>
  <si>
    <t>Internal Delivery Charge-C H Steel</t>
  </si>
  <si>
    <t>5152701</t>
  </si>
  <si>
    <t>Lease Maintenace</t>
  </si>
  <si>
    <t>5152901</t>
  </si>
  <si>
    <t>Internal Delivery Charge-Rental</t>
  </si>
  <si>
    <t>5155701</t>
  </si>
  <si>
    <t>CGS Customer  Shop  Labor</t>
  </si>
  <si>
    <t>5156701</t>
  </si>
  <si>
    <t>CGS Service Training Labor</t>
  </si>
  <si>
    <t>5157701</t>
  </si>
  <si>
    <t>CGS Customer P M Labor</t>
  </si>
  <si>
    <t>5159701</t>
  </si>
  <si>
    <t>Rework</t>
  </si>
  <si>
    <t>5175701</t>
  </si>
  <si>
    <t>Van Maintenance</t>
  </si>
  <si>
    <t>5192201</t>
  </si>
  <si>
    <t>5192501</t>
  </si>
  <si>
    <t>Internal Rental to Canton</t>
  </si>
  <si>
    <t>5192503</t>
  </si>
  <si>
    <t>Internal Rental to C H Steel</t>
  </si>
  <si>
    <t>5192701</t>
  </si>
  <si>
    <t>Internal Rental to Service</t>
  </si>
  <si>
    <t>5200701</t>
  </si>
  <si>
    <t>Service Material</t>
  </si>
  <si>
    <t>5210401</t>
  </si>
  <si>
    <t>Used Equipment-Linde</t>
  </si>
  <si>
    <t>5211401</t>
  </si>
  <si>
    <t>Used Equipment-Wholesale</t>
  </si>
  <si>
    <t>5212401</t>
  </si>
  <si>
    <t>Rental Fleet Sales</t>
  </si>
  <si>
    <t>5213401</t>
  </si>
  <si>
    <t>Used Equipment-Combi</t>
  </si>
  <si>
    <t>5214401</t>
  </si>
  <si>
    <t>Used Equipment-Other</t>
  </si>
  <si>
    <t>5220701</t>
  </si>
  <si>
    <t>CGS Labor Internal Labor</t>
  </si>
  <si>
    <t>5300601</t>
  </si>
  <si>
    <t>Internal Parts</t>
  </si>
  <si>
    <t>5306601</t>
  </si>
  <si>
    <t>Parts Obsolecence</t>
  </si>
  <si>
    <t>5311701</t>
  </si>
  <si>
    <t>5322701</t>
  </si>
  <si>
    <t>5371901</t>
  </si>
  <si>
    <t>Rental Material</t>
  </si>
  <si>
    <t>5400701</t>
  </si>
  <si>
    <t>Warranty</t>
  </si>
  <si>
    <t>5410401</t>
  </si>
  <si>
    <t>Local Warranty</t>
  </si>
  <si>
    <t>5935201</t>
  </si>
  <si>
    <t>Sales Discount I F</t>
  </si>
  <si>
    <t>5940401</t>
  </si>
  <si>
    <t>P/L Used</t>
  </si>
  <si>
    <t>5950501</t>
  </si>
  <si>
    <t>P/L Make Ready Canton</t>
  </si>
  <si>
    <t>5950503</t>
  </si>
  <si>
    <t>P/L Make Ready C H Steel</t>
  </si>
  <si>
    <t>5951201</t>
  </si>
  <si>
    <t>5951501</t>
  </si>
  <si>
    <t>5951503</t>
  </si>
  <si>
    <t>5953501</t>
  </si>
  <si>
    <t>Sales Discount Canton</t>
  </si>
  <si>
    <t>5953503</t>
  </si>
  <si>
    <t>Sales Discount C H Steel</t>
  </si>
  <si>
    <t>5956201</t>
  </si>
  <si>
    <t>CGS Demo</t>
  </si>
  <si>
    <t>5956501</t>
  </si>
  <si>
    <t>5956503</t>
  </si>
  <si>
    <t>5960601</t>
  </si>
  <si>
    <t>Internal Labor to Parts</t>
  </si>
  <si>
    <t>5970701</t>
  </si>
  <si>
    <t>P/L Service to Service</t>
  </si>
  <si>
    <t>5980701</t>
  </si>
  <si>
    <t>Building Maintenance</t>
  </si>
  <si>
    <t>5990901</t>
  </si>
  <si>
    <t>P/L Rental</t>
  </si>
  <si>
    <t>6010201</t>
  </si>
  <si>
    <t xml:space="preserve">Supervisory </t>
  </si>
  <si>
    <t>E</t>
  </si>
  <si>
    <t>6010401</t>
  </si>
  <si>
    <t>Supervisory Used</t>
  </si>
  <si>
    <t>6010501</t>
  </si>
  <si>
    <t>Supervisory Canton</t>
  </si>
  <si>
    <t>6010503</t>
  </si>
  <si>
    <t>Supervisory C H Steel</t>
  </si>
  <si>
    <t>6010601</t>
  </si>
  <si>
    <t>Supervisory Parts</t>
  </si>
  <si>
    <t>6010701</t>
  </si>
  <si>
    <t>Supervisory Service</t>
  </si>
  <si>
    <t>6010801</t>
  </si>
  <si>
    <t>6010901</t>
  </si>
  <si>
    <t>Supervisory Rental</t>
  </si>
  <si>
    <t>6020201</t>
  </si>
  <si>
    <t xml:space="preserve">Salesman Salaries </t>
  </si>
  <si>
    <t>6020501</t>
  </si>
  <si>
    <t>Salesmen Canton</t>
  </si>
  <si>
    <t>6020503</t>
  </si>
  <si>
    <t>6020601</t>
  </si>
  <si>
    <t>Slaesmen Parts</t>
  </si>
  <si>
    <t>6030701</t>
  </si>
  <si>
    <t>Mechanics Wages</t>
  </si>
  <si>
    <t>6050201</t>
  </si>
  <si>
    <t xml:space="preserve">Support Salaries </t>
  </si>
  <si>
    <t>6050401</t>
  </si>
  <si>
    <t>Support Salaries Used</t>
  </si>
  <si>
    <t>6050501</t>
  </si>
  <si>
    <t>Support Salaries Canton</t>
  </si>
  <si>
    <t>6050503</t>
  </si>
  <si>
    <t>Support Salaries C H Steel</t>
  </si>
  <si>
    <t>6050601</t>
  </si>
  <si>
    <t>Support Salaries Parts</t>
  </si>
  <si>
    <t>6050701</t>
  </si>
  <si>
    <t>Support Salaries Service</t>
  </si>
  <si>
    <t>6050801</t>
  </si>
  <si>
    <t>Support Salaries G &amp; A</t>
  </si>
  <si>
    <t>6050901</t>
  </si>
  <si>
    <t>Support Salaries Rental</t>
  </si>
  <si>
    <t>6061001</t>
  </si>
  <si>
    <t>6061003</t>
  </si>
  <si>
    <t>Commission C H Steel</t>
  </si>
  <si>
    <t>Commission Parts</t>
  </si>
  <si>
    <t>6061201</t>
  </si>
  <si>
    <t xml:space="preserve">Commission </t>
  </si>
  <si>
    <t>6061501</t>
  </si>
  <si>
    <t>Commission Used</t>
  </si>
  <si>
    <t>6061701</t>
  </si>
  <si>
    <t>Commission Service</t>
  </si>
  <si>
    <t>6061901</t>
  </si>
  <si>
    <t>Commission Rental</t>
  </si>
  <si>
    <t>6070201</t>
  </si>
  <si>
    <t xml:space="preserve">Payroll Taxes </t>
  </si>
  <si>
    <t>6070401</t>
  </si>
  <si>
    <t>Payroll Tax Used</t>
  </si>
  <si>
    <t>6070501</t>
  </si>
  <si>
    <t>Payroll Tax Canton</t>
  </si>
  <si>
    <t>6070503</t>
  </si>
  <si>
    <t>Payroll Tax C H Steel</t>
  </si>
  <si>
    <t>6070601</t>
  </si>
  <si>
    <t>Payroll Tax Parts</t>
  </si>
  <si>
    <t>6070701</t>
  </si>
  <si>
    <t>Payroll Tax Service</t>
  </si>
  <si>
    <t>6070801</t>
  </si>
  <si>
    <t>Payroll Tax G &amp; A</t>
  </si>
  <si>
    <t>6070901</t>
  </si>
  <si>
    <t>Payroll Tax Rental</t>
  </si>
  <si>
    <t>6100201</t>
  </si>
  <si>
    <t xml:space="preserve">Employee Exp-100% </t>
  </si>
  <si>
    <t>6100501</t>
  </si>
  <si>
    <t>Employee Expense 100% Canton</t>
  </si>
  <si>
    <t>6100503</t>
  </si>
  <si>
    <t>Employee Expense 100% C H Steel</t>
  </si>
  <si>
    <t>6100601</t>
  </si>
  <si>
    <t>Employee Expense 100% Parts</t>
  </si>
  <si>
    <t>6100701</t>
  </si>
  <si>
    <t>Employee Expense 100% Service</t>
  </si>
  <si>
    <t>6100801</t>
  </si>
  <si>
    <t>Employee Expense 100% G &amp; A</t>
  </si>
  <si>
    <t>6110201</t>
  </si>
  <si>
    <t xml:space="preserve">Employee Exp-50% </t>
  </si>
  <si>
    <t>6110501</t>
  </si>
  <si>
    <t>Employee Expense 50% Canton</t>
  </si>
  <si>
    <t>6110503</t>
  </si>
  <si>
    <t>Employee Expense 50% C H Steel</t>
  </si>
  <si>
    <t>6110601</t>
  </si>
  <si>
    <t>Employee Expense 50% Parts</t>
  </si>
  <si>
    <t>6110701</t>
  </si>
  <si>
    <t>6110801</t>
  </si>
  <si>
    <t>Employee Expense 50% G &amp; A</t>
  </si>
  <si>
    <t>6210201</t>
  </si>
  <si>
    <t>Vehicle Repair &amp; Maint</t>
  </si>
  <si>
    <t>6210501</t>
  </si>
  <si>
    <t>6210503</t>
  </si>
  <si>
    <t>Vehicle Expense C H Steel</t>
  </si>
  <si>
    <t>6210601</t>
  </si>
  <si>
    <t>Vehicle Expense Parts</t>
  </si>
  <si>
    <t>6210701</t>
  </si>
  <si>
    <t>Vehicle Expense Service</t>
  </si>
  <si>
    <t>6210801</t>
  </si>
  <si>
    <t>Vehicle Expense Administrative</t>
  </si>
  <si>
    <t>6310201</t>
  </si>
  <si>
    <t xml:space="preserve">Rent </t>
  </si>
  <si>
    <t>6310401</t>
  </si>
  <si>
    <t>Rent Used</t>
  </si>
  <si>
    <t>6310501</t>
  </si>
  <si>
    <t>Rent Canton</t>
  </si>
  <si>
    <t>6310503</t>
  </si>
  <si>
    <t>Rent C H Steel</t>
  </si>
  <si>
    <t>6310601</t>
  </si>
  <si>
    <t>6310701</t>
  </si>
  <si>
    <t>Rent Service</t>
  </si>
  <si>
    <t>6310801</t>
  </si>
  <si>
    <t>Rent Administrativwe</t>
  </si>
  <si>
    <t>6310901</t>
  </si>
  <si>
    <t>Rent Rental</t>
  </si>
  <si>
    <t>6320801</t>
  </si>
  <si>
    <t>Utilities</t>
  </si>
  <si>
    <t>6330801</t>
  </si>
  <si>
    <t>6410201</t>
  </si>
  <si>
    <t xml:space="preserve">Office Supplies </t>
  </si>
  <si>
    <t>6410401</t>
  </si>
  <si>
    <t>Office Supplies Used</t>
  </si>
  <si>
    <t>6410501</t>
  </si>
  <si>
    <t>Office Supplies Canton</t>
  </si>
  <si>
    <t>6410503</t>
  </si>
  <si>
    <t>Office Supplies C H Steel</t>
  </si>
  <si>
    <t>6410601</t>
  </si>
  <si>
    <t>Office Supplies Parts</t>
  </si>
  <si>
    <t>6410701</t>
  </si>
  <si>
    <t>Office Supplies Service</t>
  </si>
  <si>
    <t>6410801</t>
  </si>
  <si>
    <t>Office Supplies Administrative</t>
  </si>
  <si>
    <t>6410901</t>
  </si>
  <si>
    <t>Office Supplies Rental</t>
  </si>
  <si>
    <t>6420701</t>
  </si>
  <si>
    <t>6430201</t>
  </si>
  <si>
    <t>Freight</t>
  </si>
  <si>
    <t>6430401</t>
  </si>
  <si>
    <t>Freight Used</t>
  </si>
  <si>
    <t>6430501</t>
  </si>
  <si>
    <t>6430503</t>
  </si>
  <si>
    <t>6430601</t>
  </si>
  <si>
    <t>Freight Parts</t>
  </si>
  <si>
    <t>6430701</t>
  </si>
  <si>
    <t>Freight Service</t>
  </si>
  <si>
    <t>6430801</t>
  </si>
  <si>
    <t>Postage</t>
  </si>
  <si>
    <t>6430901</t>
  </si>
  <si>
    <t>Freight Rental</t>
  </si>
  <si>
    <t>6440201</t>
  </si>
  <si>
    <t xml:space="preserve">Communication Expense </t>
  </si>
  <si>
    <t>6440501</t>
  </si>
  <si>
    <t>Communication Canton</t>
  </si>
  <si>
    <t>6440503</t>
  </si>
  <si>
    <t>Communication C H Steel</t>
  </si>
  <si>
    <t>6440601</t>
  </si>
  <si>
    <t>Communication Parts</t>
  </si>
  <si>
    <t>6440701</t>
  </si>
  <si>
    <t>Communication Service</t>
  </si>
  <si>
    <t>6440801</t>
  </si>
  <si>
    <t>Communication Administrative</t>
  </si>
  <si>
    <t>6450801</t>
  </si>
  <si>
    <t>Legal and Audit</t>
  </si>
  <si>
    <t>6460201</t>
  </si>
  <si>
    <t xml:space="preserve">Dues &amp; Subscriptions </t>
  </si>
  <si>
    <t>6460501</t>
  </si>
  <si>
    <t>Dues and Subscriptions Canton</t>
  </si>
  <si>
    <t>6460503</t>
  </si>
  <si>
    <t>Dues and Subscriptions C H Steel</t>
  </si>
  <si>
    <t>6460601</t>
  </si>
  <si>
    <t>Dues and Subscriptions Parts</t>
  </si>
  <si>
    <t>6460701</t>
  </si>
  <si>
    <t>Dues and Subscriptions Service</t>
  </si>
  <si>
    <t>6460801</t>
  </si>
  <si>
    <t>Dues and Subscriptions Administrative</t>
  </si>
  <si>
    <t>6470201</t>
  </si>
  <si>
    <t xml:space="preserve">Promotion </t>
  </si>
  <si>
    <t>6470401</t>
  </si>
  <si>
    <t>Promotion Used</t>
  </si>
  <si>
    <t>6470501</t>
  </si>
  <si>
    <t>Promotion Canton</t>
  </si>
  <si>
    <t>6470503</t>
  </si>
  <si>
    <t>Promotion C H Steel</t>
  </si>
  <si>
    <t>6470601</t>
  </si>
  <si>
    <t>Promotion Parts</t>
  </si>
  <si>
    <t>6470701</t>
  </si>
  <si>
    <t>Promotion Service</t>
  </si>
  <si>
    <t>6470901</t>
  </si>
  <si>
    <t>Promotion Rental</t>
  </si>
  <si>
    <t>6480201</t>
  </si>
  <si>
    <t xml:space="preserve">Training &amp; Education </t>
  </si>
  <si>
    <t>6480501</t>
  </si>
  <si>
    <t>Training and Education Canton</t>
  </si>
  <si>
    <t>6480503</t>
  </si>
  <si>
    <t>Training and Education C H Steel</t>
  </si>
  <si>
    <t>6480601</t>
  </si>
  <si>
    <t>Training and Education Parts</t>
  </si>
  <si>
    <t>6480701</t>
  </si>
  <si>
    <t>Training and Education Service</t>
  </si>
  <si>
    <t>6480801</t>
  </si>
  <si>
    <t>Training and Education Administrative</t>
  </si>
  <si>
    <t>6490201</t>
  </si>
  <si>
    <t xml:space="preserve">Consulting Expense </t>
  </si>
  <si>
    <t>6490501</t>
  </si>
  <si>
    <t>Consulting Canton</t>
  </si>
  <si>
    <t>6490503</t>
  </si>
  <si>
    <t>Consulting C H Steel</t>
  </si>
  <si>
    <t>6490601</t>
  </si>
  <si>
    <t>Consulting Parts</t>
  </si>
  <si>
    <t>6490701</t>
  </si>
  <si>
    <t>Consulting Service</t>
  </si>
  <si>
    <t>6490801</t>
  </si>
  <si>
    <t>Consulting Administrative</t>
  </si>
  <si>
    <t>6510801</t>
  </si>
  <si>
    <t>Bad Debt</t>
  </si>
  <si>
    <t>6520801</t>
  </si>
  <si>
    <t>Contributions</t>
  </si>
  <si>
    <t>6530201</t>
  </si>
  <si>
    <t xml:space="preserve">Employee Welfare </t>
  </si>
  <si>
    <t>6530401</t>
  </si>
  <si>
    <t>Employee Welfare Used</t>
  </si>
  <si>
    <t>6530501</t>
  </si>
  <si>
    <t>Employee Welfare Canton</t>
  </si>
  <si>
    <t>6530503</t>
  </si>
  <si>
    <t>Employee Welfare C H Steel</t>
  </si>
  <si>
    <t>6530601</t>
  </si>
  <si>
    <t>Employee Welfare Parts</t>
  </si>
  <si>
    <t>6530701</t>
  </si>
  <si>
    <t>6530801</t>
  </si>
  <si>
    <t>Employee Welfare Administrative</t>
  </si>
  <si>
    <t>6530901</t>
  </si>
  <si>
    <t>Employee Welfare Rental</t>
  </si>
  <si>
    <t>6540201</t>
  </si>
  <si>
    <t xml:space="preserve">401K Contribution </t>
  </si>
  <si>
    <t>6540401</t>
  </si>
  <si>
    <t>401K Contribution Used</t>
  </si>
  <si>
    <t>6540501</t>
  </si>
  <si>
    <t>401K Contribution Canton</t>
  </si>
  <si>
    <t>6540503</t>
  </si>
  <si>
    <t>401K Contribution C H Steel</t>
  </si>
  <si>
    <t>6540601</t>
  </si>
  <si>
    <t>401K Contribution Parts</t>
  </si>
  <si>
    <t>6540701</t>
  </si>
  <si>
    <t>401K Contribution Service</t>
  </si>
  <si>
    <t>6540801</t>
  </si>
  <si>
    <t>401K Contribution Administrative</t>
  </si>
  <si>
    <t>6540901</t>
  </si>
  <si>
    <t>401K Contribution Rental</t>
  </si>
  <si>
    <t>6555201</t>
  </si>
  <si>
    <t xml:space="preserve">Outside Commissions </t>
  </si>
  <si>
    <t>6555501</t>
  </si>
  <si>
    <t>Outside Commission- Canton</t>
  </si>
  <si>
    <t>6555503</t>
  </si>
  <si>
    <t>Outside Commission C H Steel</t>
  </si>
  <si>
    <t>6600801</t>
  </si>
  <si>
    <t>R E Tax</t>
  </si>
  <si>
    <t>6733201</t>
  </si>
  <si>
    <t xml:space="preserve">Insurance Expense </t>
  </si>
  <si>
    <t>6733401</t>
  </si>
  <si>
    <t>Insurance Used</t>
  </si>
  <si>
    <t>6733501</t>
  </si>
  <si>
    <t>Insurance Canton</t>
  </si>
  <si>
    <t>6733503</t>
  </si>
  <si>
    <t>Insurance C H Steel</t>
  </si>
  <si>
    <t>6733601</t>
  </si>
  <si>
    <t>Insurance Parts</t>
  </si>
  <si>
    <t>6733701</t>
  </si>
  <si>
    <t>Insurance Service</t>
  </si>
  <si>
    <t>6733801</t>
  </si>
  <si>
    <t>Insurance Administrative</t>
  </si>
  <si>
    <t>6733901</t>
  </si>
  <si>
    <t>Insurance Rental</t>
  </si>
  <si>
    <t>6734801</t>
  </si>
  <si>
    <t>Life Insurance Expense</t>
  </si>
  <si>
    <t>6740201</t>
  </si>
  <si>
    <t xml:space="preserve">Interest Expense </t>
  </si>
  <si>
    <t>6740401</t>
  </si>
  <si>
    <t>Interest Expense</t>
  </si>
  <si>
    <t>6740501</t>
  </si>
  <si>
    <t>6740503</t>
  </si>
  <si>
    <t>6740601</t>
  </si>
  <si>
    <t>6740701</t>
  </si>
  <si>
    <t>6740801</t>
  </si>
  <si>
    <t>6740901</t>
  </si>
  <si>
    <t>6820601</t>
  </si>
  <si>
    <t>6820701</t>
  </si>
  <si>
    <t>6820801</t>
  </si>
  <si>
    <t>Depreciation Furniture  and Fixtures</t>
  </si>
  <si>
    <t>6840701</t>
  </si>
  <si>
    <t>Depreciation Vehicles</t>
  </si>
  <si>
    <t>6850201</t>
  </si>
  <si>
    <t>Accum Depr Demo Trucks</t>
  </si>
  <si>
    <t>6850501</t>
  </si>
  <si>
    <t>6860801</t>
  </si>
  <si>
    <t>Depreciation Building</t>
  </si>
  <si>
    <t>6880201</t>
  </si>
  <si>
    <t>Accum Depr Installment Trucks</t>
  </si>
  <si>
    <t>6880501</t>
  </si>
  <si>
    <t>Depreciation Installment Fleet</t>
  </si>
  <si>
    <t>6880503</t>
  </si>
  <si>
    <t>6880801</t>
  </si>
  <si>
    <t>Amoritization Leasehold Improvements</t>
  </si>
  <si>
    <t>6880901</t>
  </si>
  <si>
    <t>Deprecaition Rental Fleet</t>
  </si>
  <si>
    <t>6910201</t>
  </si>
  <si>
    <t xml:space="preserve">Misc. Expenses  </t>
  </si>
  <si>
    <t>6910401</t>
  </si>
  <si>
    <t>Miscellaneous Expense Used</t>
  </si>
  <si>
    <t>6910501</t>
  </si>
  <si>
    <t>6910503</t>
  </si>
  <si>
    <t>6910601</t>
  </si>
  <si>
    <t>Miscellaneous Expense Parts</t>
  </si>
  <si>
    <t>6910701</t>
  </si>
  <si>
    <t>6910801</t>
  </si>
  <si>
    <t>Miscellaneous Expense Administrative</t>
  </si>
  <si>
    <t>6910901</t>
  </si>
  <si>
    <t>Miscellaneous Expense Rental</t>
  </si>
  <si>
    <t>6911801</t>
  </si>
  <si>
    <t>Tax Expense</t>
  </si>
  <si>
    <t>6920701</t>
  </si>
  <si>
    <t>Uniform Service</t>
  </si>
  <si>
    <t>6980201</t>
  </si>
  <si>
    <t>G &amp; A Allocation</t>
  </si>
  <si>
    <t>6980401</t>
  </si>
  <si>
    <t>6980501</t>
  </si>
  <si>
    <t>6980503</t>
  </si>
  <si>
    <t>6980601</t>
  </si>
  <si>
    <t>6980701</t>
  </si>
  <si>
    <t>6980801</t>
  </si>
  <si>
    <t>6980901</t>
  </si>
  <si>
    <t>Balance Sheet</t>
  </si>
  <si>
    <t>2080002</t>
  </si>
  <si>
    <t>Sales Tax Payable - Alabama</t>
  </si>
  <si>
    <t>2080012</t>
  </si>
  <si>
    <t>Sales Tax Payable - Oklahoma</t>
  </si>
  <si>
    <t>2080022</t>
  </si>
  <si>
    <t>Sales Tax Payable - North Carolina</t>
  </si>
  <si>
    <t>4110502</t>
  </si>
  <si>
    <t>New Equipment Linde Cleveland</t>
  </si>
  <si>
    <t>4111502</t>
  </si>
  <si>
    <t>4112502</t>
  </si>
  <si>
    <t>4113502</t>
  </si>
  <si>
    <t>New Equipment Combi Cleveland</t>
  </si>
  <si>
    <t>4114502</t>
  </si>
  <si>
    <t>4125602</t>
  </si>
  <si>
    <t>4126602</t>
  </si>
  <si>
    <t>4127602</t>
  </si>
  <si>
    <t>4128602</t>
  </si>
  <si>
    <t>4129602</t>
  </si>
  <si>
    <t>4130602</t>
  </si>
  <si>
    <t>4131602</t>
  </si>
  <si>
    <t>4132602</t>
  </si>
  <si>
    <t>4133602</t>
  </si>
  <si>
    <t>4134602</t>
  </si>
  <si>
    <t>4135602</t>
  </si>
  <si>
    <t>4136602</t>
  </si>
  <si>
    <t>4137602</t>
  </si>
  <si>
    <t>4138602</t>
  </si>
  <si>
    <t>4140502</t>
  </si>
  <si>
    <t>Allied Lines Cleveland</t>
  </si>
  <si>
    <t>4143402</t>
  </si>
  <si>
    <t>4151701</t>
  </si>
  <si>
    <t>Field Labor</t>
  </si>
  <si>
    <t>4151702</t>
  </si>
  <si>
    <t>4152702</t>
  </si>
  <si>
    <t>4153702</t>
  </si>
  <si>
    <t>4154702</t>
  </si>
  <si>
    <t>4155702</t>
  </si>
  <si>
    <t>4156702</t>
  </si>
  <si>
    <t>4157702</t>
  </si>
  <si>
    <t>4158702</t>
  </si>
  <si>
    <t>4160702</t>
  </si>
  <si>
    <t>4171702</t>
  </si>
  <si>
    <t>4173702</t>
  </si>
  <si>
    <t>4191902</t>
  </si>
  <si>
    <t>4192902</t>
  </si>
  <si>
    <t>4193902</t>
  </si>
  <si>
    <t>4210402</t>
  </si>
  <si>
    <t>4211402</t>
  </si>
  <si>
    <t>4212402</t>
  </si>
  <si>
    <t>4213402</t>
  </si>
  <si>
    <t>4214402</t>
  </si>
  <si>
    <t>4300602</t>
  </si>
  <si>
    <t>4306602</t>
  </si>
  <si>
    <t>4311702</t>
  </si>
  <si>
    <t>4322702</t>
  </si>
  <si>
    <t>4340702</t>
  </si>
  <si>
    <t>4350702</t>
  </si>
  <si>
    <t>4360702</t>
  </si>
  <si>
    <t>4370702</t>
  </si>
  <si>
    <t>4380702</t>
  </si>
  <si>
    <t>4390702</t>
  </si>
  <si>
    <t>4400702</t>
  </si>
  <si>
    <t>4410702</t>
  </si>
  <si>
    <t>5110502</t>
  </si>
  <si>
    <t>5113502</t>
  </si>
  <si>
    <t>5125602</t>
  </si>
  <si>
    <t>5126602</t>
  </si>
  <si>
    <t>5127602</t>
  </si>
  <si>
    <t>5129602</t>
  </si>
  <si>
    <t>5130602</t>
  </si>
  <si>
    <t>5131602</t>
  </si>
  <si>
    <t>5132602</t>
  </si>
  <si>
    <t>5133602</t>
  </si>
  <si>
    <t>5134602</t>
  </si>
  <si>
    <t>5135602</t>
  </si>
  <si>
    <t>5136602</t>
  </si>
  <si>
    <t>5137602</t>
  </si>
  <si>
    <t>5138602</t>
  </si>
  <si>
    <t>5140502</t>
  </si>
  <si>
    <t>5151702</t>
  </si>
  <si>
    <t>5152402</t>
  </si>
  <si>
    <t>5152502</t>
  </si>
  <si>
    <t>Internal Delivery Charge-Cleveland</t>
  </si>
  <si>
    <t>5152702</t>
  </si>
  <si>
    <t>5152902</t>
  </si>
  <si>
    <t>5155702</t>
  </si>
  <si>
    <t>5156702</t>
  </si>
  <si>
    <t>5157702</t>
  </si>
  <si>
    <t>5159702</t>
  </si>
  <si>
    <t>5175702</t>
  </si>
  <si>
    <t>5192401</t>
  </si>
  <si>
    <t>Internal Rental to Used</t>
  </si>
  <si>
    <t>5192402</t>
  </si>
  <si>
    <t>5192502</t>
  </si>
  <si>
    <t>Internal Rental to Cleveland</t>
  </si>
  <si>
    <t>5192702</t>
  </si>
  <si>
    <t>5200702</t>
  </si>
  <si>
    <t>5210402</t>
  </si>
  <si>
    <t>5211402</t>
  </si>
  <si>
    <t>5212402</t>
  </si>
  <si>
    <t>5213402</t>
  </si>
  <si>
    <t>5214402</t>
  </si>
  <si>
    <t>5220702</t>
  </si>
  <si>
    <t>5300602</t>
  </si>
  <si>
    <t>5306602</t>
  </si>
  <si>
    <t>5311702</t>
  </si>
  <si>
    <t>5322702</t>
  </si>
  <si>
    <t>5371902</t>
  </si>
  <si>
    <t>5400702</t>
  </si>
  <si>
    <t>5410402</t>
  </si>
  <si>
    <t>5940402</t>
  </si>
  <si>
    <t>5950201</t>
  </si>
  <si>
    <t>5950502</t>
  </si>
  <si>
    <t>P/L Make Ready Cleveland</t>
  </si>
  <si>
    <t>5951502</t>
  </si>
  <si>
    <t>5953502</t>
  </si>
  <si>
    <t>Sales Discount Cleveland</t>
  </si>
  <si>
    <t>5956502</t>
  </si>
  <si>
    <t>5960602</t>
  </si>
  <si>
    <t>5970702</t>
  </si>
  <si>
    <t>5980702</t>
  </si>
  <si>
    <t>5990902</t>
  </si>
  <si>
    <t>6010402</t>
  </si>
  <si>
    <t>6010502</t>
  </si>
  <si>
    <t>Supervisory Cleveland</t>
  </si>
  <si>
    <t>6010602</t>
  </si>
  <si>
    <t>6010702</t>
  </si>
  <si>
    <t>6010902</t>
  </si>
  <si>
    <t>6020502</t>
  </si>
  <si>
    <t>Salesmen Cleveland</t>
  </si>
  <si>
    <t>6020602</t>
  </si>
  <si>
    <t>6030702</t>
  </si>
  <si>
    <t>6050402</t>
  </si>
  <si>
    <t>6050502</t>
  </si>
  <si>
    <t>Support Salaries Cleveland</t>
  </si>
  <si>
    <t>6050602</t>
  </si>
  <si>
    <t>6050702</t>
  </si>
  <si>
    <t>6050902</t>
  </si>
  <si>
    <t>Commission Cleveland</t>
  </si>
  <si>
    <t>6061502</t>
  </si>
  <si>
    <t>6061702</t>
  </si>
  <si>
    <t>6061902</t>
  </si>
  <si>
    <t>6070402</t>
  </si>
  <si>
    <t>6070502</t>
  </si>
  <si>
    <t>Payroll Tax Cleveland</t>
  </si>
  <si>
    <t>6070602</t>
  </si>
  <si>
    <t>6070702</t>
  </si>
  <si>
    <t>6070902</t>
  </si>
  <si>
    <t>6100502</t>
  </si>
  <si>
    <t>Employee Expense 100% Cleveland</t>
  </si>
  <si>
    <t>6100602</t>
  </si>
  <si>
    <t>6100702</t>
  </si>
  <si>
    <t>6110502</t>
  </si>
  <si>
    <t>Employee Expense 50% Cleveland</t>
  </si>
  <si>
    <t>6110602</t>
  </si>
  <si>
    <t>6110702</t>
  </si>
  <si>
    <t>6210502</t>
  </si>
  <si>
    <t>6210602</t>
  </si>
  <si>
    <t>6210702</t>
  </si>
  <si>
    <t>6310402</t>
  </si>
  <si>
    <t>6310502</t>
  </si>
  <si>
    <t>Rent Cleveland</t>
  </si>
  <si>
    <t>6310602</t>
  </si>
  <si>
    <t>6310702</t>
  </si>
  <si>
    <t>6310902</t>
  </si>
  <si>
    <t>6410402</t>
  </si>
  <si>
    <t>6410502</t>
  </si>
  <si>
    <t>Office Supplies Cleveland</t>
  </si>
  <si>
    <t>6410602</t>
  </si>
  <si>
    <t>6410702</t>
  </si>
  <si>
    <t>6410902</t>
  </si>
  <si>
    <t>6420702</t>
  </si>
  <si>
    <t>6430402</t>
  </si>
  <si>
    <t>6430502</t>
  </si>
  <si>
    <t>Freight Cleveland</t>
  </si>
  <si>
    <t>6430602</t>
  </si>
  <si>
    <t>6430702</t>
  </si>
  <si>
    <t>6430902</t>
  </si>
  <si>
    <t>6440502</t>
  </si>
  <si>
    <t>Communication Cleveland</t>
  </si>
  <si>
    <t>6440602</t>
  </si>
  <si>
    <t>6440702</t>
  </si>
  <si>
    <t>6460502</t>
  </si>
  <si>
    <t>Dues and Subscriptions Cleveland</t>
  </si>
  <si>
    <t>6460602</t>
  </si>
  <si>
    <t>6460702</t>
  </si>
  <si>
    <t>6470402</t>
  </si>
  <si>
    <t>6470502</t>
  </si>
  <si>
    <t>Promotion Cleveland</t>
  </si>
  <si>
    <t>6470602</t>
  </si>
  <si>
    <t>6470702</t>
  </si>
  <si>
    <t>6470902</t>
  </si>
  <si>
    <t>6480502</t>
  </si>
  <si>
    <t>Training and Education Cleveland</t>
  </si>
  <si>
    <t>6480602</t>
  </si>
  <si>
    <t>6480702</t>
  </si>
  <si>
    <t>6490502</t>
  </si>
  <si>
    <t>Consulting Cleveland</t>
  </si>
  <si>
    <t>6490602</t>
  </si>
  <si>
    <t>6490702</t>
  </si>
  <si>
    <t>6530402</t>
  </si>
  <si>
    <t>6530502</t>
  </si>
  <si>
    <t>Employee Welfare Cleveland</t>
  </si>
  <si>
    <t>6530602</t>
  </si>
  <si>
    <t>6530702</t>
  </si>
  <si>
    <t>6530902</t>
  </si>
  <si>
    <t>6540402</t>
  </si>
  <si>
    <t>6540502</t>
  </si>
  <si>
    <t>401K Contribution Cleveland</t>
  </si>
  <si>
    <t>6540602</t>
  </si>
  <si>
    <t>6540702</t>
  </si>
  <si>
    <t>6540902</t>
  </si>
  <si>
    <t>6555502</t>
  </si>
  <si>
    <t>Outside Commission- Cleveland</t>
  </si>
  <si>
    <t>6733402</t>
  </si>
  <si>
    <t>6733502</t>
  </si>
  <si>
    <t>Insurance Cleveland</t>
  </si>
  <si>
    <t>6733602</t>
  </si>
  <si>
    <t>6733702</t>
  </si>
  <si>
    <t>6733902</t>
  </si>
  <si>
    <t>6740402</t>
  </si>
  <si>
    <t>6740502</t>
  </si>
  <si>
    <t>6740602</t>
  </si>
  <si>
    <t>6740702</t>
  </si>
  <si>
    <t>6740902</t>
  </si>
  <si>
    <t>6820602</t>
  </si>
  <si>
    <t>6820702</t>
  </si>
  <si>
    <t>6840702</t>
  </si>
  <si>
    <t>6850502</t>
  </si>
  <si>
    <t>6880502</t>
  </si>
  <si>
    <t>6880902</t>
  </si>
  <si>
    <t>6910402</t>
  </si>
  <si>
    <t>6910502</t>
  </si>
  <si>
    <t>6910602</t>
  </si>
  <si>
    <t>6910702</t>
  </si>
  <si>
    <t>6910902</t>
  </si>
  <si>
    <t>6920702</t>
  </si>
  <si>
    <t>6980402</t>
  </si>
  <si>
    <t>6980502</t>
  </si>
  <si>
    <t>6980602</t>
  </si>
  <si>
    <t>6980702</t>
  </si>
  <si>
    <t>6980902</t>
  </si>
  <si>
    <t>Assets</t>
  </si>
  <si>
    <t>4110503</t>
  </si>
  <si>
    <t>New Equipment Linde C H Steel</t>
  </si>
  <si>
    <t>Liabilities</t>
  </si>
  <si>
    <t>Profit and Loss</t>
  </si>
  <si>
    <t>Total Sales</t>
  </si>
  <si>
    <t>Account #</t>
  </si>
  <si>
    <t>Total Assets</t>
  </si>
  <si>
    <t>Cost of Sales</t>
  </si>
  <si>
    <t>Total Expenses</t>
  </si>
  <si>
    <t>Gross profit</t>
  </si>
  <si>
    <t>% of Sales</t>
  </si>
  <si>
    <t>Expenses</t>
  </si>
  <si>
    <t>Total Current Assets</t>
  </si>
  <si>
    <t>Total Checking</t>
  </si>
  <si>
    <t>Total Receivable</t>
  </si>
  <si>
    <t>Total Inventory</t>
  </si>
  <si>
    <t>Other Current Assets</t>
  </si>
  <si>
    <t>Total Other Assets</t>
  </si>
  <si>
    <t>Total Current Notes Payable</t>
  </si>
  <si>
    <t>Total Accounts Payable</t>
  </si>
  <si>
    <t>Accrued Government Tax</t>
  </si>
  <si>
    <t>Sales Tax Payable</t>
  </si>
  <si>
    <t>Total  Liabilities</t>
  </si>
  <si>
    <t>Total Current Liablities</t>
  </si>
  <si>
    <t>Total Equity</t>
  </si>
  <si>
    <t>Total Liability &amp; Equity</t>
  </si>
  <si>
    <t>Total Profit and Loss</t>
  </si>
  <si>
    <t>G &amp; A Department</t>
  </si>
  <si>
    <t>4114501</t>
  </si>
  <si>
    <t>Net Income</t>
  </si>
  <si>
    <t>Income After Allocation</t>
  </si>
  <si>
    <t>Make Ready</t>
  </si>
  <si>
    <t xml:space="preserve">Demo </t>
  </si>
  <si>
    <t>Sales Discount C H Solutions</t>
  </si>
  <si>
    <t>Internal Rental</t>
  </si>
  <si>
    <t>Internal Delivery</t>
  </si>
  <si>
    <t>Allied Lines</t>
  </si>
  <si>
    <t xml:space="preserve"> Freight</t>
  </si>
  <si>
    <t>Total Cost of Goods Sold</t>
  </si>
  <si>
    <t>Gross Profit</t>
  </si>
  <si>
    <t>New Equipment-Linde</t>
  </si>
  <si>
    <t>New Equipment-Combi</t>
  </si>
  <si>
    <t>Allied Lines Sale</t>
  </si>
  <si>
    <t>Total Revenue</t>
  </si>
  <si>
    <t>Revenue</t>
  </si>
  <si>
    <t>4306402</t>
  </si>
  <si>
    <t>4306502</t>
  </si>
  <si>
    <t>4306702</t>
  </si>
  <si>
    <t>4306902</t>
  </si>
  <si>
    <t>6061601</t>
  </si>
  <si>
    <t>6061602</t>
  </si>
  <si>
    <t>Installment Sales-Trucks</t>
  </si>
  <si>
    <t>P/L Installment Trucks</t>
  </si>
  <si>
    <t>New Equipment Linde</t>
  </si>
  <si>
    <t>New Equipment Combi</t>
  </si>
  <si>
    <t>Linde</t>
  </si>
  <si>
    <t>Combi</t>
  </si>
  <si>
    <t>Demo</t>
  </si>
  <si>
    <t>P/L Sales Discount</t>
  </si>
  <si>
    <t xml:space="preserve">Allied Lines </t>
  </si>
  <si>
    <t>Canton Sales Department</t>
  </si>
  <si>
    <t>Linde Parts Sales</t>
  </si>
  <si>
    <t>Combi Parts Sales</t>
  </si>
  <si>
    <t>Tire Sales</t>
  </si>
  <si>
    <t>Parts Sales Other</t>
  </si>
  <si>
    <t>Sales-Service Parts Customers</t>
  </si>
  <si>
    <t>Internal Parts Sales-Serv</t>
  </si>
  <si>
    <t>Parts Sales to  Used</t>
  </si>
  <si>
    <t>Parts Sales to  Sales</t>
  </si>
  <si>
    <t>Parts Sales to  Service</t>
  </si>
  <si>
    <t>Linde Parts</t>
  </si>
  <si>
    <t>Combi Parts</t>
  </si>
  <si>
    <t>Parts Other</t>
  </si>
  <si>
    <t>Labor</t>
  </si>
  <si>
    <t>Depreciation Office</t>
  </si>
  <si>
    <t>Industrial Parts and Service Company</t>
  </si>
  <si>
    <t>Industrial Parts and Service</t>
  </si>
  <si>
    <t>Canton Sales Department Financial</t>
  </si>
  <si>
    <t>Canton Parts Department Financial</t>
  </si>
  <si>
    <t>C H Steel Solutions Financial</t>
  </si>
  <si>
    <t>Canton Service Departmant Financial</t>
  </si>
  <si>
    <t>Road Labor</t>
  </si>
  <si>
    <t>Shop Quote Variance</t>
  </si>
  <si>
    <t>Road Labor Variance</t>
  </si>
  <si>
    <t xml:space="preserve">Warranty Income </t>
  </si>
  <si>
    <t>Local Warranty Used</t>
  </si>
  <si>
    <t>Nonbillable Road Labor</t>
  </si>
  <si>
    <t>Nonbillable Shop Labor</t>
  </si>
  <si>
    <t>Labor-Used</t>
  </si>
  <si>
    <t>Labor-New</t>
  </si>
  <si>
    <t>Labor-Parts</t>
  </si>
  <si>
    <t>Labor-Service</t>
  </si>
  <si>
    <t>Labor-Rental</t>
  </si>
  <si>
    <t>Labor B &amp; G</t>
  </si>
  <si>
    <t>CGS-Material</t>
  </si>
  <si>
    <t>CGS -Customer Labor</t>
  </si>
  <si>
    <t>CGS - Internal Labor</t>
  </si>
  <si>
    <t>CGS Internal Rental to Service</t>
  </si>
  <si>
    <t>Nonbillable Field Labor</t>
  </si>
  <si>
    <t>Service to Service</t>
  </si>
  <si>
    <t>Building and Grounds</t>
  </si>
  <si>
    <t>Uniform Rental</t>
  </si>
  <si>
    <t>Canton Used Department Financial</t>
  </si>
  <si>
    <t>Rental Income</t>
  </si>
  <si>
    <t>Internal Rental Income</t>
  </si>
  <si>
    <t>Interest Expense Rental</t>
  </si>
  <si>
    <t>Depreciation Rental Fleet</t>
  </si>
  <si>
    <t>Freight Expense Rental</t>
  </si>
  <si>
    <t>Supervisory</t>
  </si>
  <si>
    <t>Support Salaries</t>
  </si>
  <si>
    <t>Commission</t>
  </si>
  <si>
    <t>Payroll Taxes</t>
  </si>
  <si>
    <t>Rent</t>
  </si>
  <si>
    <t>Office Supplies</t>
  </si>
  <si>
    <t>Product Promotion</t>
  </si>
  <si>
    <t>Insurance</t>
  </si>
  <si>
    <t>Misc</t>
  </si>
  <si>
    <t>Canton Rental Department Financial</t>
  </si>
  <si>
    <t>Used Truck Sales-Linde</t>
  </si>
  <si>
    <t>Used Truck Sales-Combi</t>
  </si>
  <si>
    <t>Used Truck Sales-Other</t>
  </si>
  <si>
    <t>Used-Wholesale</t>
  </si>
  <si>
    <t>Rental Truck Sales</t>
  </si>
  <si>
    <t>Used Linde</t>
  </si>
  <si>
    <t>Used Combi</t>
  </si>
  <si>
    <t>Used Other</t>
  </si>
  <si>
    <t>Rental Equipment</t>
  </si>
  <si>
    <t>P/L Used Dept</t>
  </si>
  <si>
    <t>Internal Delivery-Used</t>
  </si>
  <si>
    <t>Int Local Warranty</t>
  </si>
  <si>
    <t>Freight Expense Used</t>
  </si>
  <si>
    <t>Interest</t>
  </si>
  <si>
    <t>Misc. Income</t>
  </si>
  <si>
    <t>Cash Discount Earned</t>
  </si>
  <si>
    <t>Gain Or Loss On Sales Of Fixed Assets</t>
  </si>
  <si>
    <t xml:space="preserve">Vehicle Repair &amp; Maint. </t>
  </si>
  <si>
    <t xml:space="preserve">Legal &amp; Accounting </t>
  </si>
  <si>
    <t xml:space="preserve">Bad Debt Expense </t>
  </si>
  <si>
    <t xml:space="preserve">Contributions </t>
  </si>
  <si>
    <t>Life Insurance</t>
  </si>
  <si>
    <t xml:space="preserve">Personal Property Tax </t>
  </si>
  <si>
    <t xml:space="preserve">Interest Exp </t>
  </si>
  <si>
    <t xml:space="preserve">Depr Office F &amp; E </t>
  </si>
  <si>
    <t>Depr Building</t>
  </si>
  <si>
    <t>Amortitzaton Leasehold</t>
  </si>
  <si>
    <t xml:space="preserve">Other Taxes </t>
  </si>
  <si>
    <t>Allocation formula</t>
  </si>
  <si>
    <t>admin</t>
  </si>
  <si>
    <t>Alside</t>
  </si>
  <si>
    <t>sales</t>
  </si>
  <si>
    <t>parts</t>
  </si>
  <si>
    <t>service</t>
  </si>
  <si>
    <t>rental</t>
  </si>
  <si>
    <t>used</t>
  </si>
  <si>
    <t>Salesmen Salaries</t>
  </si>
  <si>
    <t>Commissions</t>
  </si>
  <si>
    <t>Employee Welfare</t>
  </si>
  <si>
    <t>401K Contribution</t>
  </si>
  <si>
    <t>Employee Exp 100%</t>
  </si>
  <si>
    <t>Employee Exp 50%</t>
  </si>
  <si>
    <t>Communication</t>
  </si>
  <si>
    <t>Legal &amp; Audit</t>
  </si>
  <si>
    <t>Training &amp; Education</t>
  </si>
  <si>
    <t>Consulting Expense</t>
  </si>
  <si>
    <t>Outside Commission</t>
  </si>
  <si>
    <t>Personal Property Tax</t>
  </si>
  <si>
    <t>Depreciation F &amp; E</t>
  </si>
  <si>
    <t>Amortization Leashold</t>
  </si>
  <si>
    <t>Miscellaneous</t>
  </si>
  <si>
    <t>Other Taxes</t>
  </si>
  <si>
    <t>Parts Department</t>
  </si>
  <si>
    <t>Service Department</t>
  </si>
  <si>
    <t>Rental Department</t>
  </si>
  <si>
    <t>Used Department</t>
  </si>
  <si>
    <t>New Alside Sale I F</t>
  </si>
  <si>
    <t>New Alside Sale C H Steel</t>
  </si>
  <si>
    <t>Parts Sales to Alside</t>
  </si>
  <si>
    <t>Internal Rental to Alside</t>
  </si>
  <si>
    <t>Accum Depr Alside Trucks</t>
  </si>
  <si>
    <t>Depreciation Alside Fleet</t>
  </si>
  <si>
    <t>Sales discpont  IF</t>
  </si>
  <si>
    <t>Shop Parts -Other</t>
  </si>
  <si>
    <t>CGS-Service Training</t>
  </si>
  <si>
    <t>Consolidated Income Statement</t>
  </si>
  <si>
    <t>4306503</t>
  </si>
  <si>
    <t>5956401</t>
  </si>
  <si>
    <t>CGS Used Truck Demo</t>
  </si>
  <si>
    <t>CGS Used Demo</t>
  </si>
  <si>
    <t>1250201</t>
  </si>
  <si>
    <t>2051001</t>
  </si>
  <si>
    <t>4215401</t>
  </si>
  <si>
    <t>5215401</t>
  </si>
  <si>
    <t>Accounts Payable Credit Card</t>
  </si>
  <si>
    <t>2080032</t>
  </si>
  <si>
    <t>Sales Tax Payable - Idaho</t>
  </si>
  <si>
    <t>2080033</t>
  </si>
  <si>
    <t>Sales Tax Payable - New Mexico</t>
  </si>
  <si>
    <t>2080034</t>
  </si>
  <si>
    <t>Sales Tax Payable - South Dakota</t>
  </si>
  <si>
    <t>CGS - Warranty</t>
  </si>
  <si>
    <t>CGS - Warranty Cleveland</t>
  </si>
  <si>
    <t>Account Name</t>
  </si>
  <si>
    <t>Begin Balance</t>
  </si>
  <si>
    <t>Period Debits</t>
  </si>
  <si>
    <t>Period Credits</t>
  </si>
  <si>
    <t xml:space="preserve">Net Change </t>
  </si>
  <si>
    <t>Ending Balance</t>
  </si>
  <si>
    <t>Final Total</t>
  </si>
  <si>
    <t>Profit</t>
  </si>
  <si>
    <t>AccountField</t>
  </si>
  <si>
    <t>Actual</t>
  </si>
  <si>
    <t>What Month?</t>
  </si>
  <si>
    <t xml:space="preserve">What Year? </t>
  </si>
  <si>
    <t>2041901</t>
  </si>
  <si>
    <t>Paycheck Protection-Credit Line</t>
  </si>
  <si>
    <t>Total Cost Of Sales</t>
  </si>
  <si>
    <t>Cost Of Sales</t>
  </si>
  <si>
    <t>Total GP</t>
  </si>
  <si>
    <t>CH Steel</t>
  </si>
  <si>
    <t>Admin Department Financial</t>
  </si>
  <si>
    <t>2080035</t>
  </si>
  <si>
    <t>Sales Tax Payable - Wisconsin</t>
  </si>
  <si>
    <t>2076002</t>
  </si>
  <si>
    <t>Accrued SUTA Florida</t>
  </si>
  <si>
    <t>Accrued SUTA - Ohio</t>
  </si>
  <si>
    <t>Accrued SUTA - Florida</t>
  </si>
  <si>
    <t>Consolidated Expense Statement</t>
  </si>
  <si>
    <t>Consolidated Detail P and L</t>
  </si>
  <si>
    <t>Industrial Parts + Service Company</t>
  </si>
  <si>
    <t>2080036</t>
  </si>
  <si>
    <t>Sales Tax Payable - Louisiana</t>
  </si>
  <si>
    <t>1015001</t>
  </si>
  <si>
    <t>Accounts Receivable-Promler Properties</t>
  </si>
  <si>
    <t>1016001</t>
  </si>
  <si>
    <t>Accounts Receivable-Ed Jr</t>
  </si>
  <si>
    <t>1017001</t>
  </si>
  <si>
    <t>Accounts Receivable-Mark</t>
  </si>
  <si>
    <t>Trial Balance</t>
  </si>
  <si>
    <t>P/L Make Ready - Alside</t>
  </si>
  <si>
    <t>1120501</t>
  </si>
  <si>
    <t>3920001</t>
  </si>
  <si>
    <t>3930001</t>
  </si>
  <si>
    <t>Dividend - Mark M</t>
  </si>
  <si>
    <t>2082001</t>
  </si>
  <si>
    <t>Accrued Income Tax</t>
  </si>
  <si>
    <t>2080037</t>
  </si>
  <si>
    <t>Sales Tax Payable - Wyoming</t>
  </si>
  <si>
    <t>5950401</t>
  </si>
  <si>
    <t>Sales Tax Payable -Wyoming</t>
  </si>
  <si>
    <t>Service Vehicles</t>
  </si>
  <si>
    <t>4115501</t>
  </si>
  <si>
    <t>New Equipment Other Canton</t>
  </si>
  <si>
    <t>5115501</t>
  </si>
  <si>
    <t>New Equip Other</t>
  </si>
  <si>
    <t>GCS Demo</t>
  </si>
  <si>
    <t>Internal Labor-Service</t>
  </si>
  <si>
    <t>Sales Tax Payable - Minnesota</t>
  </si>
  <si>
    <t>P/L Alside Trucks</t>
  </si>
  <si>
    <t>P/L Alside Trucks C H Steel</t>
  </si>
  <si>
    <t>Outside Commissions - Alside</t>
  </si>
  <si>
    <t>Parts Sales to Alside Lease</t>
  </si>
  <si>
    <t>4320701</t>
  </si>
  <si>
    <t>2030302</t>
  </si>
  <si>
    <t>Note Payable Mark Mauser - Long-Term</t>
  </si>
  <si>
    <t>2042102</t>
  </si>
  <si>
    <t>Note Payable Mark Mauser - Current</t>
  </si>
  <si>
    <t>3911002</t>
  </si>
  <si>
    <t>Treasury Stock</t>
  </si>
  <si>
    <t>Note Payable Mark Mauser - Long Term</t>
  </si>
  <si>
    <t>Accrued Commission</t>
  </si>
  <si>
    <t>Accrued Interest</t>
  </si>
  <si>
    <t>2091000</t>
  </si>
  <si>
    <t>Accrued Rent Payable</t>
  </si>
  <si>
    <t>Commission-Allied</t>
  </si>
  <si>
    <t>4111401</t>
  </si>
  <si>
    <t>Commission-Used Equipment</t>
  </si>
  <si>
    <t>4111403</t>
  </si>
  <si>
    <t>4112203</t>
  </si>
  <si>
    <t>4112001</t>
  </si>
  <si>
    <t>2080038</t>
  </si>
  <si>
    <t>Sales Tax Payable - North Dakota</t>
  </si>
  <si>
    <t>6930001</t>
  </si>
  <si>
    <t>Internal Orders</t>
  </si>
  <si>
    <t>Commission - Used Equipment</t>
  </si>
  <si>
    <t>Commission - Allied</t>
  </si>
  <si>
    <t>Commission-Used</t>
  </si>
  <si>
    <t>6111401</t>
  </si>
  <si>
    <t>Accrued Commission Used</t>
  </si>
  <si>
    <t>6111403</t>
  </si>
  <si>
    <t>6111501</t>
  </si>
  <si>
    <t>Accrued Commission New</t>
  </si>
  <si>
    <t>6111503</t>
  </si>
  <si>
    <t>6112001</t>
  </si>
  <si>
    <t>Accrued Commission Allied</t>
  </si>
  <si>
    <t>6112203</t>
  </si>
  <si>
    <t>Accrued Commission Used-CH</t>
  </si>
  <si>
    <t>Accrued Commission New-CH</t>
  </si>
  <si>
    <t>Accrued Commission Allied-CH</t>
  </si>
  <si>
    <t>Accrued Commission Allied-Canton</t>
  </si>
  <si>
    <t>Accrued Commission New-Canton</t>
  </si>
  <si>
    <t>Accrued Commission Used-Canton</t>
  </si>
  <si>
    <t>New Equip Linde</t>
  </si>
  <si>
    <t>AMI Lease Fleet</t>
  </si>
  <si>
    <t>AMI Lease Sales</t>
  </si>
  <si>
    <t>P/L IPSCO Lease</t>
  </si>
  <si>
    <t>Depreciation Parts Equipment</t>
  </si>
  <si>
    <t>Depreciation Service Equipment</t>
  </si>
  <si>
    <t>Accum Depr RTO Fleet</t>
  </si>
  <si>
    <t>Depreciation Demo Fleet</t>
  </si>
  <si>
    <t>Accum Depr AMI Lease</t>
  </si>
  <si>
    <t>Depreciation IPSCO Lease</t>
  </si>
  <si>
    <t>6911802</t>
  </si>
  <si>
    <t>Income Tax Expense</t>
  </si>
  <si>
    <t>Sales Tax Payable -North Dakota</t>
  </si>
  <si>
    <t>Officer Compensation</t>
  </si>
  <si>
    <t>P M -Linde Parts</t>
  </si>
  <si>
    <t>P M - Other Parts</t>
  </si>
  <si>
    <t>Customer P M- Labor</t>
  </si>
  <si>
    <t>Customer P M Labor</t>
  </si>
  <si>
    <t>CGS-Customer P M Labor</t>
  </si>
  <si>
    <t>P M -Combi Parts</t>
  </si>
  <si>
    <t xml:space="preserve">Road Parts-Linde </t>
  </si>
  <si>
    <t>P M -Other Parts</t>
  </si>
  <si>
    <t>AMI Used Equipment Inventory</t>
  </si>
  <si>
    <t>Used - AMI Return</t>
  </si>
  <si>
    <t>IPS Lease Fleet</t>
  </si>
  <si>
    <t>Accum.Depr.-AMI Lease Fleet</t>
  </si>
  <si>
    <t>Accum.Depr.-IPS Lease Fleet</t>
  </si>
  <si>
    <t>Accrued City Withholding</t>
  </si>
  <si>
    <t>AMI Financial</t>
  </si>
  <si>
    <t>AMI Used Equipment Sale</t>
  </si>
  <si>
    <t>AMI Used Equipment</t>
  </si>
  <si>
    <t>AMI Used Equipment-Prep</t>
  </si>
  <si>
    <t>AMI Sales Department</t>
  </si>
  <si>
    <t>CH Steel Sales Department</t>
  </si>
  <si>
    <t>P/L Installment Trucks C H Steel</t>
  </si>
  <si>
    <t>AMI Freight Income</t>
  </si>
  <si>
    <t>IPSCO Lease Billing</t>
  </si>
  <si>
    <t>Freight- AMI</t>
  </si>
  <si>
    <t>Freight- Used</t>
  </si>
  <si>
    <t>Freight-Canton</t>
  </si>
  <si>
    <t>Freight- CH Steel</t>
  </si>
  <si>
    <t>Freight- Parts</t>
  </si>
  <si>
    <t>Freight- Service</t>
  </si>
  <si>
    <t>Freight- Rental</t>
  </si>
  <si>
    <t>Internal Labor - AMI Lease</t>
  </si>
  <si>
    <t>Freight- Cleveland</t>
  </si>
  <si>
    <t>Freight- Canton</t>
  </si>
  <si>
    <t>Internal Labor-AMI Lease Prep</t>
  </si>
  <si>
    <t>CGS-Customer Shop</t>
  </si>
  <si>
    <t>Internal Labor</t>
  </si>
  <si>
    <t>Internal Pickup / Delivery</t>
  </si>
  <si>
    <t>SVC Parts - Freight Recovery</t>
  </si>
  <si>
    <t>Customer Pickup / Delivery</t>
  </si>
  <si>
    <t>Sept</t>
  </si>
  <si>
    <t>6880001</t>
  </si>
  <si>
    <t>Accrued State Withholding</t>
  </si>
  <si>
    <t>1217000</t>
  </si>
  <si>
    <t>Finance Lease-6400 Promler</t>
  </si>
  <si>
    <t>1218000</t>
  </si>
  <si>
    <t>Finance Lease-6420 Promler</t>
  </si>
  <si>
    <t>1219000</t>
  </si>
  <si>
    <t>Finance Lease-6440 Promler</t>
  </si>
  <si>
    <t>1561001</t>
  </si>
  <si>
    <t>A/D-Finance Lease</t>
  </si>
  <si>
    <t>2020000</t>
  </si>
  <si>
    <t>Deferred Income Tax Liability</t>
  </si>
  <si>
    <t>2030300</t>
  </si>
  <si>
    <t>L/T Lease Liability-6400 Promler</t>
  </si>
  <si>
    <t>2030304</t>
  </si>
  <si>
    <t>L/T Lease Liability-6420 Promler</t>
  </si>
  <si>
    <t>2030305</t>
  </si>
  <si>
    <t>L/T Lease Liability-6440 Promler</t>
  </si>
  <si>
    <t>2042200</t>
  </si>
  <si>
    <t>S/T Lease Liability-6420 Promler</t>
  </si>
  <si>
    <t>2042202</t>
  </si>
  <si>
    <t>S/T Lease Liability-6400 Promler</t>
  </si>
  <si>
    <t>2042204</t>
  </si>
  <si>
    <t>S/T Lease Liability-6440 Promler</t>
  </si>
  <si>
    <t>2093001</t>
  </si>
  <si>
    <t>Accrued CAT Tax</t>
  </si>
  <si>
    <t>Depreciation -Finance Leases</t>
  </si>
  <si>
    <t>6990000</t>
  </si>
  <si>
    <t>Deferred Income Tax Expense</t>
  </si>
  <si>
    <t>1240501</t>
  </si>
  <si>
    <t>Demo Fleet</t>
  </si>
  <si>
    <t>1540501</t>
  </si>
  <si>
    <t>Accum.Depr.-Demo Fleet</t>
  </si>
  <si>
    <t>4115401</t>
  </si>
  <si>
    <t>Demo Equipment Linde Canton</t>
  </si>
  <si>
    <t>5115401</t>
  </si>
  <si>
    <t>Demo Equip Linde</t>
  </si>
  <si>
    <t>6430101</t>
  </si>
  <si>
    <t>Freight- Demo</t>
  </si>
  <si>
    <t>Commission Payout - Parts</t>
  </si>
  <si>
    <t>Freight - Demo</t>
  </si>
  <si>
    <t>Freight - Sales</t>
  </si>
  <si>
    <t>2080039</t>
  </si>
  <si>
    <t>Sales Tax Payable - South Carolina</t>
  </si>
  <si>
    <t>2077301</t>
  </si>
  <si>
    <t>Accrued Payroll Taxes</t>
  </si>
  <si>
    <t>4110504</t>
  </si>
  <si>
    <t>4113504</t>
  </si>
  <si>
    <t>4111404</t>
  </si>
  <si>
    <t>4111504</t>
  </si>
  <si>
    <t>4112204</t>
  </si>
  <si>
    <t>4140504</t>
  </si>
  <si>
    <t>4112504</t>
  </si>
  <si>
    <t>4306504</t>
  </si>
  <si>
    <t>5110504</t>
  </si>
  <si>
    <t>5113504</t>
  </si>
  <si>
    <t>5950504</t>
  </si>
  <si>
    <t>5956504</t>
  </si>
  <si>
    <t>5951504</t>
  </si>
  <si>
    <t>5953504</t>
  </si>
  <si>
    <t>5192504</t>
  </si>
  <si>
    <t>5152504</t>
  </si>
  <si>
    <t>5140504</t>
  </si>
  <si>
    <t>6430504</t>
  </si>
  <si>
    <t>6010504</t>
  </si>
  <si>
    <t>6020504</t>
  </si>
  <si>
    <t>6050504</t>
  </si>
  <si>
    <t>6061004</t>
  </si>
  <si>
    <t>6111404</t>
  </si>
  <si>
    <t>6111504</t>
  </si>
  <si>
    <t>6112204</t>
  </si>
  <si>
    <t>6070504</t>
  </si>
  <si>
    <t>6530504</t>
  </si>
  <si>
    <t>6540504</t>
  </si>
  <si>
    <t>6100504</t>
  </si>
  <si>
    <t>6110504</t>
  </si>
  <si>
    <t>6210504</t>
  </si>
  <si>
    <t>6310504</t>
  </si>
  <si>
    <t>6410504</t>
  </si>
  <si>
    <t>6440504</t>
  </si>
  <si>
    <t>6460504</t>
  </si>
  <si>
    <t>6470504</t>
  </si>
  <si>
    <t>6480504</t>
  </si>
  <si>
    <t>6490504</t>
  </si>
  <si>
    <t>6555504</t>
  </si>
  <si>
    <t>6733504</t>
  </si>
  <si>
    <t>6740504</t>
  </si>
  <si>
    <t>6910504</t>
  </si>
  <si>
    <t>6980504</t>
  </si>
  <si>
    <t>New Equipment Linde DSS</t>
  </si>
  <si>
    <t>Commission-Used Equipment DSS</t>
  </si>
  <si>
    <t>Commission-New Equipment DSS</t>
  </si>
  <si>
    <t>Commission-Allied DSS</t>
  </si>
  <si>
    <t>Freight Income DSS</t>
  </si>
  <si>
    <t>New Equipment Combi DSS</t>
  </si>
  <si>
    <t>Parts Sale to CH Steel</t>
  </si>
  <si>
    <t>Parts Sale to DSS</t>
  </si>
  <si>
    <t>New Equip Linde DSS</t>
  </si>
  <si>
    <t>Allied Line DSS</t>
  </si>
  <si>
    <t>Internal Delivery Charge-DSS</t>
  </si>
  <si>
    <t>Internal Rental to DSS</t>
  </si>
  <si>
    <t>P/L Make Ready DSS</t>
  </si>
  <si>
    <t>P/L Installment Trucks DSS</t>
  </si>
  <si>
    <t>Sales Discount DSS</t>
  </si>
  <si>
    <t>Supervisory DSS</t>
  </si>
  <si>
    <t>Salesman Salaries- C H Steel</t>
  </si>
  <si>
    <t>Salesman Salaries - DSS</t>
  </si>
  <si>
    <t>Support Salaries DSS</t>
  </si>
  <si>
    <t>Commission DSS</t>
  </si>
  <si>
    <t>Payroll Tax DSS</t>
  </si>
  <si>
    <t>Employee Expense 100% DSS</t>
  </si>
  <si>
    <t>Employee Expense 50% DSS</t>
  </si>
  <si>
    <t>Accrued Commission Used DSS</t>
  </si>
  <si>
    <t>Accrued Commission New DSS</t>
  </si>
  <si>
    <t>Accrued Commission Allied DSS</t>
  </si>
  <si>
    <t>Vehicle Expense DSS</t>
  </si>
  <si>
    <t>Rent DSS</t>
  </si>
  <si>
    <t>Office Supplies DSS</t>
  </si>
  <si>
    <t>Freight- DSS</t>
  </si>
  <si>
    <t>Communication DSS</t>
  </si>
  <si>
    <t>Dues and Subscriptions DSS</t>
  </si>
  <si>
    <t>Promotion DSS</t>
  </si>
  <si>
    <t>Training and Education DSS</t>
  </si>
  <si>
    <t>Consulting DSS</t>
  </si>
  <si>
    <t>Employee Welfare DSS</t>
  </si>
  <si>
    <t>401K Contribution DSS</t>
  </si>
  <si>
    <t>Outside Commission DSS</t>
  </si>
  <si>
    <t>Insurance DSS</t>
  </si>
  <si>
    <t>Interest Expense DSS</t>
  </si>
  <si>
    <t>G &amp; A Allocation - DSS</t>
  </si>
  <si>
    <t>Allied Lines DSS</t>
  </si>
  <si>
    <t>Internal Labor - Alside Lease</t>
  </si>
  <si>
    <t>Officer Advance</t>
  </si>
  <si>
    <t>4181811</t>
  </si>
  <si>
    <t>Officer Revenue</t>
  </si>
  <si>
    <t>Dynamic Storage Solutions Financial</t>
  </si>
  <si>
    <t>Commission-New Equipment CH Steel</t>
  </si>
  <si>
    <t>CGS Demo DSS</t>
  </si>
  <si>
    <t>CGS Demo CH Steel</t>
  </si>
  <si>
    <t>Accrued Commission Used-DSS</t>
  </si>
  <si>
    <t>Accrued Commission New-DSS</t>
  </si>
  <si>
    <t>Accrued Commission Allied-DSS</t>
  </si>
  <si>
    <t>Dynamic Storage Solutions</t>
  </si>
  <si>
    <t>4111402</t>
  </si>
  <si>
    <t>4112002</t>
  </si>
  <si>
    <t>4115402</t>
  </si>
  <si>
    <t>Demo Equipment Linde Cleveland</t>
  </si>
  <si>
    <t>4115502</t>
  </si>
  <si>
    <t>New Equipment Other Cleveland</t>
  </si>
  <si>
    <t>5115402</t>
  </si>
  <si>
    <t>Demo Equip Linde Cleveland</t>
  </si>
  <si>
    <t>5115502</t>
  </si>
  <si>
    <t>5956402</t>
  </si>
  <si>
    <t>6061002</t>
  </si>
  <si>
    <t>6111402</t>
  </si>
  <si>
    <t>6111502</t>
  </si>
  <si>
    <t>6112002</t>
  </si>
  <si>
    <t>6320802</t>
  </si>
  <si>
    <t>Utilities-Cleveland</t>
  </si>
  <si>
    <t>6330802</t>
  </si>
  <si>
    <t>Building Maintenance - Cleveland</t>
  </si>
  <si>
    <t>6430102</t>
  </si>
  <si>
    <t>6930002</t>
  </si>
  <si>
    <t>Cleveland Sales Department</t>
  </si>
  <si>
    <t>Cleveland Parts Department</t>
  </si>
  <si>
    <t>Cleveland Service Department</t>
  </si>
  <si>
    <t>Cleveland Rental Department</t>
  </si>
  <si>
    <t>Cleveland Used Department</t>
  </si>
  <si>
    <t>ClevelandService Department</t>
  </si>
  <si>
    <t>Utilities Cleveland</t>
  </si>
  <si>
    <t>Removal of…</t>
  </si>
  <si>
    <t>AMI, DSS, CH, CLE</t>
  </si>
  <si>
    <t>Consolidated Income Statement - All Branch</t>
  </si>
  <si>
    <t>All but CLE</t>
  </si>
  <si>
    <t>Building Maintenance - Cle</t>
  </si>
  <si>
    <t>Accrued Commission Allied-Cleveland</t>
  </si>
  <si>
    <t>Accrued Commission New-Cleveland</t>
  </si>
  <si>
    <t>Accrued Commission Used-Cleveland</t>
  </si>
  <si>
    <t>2080040</t>
  </si>
  <si>
    <t>Sales Tax Payable - Montana</t>
  </si>
  <si>
    <t>Internal Labor - Cleveland</t>
  </si>
  <si>
    <t>Internal Labor Cleveland</t>
  </si>
  <si>
    <t>2093101</t>
  </si>
  <si>
    <t>Accrued State Inc/Franchise Taxes</t>
  </si>
  <si>
    <t>Depr - Finance AMI Leases</t>
  </si>
  <si>
    <t>Accrued State Income/Franchise Tax</t>
  </si>
  <si>
    <t>Depreciation Finance AMI Lease</t>
  </si>
  <si>
    <t>Depreciation Finance AMI Leases</t>
  </si>
  <si>
    <t>Support Salaries G &amp; A - Canton</t>
  </si>
  <si>
    <t>Support Salaries Service - Cleveland</t>
  </si>
  <si>
    <t>Support Salaries Service - Canton</t>
  </si>
  <si>
    <t>Support Salaries Parts - Cleveland</t>
  </si>
  <si>
    <t>Support Salaries Parts - Canton</t>
  </si>
  <si>
    <t>Support Salaries Sales - Cleveland</t>
  </si>
  <si>
    <t>Support Salaries Sales - Canton</t>
  </si>
  <si>
    <t>Support Salaries Sales - C H Steel</t>
  </si>
  <si>
    <t>Support Salaries Sales - DSS</t>
  </si>
  <si>
    <t>Support Salaries Used - Cleveland</t>
  </si>
  <si>
    <t>Support Salaries Used - Canton</t>
  </si>
  <si>
    <t>Support Salaries - AMI</t>
  </si>
  <si>
    <t>Salesmen Salaries Parts - Cleveland</t>
  </si>
  <si>
    <t>Salesmen Salaries Parts - Canton</t>
  </si>
  <si>
    <t>Salesmen Salaries - DSS</t>
  </si>
  <si>
    <t>Salesmen Salaries - C H Steel</t>
  </si>
  <si>
    <t>Salesmen Salaries - Cleveland</t>
  </si>
  <si>
    <t>Salesmen Salaries - Canton</t>
  </si>
  <si>
    <t>Salesman Salaries - AMI</t>
  </si>
  <si>
    <t>Supervisory Salaries - AMI</t>
  </si>
  <si>
    <t>Supervisory Salaries Used - Canton</t>
  </si>
  <si>
    <t>Supervisory Salaries Used - Cleveland</t>
  </si>
  <si>
    <t>Supervisory Salaries Sales - Canton</t>
  </si>
  <si>
    <t>Supervisory Salaries Sales - Cleveland</t>
  </si>
  <si>
    <t>Supervisory Salaries - C H Steel</t>
  </si>
  <si>
    <t>Supervisory Salaries - DSS</t>
  </si>
  <si>
    <t>Supervisory Salaries Parts - Canton</t>
  </si>
  <si>
    <t>Supervisory Salaries Parts - Cleveland</t>
  </si>
  <si>
    <t>Supervisory Salaries Service - Canton</t>
  </si>
  <si>
    <t>Supervisory Salaries Service - Cleveland</t>
  </si>
  <si>
    <t>Supervisory Salaries G &amp; A - Canton</t>
  </si>
  <si>
    <t>Supervisory Salaries Rental - Canton</t>
  </si>
  <si>
    <t>Supervisory Salaries Rental - Cleveland</t>
  </si>
  <si>
    <t>Support Salaries Rental - Canton</t>
  </si>
  <si>
    <t>Support Salaries Rental - Cleveland</t>
  </si>
  <si>
    <t>Commission - Canton</t>
  </si>
  <si>
    <t>Commission - Cleveland</t>
  </si>
  <si>
    <t>Commission - C H Steel</t>
  </si>
  <si>
    <t>Commission - DSS</t>
  </si>
  <si>
    <t>Commission - AMI</t>
  </si>
  <si>
    <t>Commission Used - Canton</t>
  </si>
  <si>
    <t>Commission Used - Cleveland</t>
  </si>
  <si>
    <t>Commission Parts - Canton</t>
  </si>
  <si>
    <t>Commission Parts - Cleveland</t>
  </si>
  <si>
    <t>Commission Service - Canton</t>
  </si>
  <si>
    <t>Commission Rental - Canton</t>
  </si>
  <si>
    <t>Commission Service - Cleveland</t>
  </si>
  <si>
    <t>Commission Rental - Cleveland</t>
  </si>
  <si>
    <t>Payroll Taxes - AMI</t>
  </si>
  <si>
    <t>Payroll Tax Used - Canton</t>
  </si>
  <si>
    <t>Payroll Tax Used -Cleveland</t>
  </si>
  <si>
    <t>Payroll Tax Sales - Canton</t>
  </si>
  <si>
    <t>Payroll Tax Sales - Cleveland</t>
  </si>
  <si>
    <t>Payroll Tax - C H Steel</t>
  </si>
  <si>
    <t>Payroll Tax - DSS</t>
  </si>
  <si>
    <t>Payroll Tax Parts - Canton</t>
  </si>
  <si>
    <t>Payroll Tax Parts - Cleveland</t>
  </si>
  <si>
    <t>Payroll Tax Service - Canton</t>
  </si>
  <si>
    <t>Payroll Tax Service - Cleveland</t>
  </si>
  <si>
    <t>Payroll Tax G &amp; A - Canton</t>
  </si>
  <si>
    <t>Payroll Tax Rental - Canton</t>
  </si>
  <si>
    <t>Payroll Tax Rental - Cleveland</t>
  </si>
  <si>
    <t>Employee Exp-100%  - AMI</t>
  </si>
  <si>
    <t>Employee Expense 100% - Canton</t>
  </si>
  <si>
    <t>Employee Expense 100% - Cleveland</t>
  </si>
  <si>
    <t>Employee Expense 100% - C H Steel</t>
  </si>
  <si>
    <t>Employee Expense 100% - DSS</t>
  </si>
  <si>
    <t>Employee Expense 100% Parts - Canton</t>
  </si>
  <si>
    <t>Employee Expense 100% Parts - Cleveland</t>
  </si>
  <si>
    <t>Employee Expense 100% Service - Canton</t>
  </si>
  <si>
    <t>Employee Expense 100% Service - Cleveland</t>
  </si>
  <si>
    <t>Employee Expense 100% G &amp; A - Canton</t>
  </si>
  <si>
    <t>Employee Exp-50% - AMI</t>
  </si>
  <si>
    <t>Employee Expense 50% - Canton</t>
  </si>
  <si>
    <t>Employee Expense 50% - Cleveland</t>
  </si>
  <si>
    <t>Employee Expense 50% - C H Steel</t>
  </si>
  <si>
    <t>Employee Expense 50% - DSS</t>
  </si>
  <si>
    <t>Employee Expense 50% Parts - Canton</t>
  </si>
  <si>
    <t>Employee Expense 50% Parts - Cleveland</t>
  </si>
  <si>
    <t>Employee Expense 50% Service - Canton</t>
  </si>
  <si>
    <t>Employee Expense 50% Service - Cleveland</t>
  </si>
  <si>
    <t>Employee Expense 50% G &amp; A - Canton</t>
  </si>
  <si>
    <t>Vehicle Repair &amp; Maint - AMI</t>
  </si>
  <si>
    <t xml:space="preserve">Vehicle Expense Sales - Canton </t>
  </si>
  <si>
    <t>Vehicle Expense Sales - Cleveland</t>
  </si>
  <si>
    <t>Vehicle Expense - C H Steel</t>
  </si>
  <si>
    <t>Vehicle Expense - DSS</t>
  </si>
  <si>
    <t>Vehicle Expense Parts - Canton</t>
  </si>
  <si>
    <t>Vehicle Expense Parts - Cleveland</t>
  </si>
  <si>
    <t>Vehicle Expense Service - Canton</t>
  </si>
  <si>
    <t>Vehicle Expense Service - Cleveland</t>
  </si>
  <si>
    <t>Vehicle Expense Administrative - Canton</t>
  </si>
  <si>
    <t>Rent - AMI</t>
  </si>
  <si>
    <t>Rent Used - Canton</t>
  </si>
  <si>
    <t>Rent Used - Cleveland</t>
  </si>
  <si>
    <t>Rent Sales - Canton</t>
  </si>
  <si>
    <t>Rent Sales - Cleveland</t>
  </si>
  <si>
    <t>Rent - C H Steel</t>
  </si>
  <si>
    <t>Rent - DSS</t>
  </si>
  <si>
    <t xml:space="preserve">Rent Parts - Canton </t>
  </si>
  <si>
    <t>Rent Parts - Cleveland</t>
  </si>
  <si>
    <t>Rent Service - Canton</t>
  </si>
  <si>
    <t>Rent Service - Cleveland</t>
  </si>
  <si>
    <t>Rent Administrative - Canton</t>
  </si>
  <si>
    <t>Rent Rental - Canton</t>
  </si>
  <si>
    <t>Rent Rental - Cleveland</t>
  </si>
  <si>
    <t>Utilities Administrative - Canton</t>
  </si>
  <si>
    <t>Utilities Administrative - Cleveland</t>
  </si>
  <si>
    <t>Building Maintenance - Canton</t>
  </si>
  <si>
    <t>Office Supplies - AMI</t>
  </si>
  <si>
    <t>Office Supplies Used - Canton</t>
  </si>
  <si>
    <t>Office Supplies Used - Cleveland</t>
  </si>
  <si>
    <t>Office Supplies Sales - Canton</t>
  </si>
  <si>
    <t>Office Supplies Sales - Cleveland</t>
  </si>
  <si>
    <t>Office Supplies - C H Steel</t>
  </si>
  <si>
    <t>Office Supplies - DSS</t>
  </si>
  <si>
    <t>Office Supplies Parts - Canton</t>
  </si>
  <si>
    <t>Office Supplies Parts - Cleveland</t>
  </si>
  <si>
    <t>Office Supplies Service - Canton</t>
  </si>
  <si>
    <t>Office Supplies Service - Cleveland</t>
  </si>
  <si>
    <t>Office Supplies Administrative - Canton</t>
  </si>
  <si>
    <t>Office Supplies Rental - Canton</t>
  </si>
  <si>
    <t>Office Supplies Rental - Cleveland</t>
  </si>
  <si>
    <t>Shop Supplies - Canton</t>
  </si>
  <si>
    <t>Shop Supplies - Cleveland</t>
  </si>
  <si>
    <t>Freight - Demo - Canton</t>
  </si>
  <si>
    <t>Freight Used - Cleveland</t>
  </si>
  <si>
    <t>Freight Parts - Cleveland</t>
  </si>
  <si>
    <t>Freight- Service - Canton</t>
  </si>
  <si>
    <t>Freight- Service - Cleveland</t>
  </si>
  <si>
    <t>Postage - Canton</t>
  </si>
  <si>
    <t>Freight- Rental - Cleveland</t>
  </si>
  <si>
    <t>Communication Expense - AMI</t>
  </si>
  <si>
    <t>Communication Sales - Canton</t>
  </si>
  <si>
    <t>Communication Sales - Cleveland</t>
  </si>
  <si>
    <t>Communication - C H Steel</t>
  </si>
  <si>
    <t>Communication - DSS</t>
  </si>
  <si>
    <t>Communication Parts - Canton</t>
  </si>
  <si>
    <t>Communication Parts - Cleveland</t>
  </si>
  <si>
    <t>Communication Service - Canton</t>
  </si>
  <si>
    <t>Communication Service - Cleveland</t>
  </si>
  <si>
    <t>Communication Administrative - Canton</t>
  </si>
  <si>
    <t>Legal and Audit - Canton</t>
  </si>
  <si>
    <t>Dues &amp; Subscriptions - AMI</t>
  </si>
  <si>
    <t>Dues and Subscriptions Sales - Canton</t>
  </si>
  <si>
    <t>Dues and Subscriptions Sales - Cleveland</t>
  </si>
  <si>
    <t>Dues and Subscriptions - C H Steel</t>
  </si>
  <si>
    <t>Dues and Subscriptions - DSS</t>
  </si>
  <si>
    <t>Dues and Subscriptions Parts - Canton</t>
  </si>
  <si>
    <t>Dues and Subscriptions Parts - Cleveland</t>
  </si>
  <si>
    <t>Dues and Subscriptions Service - Canton</t>
  </si>
  <si>
    <t>Dues and Subscriptions Service - Cleveland</t>
  </si>
  <si>
    <t>Dues and Subscriptions Administrative - Canton</t>
  </si>
  <si>
    <t>Promotion - AMI</t>
  </si>
  <si>
    <t>Promotion Used - Canton</t>
  </si>
  <si>
    <t>Promotion Used - Cleveland</t>
  </si>
  <si>
    <t>Promotion Sales - Canton</t>
  </si>
  <si>
    <t>Promotion Sales - Cleveland</t>
  </si>
  <si>
    <t>Promotion - C H Steel</t>
  </si>
  <si>
    <t>Promotion - DSS</t>
  </si>
  <si>
    <t>Promotion Parts - Canton</t>
  </si>
  <si>
    <t>Promotion Parts - Cleveland</t>
  </si>
  <si>
    <t>Promotion Service - Canton</t>
  </si>
  <si>
    <t>Promotion Service - Cleveland</t>
  </si>
  <si>
    <t>Promotion Rental - Canton</t>
  </si>
  <si>
    <t>Promotion Rental - Cleveland</t>
  </si>
  <si>
    <t>Training &amp; Education - AMI</t>
  </si>
  <si>
    <t>Training and Education Sales - Canton</t>
  </si>
  <si>
    <t>Training and Education Sales - Cleveland</t>
  </si>
  <si>
    <t>Training and Education - C H Steel</t>
  </si>
  <si>
    <t>Training and Education - DSS</t>
  </si>
  <si>
    <t>Training and Education Parts - Canton</t>
  </si>
  <si>
    <t>Training and Education Parts - Cleveland</t>
  </si>
  <si>
    <t>Training and Education Service - Canton</t>
  </si>
  <si>
    <t>Training and Education Service - Cleveland</t>
  </si>
  <si>
    <t>Training and Education Administrative - Canton</t>
  </si>
  <si>
    <t>Consulting Expense - AMI</t>
  </si>
  <si>
    <t>Consulting Sales - Canton</t>
  </si>
  <si>
    <t>Consulting Sales - Cleveland</t>
  </si>
  <si>
    <t>Consulting - C H Steel</t>
  </si>
  <si>
    <t>Consulting - DSS</t>
  </si>
  <si>
    <t>Consulting Parts - Canton</t>
  </si>
  <si>
    <t>Consulting Parts - Cleveland</t>
  </si>
  <si>
    <t>Consulting Service - Canton</t>
  </si>
  <si>
    <t>Consulting Service - Cleveland</t>
  </si>
  <si>
    <t>Consulting Administrative - Canton</t>
  </si>
  <si>
    <t>Bad Debt - Canton</t>
  </si>
  <si>
    <t>Contributions - Canton</t>
  </si>
  <si>
    <t>Employee Welfare - AMI</t>
  </si>
  <si>
    <t>Employee Welfare Used - Canton</t>
  </si>
  <si>
    <t>Employee Welfare Used - Cleveland</t>
  </si>
  <si>
    <t>Employee Welfare Sales - Canton</t>
  </si>
  <si>
    <t>Employee Welfare Sales - Cleveland</t>
  </si>
  <si>
    <t>Employee Welfare - C H Steel</t>
  </si>
  <si>
    <t>Employee Welfare - DSS</t>
  </si>
  <si>
    <t>Employee Welfare Parts - Canton</t>
  </si>
  <si>
    <t>Employee Welfare Parts - Cleveland</t>
  </si>
  <si>
    <t>Employee Welfare Service - Canton</t>
  </si>
  <si>
    <t>Employee Welfare Service - Cleveland</t>
  </si>
  <si>
    <t>Employee Welfare Administrative - Canton</t>
  </si>
  <si>
    <t>Employee Welfare Rental - Canton</t>
  </si>
  <si>
    <t>Employee Welfare Rental - Cleveland</t>
  </si>
  <si>
    <t>401K Contribution - AMI</t>
  </si>
  <si>
    <t>401K Contribution Used - Canton</t>
  </si>
  <si>
    <t>401K Contribution Used - Cleveland</t>
  </si>
  <si>
    <t>401K Contribution Sales - Canton</t>
  </si>
  <si>
    <t>401K Contribution Sales - Cleveland</t>
  </si>
  <si>
    <t>401K Contribution - C H Steel</t>
  </si>
  <si>
    <t>401K Contribution - DSS</t>
  </si>
  <si>
    <t>401K Contribution Parts - Canton</t>
  </si>
  <si>
    <t>401K Contribution Parts - Cleveland</t>
  </si>
  <si>
    <t>401K Contribution Service - Canton</t>
  </si>
  <si>
    <t>401K Contribution Service - Cleveland</t>
  </si>
  <si>
    <t>401K Contribution Administrative - Canton</t>
  </si>
  <si>
    <t>401K Contribution Rental - Canton</t>
  </si>
  <si>
    <t>401K Contribution Rental - Cleveland</t>
  </si>
  <si>
    <t>Outside Commissions - AMI</t>
  </si>
  <si>
    <t>Outside Commission Sales - Canton</t>
  </si>
  <si>
    <t>Outside Commission Sales - Cleveland</t>
  </si>
  <si>
    <t>Outside Commission - C H Steel</t>
  </si>
  <si>
    <t>Outside Commission - DSS</t>
  </si>
  <si>
    <t>Insurance Expense  - AMI</t>
  </si>
  <si>
    <t>Insurance Used - Canton</t>
  </si>
  <si>
    <t>Insurance Used - Cleveland</t>
  </si>
  <si>
    <t>Insurance Sales - Canton</t>
  </si>
  <si>
    <t>Insurance Sales - Cleveland</t>
  </si>
  <si>
    <t>Insurance - C H Steel</t>
  </si>
  <si>
    <t>Insurance - DSS</t>
  </si>
  <si>
    <t>Insurance Parts - Canton</t>
  </si>
  <si>
    <t>Insurance Parts - Cleveland</t>
  </si>
  <si>
    <t>Insurance Service - Canton</t>
  </si>
  <si>
    <t>Insurance Service - Cleveland</t>
  </si>
  <si>
    <t>Insurance Administrative - Canton</t>
  </si>
  <si>
    <t>Insurance Rental - Canton</t>
  </si>
  <si>
    <t>Insurance Rental - Cleveland</t>
  </si>
  <si>
    <t>Life Insurance Expense Admin - Canton</t>
  </si>
  <si>
    <t>Interest Expense Used - Canton</t>
  </si>
  <si>
    <t>Interest Expense Used - Cleveland</t>
  </si>
  <si>
    <t>Interest Expense Sales - Canton</t>
  </si>
  <si>
    <t>Interest Expense Sales - Cleveland</t>
  </si>
  <si>
    <t>Interest Expense - CH Steel</t>
  </si>
  <si>
    <t>Interest Expense - DSS</t>
  </si>
  <si>
    <t>Interest Expense Parts - Canton</t>
  </si>
  <si>
    <t>Interest Expense Parts - Cleveland</t>
  </si>
  <si>
    <t>Interest Expense Service - Canton</t>
  </si>
  <si>
    <t>Interest Expense Service - Cleveland</t>
  </si>
  <si>
    <t>Interest Expense Admin - Canton</t>
  </si>
  <si>
    <t>Interest Expense Admin - Cleveland</t>
  </si>
  <si>
    <t>Depreciation Parts Equipment - Canton</t>
  </si>
  <si>
    <t>Depreciation Parts Equipment - Cleveland</t>
  </si>
  <si>
    <t>Depreciation Service Equipment - Canton</t>
  </si>
  <si>
    <t>Depreciation Service Equipment - Cleveland</t>
  </si>
  <si>
    <t>Depreciation Furniture  and Fixtures - Canton</t>
  </si>
  <si>
    <t>Depreciation Vehicles - Canton</t>
  </si>
  <si>
    <t>Depreciation Vehicles - Cleveland</t>
  </si>
  <si>
    <t>Accum Depr Demo Trucks - Canton</t>
  </si>
  <si>
    <t>Depreciaton Demo Fleet - Canton</t>
  </si>
  <si>
    <t>Depreciaton Demo Fleet - Cleveland</t>
  </si>
  <si>
    <t>Depreciation Building - Canton</t>
  </si>
  <si>
    <t>Depreciation Rental Fleet - Cleveland</t>
  </si>
  <si>
    <t>Misc. Expenses  - AMI</t>
  </si>
  <si>
    <t>Miscellaneous Expense Used - Canton</t>
  </si>
  <si>
    <t>Miscellaneous Expense Used - Cleveland</t>
  </si>
  <si>
    <t>Miscellaneous Expense Sales - Canton</t>
  </si>
  <si>
    <t>Miscellaneous Expense Sales - Cleveland</t>
  </si>
  <si>
    <t>Miscellaneous Expense - C H Steel</t>
  </si>
  <si>
    <t>Miscellaneous Expense - DSS</t>
  </si>
  <si>
    <t>Miscellaneous Expense Parts - Canton</t>
  </si>
  <si>
    <t>Miscellaneous Expense Parts - Cleveland</t>
  </si>
  <si>
    <t>Miscellaneous Expense Service - Canton</t>
  </si>
  <si>
    <t>Miscellaneous Expense Service - Cleveland</t>
  </si>
  <si>
    <t>Miscellaneous Expense Admin - Canton</t>
  </si>
  <si>
    <t>Miscellaneous Expense Rental - Canton</t>
  </si>
  <si>
    <t>Miscellaneous Expense Rental - Cleveland</t>
  </si>
  <si>
    <t>Uniform Service - Canton</t>
  </si>
  <si>
    <t>Uniform Service - Cleveland</t>
  </si>
  <si>
    <t>Internal Labor - Canton</t>
  </si>
  <si>
    <t>G &amp; A Allocation - AMI</t>
  </si>
  <si>
    <t>G &amp; A Allocation Used - Canton</t>
  </si>
  <si>
    <t>G &amp; A Allocation Used - Cleveland</t>
  </si>
  <si>
    <t>G &amp; A Allocation Sales - Canton</t>
  </si>
  <si>
    <t>G &amp; A Allocation Sales - Cleveland</t>
  </si>
  <si>
    <t>G &amp; A Allocation - CH Steel</t>
  </si>
  <si>
    <t>G &amp; A Allocation Parts - Canton</t>
  </si>
  <si>
    <t>G &amp; A Allocation Parts - Cleveland</t>
  </si>
  <si>
    <t>G &amp; A Allocation Service - Canton</t>
  </si>
  <si>
    <t>G &amp; A Allocation Service - Cleveland</t>
  </si>
  <si>
    <t>G &amp; A Allocation Admin - Canton</t>
  </si>
  <si>
    <t>G &amp; A Allocation Rental - Canton</t>
  </si>
  <si>
    <t>G &amp; A Allocation Rental - Cleveland</t>
  </si>
  <si>
    <t>New Equipment Linde - Canton</t>
  </si>
  <si>
    <t>New Equipment Linde - Cleveland</t>
  </si>
  <si>
    <t>New Equipment Linde - C H Steel</t>
  </si>
  <si>
    <t>New Equipment Linde - DSS</t>
  </si>
  <si>
    <t>Commission-Allied - Canton</t>
  </si>
  <si>
    <t>Commission-Allied - CH Steel</t>
  </si>
  <si>
    <t>Commission-Allied - DSS</t>
  </si>
  <si>
    <t>Commission-Used Equipment - Canton</t>
  </si>
  <si>
    <t>Commission-Used Equipment - CH Steel</t>
  </si>
  <si>
    <t>Commission-Used Equipment - DSS</t>
  </si>
  <si>
    <t>Commission-New Equipment - Canton</t>
  </si>
  <si>
    <t>Commission-New Equipment - Cleveland</t>
  </si>
  <si>
    <t>Freight Income - AMI</t>
  </si>
  <si>
    <t>Freight Income Sales - Canton</t>
  </si>
  <si>
    <t>Freight Income Sales - Cleveland</t>
  </si>
  <si>
    <t>Freight Income - CH Steel</t>
  </si>
  <si>
    <t>Freight Income - DSS</t>
  </si>
  <si>
    <t>New Equipment Combi - Canton</t>
  </si>
  <si>
    <t>New Equipment Combi - Cleveland</t>
  </si>
  <si>
    <t>New Equipment Combi - C H Steel</t>
  </si>
  <si>
    <t>New Equipment Combi - DSS</t>
  </si>
  <si>
    <t>IPSCO Lease Billing - Canton</t>
  </si>
  <si>
    <t>IPSCO Lease Billing - Cleveland</t>
  </si>
  <si>
    <t>New Installment Sale - C H Steel</t>
  </si>
  <si>
    <t>New Equipment Other - Canton</t>
  </si>
  <si>
    <t>Linde Parts Sale - Canton</t>
  </si>
  <si>
    <t>Linde Parts Sale - Cleveland</t>
  </si>
  <si>
    <t>Combi Parts Sale - Canton</t>
  </si>
  <si>
    <t>Combi Parts Sale - Cleveland</t>
  </si>
  <si>
    <t>Tire Sale - Canton</t>
  </si>
  <si>
    <t>Tire Sale - Cleveland</t>
  </si>
  <si>
    <t>Freight - Parts - Canton</t>
  </si>
  <si>
    <t>Freight - Parts - Cleveland</t>
  </si>
  <si>
    <t>Parts Sale Other - Canton</t>
  </si>
  <si>
    <t>Parts Sale Other - Cleveland</t>
  </si>
  <si>
    <t>Shop Parts-Linde - Canton</t>
  </si>
  <si>
    <t>Shop Parts-Linde - Cleveland</t>
  </si>
  <si>
    <t>Shop Parts-Combi - Canton</t>
  </si>
  <si>
    <t>Shop Parts-Combi - Cleveland</t>
  </si>
  <si>
    <t>Shop Parts-Other - Canton</t>
  </si>
  <si>
    <t>Shop Parts-Other - Cleveland</t>
  </si>
  <si>
    <t>Road Parts-Linde - Canton</t>
  </si>
  <si>
    <t>Road Parts-Linde - Cleveland</t>
  </si>
  <si>
    <t>Road Parts-Combi - Canton</t>
  </si>
  <si>
    <t>Road Parts-Combi - Cleveland</t>
  </si>
  <si>
    <t>Road Parts-Other - Canton</t>
  </si>
  <si>
    <t>Road Parts-Other - Cleveland</t>
  </si>
  <si>
    <t>P M -Linde Parts - Canton</t>
  </si>
  <si>
    <t>P M -Linde Parts - Cleveland</t>
  </si>
  <si>
    <t>P M -Combi Parts - Canton</t>
  </si>
  <si>
    <t>P M -Combi Parts - Cleveland</t>
  </si>
  <si>
    <t>P M - Other Parts - Canton</t>
  </si>
  <si>
    <t>P M - Other Parts - Cleveland</t>
  </si>
  <si>
    <t>Allied Lines Sales - Canton</t>
  </si>
  <si>
    <t>Allied Lines Sales - Cleveland</t>
  </si>
  <si>
    <t>Allied Lines - C H Steel</t>
  </si>
  <si>
    <t>Allied Lines - DSS</t>
  </si>
  <si>
    <t>Delivery Charge Used - Canton</t>
  </si>
  <si>
    <t>Delivery Charge Used - Cleveland</t>
  </si>
  <si>
    <t>Field Labor - Canton</t>
  </si>
  <si>
    <t>Field Labor - Cleveland</t>
  </si>
  <si>
    <t>Delivery Charge-Internal - Canton</t>
  </si>
  <si>
    <t>Delivery Charge-Internal - Cleveland</t>
  </si>
  <si>
    <t>Field Labor Variance - Canton</t>
  </si>
  <si>
    <t>Field Labor Variance - Cleveland</t>
  </si>
  <si>
    <t>Shop Labor Variance - Canton</t>
  </si>
  <si>
    <t>Shop Labor Variance - Cleveland</t>
  </si>
  <si>
    <t>Shop Labor - Canton</t>
  </si>
  <si>
    <t>Shop Labor - Cleveland</t>
  </si>
  <si>
    <t>Service Training - Canton</t>
  </si>
  <si>
    <t>Service Training - Cleveland</t>
  </si>
  <si>
    <t>Customer P M- Labor - Canton</t>
  </si>
  <si>
    <t>Customer P M- Labor - Cleveland</t>
  </si>
  <si>
    <t>Lease Maintenance - Canton</t>
  </si>
  <si>
    <t>Lease Maintenance - Cleveland</t>
  </si>
  <si>
    <t>Delivery Income - Canton</t>
  </si>
  <si>
    <t>Delivery Income - Cleveland</t>
  </si>
  <si>
    <t>Freight Recovery - Canton</t>
  </si>
  <si>
    <t>Freight Recovery - Cleveland</t>
  </si>
  <si>
    <t>Miscellaneous Income - Canton</t>
  </si>
  <si>
    <t>Officer Revenue - Canton</t>
  </si>
  <si>
    <t>Interest Income - Canton</t>
  </si>
  <si>
    <t>Cash Discounts Earned - Canton</t>
  </si>
  <si>
    <t>Gain or Loss on Sale of F.A. - Canton</t>
  </si>
  <si>
    <t>Rental Income - Customer - Canton</t>
  </si>
  <si>
    <t>Rental Income - Customer - Cleveland</t>
  </si>
  <si>
    <t>Rental Income - Internal - Canton</t>
  </si>
  <si>
    <t>Rental Income - Internal - Cleveland</t>
  </si>
  <si>
    <t>Rental Delivery Income - Canton</t>
  </si>
  <si>
    <t>Rental Delivery Income - Cleveland</t>
  </si>
  <si>
    <t>Used Equipment Sale-Linde - Canton</t>
  </si>
  <si>
    <t>Used Equipment Sale-Linde - Cleveland</t>
  </si>
  <si>
    <t>Used Equipment Wholesale - Canton</t>
  </si>
  <si>
    <t>Used Equipment Wholesale - Cleveland</t>
  </si>
  <si>
    <t>Used Rental Equipment Sale - Canton</t>
  </si>
  <si>
    <t>Used Rental Equipment Sale - Cleveland</t>
  </si>
  <si>
    <t>Used Equipment Sale Combi - Canton</t>
  </si>
  <si>
    <t>Used Equipment Sale Combi - Cleveland</t>
  </si>
  <si>
    <t>Used Equipment Sale- Other - Canton</t>
  </si>
  <si>
    <t>Used Equipment Sale- Other - Cleveland</t>
  </si>
  <si>
    <t>Internal Parts Sales-Service - Canton</t>
  </si>
  <si>
    <t>Internal Parts Sales-Service - Cleveland</t>
  </si>
  <si>
    <t>Parts Sales to AMI</t>
  </si>
  <si>
    <t>Parts Sales to Used - Canton</t>
  </si>
  <si>
    <t>Parts Sales to Used - Cleveland</t>
  </si>
  <si>
    <t>Parts Sales to New - Canton</t>
  </si>
  <si>
    <t>Parts Sales to New - Cleveland</t>
  </si>
  <si>
    <t>Parts Sales to Parts - Canton</t>
  </si>
  <si>
    <t>Parts Sales to Parts - Cleveland</t>
  </si>
  <si>
    <t>Parts Sales to Service - Canton</t>
  </si>
  <si>
    <t>Parts Sales to Service - Cleveland</t>
  </si>
  <si>
    <t>Parts Sales to Rental - Canton</t>
  </si>
  <si>
    <t>Parts Sales to Rental - Cleveland</t>
  </si>
  <si>
    <t>Nonbillable Field Time - Canton</t>
  </si>
  <si>
    <t>Nonbillable Field Time - Cleveland</t>
  </si>
  <si>
    <t>Nonbillable Shop Time - Canton</t>
  </si>
  <si>
    <t>Nonbillable Shop Time - Cleveland</t>
  </si>
  <si>
    <t>Internal Labor-Used - Canton</t>
  </si>
  <si>
    <t>Internal Labor-Used - Cleveland</t>
  </si>
  <si>
    <t>Internal Labor-Sales - Canton</t>
  </si>
  <si>
    <t>Internal Labor-Sales - Cleveland</t>
  </si>
  <si>
    <t>Internal Labor-Parts - Canton</t>
  </si>
  <si>
    <t>Internal Labor-Parts - Cleveland</t>
  </si>
  <si>
    <t>Internal Labor-Service - Canton</t>
  </si>
  <si>
    <t>Internal Labor-Service - Cleveland</t>
  </si>
  <si>
    <t>Internal Labor-Building and Grounds - Canton</t>
  </si>
  <si>
    <t>Internal Labor-Building and Grounds - Cleveland</t>
  </si>
  <si>
    <t>Internal Labor-Rental - Canton</t>
  </si>
  <si>
    <t>Internal Labor-Rental - Cleveland</t>
  </si>
  <si>
    <t>Warranty-Customer - Canton</t>
  </si>
  <si>
    <t>Warranty Customer - Cleveland</t>
  </si>
  <si>
    <t>Warranty Internal - Canton</t>
  </si>
  <si>
    <t>Warranty Internal - Cleveland</t>
  </si>
  <si>
    <t>New Equip Linde - Canton</t>
  </si>
  <si>
    <t>New Equip Linde - Cleveland</t>
  </si>
  <si>
    <t xml:space="preserve">New Equip Linde - CH Steel </t>
  </si>
  <si>
    <t>New Equip Linde - DSS</t>
  </si>
  <si>
    <t>New Equip Combi - Canton</t>
  </si>
  <si>
    <t>New Equip Combi - Cleveland</t>
  </si>
  <si>
    <t>New Equip Combi - CH Steel</t>
  </si>
  <si>
    <t>New Equip Combi - DSS</t>
  </si>
  <si>
    <t>Parts-Linde - Canton</t>
  </si>
  <si>
    <t>Parts-Linde - Cleveland</t>
  </si>
  <si>
    <t>Parts-Combi - Canton</t>
  </si>
  <si>
    <t>Parts-Combi - Cleveland</t>
  </si>
  <si>
    <t>Tires - Canton</t>
  </si>
  <si>
    <t>Tires - Cleveland</t>
  </si>
  <si>
    <t>Parts-Other - Canton</t>
  </si>
  <si>
    <t>Parts-Other - Cleveland</t>
  </si>
  <si>
    <t>P M -Combi - Canton</t>
  </si>
  <si>
    <t>P M -Combi - Cleveland</t>
  </si>
  <si>
    <t>Allied Line - Canton</t>
  </si>
  <si>
    <t>Allied Line - Cleveland</t>
  </si>
  <si>
    <t>Allied Line - CH Steel</t>
  </si>
  <si>
    <t>CGS Customer Road Labor - Canton</t>
  </si>
  <si>
    <t>CGS Customer Road Labor - Cleveland</t>
  </si>
  <si>
    <t>Internal Delivery Charge-I F - AMI</t>
  </si>
  <si>
    <t>Internal Delivery Charge-Used - Canton</t>
  </si>
  <si>
    <t>Internal Delivery Charge-Used - Cleveland</t>
  </si>
  <si>
    <t>Lease Maintenace - Canton</t>
  </si>
  <si>
    <t>Lease Maintenace - Cleveland</t>
  </si>
  <si>
    <t>Internal Delivery Charge-Rental - Canton</t>
  </si>
  <si>
    <t>Internal Delivery Charge-Rental - Cleveland</t>
  </si>
  <si>
    <t>CGS Customer  Shop  Labor - Canton</t>
  </si>
  <si>
    <t>CGS Customer  Shop  Labor - Cleveland</t>
  </si>
  <si>
    <t>CGS Service Training Labor - Canton</t>
  </si>
  <si>
    <t>CGS Service Training Labor - Cleveland</t>
  </si>
  <si>
    <t>CGS Customer P M Labor - Canton</t>
  </si>
  <si>
    <t>CGS Customer P M Labor - Cleveland</t>
  </si>
  <si>
    <t>Rework - Canton</t>
  </si>
  <si>
    <t>Rework - Cleveland</t>
  </si>
  <si>
    <t>Van Maintenance - Canton</t>
  </si>
  <si>
    <t>Van Maintenance - Cleveland</t>
  </si>
  <si>
    <t>Internal Rental to AMI</t>
  </si>
  <si>
    <t>Internal Rental to Used - Canton</t>
  </si>
  <si>
    <t>Internal Rental to Used - Cleveland</t>
  </si>
  <si>
    <t>Internal Rental to Sales - Canton</t>
  </si>
  <si>
    <t>Internal Rental to Sales - Cleveland</t>
  </si>
  <si>
    <t>Internal Rental to Sales - C H Steel</t>
  </si>
  <si>
    <t>Internal Rental to Sales - DSS</t>
  </si>
  <si>
    <t>Internal Rental to Service - Canton</t>
  </si>
  <si>
    <t>Internal Rental to Service - Cleveland</t>
  </si>
  <si>
    <t>Service Material - Canton</t>
  </si>
  <si>
    <t>Service Material - Cleveland</t>
  </si>
  <si>
    <t>Used Equipment-Linde - Canton</t>
  </si>
  <si>
    <t>Used Equipment-Linde - Cleveland</t>
  </si>
  <si>
    <t>Used Equipment-Wholesale - Canton</t>
  </si>
  <si>
    <t>Used Equipment-Wholesale - Cleveland</t>
  </si>
  <si>
    <t>Rental Fleet Sales - Canton</t>
  </si>
  <si>
    <t>Rental Fleet Sales - Cleveland</t>
  </si>
  <si>
    <t>Used Equipment-Combi - Canton</t>
  </si>
  <si>
    <t>Used Equipment-Combi - Cleveland</t>
  </si>
  <si>
    <t>Used Equipment-Other - Canton</t>
  </si>
  <si>
    <t>Used Equipment-Other - Cleveland</t>
  </si>
  <si>
    <t>CGS Labor Internal Labor - Canton</t>
  </si>
  <si>
    <t>CGS Labor Internal Labor - Cleveland</t>
  </si>
  <si>
    <t>Internal Parts - Canton</t>
  </si>
  <si>
    <t>Internal Parts - Cleveland</t>
  </si>
  <si>
    <t>Parts Obsolecence - Canton</t>
  </si>
  <si>
    <t>Parts Obsolecence - Cleveland</t>
  </si>
  <si>
    <t>Rental Material - Canton</t>
  </si>
  <si>
    <t>Rental Material - Cleveland</t>
  </si>
  <si>
    <t>Warranty - Canton</t>
  </si>
  <si>
    <t>Warranty - Cleveland</t>
  </si>
  <si>
    <t>Local Warranty - Canton</t>
  </si>
  <si>
    <t>Local Warranty - Cleveland</t>
  </si>
  <si>
    <t>Sales Discount I F - AMI</t>
  </si>
  <si>
    <t>P/L Used - Canton</t>
  </si>
  <si>
    <t>P/L Used - Cleveland</t>
  </si>
  <si>
    <t>P/L Make Ready I F - AMI</t>
  </si>
  <si>
    <t>P/L Make Ready AMI Used Prep - Canton</t>
  </si>
  <si>
    <t>AMI Lease - Make Ready</t>
  </si>
  <si>
    <t>AMI Used Equipment Cost</t>
  </si>
  <si>
    <t>Commission-Used Equipment - Cleveland</t>
  </si>
  <si>
    <t>Commission-Allied - Cleveland</t>
  </si>
  <si>
    <t>Demo Equipment Linde - Canton</t>
  </si>
  <si>
    <t>Demo Equipment Linde - Cleveland</t>
  </si>
  <si>
    <t>New Equipment Other - Cleveland</t>
  </si>
  <si>
    <t>Parts Sales to New - CH Steel</t>
  </si>
  <si>
    <t>Parts Sales to New - DSS</t>
  </si>
  <si>
    <t>CGS Used Truck Demo - Canton</t>
  </si>
  <si>
    <t>CGS Used Truck Demo - Cleveland</t>
  </si>
  <si>
    <t>P/L Rental - Canton</t>
  </si>
  <si>
    <t>P/L Rental - Cleveland</t>
  </si>
  <si>
    <t>Freight - Demo - Cleveland</t>
  </si>
  <si>
    <t xml:space="preserve">Tariff Expenses  </t>
  </si>
  <si>
    <t>Tariff Expense Canton</t>
  </si>
  <si>
    <t>Tariff Expense Cleveland</t>
  </si>
  <si>
    <t>Tariff Expense C H Steel</t>
  </si>
  <si>
    <t>Tariff Expense DSS</t>
  </si>
  <si>
    <t>Tariff Expense Parts</t>
  </si>
  <si>
    <t>Tariff Expense Service</t>
  </si>
  <si>
    <t>2030303</t>
  </si>
  <si>
    <t>Note - Ed Mauser Jr.</t>
  </si>
  <si>
    <t>Note - Ed Mauser Jr</t>
  </si>
  <si>
    <t>1260402</t>
  </si>
  <si>
    <t>Note - Ed Jr</t>
  </si>
  <si>
    <t>Tariff Expenses AMI</t>
  </si>
  <si>
    <t>Parts Sales to C H Steel</t>
  </si>
  <si>
    <t>P/L Installment Trucks CH Steel</t>
  </si>
  <si>
    <t>Sales Discount CH Steel</t>
  </si>
  <si>
    <t>4146601</t>
  </si>
  <si>
    <t>Vehicle Repair &amp; Maint - Alside</t>
  </si>
  <si>
    <t>Vehicle Expense Sales -Canton</t>
  </si>
  <si>
    <t>TVH Parts Sales</t>
  </si>
  <si>
    <t>4147601</t>
  </si>
  <si>
    <t>P M -TVH Parts</t>
  </si>
  <si>
    <t>4144601</t>
  </si>
  <si>
    <t>Road Parts-TVH</t>
  </si>
  <si>
    <t>Shop Parts- Linde</t>
  </si>
  <si>
    <t>4141601</t>
  </si>
  <si>
    <t>Shop Parts-TVH</t>
  </si>
  <si>
    <t>5146601</t>
  </si>
  <si>
    <t>TVH Parts</t>
  </si>
  <si>
    <t>5141601</t>
  </si>
  <si>
    <t>5144601</t>
  </si>
  <si>
    <t>5147601</t>
  </si>
  <si>
    <t>TVH Parts Sale - Canton</t>
  </si>
  <si>
    <t>Shop Parts-TVH - Canton</t>
  </si>
  <si>
    <t>Road Parts-TVH - Canton</t>
  </si>
  <si>
    <t>P M -TVH Parts - Canton</t>
  </si>
  <si>
    <t>Parts-TVH - Canton</t>
  </si>
  <si>
    <t>P M - TVH - Canton</t>
  </si>
  <si>
    <t>Salesman Salaries</t>
  </si>
  <si>
    <t>Employee Exp-100%</t>
  </si>
  <si>
    <t>Employee Exp-50%</t>
  </si>
  <si>
    <t>Employee Expense 50% Service</t>
  </si>
  <si>
    <t>Rent Parts</t>
  </si>
  <si>
    <t>Communication Expense</t>
  </si>
  <si>
    <t>Dues &amp; Subscriptions</t>
  </si>
  <si>
    <t>Promotion</t>
  </si>
  <si>
    <t>Employee Welfare Service</t>
  </si>
  <si>
    <t>Insurance Expense</t>
  </si>
  <si>
    <t>Miscellaneous Expense Service</t>
  </si>
  <si>
    <t>Installment Sales - Trucks</t>
  </si>
  <si>
    <t>Cleveland Sales Department Financial</t>
  </si>
  <si>
    <t>Cleveland Parts Department Financial</t>
  </si>
  <si>
    <t>Cleveland Service Departmant Financial</t>
  </si>
  <si>
    <t>Cleveland Rental Department Financial</t>
  </si>
  <si>
    <t>Cleveland Used Department Financial</t>
  </si>
  <si>
    <t>Consolidated Income Statement - 3M</t>
  </si>
  <si>
    <t>TVH Parts Sale</t>
  </si>
  <si>
    <t>P M -TVH</t>
  </si>
  <si>
    <t>Parts-TVH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</si>
</sst>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mmmm\-yyyy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/>
      <top style="thin">
        <color theme="2"/>
      </top>
      <bottom style="thin">
        <color auto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auto="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auto="1"/>
      </bottom>
      <diagonal/>
    </border>
    <border>
      <left/>
      <right style="thin">
        <color theme="2"/>
      </right>
      <top style="medium">
        <color auto="1"/>
      </top>
      <bottom style="thin">
        <color theme="2"/>
      </bottom>
      <diagonal/>
    </border>
    <border>
      <left/>
      <right/>
      <top style="medium">
        <color auto="1"/>
      </top>
      <bottom style="thin">
        <color theme="2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auto="1"/>
      </top>
      <bottom/>
      <diagonal/>
    </border>
    <border>
      <left style="thin">
        <color theme="2"/>
      </left>
      <right style="thin">
        <color theme="2"/>
      </right>
      <top style="thin">
        <color auto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1"/>
      </top>
      <bottom style="thin">
        <color theme="2"/>
      </bottom>
      <diagonal/>
    </border>
    <border>
      <left/>
      <right/>
      <top style="double">
        <color auto="1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2"/>
      </left>
      <right style="thin">
        <color theme="2"/>
      </right>
      <top style="double">
        <color auto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double">
        <color theme="1"/>
      </top>
      <bottom style="thin">
        <color theme="2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43" fontId="0" fillId="3" borderId="1" xfId="0" applyNumberFormat="1" applyFill="1" applyBorder="1"/>
    <xf numFmtId="49" fontId="0" fillId="3" borderId="1" xfId="0" applyNumberFormat="1" applyFill="1" applyBorder="1"/>
    <xf numFmtId="0" fontId="0" fillId="0" borderId="1" xfId="0" applyBorder="1"/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9" fontId="0" fillId="2" borderId="1" xfId="0" applyNumberFormat="1" applyFill="1" applyBorder="1"/>
    <xf numFmtId="0" fontId="0" fillId="2" borderId="1" xfId="0" applyFill="1" applyBorder="1"/>
    <xf numFmtId="43" fontId="0" fillId="0" borderId="1" xfId="0" applyNumberFormat="1" applyBorder="1"/>
    <xf numFmtId="43" fontId="4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7" fillId="0" borderId="1" xfId="0" applyNumberFormat="1" applyFont="1" applyBorder="1"/>
    <xf numFmtId="49" fontId="0" fillId="2" borderId="1" xfId="0" quotePrefix="1" applyNumberFormat="1" applyFill="1" applyBorder="1"/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3" borderId="2" xfId="0" applyFill="1" applyBorder="1"/>
    <xf numFmtId="0" fontId="0" fillId="3" borderId="3" xfId="0" applyFill="1" applyBorder="1"/>
    <xf numFmtId="43" fontId="0" fillId="0" borderId="4" xfId="0" applyNumberFormat="1" applyBorder="1"/>
    <xf numFmtId="0" fontId="0" fillId="0" borderId="4" xfId="0" applyBorder="1"/>
    <xf numFmtId="43" fontId="0" fillId="0" borderId="5" xfId="0" applyNumberFormat="1" applyBorder="1"/>
    <xf numFmtId="43" fontId="0" fillId="0" borderId="6" xfId="0" applyNumberFormat="1" applyBorder="1"/>
    <xf numFmtId="0" fontId="0" fillId="0" borderId="6" xfId="0" applyBorder="1"/>
    <xf numFmtId="0" fontId="4" fillId="0" borderId="1" xfId="0" applyFont="1" applyBorder="1" applyAlignment="1">
      <alignment horizontal="center"/>
    </xf>
    <xf numFmtId="165" fontId="8" fillId="0" borderId="1" xfId="0" applyNumberFormat="1" applyFont="1" applyBorder="1"/>
    <xf numFmtId="43" fontId="5" fillId="0" borderId="4" xfId="0" applyNumberFormat="1" applyFont="1" applyBorder="1"/>
    <xf numFmtId="165" fontId="7" fillId="0" borderId="4" xfId="0" applyNumberFormat="1" applyFont="1" applyBorder="1"/>
    <xf numFmtId="43" fontId="4" fillId="0" borderId="4" xfId="0" applyNumberFormat="1" applyFont="1" applyBorder="1"/>
    <xf numFmtId="49" fontId="0" fillId="0" borderId="0" xfId="0" applyNumberFormat="1"/>
    <xf numFmtId="0" fontId="4" fillId="0" borderId="0" xfId="0" applyFont="1"/>
    <xf numFmtId="0" fontId="5" fillId="0" borderId="0" xfId="0" applyFont="1"/>
    <xf numFmtId="49" fontId="0" fillId="0" borderId="0" xfId="0" quotePrefix="1" applyNumberFormat="1"/>
    <xf numFmtId="43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49" fontId="0" fillId="3" borderId="1" xfId="0" quotePrefix="1" applyNumberFormat="1" applyFill="1" applyBorder="1"/>
    <xf numFmtId="0" fontId="3" fillId="0" borderId="4" xfId="0" applyFont="1" applyBorder="1"/>
    <xf numFmtId="0" fontId="0" fillId="0" borderId="0" xfId="0" quotePrefix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0" fillId="0" borderId="10" xfId="0" applyNumberFormat="1" applyBorder="1"/>
    <xf numFmtId="0" fontId="0" fillId="0" borderId="10" xfId="0" applyBorder="1"/>
    <xf numFmtId="0" fontId="0" fillId="0" borderId="11" xfId="0" applyBorder="1"/>
    <xf numFmtId="49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49" fontId="5" fillId="0" borderId="0" xfId="0" applyNumberFormat="1" applyFont="1"/>
    <xf numFmtId="43" fontId="0" fillId="0" borderId="10" xfId="0" applyNumberFormat="1" applyBorder="1"/>
    <xf numFmtId="165" fontId="0" fillId="0" borderId="7" xfId="0" applyNumberFormat="1" applyBorder="1"/>
    <xf numFmtId="0" fontId="0" fillId="0" borderId="7" xfId="0" applyBorder="1"/>
    <xf numFmtId="43" fontId="0" fillId="0" borderId="2" xfId="0" applyNumberFormat="1" applyBorder="1"/>
    <xf numFmtId="0" fontId="0" fillId="0" borderId="12" xfId="0" applyBorder="1"/>
    <xf numFmtId="10" fontId="0" fillId="0" borderId="10" xfId="0" applyNumberFormat="1" applyBorder="1"/>
    <xf numFmtId="9" fontId="0" fillId="0" borderId="0" xfId="0" applyNumberFormat="1"/>
    <xf numFmtId="8" fontId="0" fillId="0" borderId="0" xfId="0" applyNumberFormat="1"/>
    <xf numFmtId="0" fontId="4" fillId="0" borderId="0" xfId="0" applyFont="1" applyAlignment="1">
      <alignment horizontal="left"/>
    </xf>
    <xf numFmtId="0" fontId="0" fillId="3" borderId="13" xfId="0" applyFill="1" applyBorder="1"/>
    <xf numFmtId="43" fontId="0" fillId="0" borderId="14" xfId="0" applyNumberFormat="1" applyBorder="1"/>
    <xf numFmtId="0" fontId="0" fillId="3" borderId="0" xfId="0" applyFill="1"/>
    <xf numFmtId="49" fontId="0" fillId="3" borderId="0" xfId="0" applyNumberFormat="1" applyFill="1"/>
    <xf numFmtId="0" fontId="4" fillId="3" borderId="1" xfId="0" applyFont="1" applyFill="1" applyBorder="1"/>
    <xf numFmtId="0" fontId="4" fillId="3" borderId="13" xfId="0" applyFont="1" applyFill="1" applyBorder="1"/>
    <xf numFmtId="43" fontId="0" fillId="0" borderId="16" xfId="0" applyNumberFormat="1" applyBorder="1"/>
    <xf numFmtId="0" fontId="0" fillId="0" borderId="16" xfId="0" applyBorder="1"/>
    <xf numFmtId="43" fontId="0" fillId="0" borderId="15" xfId="0" applyNumberFormat="1" applyBorder="1"/>
    <xf numFmtId="43" fontId="0" fillId="0" borderId="17" xfId="0" applyNumberFormat="1" applyBorder="1"/>
    <xf numFmtId="0" fontId="0" fillId="0" borderId="17" xfId="0" applyBorder="1"/>
    <xf numFmtId="43" fontId="0" fillId="0" borderId="7" xfId="0" applyNumberFormat="1" applyBorder="1"/>
    <xf numFmtId="43" fontId="0" fillId="0" borderId="18" xfId="0" applyNumberFormat="1" applyBorder="1"/>
    <xf numFmtId="0" fontId="0" fillId="4" borderId="0" xfId="0" applyFill="1"/>
    <xf numFmtId="0" fontId="0" fillId="6" borderId="0" xfId="0" applyFill="1"/>
    <xf numFmtId="0" fontId="3" fillId="5" borderId="0" xfId="0" applyFont="1" applyFill="1"/>
    <xf numFmtId="0" fontId="9" fillId="3" borderId="1" xfId="0" applyFont="1" applyFill="1" applyBorder="1"/>
    <xf numFmtId="0" fontId="11" fillId="6" borderId="0" xfId="0" applyFont="1" applyFill="1"/>
    <xf numFmtId="0" fontId="0" fillId="0" borderId="1" xfId="0" quotePrefix="1" applyBorder="1"/>
    <xf numFmtId="43" fontId="4" fillId="3" borderId="1" xfId="0" applyNumberFormat="1" applyFont="1" applyFill="1" applyBorder="1"/>
    <xf numFmtId="0" fontId="0" fillId="0" borderId="2" xfId="0" applyBorder="1"/>
    <xf numFmtId="165" fontId="0" fillId="0" borderId="17" xfId="0" applyNumberFormat="1" applyBorder="1"/>
    <xf numFmtId="165" fontId="0" fillId="0" borderId="12" xfId="0" applyNumberFormat="1" applyBorder="1"/>
    <xf numFmtId="49" fontId="4" fillId="0" borderId="0" xfId="0" applyNumberFormat="1" applyFont="1" applyAlignment="1">
      <alignment horizontal="right"/>
    </xf>
    <xf numFmtId="165" fontId="7" fillId="0" borderId="6" xfId="0" applyNumberFormat="1" applyFont="1" applyBorder="1"/>
    <xf numFmtId="165" fontId="7" fillId="0" borderId="2" xfId="0" applyNumberFormat="1" applyFont="1" applyBorder="1"/>
    <xf numFmtId="43" fontId="4" fillId="0" borderId="19" xfId="0" applyNumberFormat="1" applyFont="1" applyBorder="1"/>
    <xf numFmtId="165" fontId="7" fillId="0" borderId="19" xfId="0" applyNumberFormat="1" applyFont="1" applyBorder="1"/>
    <xf numFmtId="0" fontId="0" fillId="0" borderId="19" xfId="0" applyBorder="1"/>
    <xf numFmtId="43" fontId="0" fillId="0" borderId="20" xfId="0" applyNumberFormat="1" applyBorder="1"/>
    <xf numFmtId="43" fontId="0" fillId="0" borderId="21" xfId="0" applyNumberFormat="1" applyBorder="1"/>
    <xf numFmtId="43" fontId="4" fillId="0" borderId="22" xfId="0" applyNumberFormat="1" applyFont="1" applyBorder="1"/>
    <xf numFmtId="165" fontId="0" fillId="0" borderId="22" xfId="0" applyNumberFormat="1" applyBorder="1"/>
    <xf numFmtId="165" fontId="0" fillId="0" borderId="24" xfId="0" applyNumberFormat="1" applyBorder="1"/>
    <xf numFmtId="0" fontId="0" fillId="0" borderId="22" xfId="0" applyBorder="1"/>
    <xf numFmtId="43" fontId="0" fillId="0" borderId="22" xfId="0" applyNumberFormat="1" applyBorder="1"/>
    <xf numFmtId="165" fontId="0" fillId="0" borderId="23" xfId="0" applyNumberFormat="1" applyBorder="1"/>
    <xf numFmtId="43" fontId="0" fillId="0" borderId="25" xfId="0" applyNumberFormat="1" applyBorder="1"/>
    <xf numFmtId="43" fontId="5" fillId="0" borderId="26" xfId="0" applyNumberFormat="1" applyFont="1" applyBorder="1"/>
    <xf numFmtId="165" fontId="7" fillId="0" borderId="26" xfId="0" applyNumberFormat="1" applyFont="1" applyBorder="1"/>
    <xf numFmtId="43" fontId="0" fillId="0" borderId="27" xfId="0" applyNumberFormat="1" applyBorder="1"/>
    <xf numFmtId="0" fontId="0" fillId="0" borderId="27" xfId="0" applyBorder="1"/>
    <xf numFmtId="49" fontId="0" fillId="3" borderId="13" xfId="0" quotePrefix="1" applyNumberFormat="1" applyFill="1" applyBorder="1"/>
    <xf numFmtId="0" fontId="0" fillId="3" borderId="4" xfId="0" applyFill="1" applyBorder="1"/>
    <xf numFmtId="0" fontId="0" fillId="3" borderId="9" xfId="0" applyFill="1" applyBorder="1"/>
    <xf numFmtId="0" fontId="0" fillId="2" borderId="4" xfId="0" applyFill="1" applyBorder="1"/>
    <xf numFmtId="0" fontId="0" fillId="3" borderId="0" xfId="0" quotePrefix="1" applyFill="1"/>
    <xf numFmtId="0" fontId="0" fillId="0" borderId="13" xfId="0" applyBorder="1"/>
    <xf numFmtId="43" fontId="0" fillId="0" borderId="13" xfId="0" applyNumberFormat="1" applyBorder="1"/>
    <xf numFmtId="165" fontId="0" fillId="0" borderId="8" xfId="0" applyNumberFormat="1" applyBorder="1"/>
    <xf numFmtId="0" fontId="0" fillId="0" borderId="8" xfId="0" applyBorder="1"/>
    <xf numFmtId="0" fontId="0" fillId="7" borderId="0" xfId="0" applyFill="1"/>
    <xf numFmtId="43" fontId="0" fillId="7" borderId="0" xfId="0" applyNumberFormat="1" applyFill="1"/>
    <xf numFmtId="165" fontId="0" fillId="7" borderId="0" xfId="0" applyNumberFormat="1" applyFill="1"/>
    <xf numFmtId="0" fontId="0" fillId="5" borderId="1" xfId="0" applyFill="1" applyBorder="1"/>
    <xf numFmtId="43" fontId="0" fillId="5" borderId="1" xfId="0" applyNumberFormat="1" applyFill="1" applyBorder="1"/>
    <xf numFmtId="165" fontId="7" fillId="5" borderId="1" xfId="0" applyNumberFormat="1" applyFont="1" applyFill="1" applyBorder="1"/>
    <xf numFmtId="49" fontId="0" fillId="0" borderId="1" xfId="0" applyNumberFormat="1" applyBorder="1"/>
    <xf numFmtId="49" fontId="0" fillId="0" borderId="1" xfId="0" quotePrefix="1" applyNumberFormat="1" applyBorder="1"/>
    <xf numFmtId="49" fontId="0" fillId="5" borderId="1" xfId="0" quotePrefix="1" applyNumberFormat="1" applyFill="1" applyBorder="1"/>
    <xf numFmtId="49" fontId="0" fillId="8" borderId="0" xfId="0" applyNumberFormat="1" applyFill="1"/>
    <xf numFmtId="0" fontId="0" fillId="8" borderId="0" xfId="0" applyFill="1"/>
    <xf numFmtId="43" fontId="0" fillId="8" borderId="6" xfId="0" applyNumberFormat="1" applyFill="1" applyBorder="1"/>
    <xf numFmtId="165" fontId="0" fillId="8" borderId="10" xfId="0" applyNumberFormat="1" applyFill="1" applyBorder="1"/>
    <xf numFmtId="0" fontId="0" fillId="8" borderId="10" xfId="0" applyFill="1" applyBorder="1"/>
    <xf numFmtId="43" fontId="0" fillId="8" borderId="2" xfId="0" applyNumberFormat="1" applyFill="1" applyBorder="1"/>
    <xf numFmtId="165" fontId="0" fillId="8" borderId="0" xfId="0" applyNumberFormat="1" applyFill="1"/>
    <xf numFmtId="0" fontId="5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43" fontId="0" fillId="9" borderId="1" xfId="0" applyNumberFormat="1" applyFill="1" applyBorder="1"/>
    <xf numFmtId="43" fontId="0" fillId="9" borderId="17" xfId="0" applyNumberFormat="1" applyFill="1" applyBorder="1"/>
    <xf numFmtId="0" fontId="0" fillId="9" borderId="0" xfId="0" applyFill="1"/>
    <xf numFmtId="43" fontId="0" fillId="9" borderId="2" xfId="0" applyNumberFormat="1" applyFill="1" applyBorder="1"/>
    <xf numFmtId="43" fontId="0" fillId="9" borderId="0" xfId="0" applyNumberFormat="1" applyFill="1"/>
    <xf numFmtId="0" fontId="0" fillId="9" borderId="22" xfId="0" applyFill="1" applyBorder="1"/>
    <xf numFmtId="0" fontId="4" fillId="9" borderId="0" xfId="0" applyFont="1" applyFill="1" applyAlignment="1">
      <alignment horizontal="center"/>
    </xf>
    <xf numFmtId="43" fontId="0" fillId="9" borderId="6" xfId="0" applyNumberFormat="1" applyFill="1" applyBorder="1"/>
    <xf numFmtId="43" fontId="0" fillId="9" borderId="4" xfId="0" applyNumberFormat="1" applyFill="1" applyBorder="1"/>
    <xf numFmtId="43" fontId="0" fillId="9" borderId="20" xfId="0" applyNumberFormat="1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164" fontId="5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34"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4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numFmt numFmtId="35" formatCode="_(* #,##0.00_);_(* \(#,##0.00\);_(* &quot;-&quot;??_);_(@_)"/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4"/>
        </patternFill>
      </fill>
      <border diagonalUp="0" diagonalDown="0">
        <left style="thin">
          <color theme="2"/>
        </left>
        <right style="thin">
          <color theme="2"/>
        </right>
        <top/>
        <bottom/>
        <vertical style="thin">
          <color theme="2"/>
        </vertical>
        <horizontal style="thin">
          <color theme="2"/>
        </horizontal>
      </border>
    </dxf>
  </dxfs>
  <tableStyles count="0" defaultTableStyle="TableStyleMedium2" defaultPivotStyle="PivotStyleLight16"/>
  <colors>
    <mruColors>
      <color rgb="FFCC66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" connectionId="1" xr16:uid="{2444ACB0-C720-4792-8660-900F08D449F3}" autoFormatId="16" applyNumberFormats="0" applyBorderFormats="0" applyFontFormats="0" applyPatternFormats="0" applyAlignmentFormats="0" applyWidthHeightFormats="0">
  <queryTableRefresh nextId="8">
    <queryTableFields count="7">
      <queryTableField id="1" name="AccountNo" tableColumnId="1"/>
      <queryTableField id="2" name="Year" tableColumnId="2"/>
      <queryTableField id="3" name="Month" tableColumnId="3"/>
      <queryTableField id="4" name="YTD" tableColumnId="4"/>
      <queryTableField id="5" name="MTD" tableColumnId="5"/>
      <queryTableField id="6" name="Description" tableColumnId="6"/>
      <queryTableField id="7" name="Typ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1_1" connectionId="2" xr16:uid="{DC4D2EA2-4DBB-401C-9293-B6CCE641535C}" autoFormatId="16" applyNumberFormats="0" applyBorderFormats="0" applyFontFormats="0" applyPatternFormats="0" applyAlignmentFormats="0" applyWidthHeightFormats="0">
  <queryTableRefresh nextId="9">
    <queryTableFields count="7">
      <queryTableField id="1" name="AccountNo" tableColumnId="1"/>
      <queryTableField id="3" name="Year" tableColumnId="3"/>
      <queryTableField id="4" name="Month" tableColumnId="4"/>
      <queryTableField id="5" name="YTD" tableColumnId="5"/>
      <queryTableField id="6" name="MTD" tableColumnId="6"/>
      <queryTableField id="7" name="Description" tableColumnId="7"/>
      <queryTableField id="8" name="Typ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B2" connectionId="3" xr16:uid="{31A59830-56F1-45E4-9010-0A4EFBC7200F}" autoFormatId="16" applyNumberFormats="0" applyBorderFormats="0" applyFontFormats="0" applyPatternFormats="0" applyAlignmentFormats="0" applyWidthHeightFormats="0">
  <queryTableRefresh nextId="7">
    <queryTableFields count="6">
      <queryTableField id="1" name="AccountNo" tableColumnId="1"/>
      <queryTableField id="2" name="AccountField" tableColumnId="2"/>
      <queryTableField id="3" name="YTD" tableColumnId="3"/>
      <queryTableField id="4" name="MTD" tableColumnId="4"/>
      <queryTableField id="5" name="Type" tableColumnId="5"/>
      <queryTableField id="6" name="Descrip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EB449-D5E3-42F5-BCC3-CDB128A2A513}" name="Table_TB" displayName="Table_TB" ref="B5:H761" tableType="queryTable" totalsRowCount="1" headerRowDxfId="33" dataDxfId="32" totalsRowDxfId="31">
  <autoFilter ref="B5:H760" xr:uid="{4599BA7D-3C94-4BED-9B18-F0E593ADB436}"/>
  <tableColumns count="7">
    <tableColumn id="1" xr3:uid="{EB1306E3-DDEC-4442-9F38-DACF77651AD9}" uniqueName="1" name="AccountNo" queryTableFieldId="1" dataDxfId="30" totalsRowDxfId="29"/>
    <tableColumn id="2" xr3:uid="{8FFAF7E4-C6F1-4135-A32E-7C080090F744}" uniqueName="2" name="Year" queryTableFieldId="2" dataDxfId="28" totalsRowDxfId="27"/>
    <tableColumn id="3" xr3:uid="{591923FF-A1A1-46F6-8426-09069382C5E8}" uniqueName="3" name="Month" queryTableFieldId="3" dataDxfId="26" totalsRowDxfId="25"/>
    <tableColumn id="4" xr3:uid="{6C0E1D4A-D3BC-46E0-9FF7-9A07427B6003}" uniqueName="4" name="YTD" totalsRowFunction="custom" queryTableFieldId="4" dataDxfId="24" totalsRowDxfId="23">
      <totalsRowFormula>SUBTOTAL(109,E6:E760)</totalsRowFormula>
    </tableColumn>
    <tableColumn id="5" xr3:uid="{E420ED60-92ED-4666-8EB9-2B9D411B41D5}" uniqueName="5" name="MTD" totalsRowFunction="custom" queryTableFieldId="5" dataDxfId="22" totalsRowDxfId="21">
      <totalsRowFormula>SUBTOTAL(109,F6:F760)</totalsRowFormula>
    </tableColumn>
    <tableColumn id="6" xr3:uid="{28F762B4-AA69-450F-BFE5-A0CAE399CA54}" uniqueName="6" name="Description" queryTableFieldId="6" dataDxfId="20" totalsRowDxfId="19"/>
    <tableColumn id="7" xr3:uid="{00FB774B-FEE5-4AB1-9EAA-0E9AE5B15D4B}" uniqueName="7" name="Type" queryTableFieldId="7" dataDxfId="18" totalsRow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C0A271-A87D-4354-9813-06081E911AE1}" name="Table_TB1_1" displayName="Table_TB1_1" ref="P5:V753" tableType="queryTable" totalsRowCount="1" headerRowDxfId="16" dataDxfId="15" totalsRowDxfId="14">
  <autoFilter ref="P5:V752" xr:uid="{BEE0240C-33E1-4047-8A4A-81CC9451FDD7}"/>
  <tableColumns count="7">
    <tableColumn id="1" xr3:uid="{0C58C0A6-43EE-4C22-835E-3992978A4B85}" uniqueName="1" name="AccountNo" queryTableFieldId="1" dataDxfId="13" totalsRowDxfId="12"/>
    <tableColumn id="3" xr3:uid="{AEF9BE35-A6A9-45FE-82FB-65E10416ED86}" uniqueName="3" name="Year" queryTableFieldId="3" dataDxfId="11" totalsRowDxfId="10"/>
    <tableColumn id="4" xr3:uid="{CF53E620-D8DC-48CF-A895-B7816D6488DF}" uniqueName="4" name="Month" queryTableFieldId="4" dataDxfId="9" totalsRowDxfId="8"/>
    <tableColumn id="5" xr3:uid="{8FA8F4D9-712B-40FD-885B-DA7A10C9F2A0}" uniqueName="5" name="YTD" queryTableFieldId="5" dataDxfId="7" totalsRowDxfId="6"/>
    <tableColumn id="6" xr3:uid="{1B04346C-581F-4267-9850-472F2401CC0B}" uniqueName="6" name="MTD" queryTableFieldId="6" dataDxfId="5" totalsRowDxfId="4"/>
    <tableColumn id="7" xr3:uid="{53360624-4C29-4489-B3D7-02726C1CB2AA}" uniqueName="7" name="Description" queryTableFieldId="7" dataDxfId="3" totalsRowDxfId="2"/>
    <tableColumn id="8" xr3:uid="{06CBF89E-6D13-4163-8186-3B99269EE322}" uniqueName="8" name="Type" queryTableFieldId="8" dataDxfId="1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0F457D-970E-4B51-8622-DD49D98896A0}" name="Table_TB2_" displayName="Table_TB2_" ref="Y5:AD752" tableType="queryTable" totalsRowShown="0">
  <autoFilter ref="Y5:AD752" xr:uid="{25DBAAD5-4B2A-4110-A0D5-87CD0039297D}"/>
  <tableColumns count="6">
    <tableColumn id="1" xr3:uid="{F5C00564-0B25-423F-A522-F28135498714}" uniqueName="1" name="AccountNo" queryTableFieldId="1"/>
    <tableColumn id="2" xr3:uid="{C48F191D-363C-458D-88A7-5E624D2C3454}" uniqueName="2" name="AccountField" queryTableFieldId="2"/>
    <tableColumn id="3" xr3:uid="{9941899B-3581-4A42-8A51-5A7A541FF276}" uniqueName="3" name="YTD" queryTableFieldId="3"/>
    <tableColumn id="4" xr3:uid="{193BAC91-7316-4BE9-939A-3E202DC3520D}" uniqueName="4" name="MTD" queryTableFieldId="4"/>
    <tableColumn id="5" xr3:uid="{ECAB2804-8F9B-4BDF-86B6-42C82A7BFC21}" uniqueName="5" name="Type" queryTableFieldId="5"/>
    <tableColumn id="6" xr3:uid="{C75CB583-F0AE-41B4-BDD1-DAAA97E73026}" uniqueName="6" name="Description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CC21-D364-4ABD-B856-3F51CC899086}">
  <sheetPr>
    <pageSetUpPr fitToPage="1"/>
  </sheetPr>
  <dimension ref="A3:AD761"/>
  <sheetViews>
    <sheetView topLeftCell="A201" workbookViewId="0">
      <selection activeCell="G24" sqref="G24"/>
    </sheetView>
  </sheetViews>
  <sheetFormatPr defaultRowHeight="15" x14ac:dyDescent="0.25"/>
  <cols>
    <col min="2" max="2" width="13" style="1" bestFit="1" customWidth="1"/>
    <col min="3" max="3" width="7.28515625" style="1" bestFit="1" customWidth="1"/>
    <col min="4" max="4" width="9.28515625" style="1" bestFit="1" customWidth="1"/>
    <col min="5" max="5" width="12.85546875" style="1" bestFit="1" customWidth="1"/>
    <col min="6" max="6" width="11.85546875" style="1" bestFit="1" customWidth="1"/>
    <col min="7" max="7" width="37.7109375" style="1" bestFit="1" customWidth="1"/>
    <col min="8" max="8" width="7.5703125" style="1" bestFit="1" customWidth="1"/>
    <col min="9" max="9" width="3.140625" style="67" customWidth="1"/>
    <col min="10" max="10" width="7.5703125" style="67" hidden="1" customWidth="1"/>
    <col min="11" max="11" width="10.140625" style="67" hidden="1" customWidth="1"/>
    <col min="16" max="16" width="13" style="1" bestFit="1" customWidth="1"/>
    <col min="17" max="17" width="7.28515625" style="1" bestFit="1" customWidth="1"/>
    <col min="18" max="18" width="9.28515625" style="1" bestFit="1" customWidth="1"/>
    <col min="19" max="19" width="12.85546875" style="1" bestFit="1" customWidth="1"/>
    <col min="20" max="20" width="10.85546875" style="1" bestFit="1" customWidth="1"/>
    <col min="21" max="21" width="37.7109375" style="1" bestFit="1" customWidth="1"/>
    <col min="22" max="22" width="7.5703125" style="1" bestFit="1" customWidth="1"/>
    <col min="23" max="23" width="7.5703125" style="67" customWidth="1"/>
    <col min="24" max="24" width="9.85546875" customWidth="1"/>
    <col min="25" max="25" width="13" bestFit="1" customWidth="1"/>
    <col min="26" max="26" width="14.85546875" bestFit="1" customWidth="1"/>
    <col min="27" max="27" width="12.85546875" bestFit="1" customWidth="1"/>
    <col min="28" max="28" width="10.85546875" bestFit="1" customWidth="1"/>
    <col min="29" max="29" width="7.5703125" bestFit="1" customWidth="1"/>
    <col min="30" max="30" width="37.7109375" bestFit="1" customWidth="1"/>
  </cols>
  <sheetData>
    <row r="3" spans="1:30" ht="18.75" x14ac:dyDescent="0.3">
      <c r="A3" s="80">
        <v>1</v>
      </c>
      <c r="B3" s="81" t="s">
        <v>1206</v>
      </c>
      <c r="O3" s="82">
        <f>A3</f>
        <v>1</v>
      </c>
      <c r="X3" s="79">
        <f>IF(A3-1 &gt; 0, A3 - 1, 12)</f>
        <v>12</v>
      </c>
    </row>
    <row r="4" spans="1:30" ht="18.75" x14ac:dyDescent="0.3">
      <c r="A4" s="80">
        <v>2026</v>
      </c>
      <c r="B4" s="81" t="s">
        <v>1207</v>
      </c>
      <c r="O4" s="82">
        <f>A4-1</f>
        <v>2025</v>
      </c>
      <c r="X4" s="79">
        <f>IF(A3 = 1, A4-1, A4)</f>
        <v>2025</v>
      </c>
    </row>
    <row r="5" spans="1:30" x14ac:dyDescent="0.2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78"/>
      <c r="J5" s="78"/>
      <c r="K5" s="78"/>
      <c r="P5" s="2" t="s">
        <v>0</v>
      </c>
      <c r="Q5" s="2" t="s">
        <v>1</v>
      </c>
      <c r="R5" s="2" t="s">
        <v>2</v>
      </c>
      <c r="S5" s="2" t="s">
        <v>3</v>
      </c>
      <c r="T5" s="2" t="s">
        <v>4</v>
      </c>
      <c r="U5" s="2" t="s">
        <v>5</v>
      </c>
      <c r="V5" s="2" t="s">
        <v>6</v>
      </c>
      <c r="W5" s="78"/>
      <c r="Y5" t="s">
        <v>0</v>
      </c>
      <c r="Z5" t="s">
        <v>1204</v>
      </c>
      <c r="AA5" t="s">
        <v>3</v>
      </c>
      <c r="AB5" t="s">
        <v>4</v>
      </c>
      <c r="AC5" t="s">
        <v>6</v>
      </c>
      <c r="AD5" t="s">
        <v>5</v>
      </c>
    </row>
    <row r="6" spans="1:30" x14ac:dyDescent="0.25">
      <c r="B6" s="1" t="s">
        <v>7</v>
      </c>
      <c r="C6" s="1">
        <v>2026</v>
      </c>
      <c r="D6" s="1">
        <v>1</v>
      </c>
      <c r="E6" s="1">
        <v>5676709.9199999999</v>
      </c>
      <c r="F6" s="1">
        <v>2500000</v>
      </c>
      <c r="G6" s="1" t="s">
        <v>8</v>
      </c>
      <c r="H6" s="1" t="s">
        <v>9</v>
      </c>
      <c r="P6" s="1" t="s">
        <v>7</v>
      </c>
      <c r="Q6" s="1">
        <v>2025</v>
      </c>
      <c r="R6" s="1">
        <v>1</v>
      </c>
      <c r="S6" s="1">
        <v>5860198.7800000003</v>
      </c>
      <c r="T6" s="1">
        <v>18597.099999999999</v>
      </c>
      <c r="U6" s="1" t="s">
        <v>8</v>
      </c>
      <c r="V6" s="1" t="s">
        <v>9</v>
      </c>
      <c r="Y6" t="s">
        <v>7</v>
      </c>
      <c r="Z6" t="s">
        <v>1205</v>
      </c>
      <c r="AA6">
        <v>3176709.92</v>
      </c>
      <c r="AB6">
        <v>-491755.12</v>
      </c>
      <c r="AC6" t="s">
        <v>9</v>
      </c>
      <c r="AD6" t="s">
        <v>8</v>
      </c>
    </row>
    <row r="7" spans="1:30" x14ac:dyDescent="0.25">
      <c r="B7" s="1" t="s">
        <v>10</v>
      </c>
      <c r="C7" s="1">
        <v>2026</v>
      </c>
      <c r="D7" s="1">
        <v>1</v>
      </c>
      <c r="E7" s="1">
        <v>1134287.8600000001</v>
      </c>
      <c r="F7" s="1">
        <v>-1039335.22</v>
      </c>
      <c r="G7" s="1" t="s">
        <v>11</v>
      </c>
      <c r="H7" s="1" t="s">
        <v>9</v>
      </c>
      <c r="P7" s="1" t="s">
        <v>10</v>
      </c>
      <c r="Q7" s="1">
        <v>2025</v>
      </c>
      <c r="R7" s="1">
        <v>1</v>
      </c>
      <c r="S7" s="1">
        <v>1374677.58</v>
      </c>
      <c r="T7" s="1">
        <v>-726208.21</v>
      </c>
      <c r="U7" s="1" t="s">
        <v>11</v>
      </c>
      <c r="V7" s="1" t="s">
        <v>9</v>
      </c>
      <c r="Y7" t="s">
        <v>10</v>
      </c>
      <c r="Z7" t="s">
        <v>1205</v>
      </c>
      <c r="AA7">
        <v>2173623.08</v>
      </c>
      <c r="AB7">
        <v>761514.13</v>
      </c>
      <c r="AC7" t="s">
        <v>9</v>
      </c>
      <c r="AD7" t="s">
        <v>11</v>
      </c>
    </row>
    <row r="8" spans="1:30" x14ac:dyDescent="0.25">
      <c r="B8" s="1" t="s">
        <v>12</v>
      </c>
      <c r="C8" s="1">
        <v>2026</v>
      </c>
      <c r="D8" s="1">
        <v>1</v>
      </c>
      <c r="E8" s="1">
        <v>0</v>
      </c>
      <c r="F8" s="1">
        <v>0</v>
      </c>
      <c r="G8" s="1" t="s">
        <v>13</v>
      </c>
      <c r="H8" s="1" t="s">
        <v>9</v>
      </c>
      <c r="P8" s="1" t="s">
        <v>12</v>
      </c>
      <c r="Q8" s="1">
        <v>2025</v>
      </c>
      <c r="R8" s="1">
        <v>1</v>
      </c>
      <c r="S8" s="1">
        <v>0</v>
      </c>
      <c r="T8" s="1">
        <v>0</v>
      </c>
      <c r="U8" s="1" t="s">
        <v>13</v>
      </c>
      <c r="V8" s="1" t="s">
        <v>9</v>
      </c>
      <c r="Y8" t="s">
        <v>12</v>
      </c>
      <c r="Z8" t="s">
        <v>1205</v>
      </c>
      <c r="AA8">
        <v>0</v>
      </c>
      <c r="AB8">
        <v>0</v>
      </c>
      <c r="AC8" t="s">
        <v>9</v>
      </c>
      <c r="AD8" t="s">
        <v>13</v>
      </c>
    </row>
    <row r="9" spans="1:30" x14ac:dyDescent="0.25">
      <c r="B9" s="1" t="s">
        <v>1226</v>
      </c>
      <c r="C9" s="1">
        <v>2026</v>
      </c>
      <c r="D9" s="1">
        <v>1</v>
      </c>
      <c r="E9" s="1">
        <v>0</v>
      </c>
      <c r="F9" s="1">
        <v>0</v>
      </c>
      <c r="G9" s="1" t="s">
        <v>1227</v>
      </c>
      <c r="H9" s="1" t="s">
        <v>9</v>
      </c>
      <c r="P9" s="1" t="s">
        <v>1226</v>
      </c>
      <c r="Q9" s="1">
        <v>2025</v>
      </c>
      <c r="R9" s="1">
        <v>1</v>
      </c>
      <c r="S9" s="1">
        <v>0</v>
      </c>
      <c r="T9" s="1">
        <v>0</v>
      </c>
      <c r="U9" s="1" t="s">
        <v>1227</v>
      </c>
      <c r="V9" s="1" t="s">
        <v>9</v>
      </c>
      <c r="Y9" t="s">
        <v>1226</v>
      </c>
      <c r="Z9" t="s">
        <v>1205</v>
      </c>
      <c r="AA9">
        <v>0</v>
      </c>
      <c r="AB9">
        <v>0</v>
      </c>
      <c r="AC9" t="s">
        <v>9</v>
      </c>
      <c r="AD9" t="s">
        <v>1227</v>
      </c>
    </row>
    <row r="10" spans="1:30" x14ac:dyDescent="0.25">
      <c r="B10" s="1" t="s">
        <v>1228</v>
      </c>
      <c r="C10" s="1">
        <v>2026</v>
      </c>
      <c r="D10" s="1">
        <v>1</v>
      </c>
      <c r="E10" s="1">
        <v>0</v>
      </c>
      <c r="F10" s="1">
        <v>0</v>
      </c>
      <c r="G10" s="1" t="s">
        <v>1229</v>
      </c>
      <c r="H10" s="1" t="s">
        <v>9</v>
      </c>
      <c r="P10" s="1" t="s">
        <v>1228</v>
      </c>
      <c r="Q10" s="1">
        <v>2025</v>
      </c>
      <c r="R10" s="1">
        <v>1</v>
      </c>
      <c r="S10" s="1">
        <v>0</v>
      </c>
      <c r="T10" s="1">
        <v>0</v>
      </c>
      <c r="U10" s="1" t="s">
        <v>1229</v>
      </c>
      <c r="V10" s="1" t="s">
        <v>9</v>
      </c>
      <c r="Y10" t="s">
        <v>1228</v>
      </c>
      <c r="Z10" t="s">
        <v>1205</v>
      </c>
      <c r="AA10">
        <v>0</v>
      </c>
      <c r="AB10">
        <v>0</v>
      </c>
      <c r="AC10" t="s">
        <v>9</v>
      </c>
      <c r="AD10" t="s">
        <v>1229</v>
      </c>
    </row>
    <row r="11" spans="1:30" x14ac:dyDescent="0.25">
      <c r="B11" s="1" t="s">
        <v>1230</v>
      </c>
      <c r="C11" s="1">
        <v>2026</v>
      </c>
      <c r="D11" s="1">
        <v>1</v>
      </c>
      <c r="E11" s="1">
        <v>0</v>
      </c>
      <c r="F11" s="1">
        <v>0</v>
      </c>
      <c r="G11" s="1" t="s">
        <v>1231</v>
      </c>
      <c r="H11" s="1" t="s">
        <v>9</v>
      </c>
      <c r="P11" s="1" t="s">
        <v>1230</v>
      </c>
      <c r="Q11" s="1">
        <v>2025</v>
      </c>
      <c r="R11" s="1">
        <v>1</v>
      </c>
      <c r="S11" s="1">
        <v>0</v>
      </c>
      <c r="T11" s="1">
        <v>0</v>
      </c>
      <c r="U11" s="1" t="s">
        <v>1231</v>
      </c>
      <c r="V11" s="1" t="s">
        <v>9</v>
      </c>
      <c r="Y11" t="s">
        <v>1230</v>
      </c>
      <c r="Z11" t="s">
        <v>1205</v>
      </c>
      <c r="AA11">
        <v>0</v>
      </c>
      <c r="AB11">
        <v>0</v>
      </c>
      <c r="AC11" t="s">
        <v>9</v>
      </c>
      <c r="AD11" t="s">
        <v>1231</v>
      </c>
    </row>
    <row r="12" spans="1:30" x14ac:dyDescent="0.25">
      <c r="B12" s="1" t="s">
        <v>14</v>
      </c>
      <c r="C12" s="1">
        <v>2026</v>
      </c>
      <c r="D12" s="1">
        <v>1</v>
      </c>
      <c r="E12" s="1">
        <v>1385493.18</v>
      </c>
      <c r="F12" s="1">
        <v>-1078366.95</v>
      </c>
      <c r="G12" s="1" t="s">
        <v>15</v>
      </c>
      <c r="H12" s="1" t="s">
        <v>9</v>
      </c>
      <c r="P12" s="1" t="s">
        <v>14</v>
      </c>
      <c r="Q12" s="1">
        <v>2025</v>
      </c>
      <c r="R12" s="1">
        <v>1</v>
      </c>
      <c r="S12" s="1">
        <v>2489058.25</v>
      </c>
      <c r="T12" s="1">
        <v>827347.32</v>
      </c>
      <c r="U12" s="1" t="s">
        <v>15</v>
      </c>
      <c r="V12" s="1" t="s">
        <v>9</v>
      </c>
      <c r="Y12" t="s">
        <v>14</v>
      </c>
      <c r="Z12" t="s">
        <v>1205</v>
      </c>
      <c r="AA12">
        <v>2463860.13</v>
      </c>
      <c r="AB12">
        <v>-729029.03</v>
      </c>
      <c r="AC12" t="s">
        <v>9</v>
      </c>
      <c r="AD12" t="s">
        <v>15</v>
      </c>
    </row>
    <row r="13" spans="1:30" x14ac:dyDescent="0.25">
      <c r="B13" s="1" t="s">
        <v>16</v>
      </c>
      <c r="C13" s="1">
        <v>2026</v>
      </c>
      <c r="D13" s="1">
        <v>1</v>
      </c>
      <c r="E13" s="1">
        <v>-2000.11</v>
      </c>
      <c r="F13" s="1">
        <v>0</v>
      </c>
      <c r="G13" s="1" t="s">
        <v>17</v>
      </c>
      <c r="H13" s="1" t="s">
        <v>9</v>
      </c>
      <c r="P13" s="1" t="s">
        <v>16</v>
      </c>
      <c r="Q13" s="1">
        <v>2025</v>
      </c>
      <c r="R13" s="1">
        <v>1</v>
      </c>
      <c r="S13" s="1">
        <v>-1918.43</v>
      </c>
      <c r="T13" s="1">
        <v>0</v>
      </c>
      <c r="U13" s="1" t="s">
        <v>17</v>
      </c>
      <c r="V13" s="1" t="s">
        <v>9</v>
      </c>
      <c r="Y13" t="s">
        <v>16</v>
      </c>
      <c r="Z13" t="s">
        <v>1205</v>
      </c>
      <c r="AA13">
        <v>-2000.11</v>
      </c>
      <c r="AB13">
        <v>-81.680000000000007</v>
      </c>
      <c r="AC13" t="s">
        <v>9</v>
      </c>
      <c r="AD13" t="s">
        <v>17</v>
      </c>
    </row>
    <row r="14" spans="1:30" x14ac:dyDescent="0.25">
      <c r="B14" s="1" t="s">
        <v>18</v>
      </c>
      <c r="C14" s="1">
        <v>2026</v>
      </c>
      <c r="D14" s="1">
        <v>1</v>
      </c>
      <c r="E14" s="1">
        <v>1550239.25</v>
      </c>
      <c r="F14" s="1">
        <v>-391768.91</v>
      </c>
      <c r="G14" s="1" t="s">
        <v>19</v>
      </c>
      <c r="H14" s="1" t="s">
        <v>9</v>
      </c>
      <c r="P14" s="1" t="s">
        <v>18</v>
      </c>
      <c r="Q14" s="1">
        <v>2025</v>
      </c>
      <c r="R14" s="1">
        <v>1</v>
      </c>
      <c r="S14" s="1">
        <v>3148086.59</v>
      </c>
      <c r="T14" s="1">
        <v>-242335.47</v>
      </c>
      <c r="U14" s="1" t="s">
        <v>19</v>
      </c>
      <c r="V14" s="1" t="s">
        <v>9</v>
      </c>
      <c r="Y14" t="s">
        <v>18</v>
      </c>
      <c r="Z14" t="s">
        <v>1205</v>
      </c>
      <c r="AA14">
        <v>1942008.16</v>
      </c>
      <c r="AB14">
        <v>586927.23</v>
      </c>
      <c r="AC14" t="s">
        <v>9</v>
      </c>
      <c r="AD14" t="s">
        <v>19</v>
      </c>
    </row>
    <row r="15" spans="1:30" x14ac:dyDescent="0.25">
      <c r="B15" s="1" t="s">
        <v>20</v>
      </c>
      <c r="C15" s="1">
        <v>2026</v>
      </c>
      <c r="D15" s="1">
        <v>1</v>
      </c>
      <c r="E15" s="1">
        <v>622576.07999999996</v>
      </c>
      <c r="F15" s="1">
        <v>82970.2</v>
      </c>
      <c r="G15" s="1" t="s">
        <v>21</v>
      </c>
      <c r="H15" s="1" t="s">
        <v>9</v>
      </c>
      <c r="P15" s="1" t="s">
        <v>20</v>
      </c>
      <c r="Q15" s="1">
        <v>2025</v>
      </c>
      <c r="R15" s="1">
        <v>1</v>
      </c>
      <c r="S15" s="1">
        <v>395371.73</v>
      </c>
      <c r="T15" s="1">
        <v>23483.72</v>
      </c>
      <c r="U15" s="1" t="s">
        <v>21</v>
      </c>
      <c r="V15" s="1" t="s">
        <v>9</v>
      </c>
      <c r="Y15" t="s">
        <v>20</v>
      </c>
      <c r="Z15" t="s">
        <v>1205</v>
      </c>
      <c r="AA15">
        <v>539605.88</v>
      </c>
      <c r="AB15">
        <v>1000</v>
      </c>
      <c r="AC15" t="s">
        <v>9</v>
      </c>
      <c r="AD15" t="s">
        <v>21</v>
      </c>
    </row>
    <row r="16" spans="1:30" x14ac:dyDescent="0.25">
      <c r="B16" s="1" t="s">
        <v>1234</v>
      </c>
      <c r="C16" s="1">
        <v>2026</v>
      </c>
      <c r="D16" s="1">
        <v>1</v>
      </c>
      <c r="E16" s="1">
        <v>75346.38</v>
      </c>
      <c r="F16" s="1">
        <v>-18331.89</v>
      </c>
      <c r="G16" s="1" t="s">
        <v>1318</v>
      </c>
      <c r="H16" s="1" t="s">
        <v>9</v>
      </c>
      <c r="P16" s="1" t="s">
        <v>1234</v>
      </c>
      <c r="Q16" s="1">
        <v>2025</v>
      </c>
      <c r="R16" s="1">
        <v>1</v>
      </c>
      <c r="S16" s="1">
        <v>113984.72</v>
      </c>
      <c r="T16" s="1">
        <v>42549.66</v>
      </c>
      <c r="U16" s="1" t="s">
        <v>1318</v>
      </c>
      <c r="V16" s="1" t="s">
        <v>9</v>
      </c>
      <c r="Y16" t="s">
        <v>1234</v>
      </c>
      <c r="Z16" t="s">
        <v>1205</v>
      </c>
      <c r="AA16">
        <v>93678.27</v>
      </c>
      <c r="AB16">
        <v>900.66</v>
      </c>
      <c r="AC16" t="s">
        <v>9</v>
      </c>
      <c r="AD16" t="s">
        <v>1318</v>
      </c>
    </row>
    <row r="17" spans="2:30" x14ac:dyDescent="0.25">
      <c r="B17" s="1" t="s">
        <v>22</v>
      </c>
      <c r="C17" s="1">
        <v>2026</v>
      </c>
      <c r="D17" s="1">
        <v>1</v>
      </c>
      <c r="E17" s="1">
        <v>329107.42</v>
      </c>
      <c r="F17" s="1">
        <v>227563.21</v>
      </c>
      <c r="G17" s="1" t="s">
        <v>23</v>
      </c>
      <c r="H17" s="1" t="s">
        <v>9</v>
      </c>
      <c r="P17" s="1" t="s">
        <v>22</v>
      </c>
      <c r="Q17" s="1">
        <v>2025</v>
      </c>
      <c r="R17" s="1">
        <v>1</v>
      </c>
      <c r="S17" s="1">
        <v>429956.31</v>
      </c>
      <c r="T17" s="1">
        <v>111860.15</v>
      </c>
      <c r="U17" s="1" t="s">
        <v>23</v>
      </c>
      <c r="V17" s="1" t="s">
        <v>9</v>
      </c>
      <c r="Y17" t="s">
        <v>22</v>
      </c>
      <c r="Z17" t="s">
        <v>1205</v>
      </c>
      <c r="AA17">
        <v>101544.21</v>
      </c>
      <c r="AB17">
        <v>-240169.03</v>
      </c>
      <c r="AC17" t="s">
        <v>9</v>
      </c>
      <c r="AD17" t="s">
        <v>23</v>
      </c>
    </row>
    <row r="18" spans="2:30" x14ac:dyDescent="0.25">
      <c r="B18" s="1" t="s">
        <v>24</v>
      </c>
      <c r="C18" s="1">
        <v>2026</v>
      </c>
      <c r="D18" s="1">
        <v>1</v>
      </c>
      <c r="E18" s="1">
        <v>765025.01</v>
      </c>
      <c r="F18" s="1">
        <v>258530.22</v>
      </c>
      <c r="G18" s="1" t="s">
        <v>25</v>
      </c>
      <c r="H18" s="1" t="s">
        <v>9</v>
      </c>
      <c r="P18" s="1" t="s">
        <v>24</v>
      </c>
      <c r="Q18" s="1">
        <v>2025</v>
      </c>
      <c r="R18" s="1">
        <v>1</v>
      </c>
      <c r="S18" s="1">
        <v>238687.2</v>
      </c>
      <c r="T18" s="1">
        <v>-230216.49</v>
      </c>
      <c r="U18" s="1" t="s">
        <v>25</v>
      </c>
      <c r="V18" s="1" t="s">
        <v>9</v>
      </c>
      <c r="Y18" t="s">
        <v>24</v>
      </c>
      <c r="Z18" t="s">
        <v>1205</v>
      </c>
      <c r="AA18">
        <v>506494.79</v>
      </c>
      <c r="AB18">
        <v>17410.77</v>
      </c>
      <c r="AC18" t="s">
        <v>9</v>
      </c>
      <c r="AD18" t="s">
        <v>25</v>
      </c>
    </row>
    <row r="19" spans="2:30" x14ac:dyDescent="0.25">
      <c r="B19" s="1" t="s">
        <v>26</v>
      </c>
      <c r="C19" s="1">
        <v>2026</v>
      </c>
      <c r="D19" s="1">
        <v>1</v>
      </c>
      <c r="E19" s="1">
        <v>107823.53</v>
      </c>
      <c r="F19" s="1">
        <v>56501.38</v>
      </c>
      <c r="G19" s="1" t="s">
        <v>27</v>
      </c>
      <c r="H19" s="1" t="s">
        <v>9</v>
      </c>
      <c r="P19" s="1" t="s">
        <v>26</v>
      </c>
      <c r="Q19" s="1">
        <v>2025</v>
      </c>
      <c r="R19" s="1">
        <v>1</v>
      </c>
      <c r="S19" s="1">
        <v>230078.32</v>
      </c>
      <c r="T19" s="1">
        <v>60203.39</v>
      </c>
      <c r="U19" s="1" t="s">
        <v>27</v>
      </c>
      <c r="V19" s="1" t="s">
        <v>9</v>
      </c>
      <c r="Y19" t="s">
        <v>26</v>
      </c>
      <c r="Z19" t="s">
        <v>1205</v>
      </c>
      <c r="AA19">
        <v>51322.15</v>
      </c>
      <c r="AB19">
        <v>-37749.660000000003</v>
      </c>
      <c r="AC19" t="s">
        <v>9</v>
      </c>
      <c r="AD19" t="s">
        <v>27</v>
      </c>
    </row>
    <row r="20" spans="2:30" x14ac:dyDescent="0.25">
      <c r="B20" s="1" t="s">
        <v>28</v>
      </c>
      <c r="C20" s="1">
        <v>2026</v>
      </c>
      <c r="D20" s="1">
        <v>1</v>
      </c>
      <c r="E20" s="1">
        <v>225.75</v>
      </c>
      <c r="F20" s="1">
        <v>0</v>
      </c>
      <c r="G20" s="1" t="s">
        <v>29</v>
      </c>
      <c r="H20" s="1" t="s">
        <v>9</v>
      </c>
      <c r="P20" s="1" t="s">
        <v>28</v>
      </c>
      <c r="Q20" s="1">
        <v>2025</v>
      </c>
      <c r="R20" s="1">
        <v>1</v>
      </c>
      <c r="S20" s="1">
        <v>0</v>
      </c>
      <c r="T20" s="1">
        <v>-2934.75</v>
      </c>
      <c r="U20" s="1" t="s">
        <v>29</v>
      </c>
      <c r="V20" s="1" t="s">
        <v>9</v>
      </c>
      <c r="Y20" t="s">
        <v>28</v>
      </c>
      <c r="Z20" t="s">
        <v>1205</v>
      </c>
      <c r="AA20">
        <v>225.75</v>
      </c>
      <c r="AB20">
        <v>-2934.75</v>
      </c>
      <c r="AC20" t="s">
        <v>9</v>
      </c>
      <c r="AD20" t="s">
        <v>29</v>
      </c>
    </row>
    <row r="21" spans="2:30" x14ac:dyDescent="0.25">
      <c r="B21" s="1" t="s">
        <v>30</v>
      </c>
      <c r="C21" s="1">
        <v>2026</v>
      </c>
      <c r="D21" s="1">
        <v>1</v>
      </c>
      <c r="E21" s="1">
        <v>0</v>
      </c>
      <c r="F21" s="1">
        <v>0</v>
      </c>
      <c r="G21" s="1" t="s">
        <v>31</v>
      </c>
      <c r="H21" s="1" t="s">
        <v>9</v>
      </c>
      <c r="P21" s="1" t="s">
        <v>30</v>
      </c>
      <c r="Q21" s="1">
        <v>2025</v>
      </c>
      <c r="R21" s="1">
        <v>1</v>
      </c>
      <c r="S21" s="1">
        <v>0</v>
      </c>
      <c r="T21" s="1">
        <v>0</v>
      </c>
      <c r="U21" s="1" t="s">
        <v>31</v>
      </c>
      <c r="V21" s="1" t="s">
        <v>9</v>
      </c>
      <c r="Y21" t="s">
        <v>30</v>
      </c>
      <c r="Z21" t="s">
        <v>1205</v>
      </c>
      <c r="AA21">
        <v>0</v>
      </c>
      <c r="AB21">
        <v>0</v>
      </c>
      <c r="AC21" t="s">
        <v>9</v>
      </c>
      <c r="AD21" t="s">
        <v>31</v>
      </c>
    </row>
    <row r="22" spans="2:30" x14ac:dyDescent="0.25">
      <c r="B22" s="1" t="s">
        <v>32</v>
      </c>
      <c r="C22" s="1">
        <v>2026</v>
      </c>
      <c r="D22" s="1">
        <v>1</v>
      </c>
      <c r="E22" s="1">
        <v>0</v>
      </c>
      <c r="F22" s="1">
        <v>0</v>
      </c>
      <c r="G22" s="1" t="s">
        <v>33</v>
      </c>
      <c r="H22" s="1" t="s">
        <v>9</v>
      </c>
      <c r="P22" s="1" t="s">
        <v>32</v>
      </c>
      <c r="Q22" s="1">
        <v>2025</v>
      </c>
      <c r="R22" s="1">
        <v>1</v>
      </c>
      <c r="S22" s="1">
        <v>0</v>
      </c>
      <c r="T22" s="1">
        <v>0</v>
      </c>
      <c r="U22" s="1" t="s">
        <v>33</v>
      </c>
      <c r="V22" s="1" t="s">
        <v>9</v>
      </c>
      <c r="Y22" t="s">
        <v>32</v>
      </c>
      <c r="Z22" t="s">
        <v>1205</v>
      </c>
      <c r="AA22">
        <v>0</v>
      </c>
      <c r="AB22">
        <v>0</v>
      </c>
      <c r="AC22" t="s">
        <v>9</v>
      </c>
      <c r="AD22" t="s">
        <v>33</v>
      </c>
    </row>
    <row r="23" spans="2:30" x14ac:dyDescent="0.25">
      <c r="B23" s="1" t="s">
        <v>1352</v>
      </c>
      <c r="C23" s="1">
        <v>2026</v>
      </c>
      <c r="D23" s="1">
        <v>1</v>
      </c>
      <c r="E23" s="1">
        <v>279796.71000000002</v>
      </c>
      <c r="F23" s="1">
        <v>0</v>
      </c>
      <c r="G23" s="1" t="s">
        <v>1353</v>
      </c>
      <c r="H23" s="1" t="s">
        <v>9</v>
      </c>
      <c r="P23" s="1" t="s">
        <v>1352</v>
      </c>
      <c r="Q23" s="1">
        <v>2025</v>
      </c>
      <c r="R23" s="1">
        <v>1</v>
      </c>
      <c r="S23" s="1">
        <v>279796.71000000002</v>
      </c>
      <c r="T23" s="1">
        <v>0</v>
      </c>
      <c r="U23" s="1" t="s">
        <v>1353</v>
      </c>
      <c r="V23" s="1" t="s">
        <v>9</v>
      </c>
      <c r="Y23" t="s">
        <v>1352</v>
      </c>
      <c r="Z23" t="s">
        <v>1205</v>
      </c>
      <c r="AA23">
        <v>279796.71000000002</v>
      </c>
      <c r="AB23">
        <v>0</v>
      </c>
      <c r="AC23" t="s">
        <v>9</v>
      </c>
      <c r="AD23" t="s">
        <v>1353</v>
      </c>
    </row>
    <row r="24" spans="2:30" x14ac:dyDescent="0.25">
      <c r="B24" s="1" t="s">
        <v>1354</v>
      </c>
      <c r="C24" s="1">
        <v>2026</v>
      </c>
      <c r="D24" s="1">
        <v>1</v>
      </c>
      <c r="E24" s="1">
        <v>258829.65</v>
      </c>
      <c r="F24" s="1">
        <v>0</v>
      </c>
      <c r="G24" s="1" t="s">
        <v>1355</v>
      </c>
      <c r="H24" s="1" t="s">
        <v>9</v>
      </c>
      <c r="P24" s="1" t="s">
        <v>1354</v>
      </c>
      <c r="Q24" s="1">
        <v>2025</v>
      </c>
      <c r="R24" s="1">
        <v>1</v>
      </c>
      <c r="S24" s="1">
        <v>258829.65</v>
      </c>
      <c r="T24" s="1">
        <v>0</v>
      </c>
      <c r="U24" s="1" t="s">
        <v>1355</v>
      </c>
      <c r="V24" s="1" t="s">
        <v>9</v>
      </c>
      <c r="Y24" t="s">
        <v>1354</v>
      </c>
      <c r="Z24" t="s">
        <v>1205</v>
      </c>
      <c r="AA24">
        <v>258829.65</v>
      </c>
      <c r="AB24">
        <v>0</v>
      </c>
      <c r="AC24" t="s">
        <v>9</v>
      </c>
      <c r="AD24" t="s">
        <v>1355</v>
      </c>
    </row>
    <row r="25" spans="2:30" x14ac:dyDescent="0.25">
      <c r="B25" s="1" t="s">
        <v>1356</v>
      </c>
      <c r="C25" s="1">
        <v>2026</v>
      </c>
      <c r="D25" s="1">
        <v>1</v>
      </c>
      <c r="E25" s="1">
        <v>318755.7</v>
      </c>
      <c r="F25" s="1">
        <v>0</v>
      </c>
      <c r="G25" s="1" t="s">
        <v>1357</v>
      </c>
      <c r="H25" s="1" t="s">
        <v>9</v>
      </c>
      <c r="P25" s="1" t="s">
        <v>1356</v>
      </c>
      <c r="Q25" s="1">
        <v>2025</v>
      </c>
      <c r="R25" s="1">
        <v>1</v>
      </c>
      <c r="S25" s="1">
        <v>318755.7</v>
      </c>
      <c r="T25" s="1">
        <v>0</v>
      </c>
      <c r="U25" s="1" t="s">
        <v>1357</v>
      </c>
      <c r="V25" s="1" t="s">
        <v>9</v>
      </c>
      <c r="Y25" t="s">
        <v>1356</v>
      </c>
      <c r="Z25" t="s">
        <v>1205</v>
      </c>
      <c r="AA25">
        <v>318755.7</v>
      </c>
      <c r="AB25">
        <v>0</v>
      </c>
      <c r="AC25" t="s">
        <v>9</v>
      </c>
      <c r="AD25" t="s">
        <v>1357</v>
      </c>
    </row>
    <row r="26" spans="2:30" x14ac:dyDescent="0.25">
      <c r="B26" s="1" t="s">
        <v>34</v>
      </c>
      <c r="C26" s="1">
        <v>2026</v>
      </c>
      <c r="D26" s="1">
        <v>1</v>
      </c>
      <c r="E26" s="1">
        <v>70257.94</v>
      </c>
      <c r="F26" s="1">
        <v>0</v>
      </c>
      <c r="G26" s="1" t="s">
        <v>35</v>
      </c>
      <c r="H26" s="1" t="s">
        <v>9</v>
      </c>
      <c r="P26" s="1" t="s">
        <v>34</v>
      </c>
      <c r="Q26" s="1">
        <v>2025</v>
      </c>
      <c r="R26" s="1">
        <v>1</v>
      </c>
      <c r="S26" s="1">
        <v>70257.94</v>
      </c>
      <c r="T26" s="1">
        <v>0</v>
      </c>
      <c r="U26" s="1" t="s">
        <v>35</v>
      </c>
      <c r="V26" s="1" t="s">
        <v>9</v>
      </c>
      <c r="Y26" t="s">
        <v>34</v>
      </c>
      <c r="Z26" t="s">
        <v>1205</v>
      </c>
      <c r="AA26">
        <v>70257.94</v>
      </c>
      <c r="AB26">
        <v>0</v>
      </c>
      <c r="AC26" t="s">
        <v>9</v>
      </c>
      <c r="AD26" t="s">
        <v>35</v>
      </c>
    </row>
    <row r="27" spans="2:30" x14ac:dyDescent="0.25">
      <c r="B27" s="1" t="s">
        <v>36</v>
      </c>
      <c r="C27" s="1">
        <v>2026</v>
      </c>
      <c r="D27" s="1">
        <v>1</v>
      </c>
      <c r="E27" s="1">
        <v>330121.90999999997</v>
      </c>
      <c r="F27" s="1">
        <v>0</v>
      </c>
      <c r="G27" s="1" t="s">
        <v>37</v>
      </c>
      <c r="H27" s="1" t="s">
        <v>9</v>
      </c>
      <c r="P27" s="1" t="s">
        <v>36</v>
      </c>
      <c r="Q27" s="1">
        <v>2025</v>
      </c>
      <c r="R27" s="1">
        <v>1</v>
      </c>
      <c r="S27" s="1">
        <v>301838.07</v>
      </c>
      <c r="T27" s="1">
        <v>0</v>
      </c>
      <c r="U27" s="1" t="s">
        <v>37</v>
      </c>
      <c r="V27" s="1" t="s">
        <v>9</v>
      </c>
      <c r="Y27" t="s">
        <v>36</v>
      </c>
      <c r="Z27" t="s">
        <v>1205</v>
      </c>
      <c r="AA27">
        <v>330121.90999999997</v>
      </c>
      <c r="AB27">
        <v>0</v>
      </c>
      <c r="AC27" t="s">
        <v>9</v>
      </c>
      <c r="AD27" t="s">
        <v>37</v>
      </c>
    </row>
    <row r="28" spans="2:30" x14ac:dyDescent="0.25">
      <c r="B28" s="1" t="s">
        <v>1379</v>
      </c>
      <c r="C28" s="1">
        <v>2026</v>
      </c>
      <c r="D28" s="1">
        <v>1</v>
      </c>
      <c r="E28" s="1">
        <v>744383.56</v>
      </c>
      <c r="F28" s="1">
        <v>-35911</v>
      </c>
      <c r="G28" s="1" t="s">
        <v>1380</v>
      </c>
      <c r="H28" s="1" t="s">
        <v>9</v>
      </c>
      <c r="P28" s="1" t="s">
        <v>1379</v>
      </c>
      <c r="Q28" s="1">
        <v>2025</v>
      </c>
      <c r="R28" s="1">
        <v>1</v>
      </c>
      <c r="S28" s="1">
        <v>905711.26</v>
      </c>
      <c r="T28" s="1">
        <v>80933.3</v>
      </c>
      <c r="U28" s="1" t="s">
        <v>1380</v>
      </c>
      <c r="V28" s="1" t="s">
        <v>9</v>
      </c>
      <c r="Y28" t="s">
        <v>1379</v>
      </c>
      <c r="Z28" t="s">
        <v>1205</v>
      </c>
      <c r="AA28">
        <v>780294.56</v>
      </c>
      <c r="AB28">
        <v>0</v>
      </c>
      <c r="AC28" t="s">
        <v>9</v>
      </c>
      <c r="AD28" t="s">
        <v>1380</v>
      </c>
    </row>
    <row r="29" spans="2:30" x14ac:dyDescent="0.25">
      <c r="B29" s="1" t="s">
        <v>38</v>
      </c>
      <c r="C29" s="1">
        <v>2026</v>
      </c>
      <c r="D29" s="1">
        <v>1</v>
      </c>
      <c r="E29" s="1">
        <v>63994.71</v>
      </c>
      <c r="F29" s="1">
        <v>0</v>
      </c>
      <c r="G29" s="1" t="s">
        <v>39</v>
      </c>
      <c r="H29" s="1" t="s">
        <v>9</v>
      </c>
      <c r="P29" s="1" t="s">
        <v>38</v>
      </c>
      <c r="Q29" s="1">
        <v>2025</v>
      </c>
      <c r="R29" s="1">
        <v>1</v>
      </c>
      <c r="S29" s="1">
        <v>63994.71</v>
      </c>
      <c r="T29" s="1">
        <v>0</v>
      </c>
      <c r="U29" s="1" t="s">
        <v>39</v>
      </c>
      <c r="V29" s="1" t="s">
        <v>9</v>
      </c>
      <c r="Y29" t="s">
        <v>38</v>
      </c>
      <c r="Z29" t="s">
        <v>1205</v>
      </c>
      <c r="AA29">
        <v>63994.71</v>
      </c>
      <c r="AB29">
        <v>0</v>
      </c>
      <c r="AC29" t="s">
        <v>9</v>
      </c>
      <c r="AD29" t="s">
        <v>39</v>
      </c>
    </row>
    <row r="30" spans="2:30" x14ac:dyDescent="0.25">
      <c r="B30" s="1" t="s">
        <v>40</v>
      </c>
      <c r="C30" s="1">
        <v>2026</v>
      </c>
      <c r="D30" s="1">
        <v>1</v>
      </c>
      <c r="E30" s="1">
        <v>1979268.07</v>
      </c>
      <c r="F30" s="1">
        <v>0</v>
      </c>
      <c r="G30" s="1" t="s">
        <v>1244</v>
      </c>
      <c r="H30" s="1" t="s">
        <v>9</v>
      </c>
      <c r="P30" s="1" t="s">
        <v>40</v>
      </c>
      <c r="Q30" s="1">
        <v>2025</v>
      </c>
      <c r="R30" s="1">
        <v>1</v>
      </c>
      <c r="S30" s="1">
        <v>1858099.26</v>
      </c>
      <c r="T30" s="1">
        <v>97225.52</v>
      </c>
      <c r="U30" s="1" t="s">
        <v>1244</v>
      </c>
      <c r="V30" s="1" t="s">
        <v>9</v>
      </c>
      <c r="Y30" t="s">
        <v>40</v>
      </c>
      <c r="Z30" t="s">
        <v>1205</v>
      </c>
      <c r="AA30">
        <v>1979268.07</v>
      </c>
      <c r="AB30">
        <v>0</v>
      </c>
      <c r="AC30" t="s">
        <v>9</v>
      </c>
      <c r="AD30" t="s">
        <v>1244</v>
      </c>
    </row>
    <row r="31" spans="2:30" x14ac:dyDescent="0.25">
      <c r="B31" s="1" t="s">
        <v>41</v>
      </c>
      <c r="C31" s="1">
        <v>2026</v>
      </c>
      <c r="D31" s="1">
        <v>1</v>
      </c>
      <c r="E31" s="1">
        <v>4777540.4000000004</v>
      </c>
      <c r="F31" s="1">
        <v>42574.25</v>
      </c>
      <c r="G31" s="1" t="s">
        <v>42</v>
      </c>
      <c r="H31" s="1" t="s">
        <v>9</v>
      </c>
      <c r="P31" s="1" t="s">
        <v>41</v>
      </c>
      <c r="Q31" s="1">
        <v>2025</v>
      </c>
      <c r="R31" s="1">
        <v>1</v>
      </c>
      <c r="S31" s="1">
        <v>4229751.3</v>
      </c>
      <c r="T31" s="1">
        <v>91647.72</v>
      </c>
      <c r="U31" s="1" t="s">
        <v>42</v>
      </c>
      <c r="V31" s="1" t="s">
        <v>9</v>
      </c>
      <c r="Y31" t="s">
        <v>41</v>
      </c>
      <c r="Z31" t="s">
        <v>1205</v>
      </c>
      <c r="AA31">
        <v>4734966.1500000004</v>
      </c>
      <c r="AB31">
        <v>60199.07</v>
      </c>
      <c r="AC31" t="s">
        <v>9</v>
      </c>
      <c r="AD31" t="s">
        <v>42</v>
      </c>
    </row>
    <row r="32" spans="2:30" x14ac:dyDescent="0.25">
      <c r="B32" s="1" t="s">
        <v>43</v>
      </c>
      <c r="C32" s="1">
        <v>2026</v>
      </c>
      <c r="D32" s="1">
        <v>1</v>
      </c>
      <c r="E32" s="1">
        <v>21288661.440000001</v>
      </c>
      <c r="F32" s="1">
        <v>-46986.080000000002</v>
      </c>
      <c r="G32" s="1" t="s">
        <v>1297</v>
      </c>
      <c r="H32" s="1" t="s">
        <v>9</v>
      </c>
      <c r="P32" s="1" t="s">
        <v>43</v>
      </c>
      <c r="Q32" s="1">
        <v>2025</v>
      </c>
      <c r="R32" s="1">
        <v>1</v>
      </c>
      <c r="S32" s="1">
        <v>21591847.579999998</v>
      </c>
      <c r="T32" s="1">
        <v>120428.71</v>
      </c>
      <c r="U32" s="1" t="s">
        <v>1297</v>
      </c>
      <c r="V32" s="1" t="s">
        <v>9</v>
      </c>
      <c r="Y32" t="s">
        <v>43</v>
      </c>
      <c r="Z32" t="s">
        <v>1205</v>
      </c>
      <c r="AA32">
        <v>21335647.52</v>
      </c>
      <c r="AB32">
        <v>-376013.37</v>
      </c>
      <c r="AC32" t="s">
        <v>9</v>
      </c>
      <c r="AD32" t="s">
        <v>1297</v>
      </c>
    </row>
    <row r="33" spans="2:30" x14ac:dyDescent="0.25">
      <c r="B33" s="1" t="s">
        <v>1183</v>
      </c>
      <c r="C33" s="1">
        <v>2026</v>
      </c>
      <c r="D33" s="1">
        <v>1</v>
      </c>
      <c r="E33" s="1">
        <v>0</v>
      </c>
      <c r="F33" s="1">
        <v>0</v>
      </c>
      <c r="G33" s="1" t="s">
        <v>1319</v>
      </c>
      <c r="H33" s="1" t="s">
        <v>9</v>
      </c>
      <c r="P33" s="1" t="s">
        <v>1183</v>
      </c>
      <c r="Q33" s="1">
        <v>2025</v>
      </c>
      <c r="R33" s="1">
        <v>1</v>
      </c>
      <c r="S33" s="1">
        <v>0</v>
      </c>
      <c r="T33" s="1">
        <v>0</v>
      </c>
      <c r="U33" s="1" t="s">
        <v>1319</v>
      </c>
      <c r="V33" s="1" t="s">
        <v>9</v>
      </c>
      <c r="Y33" t="s">
        <v>1183</v>
      </c>
      <c r="Z33" t="s">
        <v>1205</v>
      </c>
      <c r="AA33">
        <v>0</v>
      </c>
      <c r="AB33">
        <v>0</v>
      </c>
      <c r="AC33" t="s">
        <v>9</v>
      </c>
      <c r="AD33" t="s">
        <v>1319</v>
      </c>
    </row>
    <row r="34" spans="2:30" x14ac:dyDescent="0.25">
      <c r="B34" s="1" t="s">
        <v>44</v>
      </c>
      <c r="C34" s="1">
        <v>2026</v>
      </c>
      <c r="D34" s="1">
        <v>1</v>
      </c>
      <c r="E34" s="1">
        <v>1335535.73</v>
      </c>
      <c r="F34" s="1">
        <v>0</v>
      </c>
      <c r="G34" s="1" t="s">
        <v>1320</v>
      </c>
      <c r="H34" s="1" t="s">
        <v>9</v>
      </c>
      <c r="P34" s="1" t="s">
        <v>44</v>
      </c>
      <c r="Q34" s="1">
        <v>2025</v>
      </c>
      <c r="R34" s="1">
        <v>1</v>
      </c>
      <c r="S34" s="1">
        <v>1972499.72</v>
      </c>
      <c r="T34" s="1">
        <v>59356.959999999999</v>
      </c>
      <c r="U34" s="1" t="s">
        <v>1320</v>
      </c>
      <c r="V34" s="1" t="s">
        <v>9</v>
      </c>
      <c r="Y34" t="s">
        <v>44</v>
      </c>
      <c r="Z34" t="s">
        <v>1205</v>
      </c>
      <c r="AA34">
        <v>1335535.73</v>
      </c>
      <c r="AB34">
        <v>0</v>
      </c>
      <c r="AC34" t="s">
        <v>9</v>
      </c>
      <c r="AD34" t="s">
        <v>1320</v>
      </c>
    </row>
    <row r="35" spans="2:30" x14ac:dyDescent="0.25">
      <c r="B35" s="1" t="s">
        <v>45</v>
      </c>
      <c r="C35" s="1">
        <v>2026</v>
      </c>
      <c r="D35" s="1">
        <v>1</v>
      </c>
      <c r="E35" s="1">
        <v>0</v>
      </c>
      <c r="F35" s="1">
        <v>0</v>
      </c>
      <c r="G35" s="1" t="s">
        <v>46</v>
      </c>
      <c r="H35" s="1" t="s">
        <v>9</v>
      </c>
      <c r="P35" s="1" t="s">
        <v>45</v>
      </c>
      <c r="Q35" s="1">
        <v>2025</v>
      </c>
      <c r="R35" s="1">
        <v>1</v>
      </c>
      <c r="S35" s="1">
        <v>0</v>
      </c>
      <c r="T35" s="1">
        <v>0</v>
      </c>
      <c r="U35" s="1" t="s">
        <v>46</v>
      </c>
      <c r="V35" s="1" t="s">
        <v>9</v>
      </c>
      <c r="Y35" t="s">
        <v>45</v>
      </c>
      <c r="Z35" t="s">
        <v>1205</v>
      </c>
      <c r="AA35">
        <v>0</v>
      </c>
      <c r="AB35">
        <v>0</v>
      </c>
      <c r="AC35" t="s">
        <v>9</v>
      </c>
      <c r="AD35" t="s">
        <v>46</v>
      </c>
    </row>
    <row r="36" spans="2:30" x14ac:dyDescent="0.25">
      <c r="B36" s="1" t="s">
        <v>47</v>
      </c>
      <c r="C36" s="1">
        <v>2026</v>
      </c>
      <c r="D36" s="1">
        <v>1</v>
      </c>
      <c r="E36" s="1">
        <v>0</v>
      </c>
      <c r="F36" s="1">
        <v>0</v>
      </c>
      <c r="G36" s="1" t="s">
        <v>48</v>
      </c>
      <c r="H36" s="1" t="s">
        <v>9</v>
      </c>
      <c r="P36" s="1" t="s">
        <v>47</v>
      </c>
      <c r="Q36" s="1">
        <v>2025</v>
      </c>
      <c r="R36" s="1">
        <v>1</v>
      </c>
      <c r="S36" s="1">
        <v>0</v>
      </c>
      <c r="T36" s="1">
        <v>0</v>
      </c>
      <c r="U36" s="1" t="s">
        <v>48</v>
      </c>
      <c r="V36" s="1" t="s">
        <v>9</v>
      </c>
      <c r="Y36" t="s">
        <v>47</v>
      </c>
      <c r="Z36" t="s">
        <v>1205</v>
      </c>
      <c r="AA36">
        <v>0</v>
      </c>
      <c r="AB36">
        <v>0</v>
      </c>
      <c r="AC36" t="s">
        <v>9</v>
      </c>
      <c r="AD36" t="s">
        <v>48</v>
      </c>
    </row>
    <row r="37" spans="2:30" x14ac:dyDescent="0.25">
      <c r="B37" s="1" t="s">
        <v>49</v>
      </c>
      <c r="C37" s="1">
        <v>2026</v>
      </c>
      <c r="D37" s="1">
        <v>1</v>
      </c>
      <c r="E37" s="1">
        <v>34894.660000000003</v>
      </c>
      <c r="F37" s="1">
        <v>0</v>
      </c>
      <c r="G37" s="1" t="s">
        <v>50</v>
      </c>
      <c r="H37" s="1" t="s">
        <v>9</v>
      </c>
      <c r="P37" s="1" t="s">
        <v>49</v>
      </c>
      <c r="Q37" s="1">
        <v>2025</v>
      </c>
      <c r="R37" s="1">
        <v>1</v>
      </c>
      <c r="S37" s="1">
        <v>34894.660000000003</v>
      </c>
      <c r="T37" s="1">
        <v>0</v>
      </c>
      <c r="U37" s="1" t="s">
        <v>50</v>
      </c>
      <c r="V37" s="1" t="s">
        <v>9</v>
      </c>
      <c r="Y37" t="s">
        <v>49</v>
      </c>
      <c r="Z37" t="s">
        <v>1205</v>
      </c>
      <c r="AA37">
        <v>34894.660000000003</v>
      </c>
      <c r="AB37">
        <v>0</v>
      </c>
      <c r="AC37" t="s">
        <v>9</v>
      </c>
      <c r="AD37" t="s">
        <v>50</v>
      </c>
    </row>
    <row r="38" spans="2:30" x14ac:dyDescent="0.25">
      <c r="B38" s="1" t="s">
        <v>51</v>
      </c>
      <c r="C38" s="1">
        <v>2026</v>
      </c>
      <c r="D38" s="1">
        <v>1</v>
      </c>
      <c r="E38" s="1">
        <v>-1155</v>
      </c>
      <c r="F38" s="1">
        <v>0</v>
      </c>
      <c r="G38" s="1" t="s">
        <v>52</v>
      </c>
      <c r="H38" s="1" t="s">
        <v>9</v>
      </c>
      <c r="P38" s="1" t="s">
        <v>51</v>
      </c>
      <c r="Q38" s="1">
        <v>2025</v>
      </c>
      <c r="R38" s="1">
        <v>1</v>
      </c>
      <c r="S38" s="1">
        <v>5197.5</v>
      </c>
      <c r="T38" s="1">
        <v>-577.5</v>
      </c>
      <c r="U38" s="1" t="s">
        <v>52</v>
      </c>
      <c r="V38" s="1" t="s">
        <v>9</v>
      </c>
      <c r="Y38" t="s">
        <v>51</v>
      </c>
      <c r="Z38" t="s">
        <v>1205</v>
      </c>
      <c r="AA38">
        <v>-1155</v>
      </c>
      <c r="AB38">
        <v>-577.5</v>
      </c>
      <c r="AC38" t="s">
        <v>9</v>
      </c>
      <c r="AD38" t="s">
        <v>52</v>
      </c>
    </row>
    <row r="39" spans="2:30" x14ac:dyDescent="0.25">
      <c r="B39" s="1" t="s">
        <v>2063</v>
      </c>
      <c r="C39" s="1">
        <v>2026</v>
      </c>
      <c r="D39" s="1">
        <v>1</v>
      </c>
      <c r="E39" s="1">
        <v>5588262.8300000001</v>
      </c>
      <c r="F39" s="1">
        <v>0</v>
      </c>
      <c r="G39" s="1" t="s">
        <v>2064</v>
      </c>
      <c r="H39" s="1" t="s">
        <v>9</v>
      </c>
      <c r="P39" s="1" t="s">
        <v>2063</v>
      </c>
      <c r="Q39" s="1">
        <v>2025</v>
      </c>
      <c r="R39" s="1">
        <v>1</v>
      </c>
      <c r="S39" s="1">
        <v>0</v>
      </c>
      <c r="T39" s="1">
        <v>0</v>
      </c>
      <c r="U39" s="1" t="s">
        <v>2064</v>
      </c>
      <c r="V39" s="1" t="s">
        <v>9</v>
      </c>
      <c r="Y39" t="s">
        <v>2063</v>
      </c>
      <c r="Z39" t="s">
        <v>1205</v>
      </c>
      <c r="AA39">
        <v>5588262.8300000001</v>
      </c>
      <c r="AB39">
        <v>-22516.06</v>
      </c>
      <c r="AC39" t="s">
        <v>9</v>
      </c>
      <c r="AD39" t="s">
        <v>2064</v>
      </c>
    </row>
    <row r="40" spans="2:30" x14ac:dyDescent="0.25">
      <c r="B40" s="1" t="s">
        <v>53</v>
      </c>
      <c r="C40" s="1">
        <v>2026</v>
      </c>
      <c r="D40" s="1">
        <v>1</v>
      </c>
      <c r="E40" s="1">
        <v>-67905.31</v>
      </c>
      <c r="F40" s="1">
        <v>-111.93</v>
      </c>
      <c r="G40" s="1" t="s">
        <v>54</v>
      </c>
      <c r="H40" s="1" t="s">
        <v>9</v>
      </c>
      <c r="P40" s="1" t="s">
        <v>53</v>
      </c>
      <c r="Q40" s="1">
        <v>2025</v>
      </c>
      <c r="R40" s="1">
        <v>1</v>
      </c>
      <c r="S40" s="1">
        <v>-66007.199999999997</v>
      </c>
      <c r="T40" s="1">
        <v>-204.41</v>
      </c>
      <c r="U40" s="1" t="s">
        <v>54</v>
      </c>
      <c r="V40" s="1" t="s">
        <v>9</v>
      </c>
      <c r="Y40" t="s">
        <v>53</v>
      </c>
      <c r="Z40" t="s">
        <v>1205</v>
      </c>
      <c r="AA40">
        <v>-67793.38</v>
      </c>
      <c r="AB40">
        <v>-111.94</v>
      </c>
      <c r="AC40" t="s">
        <v>9</v>
      </c>
      <c r="AD40" t="s">
        <v>54</v>
      </c>
    </row>
    <row r="41" spans="2:30" x14ac:dyDescent="0.25">
      <c r="B41" s="1" t="s">
        <v>55</v>
      </c>
      <c r="C41" s="1">
        <v>2026</v>
      </c>
      <c r="D41" s="1">
        <v>1</v>
      </c>
      <c r="E41" s="1">
        <v>-304567.86</v>
      </c>
      <c r="F41" s="1">
        <v>-1860.7</v>
      </c>
      <c r="G41" s="1" t="s">
        <v>56</v>
      </c>
      <c r="H41" s="1" t="s">
        <v>9</v>
      </c>
      <c r="P41" s="1" t="s">
        <v>55</v>
      </c>
      <c r="Q41" s="1">
        <v>2025</v>
      </c>
      <c r="R41" s="1">
        <v>1</v>
      </c>
      <c r="S41" s="1">
        <v>-274079.75</v>
      </c>
      <c r="T41" s="1">
        <v>-2401.6799999999998</v>
      </c>
      <c r="U41" s="1" t="s">
        <v>56</v>
      </c>
      <c r="V41" s="1" t="s">
        <v>9</v>
      </c>
      <c r="Y41" t="s">
        <v>55</v>
      </c>
      <c r="Z41" t="s">
        <v>1205</v>
      </c>
      <c r="AA41">
        <v>-302707.15999999997</v>
      </c>
      <c r="AB41">
        <v>-2045.34</v>
      </c>
      <c r="AC41" t="s">
        <v>9</v>
      </c>
      <c r="AD41" t="s">
        <v>56</v>
      </c>
    </row>
    <row r="42" spans="2:30" x14ac:dyDescent="0.25">
      <c r="B42" s="1" t="s">
        <v>57</v>
      </c>
      <c r="C42" s="1">
        <v>2026</v>
      </c>
      <c r="D42" s="1">
        <v>1</v>
      </c>
      <c r="E42" s="1">
        <v>-63994.71</v>
      </c>
      <c r="F42" s="1">
        <v>0</v>
      </c>
      <c r="G42" s="1" t="s">
        <v>58</v>
      </c>
      <c r="H42" s="1" t="s">
        <v>9</v>
      </c>
      <c r="P42" s="1" t="s">
        <v>57</v>
      </c>
      <c r="Q42" s="1">
        <v>2025</v>
      </c>
      <c r="R42" s="1">
        <v>1</v>
      </c>
      <c r="S42" s="1">
        <v>-63994.71</v>
      </c>
      <c r="T42" s="1">
        <v>0</v>
      </c>
      <c r="U42" s="1" t="s">
        <v>58</v>
      </c>
      <c r="V42" s="1" t="s">
        <v>9</v>
      </c>
      <c r="Y42" t="s">
        <v>57</v>
      </c>
      <c r="Z42" t="s">
        <v>1205</v>
      </c>
      <c r="AA42">
        <v>-63994.71</v>
      </c>
      <c r="AB42">
        <v>0</v>
      </c>
      <c r="AC42" t="s">
        <v>9</v>
      </c>
      <c r="AD42" t="s">
        <v>58</v>
      </c>
    </row>
    <row r="43" spans="2:30" x14ac:dyDescent="0.25">
      <c r="B43" s="1" t="s">
        <v>59</v>
      </c>
      <c r="C43" s="1">
        <v>2026</v>
      </c>
      <c r="D43" s="1">
        <v>1</v>
      </c>
      <c r="E43" s="1">
        <v>-1333368.44</v>
      </c>
      <c r="F43" s="1">
        <v>-25984.720000000001</v>
      </c>
      <c r="G43" s="1" t="s">
        <v>60</v>
      </c>
      <c r="H43" s="1" t="s">
        <v>9</v>
      </c>
      <c r="P43" s="1" t="s">
        <v>59</v>
      </c>
      <c r="Q43" s="1">
        <v>2025</v>
      </c>
      <c r="R43" s="1">
        <v>1</v>
      </c>
      <c r="S43" s="1">
        <v>-1031967.46</v>
      </c>
      <c r="T43" s="1">
        <v>-23959.79</v>
      </c>
      <c r="U43" s="1" t="s">
        <v>60</v>
      </c>
      <c r="V43" s="1" t="s">
        <v>9</v>
      </c>
      <c r="Y43" t="s">
        <v>59</v>
      </c>
      <c r="Z43" t="s">
        <v>1205</v>
      </c>
      <c r="AA43">
        <v>-1307383.72</v>
      </c>
      <c r="AB43">
        <v>-25984.67</v>
      </c>
      <c r="AC43" t="s">
        <v>9</v>
      </c>
      <c r="AD43" t="s">
        <v>60</v>
      </c>
    </row>
    <row r="44" spans="2:30" x14ac:dyDescent="0.25">
      <c r="B44" s="1" t="s">
        <v>61</v>
      </c>
      <c r="C44" s="1">
        <v>2026</v>
      </c>
      <c r="D44" s="1">
        <v>1</v>
      </c>
      <c r="E44" s="1">
        <v>-2841346.01</v>
      </c>
      <c r="F44" s="1">
        <v>-111645.88</v>
      </c>
      <c r="G44" s="1" t="s">
        <v>62</v>
      </c>
      <c r="H44" s="1" t="s">
        <v>9</v>
      </c>
      <c r="P44" s="1" t="s">
        <v>61</v>
      </c>
      <c r="Q44" s="1">
        <v>2025</v>
      </c>
      <c r="R44" s="1">
        <v>1</v>
      </c>
      <c r="S44" s="1">
        <v>-3025747.42</v>
      </c>
      <c r="T44" s="1">
        <v>-95624.49</v>
      </c>
      <c r="U44" s="1" t="s">
        <v>62</v>
      </c>
      <c r="V44" s="1" t="s">
        <v>9</v>
      </c>
      <c r="Y44" t="s">
        <v>61</v>
      </c>
      <c r="Z44" t="s">
        <v>1205</v>
      </c>
      <c r="AA44">
        <v>-2729700.13</v>
      </c>
      <c r="AB44">
        <v>-116926.43</v>
      </c>
      <c r="AC44" t="s">
        <v>9</v>
      </c>
      <c r="AD44" t="s">
        <v>62</v>
      </c>
    </row>
    <row r="45" spans="2:30" x14ac:dyDescent="0.25">
      <c r="B45" s="1" t="s">
        <v>63</v>
      </c>
      <c r="C45" s="1">
        <v>2026</v>
      </c>
      <c r="D45" s="1">
        <v>1</v>
      </c>
      <c r="E45" s="1">
        <v>-7456736.0899999999</v>
      </c>
      <c r="F45" s="1">
        <v>-49463.31</v>
      </c>
      <c r="G45" s="1" t="s">
        <v>1321</v>
      </c>
      <c r="H45" s="1" t="s">
        <v>9</v>
      </c>
      <c r="P45" s="1" t="s">
        <v>63</v>
      </c>
      <c r="Q45" s="1">
        <v>2025</v>
      </c>
      <c r="R45" s="1">
        <v>1</v>
      </c>
      <c r="S45" s="1">
        <v>-7281551.7599999998</v>
      </c>
      <c r="T45" s="1">
        <v>368853.06</v>
      </c>
      <c r="U45" s="1" t="s">
        <v>1321</v>
      </c>
      <c r="V45" s="1" t="s">
        <v>9</v>
      </c>
      <c r="Y45" t="s">
        <v>63</v>
      </c>
      <c r="Z45" t="s">
        <v>1205</v>
      </c>
      <c r="AA45">
        <v>-7407272.7800000003</v>
      </c>
      <c r="AB45">
        <v>113322.72</v>
      </c>
      <c r="AC45" t="s">
        <v>9</v>
      </c>
      <c r="AD45" t="s">
        <v>1321</v>
      </c>
    </row>
    <row r="46" spans="2:30" x14ac:dyDescent="0.25">
      <c r="B46" s="1" t="s">
        <v>64</v>
      </c>
      <c r="C46" s="1">
        <v>2026</v>
      </c>
      <c r="D46" s="1">
        <v>1</v>
      </c>
      <c r="E46" s="1">
        <v>-587830.64</v>
      </c>
      <c r="F46" s="1">
        <v>-19684.830000000002</v>
      </c>
      <c r="G46" s="1" t="s">
        <v>1322</v>
      </c>
      <c r="H46" s="1" t="s">
        <v>9</v>
      </c>
      <c r="P46" s="1" t="s">
        <v>64</v>
      </c>
      <c r="Q46" s="1">
        <v>2025</v>
      </c>
      <c r="R46" s="1">
        <v>1</v>
      </c>
      <c r="S46" s="1">
        <v>-572212.81999999995</v>
      </c>
      <c r="T46" s="1">
        <v>-32959.25</v>
      </c>
      <c r="U46" s="1" t="s">
        <v>1322</v>
      </c>
      <c r="V46" s="1" t="s">
        <v>9</v>
      </c>
      <c r="Y46" t="s">
        <v>64</v>
      </c>
      <c r="Z46" t="s">
        <v>1205</v>
      </c>
      <c r="AA46">
        <v>-568145.81000000006</v>
      </c>
      <c r="AB46">
        <v>-24637.93</v>
      </c>
      <c r="AC46" t="s">
        <v>9</v>
      </c>
      <c r="AD46" t="s">
        <v>1322</v>
      </c>
    </row>
    <row r="47" spans="2:30" x14ac:dyDescent="0.25">
      <c r="B47" s="1" t="s">
        <v>1381</v>
      </c>
      <c r="C47" s="1">
        <v>2026</v>
      </c>
      <c r="D47" s="1">
        <v>1</v>
      </c>
      <c r="E47" s="1">
        <v>-164445.84</v>
      </c>
      <c r="F47" s="1">
        <v>2938.61</v>
      </c>
      <c r="G47" s="1" t="s">
        <v>1382</v>
      </c>
      <c r="H47" s="1" t="s">
        <v>9</v>
      </c>
      <c r="P47" s="1" t="s">
        <v>1381</v>
      </c>
      <c r="Q47" s="1">
        <v>2025</v>
      </c>
      <c r="R47" s="1">
        <v>1</v>
      </c>
      <c r="S47" s="1">
        <v>-85589.54</v>
      </c>
      <c r="T47" s="1">
        <v>-15095.2</v>
      </c>
      <c r="U47" s="1" t="s">
        <v>1382</v>
      </c>
      <c r="V47" s="1" t="s">
        <v>9</v>
      </c>
      <c r="Y47" t="s">
        <v>1381</v>
      </c>
      <c r="Z47" t="s">
        <v>1205</v>
      </c>
      <c r="AA47">
        <v>-167384.45000000001</v>
      </c>
      <c r="AB47">
        <v>-13004.92</v>
      </c>
      <c r="AC47" t="s">
        <v>9</v>
      </c>
      <c r="AD47" t="s">
        <v>1382</v>
      </c>
    </row>
    <row r="48" spans="2:30" x14ac:dyDescent="0.25">
      <c r="B48" s="1" t="s">
        <v>65</v>
      </c>
      <c r="C48" s="1">
        <v>2026</v>
      </c>
      <c r="D48" s="1">
        <v>1</v>
      </c>
      <c r="E48" s="1">
        <v>0</v>
      </c>
      <c r="F48" s="1">
        <v>0</v>
      </c>
      <c r="G48" s="1" t="s">
        <v>66</v>
      </c>
      <c r="H48" s="1" t="s">
        <v>9</v>
      </c>
      <c r="P48" s="1" t="s">
        <v>65</v>
      </c>
      <c r="Q48" s="1">
        <v>2025</v>
      </c>
      <c r="R48" s="1">
        <v>1</v>
      </c>
      <c r="S48" s="1">
        <v>0</v>
      </c>
      <c r="T48" s="1">
        <v>0</v>
      </c>
      <c r="U48" s="1" t="s">
        <v>66</v>
      </c>
      <c r="V48" s="1" t="s">
        <v>9</v>
      </c>
      <c r="Y48" t="s">
        <v>65</v>
      </c>
      <c r="Z48" t="s">
        <v>1205</v>
      </c>
      <c r="AA48">
        <v>0</v>
      </c>
      <c r="AB48">
        <v>0</v>
      </c>
      <c r="AC48" t="s">
        <v>9</v>
      </c>
      <c r="AD48" t="s">
        <v>66</v>
      </c>
    </row>
    <row r="49" spans="2:30" x14ac:dyDescent="0.25">
      <c r="B49" s="1" t="s">
        <v>67</v>
      </c>
      <c r="C49" s="1">
        <v>2026</v>
      </c>
      <c r="D49" s="1">
        <v>1</v>
      </c>
      <c r="E49" s="1">
        <v>-31964.79</v>
      </c>
      <c r="F49" s="1">
        <v>-162.76</v>
      </c>
      <c r="G49" s="1" t="s">
        <v>68</v>
      </c>
      <c r="H49" s="1" t="s">
        <v>9</v>
      </c>
      <c r="P49" s="1" t="s">
        <v>67</v>
      </c>
      <c r="Q49" s="1">
        <v>2025</v>
      </c>
      <c r="R49" s="1">
        <v>1</v>
      </c>
      <c r="S49" s="1">
        <v>-30011.58</v>
      </c>
      <c r="T49" s="1">
        <v>-162.78</v>
      </c>
      <c r="U49" s="1" t="s">
        <v>68</v>
      </c>
      <c r="V49" s="1" t="s">
        <v>9</v>
      </c>
      <c r="Y49" t="s">
        <v>67</v>
      </c>
      <c r="Z49" t="s">
        <v>1205</v>
      </c>
      <c r="AA49">
        <v>-31802.03</v>
      </c>
      <c r="AB49">
        <v>-162.77000000000001</v>
      </c>
      <c r="AC49" t="s">
        <v>9</v>
      </c>
      <c r="AD49" t="s">
        <v>68</v>
      </c>
    </row>
    <row r="50" spans="2:30" x14ac:dyDescent="0.25">
      <c r="B50" s="1" t="s">
        <v>1358</v>
      </c>
      <c r="C50" s="1">
        <v>2026</v>
      </c>
      <c r="D50" s="1">
        <v>1</v>
      </c>
      <c r="E50" s="1">
        <v>-514429.23</v>
      </c>
      <c r="F50" s="1">
        <v>0</v>
      </c>
      <c r="G50" s="1" t="s">
        <v>1359</v>
      </c>
      <c r="H50" s="1" t="s">
        <v>9</v>
      </c>
      <c r="P50" s="1" t="s">
        <v>1358</v>
      </c>
      <c r="Q50" s="1">
        <v>2025</v>
      </c>
      <c r="R50" s="1">
        <v>1</v>
      </c>
      <c r="S50" s="1">
        <v>-514429.23</v>
      </c>
      <c r="T50" s="1">
        <v>0</v>
      </c>
      <c r="U50" s="1" t="s">
        <v>1359</v>
      </c>
      <c r="V50" s="1" t="s">
        <v>9</v>
      </c>
      <c r="Y50" t="s">
        <v>1358</v>
      </c>
      <c r="Z50" t="s">
        <v>1205</v>
      </c>
      <c r="AA50">
        <v>-514429.23</v>
      </c>
      <c r="AB50">
        <v>0</v>
      </c>
      <c r="AC50" t="s">
        <v>9</v>
      </c>
      <c r="AD50" t="s">
        <v>1359</v>
      </c>
    </row>
    <row r="51" spans="2:30" x14ac:dyDescent="0.25">
      <c r="B51" s="1" t="s">
        <v>69</v>
      </c>
      <c r="C51" s="1">
        <v>2026</v>
      </c>
      <c r="D51" s="1">
        <v>1</v>
      </c>
      <c r="E51" s="1">
        <v>172.26</v>
      </c>
      <c r="F51" s="1">
        <v>0</v>
      </c>
      <c r="G51" s="1" t="s">
        <v>70</v>
      </c>
      <c r="H51" s="1" t="s">
        <v>9</v>
      </c>
      <c r="P51" s="1" t="s">
        <v>69</v>
      </c>
      <c r="Q51" s="1">
        <v>2025</v>
      </c>
      <c r="R51" s="1">
        <v>1</v>
      </c>
      <c r="S51" s="1">
        <v>-2120</v>
      </c>
      <c r="T51" s="1">
        <v>-1040</v>
      </c>
      <c r="U51" s="1" t="s">
        <v>70</v>
      </c>
      <c r="V51" s="1" t="s">
        <v>9</v>
      </c>
      <c r="Y51" t="s">
        <v>69</v>
      </c>
      <c r="Z51" t="s">
        <v>1205</v>
      </c>
      <c r="AA51">
        <v>172.26</v>
      </c>
      <c r="AB51">
        <v>115.64</v>
      </c>
      <c r="AC51" t="s">
        <v>9</v>
      </c>
      <c r="AD51" t="s">
        <v>70</v>
      </c>
    </row>
    <row r="52" spans="2:30" x14ac:dyDescent="0.25">
      <c r="B52" s="1" t="s">
        <v>1360</v>
      </c>
      <c r="C52" s="1">
        <v>2026</v>
      </c>
      <c r="D52" s="1">
        <v>1</v>
      </c>
      <c r="E52" s="1">
        <v>-2831009.8</v>
      </c>
      <c r="F52" s="1">
        <v>0</v>
      </c>
      <c r="G52" s="1" t="s">
        <v>1361</v>
      </c>
      <c r="H52" s="1" t="s">
        <v>73</v>
      </c>
      <c r="P52" s="1" t="s">
        <v>1360</v>
      </c>
      <c r="Q52" s="1">
        <v>2025</v>
      </c>
      <c r="R52" s="1">
        <v>1</v>
      </c>
      <c r="S52" s="1">
        <v>-2831009.8</v>
      </c>
      <c r="T52" s="1">
        <v>0</v>
      </c>
      <c r="U52" s="1" t="s">
        <v>1361</v>
      </c>
      <c r="V52" s="1" t="s">
        <v>73</v>
      </c>
      <c r="Y52" t="s">
        <v>1360</v>
      </c>
      <c r="Z52" t="s">
        <v>1205</v>
      </c>
      <c r="AA52">
        <v>-2831009.8</v>
      </c>
      <c r="AB52">
        <v>0</v>
      </c>
      <c r="AC52" t="s">
        <v>73</v>
      </c>
      <c r="AD52" t="s">
        <v>1361</v>
      </c>
    </row>
    <row r="53" spans="2:30" x14ac:dyDescent="0.25">
      <c r="B53" s="1" t="s">
        <v>71</v>
      </c>
      <c r="C53" s="1">
        <v>2026</v>
      </c>
      <c r="D53" s="1">
        <v>1</v>
      </c>
      <c r="E53" s="1">
        <v>0</v>
      </c>
      <c r="F53" s="1">
        <v>0</v>
      </c>
      <c r="G53" s="1" t="s">
        <v>72</v>
      </c>
      <c r="H53" s="1" t="s">
        <v>73</v>
      </c>
      <c r="P53" s="1" t="s">
        <v>71</v>
      </c>
      <c r="Q53" s="1">
        <v>2025</v>
      </c>
      <c r="R53" s="1">
        <v>1</v>
      </c>
      <c r="S53" s="1">
        <v>0</v>
      </c>
      <c r="T53" s="1">
        <v>0</v>
      </c>
      <c r="U53" s="1" t="s">
        <v>72</v>
      </c>
      <c r="V53" s="1" t="s">
        <v>73</v>
      </c>
      <c r="Y53" t="s">
        <v>71</v>
      </c>
      <c r="Z53" t="s">
        <v>1205</v>
      </c>
      <c r="AA53">
        <v>0</v>
      </c>
      <c r="AB53">
        <v>0</v>
      </c>
      <c r="AC53" t="s">
        <v>73</v>
      </c>
      <c r="AD53" t="s">
        <v>72</v>
      </c>
    </row>
    <row r="54" spans="2:30" x14ac:dyDescent="0.25">
      <c r="B54" s="1" t="s">
        <v>1362</v>
      </c>
      <c r="C54" s="1">
        <v>2026</v>
      </c>
      <c r="D54" s="1">
        <v>1</v>
      </c>
      <c r="E54" s="1">
        <v>-58502.64</v>
      </c>
      <c r="F54" s="1">
        <v>0</v>
      </c>
      <c r="G54" s="1" t="s">
        <v>1363</v>
      </c>
      <c r="H54" s="1" t="s">
        <v>73</v>
      </c>
      <c r="P54" s="1" t="s">
        <v>1362</v>
      </c>
      <c r="Q54" s="1">
        <v>2025</v>
      </c>
      <c r="R54" s="1">
        <v>1</v>
      </c>
      <c r="S54" s="1">
        <v>-58502.64</v>
      </c>
      <c r="T54" s="1">
        <v>0</v>
      </c>
      <c r="U54" s="1" t="s">
        <v>1363</v>
      </c>
      <c r="V54" s="1" t="s">
        <v>73</v>
      </c>
      <c r="Y54" t="s">
        <v>1362</v>
      </c>
      <c r="Z54" t="s">
        <v>1205</v>
      </c>
      <c r="AA54">
        <v>-58502.64</v>
      </c>
      <c r="AB54">
        <v>0</v>
      </c>
      <c r="AC54" t="s">
        <v>73</v>
      </c>
      <c r="AD54" t="s">
        <v>1363</v>
      </c>
    </row>
    <row r="55" spans="2:30" x14ac:dyDescent="0.25">
      <c r="B55" s="1" t="s">
        <v>74</v>
      </c>
      <c r="C55" s="1">
        <v>2026</v>
      </c>
      <c r="D55" s="1">
        <v>1</v>
      </c>
      <c r="E55" s="1">
        <v>0</v>
      </c>
      <c r="F55" s="1">
        <v>0</v>
      </c>
      <c r="G55" s="1" t="s">
        <v>75</v>
      </c>
      <c r="H55" s="1" t="s">
        <v>73</v>
      </c>
      <c r="P55" s="1" t="s">
        <v>74</v>
      </c>
      <c r="Q55" s="1">
        <v>2025</v>
      </c>
      <c r="R55" s="1">
        <v>1</v>
      </c>
      <c r="S55" s="1">
        <v>0</v>
      </c>
      <c r="T55" s="1">
        <v>0</v>
      </c>
      <c r="U55" s="1" t="s">
        <v>75</v>
      </c>
      <c r="V55" s="1" t="s">
        <v>73</v>
      </c>
      <c r="Y55" t="s">
        <v>74</v>
      </c>
      <c r="Z55" t="s">
        <v>1205</v>
      </c>
      <c r="AA55">
        <v>0</v>
      </c>
      <c r="AB55">
        <v>0</v>
      </c>
      <c r="AC55" t="s">
        <v>73</v>
      </c>
      <c r="AD55" t="s">
        <v>75</v>
      </c>
    </row>
    <row r="56" spans="2:30" x14ac:dyDescent="0.25">
      <c r="B56" s="1" t="s">
        <v>1257</v>
      </c>
      <c r="C56" s="1">
        <v>2026</v>
      </c>
      <c r="D56" s="1">
        <v>1</v>
      </c>
      <c r="E56" s="1">
        <v>-966924.52</v>
      </c>
      <c r="F56" s="1">
        <v>0</v>
      </c>
      <c r="G56" s="1" t="s">
        <v>1258</v>
      </c>
      <c r="H56" s="1" t="s">
        <v>73</v>
      </c>
      <c r="P56" s="1" t="s">
        <v>1257</v>
      </c>
      <c r="Q56" s="1">
        <v>2025</v>
      </c>
      <c r="R56" s="1">
        <v>1</v>
      </c>
      <c r="S56" s="1">
        <v>-1512998.1</v>
      </c>
      <c r="T56" s="1">
        <v>0</v>
      </c>
      <c r="U56" s="1" t="s">
        <v>1258</v>
      </c>
      <c r="V56" s="1" t="s">
        <v>73</v>
      </c>
      <c r="Y56" t="s">
        <v>1257</v>
      </c>
      <c r="Z56" t="s">
        <v>1205</v>
      </c>
      <c r="AA56">
        <v>-966924.52</v>
      </c>
      <c r="AB56">
        <v>137720.28</v>
      </c>
      <c r="AC56" t="s">
        <v>73</v>
      </c>
      <c r="AD56" t="s">
        <v>1258</v>
      </c>
    </row>
    <row r="57" spans="2:30" x14ac:dyDescent="0.25">
      <c r="B57" s="1" t="s">
        <v>2060</v>
      </c>
      <c r="C57" s="1">
        <v>2026</v>
      </c>
      <c r="D57" s="1">
        <v>1</v>
      </c>
      <c r="E57" s="1">
        <v>0</v>
      </c>
      <c r="F57" s="1">
        <v>0</v>
      </c>
      <c r="G57" s="1" t="s">
        <v>2061</v>
      </c>
      <c r="H57" s="1" t="s">
        <v>73</v>
      </c>
      <c r="P57" s="1" t="s">
        <v>2060</v>
      </c>
      <c r="Q57" s="1">
        <v>2025</v>
      </c>
      <c r="R57" s="1">
        <v>1</v>
      </c>
      <c r="S57" s="1">
        <v>0</v>
      </c>
      <c r="T57" s="1">
        <v>0</v>
      </c>
      <c r="U57" s="1" t="s">
        <v>2061</v>
      </c>
      <c r="V57" s="1" t="s">
        <v>73</v>
      </c>
      <c r="Y57" t="s">
        <v>2060</v>
      </c>
      <c r="Z57" t="s">
        <v>1205</v>
      </c>
      <c r="AA57">
        <v>0</v>
      </c>
      <c r="AB57">
        <v>0</v>
      </c>
      <c r="AC57" t="s">
        <v>73</v>
      </c>
      <c r="AD57" t="s">
        <v>2061</v>
      </c>
    </row>
    <row r="58" spans="2:30" x14ac:dyDescent="0.25">
      <c r="B58" s="1" t="s">
        <v>1364</v>
      </c>
      <c r="C58" s="1">
        <v>2026</v>
      </c>
      <c r="D58" s="1">
        <v>1</v>
      </c>
      <c r="E58" s="1">
        <v>-54118.64</v>
      </c>
      <c r="F58" s="1">
        <v>0</v>
      </c>
      <c r="G58" s="1" t="s">
        <v>1365</v>
      </c>
      <c r="H58" s="1" t="s">
        <v>73</v>
      </c>
      <c r="P58" s="1" t="s">
        <v>1364</v>
      </c>
      <c r="Q58" s="1">
        <v>2025</v>
      </c>
      <c r="R58" s="1">
        <v>1</v>
      </c>
      <c r="S58" s="1">
        <v>-54118.64</v>
      </c>
      <c r="T58" s="1">
        <v>0</v>
      </c>
      <c r="U58" s="1" t="s">
        <v>1365</v>
      </c>
      <c r="V58" s="1" t="s">
        <v>73</v>
      </c>
      <c r="Y58" t="s">
        <v>1364</v>
      </c>
      <c r="Z58" t="s">
        <v>1205</v>
      </c>
      <c r="AA58">
        <v>-54118.64</v>
      </c>
      <c r="AB58">
        <v>0</v>
      </c>
      <c r="AC58" t="s">
        <v>73</v>
      </c>
      <c r="AD58" t="s">
        <v>1365</v>
      </c>
    </row>
    <row r="59" spans="2:30" x14ac:dyDescent="0.25">
      <c r="B59" s="1" t="s">
        <v>1366</v>
      </c>
      <c r="C59" s="1">
        <v>2026</v>
      </c>
      <c r="D59" s="1">
        <v>1</v>
      </c>
      <c r="E59" s="1">
        <v>-66648.570000000007</v>
      </c>
      <c r="F59" s="1">
        <v>0</v>
      </c>
      <c r="G59" s="1" t="s">
        <v>1367</v>
      </c>
      <c r="H59" s="1" t="s">
        <v>73</v>
      </c>
      <c r="P59" s="1" t="s">
        <v>1366</v>
      </c>
      <c r="Q59" s="1">
        <v>2025</v>
      </c>
      <c r="R59" s="1">
        <v>1</v>
      </c>
      <c r="S59" s="1">
        <v>-66648.570000000007</v>
      </c>
      <c r="T59" s="1">
        <v>0</v>
      </c>
      <c r="U59" s="1" t="s">
        <v>1367</v>
      </c>
      <c r="V59" s="1" t="s">
        <v>73</v>
      </c>
      <c r="Y59" t="s">
        <v>1366</v>
      </c>
      <c r="Z59" t="s">
        <v>1205</v>
      </c>
      <c r="AA59">
        <v>-66648.570000000007</v>
      </c>
      <c r="AB59">
        <v>0</v>
      </c>
      <c r="AC59" t="s">
        <v>73</v>
      </c>
      <c r="AD59" t="s">
        <v>1367</v>
      </c>
    </row>
    <row r="60" spans="2:30" x14ac:dyDescent="0.25">
      <c r="B60" s="1" t="s">
        <v>1208</v>
      </c>
      <c r="C60" s="1">
        <v>2026</v>
      </c>
      <c r="D60" s="1">
        <v>1</v>
      </c>
      <c r="E60" s="1">
        <v>0</v>
      </c>
      <c r="F60" s="1">
        <v>0</v>
      </c>
      <c r="G60" s="1" t="s">
        <v>1209</v>
      </c>
      <c r="H60" s="1" t="s">
        <v>73</v>
      </c>
      <c r="P60" s="1" t="s">
        <v>1208</v>
      </c>
      <c r="Q60" s="1">
        <v>2025</v>
      </c>
      <c r="R60" s="1">
        <v>1</v>
      </c>
      <c r="S60" s="1">
        <v>0</v>
      </c>
      <c r="T60" s="1">
        <v>0</v>
      </c>
      <c r="U60" s="1" t="s">
        <v>1209</v>
      </c>
      <c r="V60" s="1" t="s">
        <v>73</v>
      </c>
      <c r="Y60" t="s">
        <v>1208</v>
      </c>
      <c r="Z60" t="s">
        <v>1205</v>
      </c>
      <c r="AA60">
        <v>0</v>
      </c>
      <c r="AB60">
        <v>0</v>
      </c>
      <c r="AC60" t="s">
        <v>73</v>
      </c>
      <c r="AD60" t="s">
        <v>1209</v>
      </c>
    </row>
    <row r="61" spans="2:30" x14ac:dyDescent="0.25">
      <c r="B61" s="1" t="s">
        <v>76</v>
      </c>
      <c r="C61" s="1">
        <v>2026</v>
      </c>
      <c r="D61" s="1">
        <v>1</v>
      </c>
      <c r="E61" s="1">
        <v>0</v>
      </c>
      <c r="F61" s="1">
        <v>0</v>
      </c>
      <c r="G61" s="1" t="s">
        <v>77</v>
      </c>
      <c r="H61" s="1" t="s">
        <v>73</v>
      </c>
      <c r="P61" s="1" t="s">
        <v>76</v>
      </c>
      <c r="Q61" s="1">
        <v>2025</v>
      </c>
      <c r="R61" s="1">
        <v>1</v>
      </c>
      <c r="S61" s="1">
        <v>0</v>
      </c>
      <c r="T61" s="1">
        <v>0</v>
      </c>
      <c r="U61" s="1" t="s">
        <v>77</v>
      </c>
      <c r="V61" s="1" t="s">
        <v>73</v>
      </c>
      <c r="Y61" t="s">
        <v>76</v>
      </c>
      <c r="Z61" t="s">
        <v>1205</v>
      </c>
      <c r="AA61">
        <v>0</v>
      </c>
      <c r="AB61">
        <v>0</v>
      </c>
      <c r="AC61" t="s">
        <v>73</v>
      </c>
      <c r="AD61" t="s">
        <v>77</v>
      </c>
    </row>
    <row r="62" spans="2:30" x14ac:dyDescent="0.25">
      <c r="B62" s="1" t="s">
        <v>78</v>
      </c>
      <c r="C62" s="1">
        <v>2026</v>
      </c>
      <c r="D62" s="1">
        <v>1</v>
      </c>
      <c r="E62" s="1">
        <v>0</v>
      </c>
      <c r="F62" s="1">
        <v>0</v>
      </c>
      <c r="G62" s="1" t="s">
        <v>79</v>
      </c>
      <c r="H62" s="1" t="s">
        <v>73</v>
      </c>
      <c r="P62" s="1" t="s">
        <v>78</v>
      </c>
      <c r="Q62" s="1">
        <v>2025</v>
      </c>
      <c r="R62" s="1">
        <v>1</v>
      </c>
      <c r="S62" s="1">
        <v>0</v>
      </c>
      <c r="T62" s="1">
        <v>0</v>
      </c>
      <c r="U62" s="1" t="s">
        <v>79</v>
      </c>
      <c r="V62" s="1" t="s">
        <v>73</v>
      </c>
      <c r="Y62" t="s">
        <v>78</v>
      </c>
      <c r="Z62" t="s">
        <v>1205</v>
      </c>
      <c r="AA62">
        <v>0</v>
      </c>
      <c r="AB62">
        <v>0</v>
      </c>
      <c r="AC62" t="s">
        <v>73</v>
      </c>
      <c r="AD62" t="s">
        <v>79</v>
      </c>
    </row>
    <row r="63" spans="2:30" x14ac:dyDescent="0.25">
      <c r="B63" s="1" t="s">
        <v>1259</v>
      </c>
      <c r="C63" s="1">
        <v>2026</v>
      </c>
      <c r="D63" s="1">
        <v>1</v>
      </c>
      <c r="E63" s="1">
        <v>-408353.3</v>
      </c>
      <c r="F63" s="1">
        <v>0</v>
      </c>
      <c r="G63" s="1" t="s">
        <v>1260</v>
      </c>
      <c r="H63" s="1" t="s">
        <v>73</v>
      </c>
      <c r="P63" s="1" t="s">
        <v>1259</v>
      </c>
      <c r="Q63" s="1">
        <v>2025</v>
      </c>
      <c r="R63" s="1">
        <v>1</v>
      </c>
      <c r="S63" s="1">
        <v>-408353.3</v>
      </c>
      <c r="T63" s="1">
        <v>0</v>
      </c>
      <c r="U63" s="1" t="s">
        <v>1260</v>
      </c>
      <c r="V63" s="1" t="s">
        <v>73</v>
      </c>
      <c r="Y63" t="s">
        <v>1259</v>
      </c>
      <c r="Z63" t="s">
        <v>1205</v>
      </c>
      <c r="AA63">
        <v>-408353.3</v>
      </c>
      <c r="AB63">
        <v>0</v>
      </c>
      <c r="AC63" t="s">
        <v>73</v>
      </c>
      <c r="AD63" t="s">
        <v>1260</v>
      </c>
    </row>
    <row r="64" spans="2:30" x14ac:dyDescent="0.25">
      <c r="B64" s="1" t="s">
        <v>1368</v>
      </c>
      <c r="C64" s="1">
        <v>2026</v>
      </c>
      <c r="D64" s="1">
        <v>1</v>
      </c>
      <c r="E64" s="1">
        <v>-57145.16</v>
      </c>
      <c r="F64" s="1">
        <v>0</v>
      </c>
      <c r="G64" s="1" t="s">
        <v>1369</v>
      </c>
      <c r="H64" s="1" t="s">
        <v>73</v>
      </c>
      <c r="P64" s="1" t="s">
        <v>1368</v>
      </c>
      <c r="Q64" s="1">
        <v>2025</v>
      </c>
      <c r="R64" s="1">
        <v>1</v>
      </c>
      <c r="S64" s="1">
        <v>-57145.16</v>
      </c>
      <c r="T64" s="1">
        <v>0</v>
      </c>
      <c r="U64" s="1" t="s">
        <v>1369</v>
      </c>
      <c r="V64" s="1" t="s">
        <v>73</v>
      </c>
      <c r="Y64" t="s">
        <v>1368</v>
      </c>
      <c r="Z64" t="s">
        <v>1205</v>
      </c>
      <c r="AA64">
        <v>-57145.16</v>
      </c>
      <c r="AB64">
        <v>0</v>
      </c>
      <c r="AC64" t="s">
        <v>73</v>
      </c>
      <c r="AD64" t="s">
        <v>1369</v>
      </c>
    </row>
    <row r="65" spans="2:30" x14ac:dyDescent="0.25">
      <c r="B65" s="1" t="s">
        <v>80</v>
      </c>
      <c r="C65" s="1">
        <v>2026</v>
      </c>
      <c r="D65" s="1">
        <v>1</v>
      </c>
      <c r="E65" s="1">
        <v>365.91</v>
      </c>
      <c r="F65" s="1">
        <v>0</v>
      </c>
      <c r="G65" s="1" t="s">
        <v>81</v>
      </c>
      <c r="H65" s="1" t="s">
        <v>73</v>
      </c>
      <c r="P65" s="1" t="s">
        <v>80</v>
      </c>
      <c r="Q65" s="1">
        <v>2025</v>
      </c>
      <c r="R65" s="1">
        <v>1</v>
      </c>
      <c r="S65" s="1">
        <v>365.91</v>
      </c>
      <c r="T65" s="1">
        <v>0</v>
      </c>
      <c r="U65" s="1" t="s">
        <v>81</v>
      </c>
      <c r="V65" s="1" t="s">
        <v>73</v>
      </c>
      <c r="Y65" t="s">
        <v>80</v>
      </c>
      <c r="Z65" t="s">
        <v>1205</v>
      </c>
      <c r="AA65">
        <v>365.91</v>
      </c>
      <c r="AB65">
        <v>0</v>
      </c>
      <c r="AC65" t="s">
        <v>73</v>
      </c>
      <c r="AD65" t="s">
        <v>81</v>
      </c>
    </row>
    <row r="66" spans="2:30" x14ac:dyDescent="0.25">
      <c r="B66" s="1" t="s">
        <v>1370</v>
      </c>
      <c r="C66" s="1">
        <v>2026</v>
      </c>
      <c r="D66" s="1">
        <v>1</v>
      </c>
      <c r="E66" s="1">
        <v>-54524</v>
      </c>
      <c r="F66" s="1">
        <v>0</v>
      </c>
      <c r="G66" s="1" t="s">
        <v>1371</v>
      </c>
      <c r="H66" s="1" t="s">
        <v>73</v>
      </c>
      <c r="P66" s="1" t="s">
        <v>1370</v>
      </c>
      <c r="Q66" s="1">
        <v>2025</v>
      </c>
      <c r="R66" s="1">
        <v>1</v>
      </c>
      <c r="S66" s="1">
        <v>-54524</v>
      </c>
      <c r="T66" s="1">
        <v>0</v>
      </c>
      <c r="U66" s="1" t="s">
        <v>1371</v>
      </c>
      <c r="V66" s="1" t="s">
        <v>73</v>
      </c>
      <c r="Y66" t="s">
        <v>1370</v>
      </c>
      <c r="Z66" t="s">
        <v>1205</v>
      </c>
      <c r="AA66">
        <v>-54524</v>
      </c>
      <c r="AB66">
        <v>0</v>
      </c>
      <c r="AC66" t="s">
        <v>73</v>
      </c>
      <c r="AD66" t="s">
        <v>1371</v>
      </c>
    </row>
    <row r="67" spans="2:30" x14ac:dyDescent="0.25">
      <c r="B67" s="1" t="s">
        <v>1372</v>
      </c>
      <c r="C67" s="1">
        <v>2026</v>
      </c>
      <c r="D67" s="1">
        <v>1</v>
      </c>
      <c r="E67" s="1">
        <v>-65102.09</v>
      </c>
      <c r="F67" s="1">
        <v>0</v>
      </c>
      <c r="G67" s="1" t="s">
        <v>1373</v>
      </c>
      <c r="H67" s="1" t="s">
        <v>73</v>
      </c>
      <c r="P67" s="1" t="s">
        <v>1372</v>
      </c>
      <c r="Q67" s="1">
        <v>2025</v>
      </c>
      <c r="R67" s="1">
        <v>1</v>
      </c>
      <c r="S67" s="1">
        <v>-65102.09</v>
      </c>
      <c r="T67" s="1">
        <v>0</v>
      </c>
      <c r="U67" s="1" t="s">
        <v>1373</v>
      </c>
      <c r="V67" s="1" t="s">
        <v>73</v>
      </c>
      <c r="Y67" t="s">
        <v>1372</v>
      </c>
      <c r="Z67" t="s">
        <v>1205</v>
      </c>
      <c r="AA67">
        <v>-65102.09</v>
      </c>
      <c r="AB67">
        <v>0</v>
      </c>
      <c r="AC67" t="s">
        <v>73</v>
      </c>
      <c r="AD67" t="s">
        <v>1373</v>
      </c>
    </row>
    <row r="68" spans="2:30" x14ac:dyDescent="0.25">
      <c r="B68" s="1" t="s">
        <v>82</v>
      </c>
      <c r="C68" s="1">
        <v>2026</v>
      </c>
      <c r="D68" s="1">
        <v>1</v>
      </c>
      <c r="E68" s="1">
        <v>0</v>
      </c>
      <c r="F68" s="1">
        <v>0</v>
      </c>
      <c r="G68" s="1" t="s">
        <v>83</v>
      </c>
      <c r="H68" s="1" t="s">
        <v>73</v>
      </c>
      <c r="P68" s="1" t="s">
        <v>82</v>
      </c>
      <c r="Q68" s="1">
        <v>2025</v>
      </c>
      <c r="R68" s="1">
        <v>1</v>
      </c>
      <c r="S68" s="1">
        <v>0</v>
      </c>
      <c r="T68" s="1">
        <v>0</v>
      </c>
      <c r="U68" s="1" t="s">
        <v>83</v>
      </c>
      <c r="V68" s="1" t="s">
        <v>73</v>
      </c>
      <c r="Y68" t="s">
        <v>82</v>
      </c>
      <c r="Z68" t="s">
        <v>1205</v>
      </c>
      <c r="AA68">
        <v>0</v>
      </c>
      <c r="AB68">
        <v>0</v>
      </c>
      <c r="AC68" t="s">
        <v>73</v>
      </c>
      <c r="AD68" t="s">
        <v>83</v>
      </c>
    </row>
    <row r="69" spans="2:30" x14ac:dyDescent="0.25">
      <c r="B69" s="1" t="s">
        <v>84</v>
      </c>
      <c r="C69" s="1">
        <v>2026</v>
      </c>
      <c r="D69" s="1">
        <v>1</v>
      </c>
      <c r="E69" s="1">
        <v>-2146398.2799999998</v>
      </c>
      <c r="F69" s="1">
        <v>-299810.59999999998</v>
      </c>
      <c r="G69" s="1" t="s">
        <v>85</v>
      </c>
      <c r="H69" s="1" t="s">
        <v>73</v>
      </c>
      <c r="P69" s="1" t="s">
        <v>84</v>
      </c>
      <c r="Q69" s="1">
        <v>2025</v>
      </c>
      <c r="R69" s="1">
        <v>1</v>
      </c>
      <c r="S69" s="1">
        <v>-3654828.15</v>
      </c>
      <c r="T69" s="1">
        <v>-341480.08</v>
      </c>
      <c r="U69" s="1" t="s">
        <v>85</v>
      </c>
      <c r="V69" s="1" t="s">
        <v>73</v>
      </c>
      <c r="Y69" t="s">
        <v>84</v>
      </c>
      <c r="Z69" t="s">
        <v>1205</v>
      </c>
      <c r="AA69">
        <v>-1846587.68</v>
      </c>
      <c r="AB69">
        <v>556061.5</v>
      </c>
      <c r="AC69" t="s">
        <v>73</v>
      </c>
      <c r="AD69" t="s">
        <v>85</v>
      </c>
    </row>
    <row r="70" spans="2:30" x14ac:dyDescent="0.25">
      <c r="B70" s="1" t="s">
        <v>1184</v>
      </c>
      <c r="C70" s="1">
        <v>2026</v>
      </c>
      <c r="D70" s="1">
        <v>1</v>
      </c>
      <c r="E70" s="1">
        <v>0</v>
      </c>
      <c r="F70" s="1">
        <v>0</v>
      </c>
      <c r="G70" s="1" t="s">
        <v>1187</v>
      </c>
      <c r="H70" s="1" t="s">
        <v>73</v>
      </c>
      <c r="P70" s="1" t="s">
        <v>1184</v>
      </c>
      <c r="Q70" s="1">
        <v>2025</v>
      </c>
      <c r="R70" s="1">
        <v>1</v>
      </c>
      <c r="S70" s="1">
        <v>0</v>
      </c>
      <c r="T70" s="1">
        <v>0</v>
      </c>
      <c r="U70" s="1" t="s">
        <v>1187</v>
      </c>
      <c r="V70" s="1" t="s">
        <v>73</v>
      </c>
      <c r="Y70" t="s">
        <v>1184</v>
      </c>
      <c r="Z70" t="s">
        <v>1205</v>
      </c>
      <c r="AA70">
        <v>0</v>
      </c>
      <c r="AB70">
        <v>0</v>
      </c>
      <c r="AC70" t="s">
        <v>73</v>
      </c>
      <c r="AD70" t="s">
        <v>1187</v>
      </c>
    </row>
    <row r="71" spans="2:30" x14ac:dyDescent="0.25">
      <c r="B71" s="1" t="s">
        <v>86</v>
      </c>
      <c r="C71" s="1">
        <v>2026</v>
      </c>
      <c r="D71" s="1">
        <v>1</v>
      </c>
      <c r="E71" s="1">
        <v>0</v>
      </c>
      <c r="F71" s="1">
        <v>0</v>
      </c>
      <c r="G71" s="1" t="s">
        <v>87</v>
      </c>
      <c r="H71" s="1" t="s">
        <v>73</v>
      </c>
      <c r="P71" s="1" t="s">
        <v>86</v>
      </c>
      <c r="Q71" s="1">
        <v>2025</v>
      </c>
      <c r="R71" s="1">
        <v>1</v>
      </c>
      <c r="S71" s="1">
        <v>0</v>
      </c>
      <c r="T71" s="1">
        <v>0</v>
      </c>
      <c r="U71" s="1" t="s">
        <v>87</v>
      </c>
      <c r="V71" s="1" t="s">
        <v>73</v>
      </c>
      <c r="Y71" t="s">
        <v>86</v>
      </c>
      <c r="Z71" t="s">
        <v>1205</v>
      </c>
      <c r="AA71">
        <v>0</v>
      </c>
      <c r="AB71">
        <v>0</v>
      </c>
      <c r="AC71" t="s">
        <v>73</v>
      </c>
      <c r="AD71" t="s">
        <v>87</v>
      </c>
    </row>
    <row r="72" spans="2:30" x14ac:dyDescent="0.25">
      <c r="B72" s="1" t="s">
        <v>88</v>
      </c>
      <c r="C72" s="1">
        <v>2026</v>
      </c>
      <c r="D72" s="1">
        <v>1</v>
      </c>
      <c r="E72" s="1">
        <v>-12017.73</v>
      </c>
      <c r="F72" s="1">
        <v>0</v>
      </c>
      <c r="G72" s="1" t="s">
        <v>89</v>
      </c>
      <c r="H72" s="1" t="s">
        <v>73</v>
      </c>
      <c r="P72" s="1" t="s">
        <v>88</v>
      </c>
      <c r="Q72" s="1">
        <v>2025</v>
      </c>
      <c r="R72" s="1">
        <v>1</v>
      </c>
      <c r="S72" s="1">
        <v>-12017.73</v>
      </c>
      <c r="T72" s="1">
        <v>0</v>
      </c>
      <c r="U72" s="1" t="s">
        <v>89</v>
      </c>
      <c r="V72" s="1" t="s">
        <v>73</v>
      </c>
      <c r="Y72" t="s">
        <v>88</v>
      </c>
      <c r="Z72" t="s">
        <v>1205</v>
      </c>
      <c r="AA72">
        <v>-12017.73</v>
      </c>
      <c r="AB72">
        <v>0</v>
      </c>
      <c r="AC72" t="s">
        <v>73</v>
      </c>
      <c r="AD72" t="s">
        <v>89</v>
      </c>
    </row>
    <row r="73" spans="2:30" x14ac:dyDescent="0.25">
      <c r="B73" s="1" t="s">
        <v>90</v>
      </c>
      <c r="C73" s="1">
        <v>2026</v>
      </c>
      <c r="D73" s="1">
        <v>1</v>
      </c>
      <c r="E73" s="1">
        <v>0</v>
      </c>
      <c r="F73" s="1">
        <v>0</v>
      </c>
      <c r="G73" s="1" t="s">
        <v>1351</v>
      </c>
      <c r="H73" s="1" t="s">
        <v>73</v>
      </c>
      <c r="P73" s="1" t="s">
        <v>90</v>
      </c>
      <c r="Q73" s="1">
        <v>2025</v>
      </c>
      <c r="R73" s="1">
        <v>1</v>
      </c>
      <c r="S73" s="1">
        <v>0</v>
      </c>
      <c r="T73" s="1">
        <v>0</v>
      </c>
      <c r="U73" s="1" t="s">
        <v>1351</v>
      </c>
      <c r="V73" s="1" t="s">
        <v>73</v>
      </c>
      <c r="Y73" t="s">
        <v>90</v>
      </c>
      <c r="Z73" t="s">
        <v>1205</v>
      </c>
      <c r="AA73">
        <v>0</v>
      </c>
      <c r="AB73">
        <v>0</v>
      </c>
      <c r="AC73" t="s">
        <v>73</v>
      </c>
      <c r="AD73" t="s">
        <v>1351</v>
      </c>
    </row>
    <row r="74" spans="2:30" x14ac:dyDescent="0.25">
      <c r="B74" s="1" t="s">
        <v>92</v>
      </c>
      <c r="C74" s="1">
        <v>2026</v>
      </c>
      <c r="D74" s="1">
        <v>1</v>
      </c>
      <c r="E74" s="1">
        <v>0</v>
      </c>
      <c r="F74" s="1">
        <v>0</v>
      </c>
      <c r="G74" s="1" t="s">
        <v>93</v>
      </c>
      <c r="H74" s="1" t="s">
        <v>73</v>
      </c>
      <c r="P74" s="1" t="s">
        <v>92</v>
      </c>
      <c r="Q74" s="1">
        <v>2025</v>
      </c>
      <c r="R74" s="1">
        <v>1</v>
      </c>
      <c r="S74" s="1">
        <v>0</v>
      </c>
      <c r="T74" s="1">
        <v>0</v>
      </c>
      <c r="U74" s="1" t="s">
        <v>93</v>
      </c>
      <c r="V74" s="1" t="s">
        <v>73</v>
      </c>
      <c r="Y74" t="s">
        <v>92</v>
      </c>
      <c r="Z74" t="s">
        <v>1205</v>
      </c>
      <c r="AA74">
        <v>0</v>
      </c>
      <c r="AB74">
        <v>0</v>
      </c>
      <c r="AC74" t="s">
        <v>73</v>
      </c>
      <c r="AD74" t="s">
        <v>93</v>
      </c>
    </row>
    <row r="75" spans="2:30" x14ac:dyDescent="0.25">
      <c r="B75" s="1" t="s">
        <v>94</v>
      </c>
      <c r="C75" s="1">
        <v>2026</v>
      </c>
      <c r="D75" s="1">
        <v>1</v>
      </c>
      <c r="E75" s="1">
        <v>0</v>
      </c>
      <c r="F75" s="1">
        <v>0</v>
      </c>
      <c r="G75" s="1" t="s">
        <v>95</v>
      </c>
      <c r="H75" s="1" t="s">
        <v>73</v>
      </c>
      <c r="P75" s="1" t="s">
        <v>94</v>
      </c>
      <c r="Q75" s="1">
        <v>2025</v>
      </c>
      <c r="R75" s="1">
        <v>1</v>
      </c>
      <c r="S75" s="1">
        <v>0</v>
      </c>
      <c r="T75" s="1">
        <v>0</v>
      </c>
      <c r="U75" s="1" t="s">
        <v>95</v>
      </c>
      <c r="V75" s="1" t="s">
        <v>73</v>
      </c>
      <c r="Y75" t="s">
        <v>94</v>
      </c>
      <c r="Z75" t="s">
        <v>1205</v>
      </c>
      <c r="AA75">
        <v>0</v>
      </c>
      <c r="AB75">
        <v>0</v>
      </c>
      <c r="AC75" t="s">
        <v>73</v>
      </c>
      <c r="AD75" t="s">
        <v>95</v>
      </c>
    </row>
    <row r="76" spans="2:30" x14ac:dyDescent="0.25">
      <c r="B76" s="1" t="s">
        <v>96</v>
      </c>
      <c r="C76" s="1">
        <v>2026</v>
      </c>
      <c r="D76" s="1">
        <v>1</v>
      </c>
      <c r="E76" s="1">
        <v>0</v>
      </c>
      <c r="F76" s="1">
        <v>0</v>
      </c>
      <c r="G76" s="1" t="s">
        <v>1323</v>
      </c>
      <c r="H76" s="1" t="s">
        <v>73</v>
      </c>
      <c r="P76" s="1" t="s">
        <v>96</v>
      </c>
      <c r="Q76" s="1">
        <v>2025</v>
      </c>
      <c r="R76" s="1">
        <v>1</v>
      </c>
      <c r="S76" s="1">
        <v>0</v>
      </c>
      <c r="T76" s="1">
        <v>0</v>
      </c>
      <c r="U76" s="1" t="s">
        <v>1323</v>
      </c>
      <c r="V76" s="1" t="s">
        <v>73</v>
      </c>
      <c r="Y76" t="s">
        <v>96</v>
      </c>
      <c r="Z76" t="s">
        <v>1205</v>
      </c>
      <c r="AA76">
        <v>0</v>
      </c>
      <c r="AB76">
        <v>0</v>
      </c>
      <c r="AC76" t="s">
        <v>73</v>
      </c>
      <c r="AD76" t="s">
        <v>1323</v>
      </c>
    </row>
    <row r="77" spans="2:30" x14ac:dyDescent="0.25">
      <c r="B77" s="1" t="s">
        <v>98</v>
      </c>
      <c r="C77" s="1">
        <v>2026</v>
      </c>
      <c r="D77" s="1">
        <v>1</v>
      </c>
      <c r="E77" s="1">
        <v>0</v>
      </c>
      <c r="F77" s="1">
        <v>0</v>
      </c>
      <c r="G77" s="1" t="s">
        <v>99</v>
      </c>
      <c r="H77" s="1" t="s">
        <v>73</v>
      </c>
      <c r="P77" s="1" t="s">
        <v>98</v>
      </c>
      <c r="Q77" s="1">
        <v>2025</v>
      </c>
      <c r="R77" s="1">
        <v>1</v>
      </c>
      <c r="S77" s="1">
        <v>0</v>
      </c>
      <c r="T77" s="1">
        <v>0</v>
      </c>
      <c r="U77" s="1" t="s">
        <v>99</v>
      </c>
      <c r="V77" s="1" t="s">
        <v>73</v>
      </c>
      <c r="Y77" t="s">
        <v>98</v>
      </c>
      <c r="Z77" t="s">
        <v>1205</v>
      </c>
      <c r="AA77">
        <v>0</v>
      </c>
      <c r="AB77">
        <v>0</v>
      </c>
      <c r="AC77" t="s">
        <v>73</v>
      </c>
      <c r="AD77" t="s">
        <v>99</v>
      </c>
    </row>
    <row r="78" spans="2:30" x14ac:dyDescent="0.25">
      <c r="B78" s="1" t="s">
        <v>100</v>
      </c>
      <c r="C78" s="1">
        <v>2026</v>
      </c>
      <c r="D78" s="1">
        <v>1</v>
      </c>
      <c r="E78" s="1">
        <v>0</v>
      </c>
      <c r="F78" s="1">
        <v>0</v>
      </c>
      <c r="G78" s="1" t="s">
        <v>1219</v>
      </c>
      <c r="H78" s="1" t="s">
        <v>73</v>
      </c>
      <c r="P78" s="1" t="s">
        <v>100</v>
      </c>
      <c r="Q78" s="1">
        <v>2025</v>
      </c>
      <c r="R78" s="1">
        <v>1</v>
      </c>
      <c r="S78" s="1">
        <v>0</v>
      </c>
      <c r="T78" s="1">
        <v>0</v>
      </c>
      <c r="U78" s="1" t="s">
        <v>1219</v>
      </c>
      <c r="V78" s="1" t="s">
        <v>73</v>
      </c>
      <c r="Y78" t="s">
        <v>100</v>
      </c>
      <c r="Z78" t="s">
        <v>1205</v>
      </c>
      <c r="AA78">
        <v>0</v>
      </c>
      <c r="AB78">
        <v>0</v>
      </c>
      <c r="AC78" t="s">
        <v>73</v>
      </c>
      <c r="AD78" t="s">
        <v>1219</v>
      </c>
    </row>
    <row r="79" spans="2:30" x14ac:dyDescent="0.25">
      <c r="B79" s="1" t="s">
        <v>1217</v>
      </c>
      <c r="C79" s="1">
        <v>2026</v>
      </c>
      <c r="D79" s="1">
        <v>1</v>
      </c>
      <c r="E79" s="1">
        <v>0</v>
      </c>
      <c r="F79" s="1">
        <v>0</v>
      </c>
      <c r="G79" s="1" t="s">
        <v>1220</v>
      </c>
      <c r="H79" s="1" t="s">
        <v>73</v>
      </c>
      <c r="P79" s="1" t="s">
        <v>1217</v>
      </c>
      <c r="Q79" s="1">
        <v>2025</v>
      </c>
      <c r="R79" s="1">
        <v>1</v>
      </c>
      <c r="S79" s="1">
        <v>0</v>
      </c>
      <c r="T79" s="1">
        <v>0</v>
      </c>
      <c r="U79" s="1" t="s">
        <v>1220</v>
      </c>
      <c r="V79" s="1" t="s">
        <v>73</v>
      </c>
      <c r="Y79" t="s">
        <v>1217</v>
      </c>
      <c r="Z79" t="s">
        <v>1205</v>
      </c>
      <c r="AA79">
        <v>0</v>
      </c>
      <c r="AB79">
        <v>0</v>
      </c>
      <c r="AC79" t="s">
        <v>73</v>
      </c>
      <c r="AD79" t="s">
        <v>1220</v>
      </c>
    </row>
    <row r="80" spans="2:30" x14ac:dyDescent="0.25">
      <c r="B80" s="1" t="s">
        <v>102</v>
      </c>
      <c r="C80" s="1">
        <v>2026</v>
      </c>
      <c r="D80" s="1">
        <v>1</v>
      </c>
      <c r="E80" s="1">
        <v>28372.080000000002</v>
      </c>
      <c r="F80" s="1">
        <v>0</v>
      </c>
      <c r="G80" s="1" t="s">
        <v>103</v>
      </c>
      <c r="H80" s="1" t="s">
        <v>73</v>
      </c>
      <c r="P80" s="1" t="s">
        <v>102</v>
      </c>
      <c r="Q80" s="1">
        <v>2025</v>
      </c>
      <c r="R80" s="1">
        <v>1</v>
      </c>
      <c r="S80" s="1">
        <v>0</v>
      </c>
      <c r="T80" s="1">
        <v>0</v>
      </c>
      <c r="U80" s="1" t="s">
        <v>103</v>
      </c>
      <c r="V80" s="1" t="s">
        <v>73</v>
      </c>
      <c r="Y80" t="s">
        <v>102</v>
      </c>
      <c r="Z80" t="s">
        <v>1205</v>
      </c>
      <c r="AA80">
        <v>28372.080000000002</v>
      </c>
      <c r="AB80">
        <v>3637.54</v>
      </c>
      <c r="AC80" t="s">
        <v>73</v>
      </c>
      <c r="AD80" t="s">
        <v>103</v>
      </c>
    </row>
    <row r="81" spans="2:30" x14ac:dyDescent="0.25">
      <c r="B81" s="1" t="s">
        <v>104</v>
      </c>
      <c r="C81" s="1">
        <v>2026</v>
      </c>
      <c r="D81" s="1">
        <v>1</v>
      </c>
      <c r="E81" s="1">
        <v>0</v>
      </c>
      <c r="F81" s="1">
        <v>0</v>
      </c>
      <c r="G81" s="1" t="s">
        <v>105</v>
      </c>
      <c r="H81" s="1" t="s">
        <v>73</v>
      </c>
      <c r="P81" s="1" t="s">
        <v>104</v>
      </c>
      <c r="Q81" s="1">
        <v>2025</v>
      </c>
      <c r="R81" s="1">
        <v>1</v>
      </c>
      <c r="S81" s="1">
        <v>0</v>
      </c>
      <c r="T81" s="1">
        <v>0</v>
      </c>
      <c r="U81" s="1" t="s">
        <v>105</v>
      </c>
      <c r="V81" s="1" t="s">
        <v>73</v>
      </c>
      <c r="Y81" t="s">
        <v>104</v>
      </c>
      <c r="Z81" t="s">
        <v>1205</v>
      </c>
      <c r="AA81">
        <v>0</v>
      </c>
      <c r="AB81">
        <v>0</v>
      </c>
      <c r="AC81" t="s">
        <v>73</v>
      </c>
      <c r="AD81" t="s">
        <v>105</v>
      </c>
    </row>
    <row r="82" spans="2:30" x14ac:dyDescent="0.25">
      <c r="B82" s="1" t="s">
        <v>1394</v>
      </c>
      <c r="C82" s="1">
        <v>2026</v>
      </c>
      <c r="D82" s="1">
        <v>1</v>
      </c>
      <c r="E82" s="1">
        <v>0</v>
      </c>
      <c r="F82" s="1">
        <v>0</v>
      </c>
      <c r="G82" s="1" t="s">
        <v>1395</v>
      </c>
      <c r="H82" s="1" t="s">
        <v>73</v>
      </c>
      <c r="P82" s="1" t="s">
        <v>1394</v>
      </c>
      <c r="Q82" s="1">
        <v>2025</v>
      </c>
      <c r="R82" s="1">
        <v>1</v>
      </c>
      <c r="S82" s="1">
        <v>0</v>
      </c>
      <c r="T82" s="1">
        <v>0</v>
      </c>
      <c r="U82" s="1" t="s">
        <v>1395</v>
      </c>
      <c r="V82" s="1" t="s">
        <v>73</v>
      </c>
      <c r="Y82" t="s">
        <v>1394</v>
      </c>
      <c r="Z82" t="s">
        <v>1205</v>
      </c>
      <c r="AA82">
        <v>0</v>
      </c>
      <c r="AB82">
        <v>0</v>
      </c>
      <c r="AC82" t="s">
        <v>73</v>
      </c>
      <c r="AD82" t="s">
        <v>1395</v>
      </c>
    </row>
    <row r="83" spans="2:30" x14ac:dyDescent="0.25">
      <c r="B83" s="1" t="s">
        <v>106</v>
      </c>
      <c r="C83" s="1">
        <v>2026</v>
      </c>
      <c r="D83" s="1">
        <v>1</v>
      </c>
      <c r="E83" s="1">
        <v>0</v>
      </c>
      <c r="F83" s="1">
        <v>0</v>
      </c>
      <c r="G83" s="1" t="s">
        <v>107</v>
      </c>
      <c r="H83" s="1" t="s">
        <v>73</v>
      </c>
      <c r="P83" s="1" t="s">
        <v>106</v>
      </c>
      <c r="Q83" s="1">
        <v>2025</v>
      </c>
      <c r="R83" s="1">
        <v>1</v>
      </c>
      <c r="S83" s="1">
        <v>0</v>
      </c>
      <c r="T83" s="1">
        <v>0</v>
      </c>
      <c r="U83" s="1" t="s">
        <v>107</v>
      </c>
      <c r="V83" s="1" t="s">
        <v>73</v>
      </c>
      <c r="Y83" t="s">
        <v>106</v>
      </c>
      <c r="Z83" t="s">
        <v>1205</v>
      </c>
      <c r="AA83">
        <v>0</v>
      </c>
      <c r="AB83">
        <v>0</v>
      </c>
      <c r="AC83" t="s">
        <v>73</v>
      </c>
      <c r="AD83" t="s">
        <v>107</v>
      </c>
    </row>
    <row r="84" spans="2:30" x14ac:dyDescent="0.25">
      <c r="B84" s="1" t="s">
        <v>108</v>
      </c>
      <c r="C84" s="1">
        <v>2026</v>
      </c>
      <c r="D84" s="1">
        <v>1</v>
      </c>
      <c r="E84" s="1">
        <v>-0.4</v>
      </c>
      <c r="F84" s="1">
        <v>0</v>
      </c>
      <c r="G84" s="1" t="s">
        <v>109</v>
      </c>
      <c r="H84" s="1" t="s">
        <v>73</v>
      </c>
      <c r="P84" s="1" t="s">
        <v>108</v>
      </c>
      <c r="Q84" s="1">
        <v>2025</v>
      </c>
      <c r="R84" s="1">
        <v>1</v>
      </c>
      <c r="S84" s="1">
        <v>0</v>
      </c>
      <c r="T84" s="1">
        <v>0</v>
      </c>
      <c r="U84" s="1" t="s">
        <v>109</v>
      </c>
      <c r="V84" s="1" t="s">
        <v>73</v>
      </c>
      <c r="Y84" t="s">
        <v>108</v>
      </c>
      <c r="Z84" t="s">
        <v>1205</v>
      </c>
      <c r="AA84">
        <v>-0.4</v>
      </c>
      <c r="AB84">
        <v>0</v>
      </c>
      <c r="AC84" t="s">
        <v>73</v>
      </c>
      <c r="AD84" t="s">
        <v>109</v>
      </c>
    </row>
    <row r="85" spans="2:30" x14ac:dyDescent="0.25">
      <c r="B85" s="1" t="s">
        <v>110</v>
      </c>
      <c r="C85" s="1">
        <v>2026</v>
      </c>
      <c r="D85" s="1">
        <v>1</v>
      </c>
      <c r="E85" s="1">
        <v>-30051.41</v>
      </c>
      <c r="F85" s="1">
        <v>-5184.0200000000004</v>
      </c>
      <c r="G85" s="1" t="s">
        <v>111</v>
      </c>
      <c r="H85" s="1" t="s">
        <v>73</v>
      </c>
      <c r="P85" s="1" t="s">
        <v>110</v>
      </c>
      <c r="Q85" s="1">
        <v>2025</v>
      </c>
      <c r="R85" s="1">
        <v>1</v>
      </c>
      <c r="S85" s="1">
        <v>-10508.27</v>
      </c>
      <c r="T85" s="1">
        <v>-12.77</v>
      </c>
      <c r="U85" s="1" t="s">
        <v>111</v>
      </c>
      <c r="V85" s="1" t="s">
        <v>73</v>
      </c>
      <c r="Y85" t="s">
        <v>110</v>
      </c>
      <c r="Z85" t="s">
        <v>1205</v>
      </c>
      <c r="AA85">
        <v>-24867.39</v>
      </c>
      <c r="AB85">
        <v>20776.47</v>
      </c>
      <c r="AC85" t="s">
        <v>73</v>
      </c>
      <c r="AD85" t="s">
        <v>111</v>
      </c>
    </row>
    <row r="86" spans="2:30" x14ac:dyDescent="0.25">
      <c r="B86" s="1" t="s">
        <v>752</v>
      </c>
      <c r="C86" s="1">
        <v>2026</v>
      </c>
      <c r="D86" s="1">
        <v>1</v>
      </c>
      <c r="E86" s="1">
        <v>6351.97</v>
      </c>
      <c r="F86" s="1">
        <v>-3991.7</v>
      </c>
      <c r="G86" s="1" t="s">
        <v>753</v>
      </c>
      <c r="H86" s="1" t="s">
        <v>73</v>
      </c>
      <c r="P86" s="1" t="s">
        <v>752</v>
      </c>
      <c r="Q86" s="1">
        <v>2025</v>
      </c>
      <c r="R86" s="1">
        <v>1</v>
      </c>
      <c r="S86" s="1">
        <v>11073.11</v>
      </c>
      <c r="T86" s="1">
        <v>0</v>
      </c>
      <c r="U86" s="1" t="s">
        <v>753</v>
      </c>
      <c r="V86" s="1" t="s">
        <v>73</v>
      </c>
      <c r="Y86" t="s">
        <v>752</v>
      </c>
      <c r="Z86" t="s">
        <v>1205</v>
      </c>
      <c r="AA86">
        <v>10343.67</v>
      </c>
      <c r="AB86">
        <v>-0.55000000000000004</v>
      </c>
      <c r="AC86" t="s">
        <v>73</v>
      </c>
      <c r="AD86" t="s">
        <v>753</v>
      </c>
    </row>
    <row r="87" spans="2:30" x14ac:dyDescent="0.25">
      <c r="B87" s="1" t="s">
        <v>112</v>
      </c>
      <c r="C87" s="1">
        <v>2026</v>
      </c>
      <c r="D87" s="1">
        <v>1</v>
      </c>
      <c r="E87" s="1">
        <v>1954.37</v>
      </c>
      <c r="F87" s="1">
        <v>0</v>
      </c>
      <c r="G87" s="1" t="s">
        <v>113</v>
      </c>
      <c r="H87" s="1" t="s">
        <v>73</v>
      </c>
      <c r="P87" s="1" t="s">
        <v>112</v>
      </c>
      <c r="Q87" s="1">
        <v>2025</v>
      </c>
      <c r="R87" s="1">
        <v>1</v>
      </c>
      <c r="S87" s="1">
        <v>1954.37</v>
      </c>
      <c r="T87" s="1">
        <v>0</v>
      </c>
      <c r="U87" s="1" t="s">
        <v>113</v>
      </c>
      <c r="V87" s="1" t="s">
        <v>73</v>
      </c>
      <c r="Y87" t="s">
        <v>112</v>
      </c>
      <c r="Z87" t="s">
        <v>1205</v>
      </c>
      <c r="AA87">
        <v>1954.37</v>
      </c>
      <c r="AB87">
        <v>0</v>
      </c>
      <c r="AC87" t="s">
        <v>73</v>
      </c>
      <c r="AD87" t="s">
        <v>113</v>
      </c>
    </row>
    <row r="88" spans="2:30" x14ac:dyDescent="0.25">
      <c r="B88" s="1" t="s">
        <v>114</v>
      </c>
      <c r="C88" s="1">
        <v>2026</v>
      </c>
      <c r="D88" s="1">
        <v>1</v>
      </c>
      <c r="E88" s="1">
        <v>-549</v>
      </c>
      <c r="F88" s="1">
        <v>3434</v>
      </c>
      <c r="G88" s="1" t="s">
        <v>115</v>
      </c>
      <c r="H88" s="1" t="s">
        <v>73</v>
      </c>
      <c r="P88" s="1" t="s">
        <v>114</v>
      </c>
      <c r="Q88" s="1">
        <v>2025</v>
      </c>
      <c r="R88" s="1">
        <v>1</v>
      </c>
      <c r="S88" s="1">
        <v>0</v>
      </c>
      <c r="T88" s="1">
        <v>25.16</v>
      </c>
      <c r="U88" s="1" t="s">
        <v>115</v>
      </c>
      <c r="V88" s="1" t="s">
        <v>73</v>
      </c>
      <c r="Y88" t="s">
        <v>114</v>
      </c>
      <c r="Z88" t="s">
        <v>1205</v>
      </c>
      <c r="AA88">
        <v>-3983</v>
      </c>
      <c r="AB88">
        <v>-3983</v>
      </c>
      <c r="AC88" t="s">
        <v>73</v>
      </c>
      <c r="AD88" t="s">
        <v>115</v>
      </c>
    </row>
    <row r="89" spans="2:30" x14ac:dyDescent="0.25">
      <c r="B89" s="1" t="s">
        <v>116</v>
      </c>
      <c r="C89" s="1">
        <v>2026</v>
      </c>
      <c r="D89" s="1">
        <v>1</v>
      </c>
      <c r="E89" s="1">
        <v>-12265.2</v>
      </c>
      <c r="F89" s="1">
        <v>0</v>
      </c>
      <c r="G89" s="1" t="s">
        <v>117</v>
      </c>
      <c r="H89" s="1" t="s">
        <v>73</v>
      </c>
      <c r="P89" s="1" t="s">
        <v>116</v>
      </c>
      <c r="Q89" s="1">
        <v>2025</v>
      </c>
      <c r="R89" s="1">
        <v>1</v>
      </c>
      <c r="S89" s="1">
        <v>-13862.56</v>
      </c>
      <c r="T89" s="1">
        <v>-1654.9</v>
      </c>
      <c r="U89" s="1" t="s">
        <v>117</v>
      </c>
      <c r="V89" s="1" t="s">
        <v>73</v>
      </c>
      <c r="Y89" t="s">
        <v>116</v>
      </c>
      <c r="Z89" t="s">
        <v>1205</v>
      </c>
      <c r="AA89">
        <v>-12265.2</v>
      </c>
      <c r="AB89">
        <v>0</v>
      </c>
      <c r="AC89" t="s">
        <v>73</v>
      </c>
      <c r="AD89" t="s">
        <v>117</v>
      </c>
    </row>
    <row r="90" spans="2:30" x14ac:dyDescent="0.25">
      <c r="B90" s="1" t="s">
        <v>118</v>
      </c>
      <c r="C90" s="1">
        <v>2026</v>
      </c>
      <c r="D90" s="1">
        <v>1</v>
      </c>
      <c r="E90" s="1">
        <v>-4191.1499999999996</v>
      </c>
      <c r="F90" s="1">
        <v>207</v>
      </c>
      <c r="G90" s="1" t="s">
        <v>119</v>
      </c>
      <c r="H90" s="1" t="s">
        <v>73</v>
      </c>
      <c r="P90" s="1" t="s">
        <v>118</v>
      </c>
      <c r="Q90" s="1">
        <v>2025</v>
      </c>
      <c r="R90" s="1">
        <v>1</v>
      </c>
      <c r="S90" s="1">
        <v>0</v>
      </c>
      <c r="T90" s="1">
        <v>75.58</v>
      </c>
      <c r="U90" s="1" t="s">
        <v>119</v>
      </c>
      <c r="V90" s="1" t="s">
        <v>73</v>
      </c>
      <c r="Y90" t="s">
        <v>118</v>
      </c>
      <c r="Z90" t="s">
        <v>1205</v>
      </c>
      <c r="AA90">
        <v>-4398.1499999999996</v>
      </c>
      <c r="AB90">
        <v>-4398.1499999999996</v>
      </c>
      <c r="AC90" t="s">
        <v>73</v>
      </c>
      <c r="AD90" t="s">
        <v>119</v>
      </c>
    </row>
    <row r="91" spans="2:30" x14ac:dyDescent="0.25">
      <c r="B91" s="1" t="s">
        <v>120</v>
      </c>
      <c r="C91" s="1">
        <v>2026</v>
      </c>
      <c r="D91" s="1">
        <v>1</v>
      </c>
      <c r="E91" s="1">
        <v>3.44</v>
      </c>
      <c r="F91" s="1">
        <v>12642.71</v>
      </c>
      <c r="G91" s="1" t="s">
        <v>121</v>
      </c>
      <c r="H91" s="1" t="s">
        <v>73</v>
      </c>
      <c r="P91" s="1" t="s">
        <v>120</v>
      </c>
      <c r="Q91" s="1">
        <v>2025</v>
      </c>
      <c r="R91" s="1">
        <v>1</v>
      </c>
      <c r="S91" s="1">
        <v>-10840.42</v>
      </c>
      <c r="T91" s="1">
        <v>-10817.23</v>
      </c>
      <c r="U91" s="1" t="s">
        <v>121</v>
      </c>
      <c r="V91" s="1" t="s">
        <v>73</v>
      </c>
      <c r="Y91" t="s">
        <v>120</v>
      </c>
      <c r="Z91" t="s">
        <v>1205</v>
      </c>
      <c r="AA91">
        <v>-12639.27</v>
      </c>
      <c r="AB91">
        <v>0</v>
      </c>
      <c r="AC91" t="s">
        <v>73</v>
      </c>
      <c r="AD91" t="s">
        <v>121</v>
      </c>
    </row>
    <row r="92" spans="2:30" x14ac:dyDescent="0.25">
      <c r="B92" s="1" t="s">
        <v>122</v>
      </c>
      <c r="C92" s="1">
        <v>2026</v>
      </c>
      <c r="D92" s="1">
        <v>1</v>
      </c>
      <c r="E92" s="1">
        <v>-803.77</v>
      </c>
      <c r="F92" s="1">
        <v>0</v>
      </c>
      <c r="G92" s="1" t="s">
        <v>123</v>
      </c>
      <c r="H92" s="1" t="s">
        <v>73</v>
      </c>
      <c r="P92" s="1" t="s">
        <v>122</v>
      </c>
      <c r="Q92" s="1">
        <v>2025</v>
      </c>
      <c r="R92" s="1">
        <v>1</v>
      </c>
      <c r="S92" s="1">
        <v>-907.69</v>
      </c>
      <c r="T92" s="1">
        <v>0</v>
      </c>
      <c r="U92" s="1" t="s">
        <v>123</v>
      </c>
      <c r="V92" s="1" t="s">
        <v>73</v>
      </c>
      <c r="Y92" t="s">
        <v>122</v>
      </c>
      <c r="Z92" t="s">
        <v>1205</v>
      </c>
      <c r="AA92">
        <v>-803.77</v>
      </c>
      <c r="AB92">
        <v>0</v>
      </c>
      <c r="AC92" t="s">
        <v>73</v>
      </c>
      <c r="AD92" t="s">
        <v>123</v>
      </c>
    </row>
    <row r="93" spans="2:30" x14ac:dyDescent="0.25">
      <c r="B93" s="1" t="s">
        <v>124</v>
      </c>
      <c r="C93" s="1">
        <v>2026</v>
      </c>
      <c r="D93" s="1">
        <v>1</v>
      </c>
      <c r="E93" s="1">
        <v>-8117.49</v>
      </c>
      <c r="F93" s="1">
        <v>0</v>
      </c>
      <c r="G93" s="1" t="s">
        <v>125</v>
      </c>
      <c r="H93" s="1" t="s">
        <v>73</v>
      </c>
      <c r="P93" s="1" t="s">
        <v>124</v>
      </c>
      <c r="Q93" s="1">
        <v>2025</v>
      </c>
      <c r="R93" s="1">
        <v>1</v>
      </c>
      <c r="S93" s="1">
        <v>-8147.19</v>
      </c>
      <c r="T93" s="1">
        <v>-29.7</v>
      </c>
      <c r="U93" s="1" t="s">
        <v>125</v>
      </c>
      <c r="V93" s="1" t="s">
        <v>73</v>
      </c>
      <c r="Y93" t="s">
        <v>124</v>
      </c>
      <c r="Z93" t="s">
        <v>1205</v>
      </c>
      <c r="AA93">
        <v>-8117.49</v>
      </c>
      <c r="AB93">
        <v>0</v>
      </c>
      <c r="AC93" t="s">
        <v>73</v>
      </c>
      <c r="AD93" t="s">
        <v>125</v>
      </c>
    </row>
    <row r="94" spans="2:30" x14ac:dyDescent="0.25">
      <c r="B94" s="1" t="s">
        <v>126</v>
      </c>
      <c r="C94" s="1">
        <v>2026</v>
      </c>
      <c r="D94" s="1">
        <v>1</v>
      </c>
      <c r="E94" s="1">
        <v>-3264.7</v>
      </c>
      <c r="F94" s="1">
        <v>0</v>
      </c>
      <c r="G94" s="1" t="s">
        <v>1251</v>
      </c>
      <c r="H94" s="1" t="s">
        <v>73</v>
      </c>
      <c r="P94" s="1" t="s">
        <v>126</v>
      </c>
      <c r="Q94" s="1">
        <v>2025</v>
      </c>
      <c r="R94" s="1">
        <v>1</v>
      </c>
      <c r="S94" s="1">
        <v>0</v>
      </c>
      <c r="T94" s="1">
        <v>0</v>
      </c>
      <c r="U94" s="1" t="s">
        <v>1251</v>
      </c>
      <c r="V94" s="1" t="s">
        <v>73</v>
      </c>
      <c r="Y94" t="s">
        <v>126</v>
      </c>
      <c r="Z94" t="s">
        <v>1205</v>
      </c>
      <c r="AA94">
        <v>-3264.7</v>
      </c>
      <c r="AB94">
        <v>0</v>
      </c>
      <c r="AC94" t="s">
        <v>73</v>
      </c>
      <c r="AD94" t="s">
        <v>1251</v>
      </c>
    </row>
    <row r="95" spans="2:30" x14ac:dyDescent="0.25">
      <c r="B95" s="1" t="s">
        <v>128</v>
      </c>
      <c r="C95" s="1">
        <v>2026</v>
      </c>
      <c r="D95" s="1">
        <v>1</v>
      </c>
      <c r="E95" s="1">
        <v>-8179.88</v>
      </c>
      <c r="F95" s="1">
        <v>0</v>
      </c>
      <c r="G95" s="1" t="s">
        <v>129</v>
      </c>
      <c r="H95" s="1" t="s">
        <v>73</v>
      </c>
      <c r="P95" s="1" t="s">
        <v>128</v>
      </c>
      <c r="Q95" s="1">
        <v>2025</v>
      </c>
      <c r="R95" s="1">
        <v>1</v>
      </c>
      <c r="S95" s="1">
        <v>-45032.639999999999</v>
      </c>
      <c r="T95" s="1">
        <v>-17931.259999999998</v>
      </c>
      <c r="U95" s="1" t="s">
        <v>129</v>
      </c>
      <c r="V95" s="1" t="s">
        <v>73</v>
      </c>
      <c r="Y95" t="s">
        <v>128</v>
      </c>
      <c r="Z95" t="s">
        <v>1205</v>
      </c>
      <c r="AA95">
        <v>-8179.88</v>
      </c>
      <c r="AB95">
        <v>0</v>
      </c>
      <c r="AC95" t="s">
        <v>73</v>
      </c>
      <c r="AD95" t="s">
        <v>129</v>
      </c>
    </row>
    <row r="96" spans="2:30" x14ac:dyDescent="0.25">
      <c r="B96" s="1" t="s">
        <v>754</v>
      </c>
      <c r="C96" s="1">
        <v>2026</v>
      </c>
      <c r="D96" s="1">
        <v>1</v>
      </c>
      <c r="E96" s="1">
        <v>-10193.25</v>
      </c>
      <c r="F96" s="1">
        <v>-8753.35</v>
      </c>
      <c r="G96" s="1" t="s">
        <v>755</v>
      </c>
      <c r="H96" s="1" t="s">
        <v>73</v>
      </c>
      <c r="P96" s="1" t="s">
        <v>754</v>
      </c>
      <c r="Q96" s="1">
        <v>2025</v>
      </c>
      <c r="R96" s="1">
        <v>1</v>
      </c>
      <c r="S96" s="1">
        <v>-150.84</v>
      </c>
      <c r="T96" s="1">
        <v>0</v>
      </c>
      <c r="U96" s="1" t="s">
        <v>755</v>
      </c>
      <c r="V96" s="1" t="s">
        <v>73</v>
      </c>
      <c r="Y96" t="s">
        <v>754</v>
      </c>
      <c r="Z96" t="s">
        <v>1205</v>
      </c>
      <c r="AA96">
        <v>-1439.9</v>
      </c>
      <c r="AB96">
        <v>-1289.06</v>
      </c>
      <c r="AC96" t="s">
        <v>73</v>
      </c>
      <c r="AD96" t="s">
        <v>755</v>
      </c>
    </row>
    <row r="97" spans="2:30" x14ac:dyDescent="0.25">
      <c r="B97" s="1" t="s">
        <v>130</v>
      </c>
      <c r="C97" s="1">
        <v>2026</v>
      </c>
      <c r="D97" s="1">
        <v>1</v>
      </c>
      <c r="E97" s="1">
        <v>-270.98</v>
      </c>
      <c r="F97" s="1">
        <v>11175.56</v>
      </c>
      <c r="G97" s="1" t="s">
        <v>131</v>
      </c>
      <c r="H97" s="1" t="s">
        <v>73</v>
      </c>
      <c r="P97" s="1" t="s">
        <v>130</v>
      </c>
      <c r="Q97" s="1">
        <v>2025</v>
      </c>
      <c r="R97" s="1">
        <v>1</v>
      </c>
      <c r="S97" s="1">
        <v>-48802.2</v>
      </c>
      <c r="T97" s="1">
        <v>-48802.19</v>
      </c>
      <c r="U97" s="1" t="s">
        <v>131</v>
      </c>
      <c r="V97" s="1" t="s">
        <v>73</v>
      </c>
      <c r="Y97" t="s">
        <v>130</v>
      </c>
      <c r="Z97" t="s">
        <v>1205</v>
      </c>
      <c r="AA97">
        <v>-11446.54</v>
      </c>
      <c r="AB97">
        <v>35273.56</v>
      </c>
      <c r="AC97" t="s">
        <v>73</v>
      </c>
      <c r="AD97" t="s">
        <v>131</v>
      </c>
    </row>
    <row r="98" spans="2:30" x14ac:dyDescent="0.25">
      <c r="B98" s="1" t="s">
        <v>132</v>
      </c>
      <c r="C98" s="1">
        <v>2026</v>
      </c>
      <c r="D98" s="1">
        <v>1</v>
      </c>
      <c r="E98" s="1">
        <v>0</v>
      </c>
      <c r="F98" s="1">
        <v>0</v>
      </c>
      <c r="G98" s="1" t="s">
        <v>133</v>
      </c>
      <c r="H98" s="1" t="s">
        <v>73</v>
      </c>
      <c r="P98" s="1" t="s">
        <v>132</v>
      </c>
      <c r="Q98" s="1">
        <v>2025</v>
      </c>
      <c r="R98" s="1">
        <v>1</v>
      </c>
      <c r="S98" s="1">
        <v>0</v>
      </c>
      <c r="T98" s="1">
        <v>4785.96</v>
      </c>
      <c r="U98" s="1" t="s">
        <v>133</v>
      </c>
      <c r="V98" s="1" t="s">
        <v>73</v>
      </c>
      <c r="Y98" t="s">
        <v>132</v>
      </c>
      <c r="Z98" t="s">
        <v>1205</v>
      </c>
      <c r="AA98">
        <v>0</v>
      </c>
      <c r="AB98">
        <v>0</v>
      </c>
      <c r="AC98" t="s">
        <v>73</v>
      </c>
      <c r="AD98" t="s">
        <v>133</v>
      </c>
    </row>
    <row r="99" spans="2:30" x14ac:dyDescent="0.25">
      <c r="B99" s="1" t="s">
        <v>134</v>
      </c>
      <c r="C99" s="1">
        <v>2026</v>
      </c>
      <c r="D99" s="1">
        <v>1</v>
      </c>
      <c r="E99" s="1">
        <v>-7691.18</v>
      </c>
      <c r="F99" s="1">
        <v>18337.3</v>
      </c>
      <c r="G99" s="1" t="s">
        <v>135</v>
      </c>
      <c r="H99" s="1" t="s">
        <v>73</v>
      </c>
      <c r="P99" s="1" t="s">
        <v>134</v>
      </c>
      <c r="Q99" s="1">
        <v>2025</v>
      </c>
      <c r="R99" s="1">
        <v>1</v>
      </c>
      <c r="S99" s="1">
        <v>-6841.91</v>
      </c>
      <c r="T99" s="1">
        <v>0</v>
      </c>
      <c r="U99" s="1" t="s">
        <v>135</v>
      </c>
      <c r="V99" s="1" t="s">
        <v>73</v>
      </c>
      <c r="Y99" t="s">
        <v>134</v>
      </c>
      <c r="Z99" t="s">
        <v>1205</v>
      </c>
      <c r="AA99">
        <v>-26028.48</v>
      </c>
      <c r="AB99">
        <v>-8213.92</v>
      </c>
      <c r="AC99" t="s">
        <v>73</v>
      </c>
      <c r="AD99" t="s">
        <v>135</v>
      </c>
    </row>
    <row r="100" spans="2:30" x14ac:dyDescent="0.25">
      <c r="B100" s="1" t="s">
        <v>136</v>
      </c>
      <c r="C100" s="1">
        <v>2026</v>
      </c>
      <c r="D100" s="1">
        <v>1</v>
      </c>
      <c r="E100" s="1">
        <v>-356.78</v>
      </c>
      <c r="F100" s="1">
        <v>19.3</v>
      </c>
      <c r="G100" s="1" t="s">
        <v>137</v>
      </c>
      <c r="H100" s="1" t="s">
        <v>73</v>
      </c>
      <c r="P100" s="1" t="s">
        <v>136</v>
      </c>
      <c r="Q100" s="1">
        <v>2025</v>
      </c>
      <c r="R100" s="1">
        <v>1</v>
      </c>
      <c r="S100" s="1">
        <v>-0.46</v>
      </c>
      <c r="T100" s="1">
        <v>217.21</v>
      </c>
      <c r="U100" s="1" t="s">
        <v>137</v>
      </c>
      <c r="V100" s="1" t="s">
        <v>73</v>
      </c>
      <c r="Y100" t="s">
        <v>136</v>
      </c>
      <c r="Z100" t="s">
        <v>1205</v>
      </c>
      <c r="AA100">
        <v>-376.08</v>
      </c>
      <c r="AB100">
        <v>0</v>
      </c>
      <c r="AC100" t="s">
        <v>73</v>
      </c>
      <c r="AD100" t="s">
        <v>137</v>
      </c>
    </row>
    <row r="101" spans="2:30" x14ac:dyDescent="0.25">
      <c r="B101" s="1" t="s">
        <v>138</v>
      </c>
      <c r="C101" s="1">
        <v>2026</v>
      </c>
      <c r="D101" s="1">
        <v>1</v>
      </c>
      <c r="E101" s="1">
        <v>1540.49</v>
      </c>
      <c r="F101" s="1">
        <v>0</v>
      </c>
      <c r="G101" s="1" t="s">
        <v>139</v>
      </c>
      <c r="H101" s="1" t="s">
        <v>73</v>
      </c>
      <c r="P101" s="1" t="s">
        <v>138</v>
      </c>
      <c r="Q101" s="1">
        <v>2025</v>
      </c>
      <c r="R101" s="1">
        <v>1</v>
      </c>
      <c r="S101" s="1">
        <v>-3743.89</v>
      </c>
      <c r="T101" s="1">
        <v>0</v>
      </c>
      <c r="U101" s="1" t="s">
        <v>139</v>
      </c>
      <c r="V101" s="1" t="s">
        <v>73</v>
      </c>
      <c r="Y101" t="s">
        <v>138</v>
      </c>
      <c r="Z101" t="s">
        <v>1205</v>
      </c>
      <c r="AA101">
        <v>1540.49</v>
      </c>
      <c r="AB101">
        <v>0</v>
      </c>
      <c r="AC101" t="s">
        <v>73</v>
      </c>
      <c r="AD101" t="s">
        <v>139</v>
      </c>
    </row>
    <row r="102" spans="2:30" x14ac:dyDescent="0.25">
      <c r="B102" s="1" t="s">
        <v>140</v>
      </c>
      <c r="C102" s="1">
        <v>2026</v>
      </c>
      <c r="D102" s="1">
        <v>1</v>
      </c>
      <c r="E102" s="1">
        <v>-827.76</v>
      </c>
      <c r="F102" s="1">
        <v>12120.41</v>
      </c>
      <c r="G102" s="1" t="s">
        <v>141</v>
      </c>
      <c r="H102" s="1" t="s">
        <v>73</v>
      </c>
      <c r="P102" s="1" t="s">
        <v>140</v>
      </c>
      <c r="Q102" s="1">
        <v>2025</v>
      </c>
      <c r="R102" s="1">
        <v>1</v>
      </c>
      <c r="S102" s="1">
        <v>-827.76</v>
      </c>
      <c r="T102" s="1">
        <v>38214.239999999998</v>
      </c>
      <c r="U102" s="1" t="s">
        <v>141</v>
      </c>
      <c r="V102" s="1" t="s">
        <v>73</v>
      </c>
      <c r="Y102" t="s">
        <v>140</v>
      </c>
      <c r="Z102" t="s">
        <v>1205</v>
      </c>
      <c r="AA102">
        <v>-12948.17</v>
      </c>
      <c r="AB102">
        <v>-180.75</v>
      </c>
      <c r="AC102" t="s">
        <v>73</v>
      </c>
      <c r="AD102" t="s">
        <v>141</v>
      </c>
    </row>
    <row r="103" spans="2:30" x14ac:dyDescent="0.25">
      <c r="B103" s="1" t="s">
        <v>142</v>
      </c>
      <c r="C103" s="1">
        <v>2026</v>
      </c>
      <c r="D103" s="1">
        <v>1</v>
      </c>
      <c r="E103" s="1">
        <v>-8245.06</v>
      </c>
      <c r="F103" s="1">
        <v>3463.09</v>
      </c>
      <c r="G103" s="1" t="s">
        <v>143</v>
      </c>
      <c r="H103" s="1" t="s">
        <v>73</v>
      </c>
      <c r="P103" s="1" t="s">
        <v>142</v>
      </c>
      <c r="Q103" s="1">
        <v>2025</v>
      </c>
      <c r="R103" s="1">
        <v>1</v>
      </c>
      <c r="S103" s="1">
        <v>-8245.06</v>
      </c>
      <c r="T103" s="1">
        <v>0</v>
      </c>
      <c r="U103" s="1" t="s">
        <v>143</v>
      </c>
      <c r="V103" s="1" t="s">
        <v>73</v>
      </c>
      <c r="Y103" t="s">
        <v>142</v>
      </c>
      <c r="Z103" t="s">
        <v>1205</v>
      </c>
      <c r="AA103">
        <v>-11708.15</v>
      </c>
      <c r="AB103">
        <v>-3463.09</v>
      </c>
      <c r="AC103" t="s">
        <v>73</v>
      </c>
      <c r="AD103" t="s">
        <v>143</v>
      </c>
    </row>
    <row r="104" spans="2:30" x14ac:dyDescent="0.25">
      <c r="B104" s="1" t="s">
        <v>144</v>
      </c>
      <c r="C104" s="1">
        <v>2026</v>
      </c>
      <c r="D104" s="1">
        <v>1</v>
      </c>
      <c r="E104" s="1">
        <v>-1097.48</v>
      </c>
      <c r="F104" s="1">
        <v>0</v>
      </c>
      <c r="G104" s="1" t="s">
        <v>145</v>
      </c>
      <c r="H104" s="1" t="s">
        <v>73</v>
      </c>
      <c r="P104" s="1" t="s">
        <v>144</v>
      </c>
      <c r="Q104" s="1">
        <v>2025</v>
      </c>
      <c r="R104" s="1">
        <v>1</v>
      </c>
      <c r="S104" s="1">
        <v>0</v>
      </c>
      <c r="T104" s="1">
        <v>4455.79</v>
      </c>
      <c r="U104" s="1" t="s">
        <v>145</v>
      </c>
      <c r="V104" s="1" t="s">
        <v>73</v>
      </c>
      <c r="Y104" t="s">
        <v>144</v>
      </c>
      <c r="Z104" t="s">
        <v>1205</v>
      </c>
      <c r="AA104">
        <v>-1097.48</v>
      </c>
      <c r="AB104">
        <v>-1097.48</v>
      </c>
      <c r="AC104" t="s">
        <v>73</v>
      </c>
      <c r="AD104" t="s">
        <v>145</v>
      </c>
    </row>
    <row r="105" spans="2:30" x14ac:dyDescent="0.25">
      <c r="B105" s="1" t="s">
        <v>146</v>
      </c>
      <c r="C105" s="1">
        <v>2026</v>
      </c>
      <c r="D105" s="1">
        <v>1</v>
      </c>
      <c r="E105" s="1">
        <v>-202.73</v>
      </c>
      <c r="F105" s="1">
        <v>150.49</v>
      </c>
      <c r="G105" s="1" t="s">
        <v>147</v>
      </c>
      <c r="H105" s="1" t="s">
        <v>73</v>
      </c>
      <c r="P105" s="1" t="s">
        <v>146</v>
      </c>
      <c r="Q105" s="1">
        <v>2025</v>
      </c>
      <c r="R105" s="1">
        <v>1</v>
      </c>
      <c r="S105" s="1">
        <v>-45.37</v>
      </c>
      <c r="T105" s="1">
        <v>-45.76</v>
      </c>
      <c r="U105" s="1" t="s">
        <v>147</v>
      </c>
      <c r="V105" s="1" t="s">
        <v>73</v>
      </c>
      <c r="Y105" t="s">
        <v>146</v>
      </c>
      <c r="Z105" t="s">
        <v>1205</v>
      </c>
      <c r="AA105">
        <v>-353.22</v>
      </c>
      <c r="AB105">
        <v>-181.31</v>
      </c>
      <c r="AC105" t="s">
        <v>73</v>
      </c>
      <c r="AD105" t="s">
        <v>147</v>
      </c>
    </row>
    <row r="106" spans="2:30" x14ac:dyDescent="0.25">
      <c r="B106" s="1" t="s">
        <v>756</v>
      </c>
      <c r="C106" s="1">
        <v>2026</v>
      </c>
      <c r="D106" s="1">
        <v>1</v>
      </c>
      <c r="E106" s="1">
        <v>-22.01</v>
      </c>
      <c r="F106" s="1">
        <v>8603.9599999999991</v>
      </c>
      <c r="G106" s="1" t="s">
        <v>757</v>
      </c>
      <c r="H106" s="1" t="s">
        <v>73</v>
      </c>
      <c r="P106" s="1" t="s">
        <v>756</v>
      </c>
      <c r="Q106" s="1">
        <v>2025</v>
      </c>
      <c r="R106" s="1">
        <v>1</v>
      </c>
      <c r="S106" s="1">
        <v>-22.01</v>
      </c>
      <c r="T106" s="1">
        <v>0</v>
      </c>
      <c r="U106" s="1" t="s">
        <v>757</v>
      </c>
      <c r="V106" s="1" t="s">
        <v>73</v>
      </c>
      <c r="Y106" t="s">
        <v>756</v>
      </c>
      <c r="Z106" t="s">
        <v>1205</v>
      </c>
      <c r="AA106">
        <v>-8625.9699999999993</v>
      </c>
      <c r="AB106">
        <v>0</v>
      </c>
      <c r="AC106" t="s">
        <v>73</v>
      </c>
      <c r="AD106" t="s">
        <v>757</v>
      </c>
    </row>
    <row r="107" spans="2:30" x14ac:dyDescent="0.25">
      <c r="B107" s="1" t="s">
        <v>148</v>
      </c>
      <c r="C107" s="1">
        <v>2026</v>
      </c>
      <c r="D107" s="1">
        <v>1</v>
      </c>
      <c r="E107" s="1">
        <v>8967.36</v>
      </c>
      <c r="F107" s="1">
        <v>-313.60000000000002</v>
      </c>
      <c r="G107" s="1" t="s">
        <v>149</v>
      </c>
      <c r="H107" s="1" t="s">
        <v>73</v>
      </c>
      <c r="P107" s="1" t="s">
        <v>148</v>
      </c>
      <c r="Q107" s="1">
        <v>2025</v>
      </c>
      <c r="R107" s="1">
        <v>1</v>
      </c>
      <c r="S107" s="1">
        <v>9374.56</v>
      </c>
      <c r="T107" s="1">
        <v>344.72</v>
      </c>
      <c r="U107" s="1" t="s">
        <v>149</v>
      </c>
      <c r="V107" s="1" t="s">
        <v>73</v>
      </c>
      <c r="Y107" t="s">
        <v>148</v>
      </c>
      <c r="Z107" t="s">
        <v>1205</v>
      </c>
      <c r="AA107">
        <v>9280.9599999999991</v>
      </c>
      <c r="AB107">
        <v>-223.54</v>
      </c>
      <c r="AC107" t="s">
        <v>73</v>
      </c>
      <c r="AD107" t="s">
        <v>149</v>
      </c>
    </row>
    <row r="108" spans="2:30" x14ac:dyDescent="0.25">
      <c r="B108" s="1" t="s">
        <v>150</v>
      </c>
      <c r="C108" s="1">
        <v>2026</v>
      </c>
      <c r="D108" s="1">
        <v>1</v>
      </c>
      <c r="E108" s="1">
        <v>0</v>
      </c>
      <c r="F108" s="1">
        <v>3512.97</v>
      </c>
      <c r="G108" s="1" t="s">
        <v>151</v>
      </c>
      <c r="H108" s="1" t="s">
        <v>73</v>
      </c>
      <c r="P108" s="1" t="s">
        <v>150</v>
      </c>
      <c r="Q108" s="1">
        <v>2025</v>
      </c>
      <c r="R108" s="1">
        <v>1</v>
      </c>
      <c r="S108" s="1">
        <v>0</v>
      </c>
      <c r="T108" s="1">
        <v>0</v>
      </c>
      <c r="U108" s="1" t="s">
        <v>151</v>
      </c>
      <c r="V108" s="1" t="s">
        <v>73</v>
      </c>
      <c r="Y108" t="s">
        <v>150</v>
      </c>
      <c r="Z108" t="s">
        <v>1205</v>
      </c>
      <c r="AA108">
        <v>-3512.97</v>
      </c>
      <c r="AB108">
        <v>0</v>
      </c>
      <c r="AC108" t="s">
        <v>73</v>
      </c>
      <c r="AD108" t="s">
        <v>151</v>
      </c>
    </row>
    <row r="109" spans="2:30" x14ac:dyDescent="0.25">
      <c r="B109" s="1" t="s">
        <v>152</v>
      </c>
      <c r="C109" s="1">
        <v>2026</v>
      </c>
      <c r="D109" s="1">
        <v>1</v>
      </c>
      <c r="E109" s="1">
        <v>-315.66000000000003</v>
      </c>
      <c r="F109" s="1">
        <v>0</v>
      </c>
      <c r="G109" s="1" t="s">
        <v>153</v>
      </c>
      <c r="H109" s="1" t="s">
        <v>73</v>
      </c>
      <c r="P109" s="1" t="s">
        <v>152</v>
      </c>
      <c r="Q109" s="1">
        <v>2025</v>
      </c>
      <c r="R109" s="1">
        <v>1</v>
      </c>
      <c r="S109" s="1">
        <v>-315.66000000000003</v>
      </c>
      <c r="T109" s="1">
        <v>0</v>
      </c>
      <c r="U109" s="1" t="s">
        <v>153</v>
      </c>
      <c r="V109" s="1" t="s">
        <v>73</v>
      </c>
      <c r="Y109" t="s">
        <v>152</v>
      </c>
      <c r="Z109" t="s">
        <v>1205</v>
      </c>
      <c r="AA109">
        <v>-315.66000000000003</v>
      </c>
      <c r="AB109">
        <v>0</v>
      </c>
      <c r="AC109" t="s">
        <v>73</v>
      </c>
      <c r="AD109" t="s">
        <v>153</v>
      </c>
    </row>
    <row r="110" spans="2:30" x14ac:dyDescent="0.25">
      <c r="B110" s="1" t="s">
        <v>154</v>
      </c>
      <c r="C110" s="1">
        <v>2026</v>
      </c>
      <c r="D110" s="1">
        <v>1</v>
      </c>
      <c r="E110" s="1">
        <v>-23.23</v>
      </c>
      <c r="F110" s="1">
        <v>0</v>
      </c>
      <c r="G110" s="1" t="s">
        <v>155</v>
      </c>
      <c r="H110" s="1" t="s">
        <v>73</v>
      </c>
      <c r="P110" s="1" t="s">
        <v>154</v>
      </c>
      <c r="Q110" s="1">
        <v>2025</v>
      </c>
      <c r="R110" s="1">
        <v>1</v>
      </c>
      <c r="S110" s="1">
        <v>-23.23</v>
      </c>
      <c r="T110" s="1">
        <v>0</v>
      </c>
      <c r="U110" s="1" t="s">
        <v>155</v>
      </c>
      <c r="V110" s="1" t="s">
        <v>73</v>
      </c>
      <c r="Y110" t="s">
        <v>154</v>
      </c>
      <c r="Z110" t="s">
        <v>1205</v>
      </c>
      <c r="AA110">
        <v>-23.23</v>
      </c>
      <c r="AB110">
        <v>0</v>
      </c>
      <c r="AC110" t="s">
        <v>73</v>
      </c>
      <c r="AD110" t="s">
        <v>155</v>
      </c>
    </row>
    <row r="111" spans="2:30" x14ac:dyDescent="0.25">
      <c r="B111" s="1" t="s">
        <v>156</v>
      </c>
      <c r="C111" s="1">
        <v>2026</v>
      </c>
      <c r="D111" s="1">
        <v>1</v>
      </c>
      <c r="E111" s="1">
        <v>180.36</v>
      </c>
      <c r="F111" s="1">
        <v>0</v>
      </c>
      <c r="G111" s="1" t="s">
        <v>157</v>
      </c>
      <c r="H111" s="1" t="s">
        <v>73</v>
      </c>
      <c r="P111" s="1" t="s">
        <v>156</v>
      </c>
      <c r="Q111" s="1">
        <v>2025</v>
      </c>
      <c r="R111" s="1">
        <v>1</v>
      </c>
      <c r="S111" s="1">
        <v>-432.63</v>
      </c>
      <c r="T111" s="1">
        <v>-67.83</v>
      </c>
      <c r="U111" s="1" t="s">
        <v>157</v>
      </c>
      <c r="V111" s="1" t="s">
        <v>73</v>
      </c>
      <c r="Y111" t="s">
        <v>156</v>
      </c>
      <c r="Z111" t="s">
        <v>1205</v>
      </c>
      <c r="AA111">
        <v>180.36</v>
      </c>
      <c r="AB111">
        <v>0</v>
      </c>
      <c r="AC111" t="s">
        <v>73</v>
      </c>
      <c r="AD111" t="s">
        <v>157</v>
      </c>
    </row>
    <row r="112" spans="2:30" x14ac:dyDescent="0.25">
      <c r="B112" s="1" t="s">
        <v>158</v>
      </c>
      <c r="C112" s="1">
        <v>2026</v>
      </c>
      <c r="D112" s="1">
        <v>1</v>
      </c>
      <c r="E112" s="1">
        <v>-6425.8</v>
      </c>
      <c r="F112" s="1">
        <v>-6085.8</v>
      </c>
      <c r="G112" s="1" t="s">
        <v>159</v>
      </c>
      <c r="H112" s="1" t="s">
        <v>73</v>
      </c>
      <c r="P112" s="1" t="s">
        <v>158</v>
      </c>
      <c r="Q112" s="1">
        <v>2025</v>
      </c>
      <c r="R112" s="1">
        <v>1</v>
      </c>
      <c r="S112" s="1">
        <v>-385.43</v>
      </c>
      <c r="T112" s="1">
        <v>467.13</v>
      </c>
      <c r="U112" s="1" t="s">
        <v>159</v>
      </c>
      <c r="V112" s="1" t="s">
        <v>73</v>
      </c>
      <c r="Y112" t="s">
        <v>158</v>
      </c>
      <c r="Z112" t="s">
        <v>1205</v>
      </c>
      <c r="AA112">
        <v>-340</v>
      </c>
      <c r="AB112">
        <v>-244.72</v>
      </c>
      <c r="AC112" t="s">
        <v>73</v>
      </c>
      <c r="AD112" t="s">
        <v>159</v>
      </c>
    </row>
    <row r="113" spans="2:30" x14ac:dyDescent="0.25">
      <c r="B113" s="1" t="s">
        <v>160</v>
      </c>
      <c r="C113" s="1">
        <v>2026</v>
      </c>
      <c r="D113" s="1">
        <v>1</v>
      </c>
      <c r="E113" s="1">
        <v>-4642.08</v>
      </c>
      <c r="F113" s="1">
        <v>0</v>
      </c>
      <c r="G113" s="1" t="s">
        <v>161</v>
      </c>
      <c r="H113" s="1" t="s">
        <v>73</v>
      </c>
      <c r="P113" s="1" t="s">
        <v>160</v>
      </c>
      <c r="Q113" s="1">
        <v>2025</v>
      </c>
      <c r="R113" s="1">
        <v>1</v>
      </c>
      <c r="S113" s="1">
        <v>0</v>
      </c>
      <c r="T113" s="1">
        <v>0</v>
      </c>
      <c r="U113" s="1" t="s">
        <v>161</v>
      </c>
      <c r="V113" s="1" t="s">
        <v>73</v>
      </c>
      <c r="Y113" t="s">
        <v>160</v>
      </c>
      <c r="Z113" t="s">
        <v>1205</v>
      </c>
      <c r="AA113">
        <v>-4642.08</v>
      </c>
      <c r="AB113">
        <v>-4642.08</v>
      </c>
      <c r="AC113" t="s">
        <v>73</v>
      </c>
      <c r="AD113" t="s">
        <v>161</v>
      </c>
    </row>
    <row r="114" spans="2:30" x14ac:dyDescent="0.25">
      <c r="B114" s="1" t="s">
        <v>162</v>
      </c>
      <c r="C114" s="1">
        <v>2026</v>
      </c>
      <c r="D114" s="1">
        <v>1</v>
      </c>
      <c r="E114" s="1">
        <v>-100.45</v>
      </c>
      <c r="F114" s="1">
        <v>-95.57</v>
      </c>
      <c r="G114" s="1" t="s">
        <v>163</v>
      </c>
      <c r="H114" s="1" t="s">
        <v>73</v>
      </c>
      <c r="P114" s="1" t="s">
        <v>162</v>
      </c>
      <c r="Q114" s="1">
        <v>2025</v>
      </c>
      <c r="R114" s="1">
        <v>1</v>
      </c>
      <c r="S114" s="1">
        <v>-4.88</v>
      </c>
      <c r="T114" s="1">
        <v>0</v>
      </c>
      <c r="U114" s="1" t="s">
        <v>163</v>
      </c>
      <c r="V114" s="1" t="s">
        <v>73</v>
      </c>
      <c r="Y114" t="s">
        <v>162</v>
      </c>
      <c r="Z114" t="s">
        <v>1205</v>
      </c>
      <c r="AA114">
        <v>-4.88</v>
      </c>
      <c r="AB114">
        <v>0</v>
      </c>
      <c r="AC114" t="s">
        <v>73</v>
      </c>
      <c r="AD114" t="s">
        <v>163</v>
      </c>
    </row>
    <row r="115" spans="2:30" x14ac:dyDescent="0.25">
      <c r="B115" s="1" t="s">
        <v>164</v>
      </c>
      <c r="C115" s="1">
        <v>2026</v>
      </c>
      <c r="D115" s="1">
        <v>1</v>
      </c>
      <c r="E115" s="1">
        <v>-373.91</v>
      </c>
      <c r="F115" s="1">
        <v>3846.42</v>
      </c>
      <c r="G115" s="1" t="s">
        <v>165</v>
      </c>
      <c r="H115" s="1" t="s">
        <v>73</v>
      </c>
      <c r="P115" s="1" t="s">
        <v>164</v>
      </c>
      <c r="Q115" s="1">
        <v>2025</v>
      </c>
      <c r="R115" s="1">
        <v>1</v>
      </c>
      <c r="S115" s="1">
        <v>-373.91</v>
      </c>
      <c r="T115" s="1">
        <v>0</v>
      </c>
      <c r="U115" s="1" t="s">
        <v>165</v>
      </c>
      <c r="V115" s="1" t="s">
        <v>73</v>
      </c>
      <c r="Y115" t="s">
        <v>164</v>
      </c>
      <c r="Z115" t="s">
        <v>1205</v>
      </c>
      <c r="AA115">
        <v>-4220.33</v>
      </c>
      <c r="AB115">
        <v>0</v>
      </c>
      <c r="AC115" t="s">
        <v>73</v>
      </c>
      <c r="AD115" t="s">
        <v>165</v>
      </c>
    </row>
    <row r="116" spans="2:30" x14ac:dyDescent="0.25">
      <c r="B116" s="1" t="s">
        <v>1188</v>
      </c>
      <c r="C116" s="1">
        <v>2026</v>
      </c>
      <c r="D116" s="1">
        <v>1</v>
      </c>
      <c r="E116" s="1">
        <v>586.4</v>
      </c>
      <c r="F116" s="1">
        <v>1086.17</v>
      </c>
      <c r="G116" s="1" t="s">
        <v>1189</v>
      </c>
      <c r="H116" s="1" t="s">
        <v>73</v>
      </c>
      <c r="P116" s="1" t="s">
        <v>1188</v>
      </c>
      <c r="Q116" s="1">
        <v>2025</v>
      </c>
      <c r="R116" s="1">
        <v>1</v>
      </c>
      <c r="S116" s="1">
        <v>-3961.31</v>
      </c>
      <c r="T116" s="1">
        <v>0</v>
      </c>
      <c r="U116" s="1" t="s">
        <v>1189</v>
      </c>
      <c r="V116" s="1" t="s">
        <v>73</v>
      </c>
      <c r="Y116" t="s">
        <v>1188</v>
      </c>
      <c r="Z116" t="s">
        <v>1205</v>
      </c>
      <c r="AA116">
        <v>-499.77</v>
      </c>
      <c r="AB116">
        <v>-1086.17</v>
      </c>
      <c r="AC116" t="s">
        <v>73</v>
      </c>
      <c r="AD116" t="s">
        <v>1189</v>
      </c>
    </row>
    <row r="117" spans="2:30" x14ac:dyDescent="0.25">
      <c r="B117" s="1" t="s">
        <v>1190</v>
      </c>
      <c r="C117" s="1">
        <v>2026</v>
      </c>
      <c r="D117" s="1">
        <v>1</v>
      </c>
      <c r="E117" s="1">
        <v>0</v>
      </c>
      <c r="F117" s="1">
        <v>0</v>
      </c>
      <c r="G117" s="1" t="s">
        <v>1191</v>
      </c>
      <c r="H117" s="1" t="s">
        <v>73</v>
      </c>
      <c r="P117" s="1" t="s">
        <v>1190</v>
      </c>
      <c r="Q117" s="1">
        <v>2025</v>
      </c>
      <c r="R117" s="1">
        <v>1</v>
      </c>
      <c r="S117" s="1">
        <v>0</v>
      </c>
      <c r="T117" s="1">
        <v>0</v>
      </c>
      <c r="U117" s="1" t="s">
        <v>1191</v>
      </c>
      <c r="V117" s="1" t="s">
        <v>73</v>
      </c>
      <c r="Y117" t="s">
        <v>1190</v>
      </c>
      <c r="Z117" t="s">
        <v>1205</v>
      </c>
      <c r="AA117">
        <v>0</v>
      </c>
      <c r="AB117">
        <v>0</v>
      </c>
      <c r="AC117" t="s">
        <v>73</v>
      </c>
      <c r="AD117" t="s">
        <v>1191</v>
      </c>
    </row>
    <row r="118" spans="2:30" x14ac:dyDescent="0.25">
      <c r="B118" s="1" t="s">
        <v>1192</v>
      </c>
      <c r="C118" s="1">
        <v>2026</v>
      </c>
      <c r="D118" s="1">
        <v>1</v>
      </c>
      <c r="E118" s="1">
        <v>-3.55</v>
      </c>
      <c r="F118" s="1">
        <v>12.39</v>
      </c>
      <c r="G118" s="1" t="s">
        <v>1193</v>
      </c>
      <c r="H118" s="1" t="s">
        <v>73</v>
      </c>
      <c r="P118" s="1" t="s">
        <v>1192</v>
      </c>
      <c r="Q118" s="1">
        <v>2025</v>
      </c>
      <c r="R118" s="1">
        <v>1</v>
      </c>
      <c r="S118" s="1">
        <v>0</v>
      </c>
      <c r="T118" s="1">
        <v>0</v>
      </c>
      <c r="U118" s="1" t="s">
        <v>1193</v>
      </c>
      <c r="V118" s="1" t="s">
        <v>73</v>
      </c>
      <c r="Y118" t="s">
        <v>1192</v>
      </c>
      <c r="Z118" t="s">
        <v>1205</v>
      </c>
      <c r="AA118">
        <v>-15.94</v>
      </c>
      <c r="AB118">
        <v>0</v>
      </c>
      <c r="AC118" t="s">
        <v>73</v>
      </c>
      <c r="AD118" t="s">
        <v>1193</v>
      </c>
    </row>
    <row r="119" spans="2:30" x14ac:dyDescent="0.25">
      <c r="B119" s="1" t="s">
        <v>1215</v>
      </c>
      <c r="C119" s="1">
        <v>2026</v>
      </c>
      <c r="D119" s="1">
        <v>1</v>
      </c>
      <c r="E119" s="1">
        <v>0</v>
      </c>
      <c r="F119" s="1">
        <v>12551.04</v>
      </c>
      <c r="G119" s="1" t="s">
        <v>1216</v>
      </c>
      <c r="H119" s="1" t="s">
        <v>73</v>
      </c>
      <c r="P119" s="1" t="s">
        <v>1215</v>
      </c>
      <c r="Q119" s="1">
        <v>2025</v>
      </c>
      <c r="R119" s="1">
        <v>1</v>
      </c>
      <c r="S119" s="1">
        <v>0</v>
      </c>
      <c r="T119" s="1">
        <v>0</v>
      </c>
      <c r="U119" s="1" t="s">
        <v>1216</v>
      </c>
      <c r="V119" s="1" t="s">
        <v>73</v>
      </c>
      <c r="Y119" t="s">
        <v>1215</v>
      </c>
      <c r="Z119" t="s">
        <v>1205</v>
      </c>
      <c r="AA119">
        <v>-12551.04</v>
      </c>
      <c r="AB119">
        <v>0</v>
      </c>
      <c r="AC119" t="s">
        <v>73</v>
      </c>
      <c r="AD119" t="s">
        <v>1216</v>
      </c>
    </row>
    <row r="120" spans="2:30" x14ac:dyDescent="0.25">
      <c r="B120" s="1" t="s">
        <v>1224</v>
      </c>
      <c r="C120" s="1">
        <v>2026</v>
      </c>
      <c r="D120" s="1">
        <v>1</v>
      </c>
      <c r="E120" s="1">
        <v>2317.41</v>
      </c>
      <c r="F120" s="1">
        <v>0</v>
      </c>
      <c r="G120" s="1" t="s">
        <v>1225</v>
      </c>
      <c r="H120" s="1" t="s">
        <v>73</v>
      </c>
      <c r="P120" s="1" t="s">
        <v>1224</v>
      </c>
      <c r="Q120" s="1">
        <v>2025</v>
      </c>
      <c r="R120" s="1">
        <v>1</v>
      </c>
      <c r="S120" s="1">
        <v>2317.41</v>
      </c>
      <c r="T120" s="1">
        <v>0</v>
      </c>
      <c r="U120" s="1" t="s">
        <v>1225</v>
      </c>
      <c r="V120" s="1" t="s">
        <v>73</v>
      </c>
      <c r="Y120" t="s">
        <v>1224</v>
      </c>
      <c r="Z120" t="s">
        <v>1205</v>
      </c>
      <c r="AA120">
        <v>2317.41</v>
      </c>
      <c r="AB120">
        <v>0</v>
      </c>
      <c r="AC120" t="s">
        <v>73</v>
      </c>
      <c r="AD120" t="s">
        <v>1225</v>
      </c>
    </row>
    <row r="121" spans="2:30" x14ac:dyDescent="0.25">
      <c r="B121" s="1" t="s">
        <v>1240</v>
      </c>
      <c r="C121" s="1">
        <v>2026</v>
      </c>
      <c r="D121" s="1">
        <v>1</v>
      </c>
      <c r="E121" s="1">
        <v>0</v>
      </c>
      <c r="F121" s="1">
        <v>0</v>
      </c>
      <c r="G121" s="1" t="s">
        <v>1241</v>
      </c>
      <c r="H121" s="1" t="s">
        <v>73</v>
      </c>
      <c r="P121" s="1" t="s">
        <v>1240</v>
      </c>
      <c r="Q121" s="1">
        <v>2025</v>
      </c>
      <c r="R121" s="1">
        <v>1</v>
      </c>
      <c r="S121" s="1">
        <v>0</v>
      </c>
      <c r="T121" s="1">
        <v>0</v>
      </c>
      <c r="U121" s="1" t="s">
        <v>1241</v>
      </c>
      <c r="V121" s="1" t="s">
        <v>73</v>
      </c>
      <c r="Y121" t="s">
        <v>1240</v>
      </c>
      <c r="Z121" t="s">
        <v>1205</v>
      </c>
      <c r="AA121">
        <v>0</v>
      </c>
      <c r="AB121">
        <v>0</v>
      </c>
      <c r="AC121" t="s">
        <v>73</v>
      </c>
      <c r="AD121" t="s">
        <v>1241</v>
      </c>
    </row>
    <row r="122" spans="2:30" x14ac:dyDescent="0.25">
      <c r="B122" s="1" t="s">
        <v>1274</v>
      </c>
      <c r="C122" s="1">
        <v>2026</v>
      </c>
      <c r="D122" s="1">
        <v>1</v>
      </c>
      <c r="E122" s="1">
        <v>0</v>
      </c>
      <c r="F122" s="1">
        <v>0</v>
      </c>
      <c r="G122" s="1" t="s">
        <v>1275</v>
      </c>
      <c r="H122" s="1" t="s">
        <v>73</v>
      </c>
      <c r="P122" s="1" t="s">
        <v>1274</v>
      </c>
      <c r="Q122" s="1">
        <v>2025</v>
      </c>
      <c r="R122" s="1">
        <v>1</v>
      </c>
      <c r="S122" s="1">
        <v>0</v>
      </c>
      <c r="T122" s="1">
        <v>0</v>
      </c>
      <c r="U122" s="1" t="s">
        <v>1275</v>
      </c>
      <c r="V122" s="1" t="s">
        <v>73</v>
      </c>
      <c r="Y122" t="s">
        <v>1274</v>
      </c>
      <c r="Z122" t="s">
        <v>1205</v>
      </c>
      <c r="AA122">
        <v>0</v>
      </c>
      <c r="AB122">
        <v>0</v>
      </c>
      <c r="AC122" t="s">
        <v>73</v>
      </c>
      <c r="AD122" t="s">
        <v>1275</v>
      </c>
    </row>
    <row r="123" spans="2:30" x14ac:dyDescent="0.25">
      <c r="B123" s="1" t="s">
        <v>1392</v>
      </c>
      <c r="C123" s="1">
        <v>2026</v>
      </c>
      <c r="D123" s="1">
        <v>1</v>
      </c>
      <c r="E123" s="1">
        <v>-85.7</v>
      </c>
      <c r="F123" s="1">
        <v>0</v>
      </c>
      <c r="G123" s="1" t="s">
        <v>1393</v>
      </c>
      <c r="H123" s="1" t="s">
        <v>73</v>
      </c>
      <c r="P123" s="1" t="s">
        <v>1392</v>
      </c>
      <c r="Q123" s="1">
        <v>2025</v>
      </c>
      <c r="R123" s="1">
        <v>1</v>
      </c>
      <c r="S123" s="1">
        <v>-50</v>
      </c>
      <c r="T123" s="1">
        <v>0</v>
      </c>
      <c r="U123" s="1" t="s">
        <v>1393</v>
      </c>
      <c r="V123" s="1" t="s">
        <v>73</v>
      </c>
      <c r="Y123" t="s">
        <v>1392</v>
      </c>
      <c r="Z123" t="s">
        <v>1205</v>
      </c>
      <c r="AA123">
        <v>-85.7</v>
      </c>
      <c r="AB123">
        <v>0</v>
      </c>
      <c r="AC123" t="s">
        <v>73</v>
      </c>
      <c r="AD123" t="s">
        <v>1393</v>
      </c>
    </row>
    <row r="124" spans="2:30" x14ac:dyDescent="0.25">
      <c r="B124" s="1" t="s">
        <v>1528</v>
      </c>
      <c r="C124" s="1">
        <v>2026</v>
      </c>
      <c r="D124" s="1">
        <v>1</v>
      </c>
      <c r="E124" s="1">
        <v>0</v>
      </c>
      <c r="F124" s="1">
        <v>0</v>
      </c>
      <c r="G124" s="1" t="s">
        <v>1529</v>
      </c>
      <c r="H124" s="1" t="s">
        <v>73</v>
      </c>
      <c r="P124" s="1" t="s">
        <v>1528</v>
      </c>
      <c r="Q124" s="1">
        <v>2025</v>
      </c>
      <c r="R124" s="1">
        <v>1</v>
      </c>
      <c r="S124" s="1">
        <v>0</v>
      </c>
      <c r="T124" s="1">
        <v>0</v>
      </c>
      <c r="U124" s="1" t="s">
        <v>1529</v>
      </c>
      <c r="V124" s="1" t="s">
        <v>73</v>
      </c>
      <c r="Y124" t="s">
        <v>1528</v>
      </c>
      <c r="Z124" t="s">
        <v>1205</v>
      </c>
      <c r="AA124">
        <v>0</v>
      </c>
      <c r="AB124">
        <v>0</v>
      </c>
      <c r="AC124" t="s">
        <v>73</v>
      </c>
      <c r="AD124" t="s">
        <v>1529</v>
      </c>
    </row>
    <row r="125" spans="2:30" x14ac:dyDescent="0.25">
      <c r="B125" s="1" t="s">
        <v>166</v>
      </c>
      <c r="C125" s="1">
        <v>2026</v>
      </c>
      <c r="D125" s="1">
        <v>1</v>
      </c>
      <c r="E125" s="1">
        <v>0</v>
      </c>
      <c r="F125" s="1">
        <v>0</v>
      </c>
      <c r="G125" s="1" t="s">
        <v>167</v>
      </c>
      <c r="H125" s="1" t="s">
        <v>73</v>
      </c>
      <c r="P125" s="1" t="s">
        <v>166</v>
      </c>
      <c r="Q125" s="1">
        <v>2025</v>
      </c>
      <c r="R125" s="1">
        <v>1</v>
      </c>
      <c r="S125" s="1">
        <v>0</v>
      </c>
      <c r="T125" s="1">
        <v>0</v>
      </c>
      <c r="U125" s="1" t="s">
        <v>167</v>
      </c>
      <c r="V125" s="1" t="s">
        <v>73</v>
      </c>
      <c r="Y125" t="s">
        <v>166</v>
      </c>
      <c r="Z125" t="s">
        <v>1205</v>
      </c>
      <c r="AA125">
        <v>0</v>
      </c>
      <c r="AB125">
        <v>0</v>
      </c>
      <c r="AC125" t="s">
        <v>73</v>
      </c>
      <c r="AD125" t="s">
        <v>167</v>
      </c>
    </row>
    <row r="126" spans="2:30" x14ac:dyDescent="0.25">
      <c r="B126" s="1" t="s">
        <v>168</v>
      </c>
      <c r="C126" s="1">
        <v>2026</v>
      </c>
      <c r="D126" s="1">
        <v>1</v>
      </c>
      <c r="E126" s="1">
        <v>0</v>
      </c>
      <c r="F126" s="1">
        <v>0</v>
      </c>
      <c r="G126" s="1" t="s">
        <v>169</v>
      </c>
      <c r="H126" s="1" t="s">
        <v>73</v>
      </c>
      <c r="P126" s="1" t="s">
        <v>168</v>
      </c>
      <c r="Q126" s="1">
        <v>2025</v>
      </c>
      <c r="R126" s="1">
        <v>1</v>
      </c>
      <c r="S126" s="1">
        <v>0</v>
      </c>
      <c r="T126" s="1">
        <v>0</v>
      </c>
      <c r="U126" s="1" t="s">
        <v>169</v>
      </c>
      <c r="V126" s="1" t="s">
        <v>73</v>
      </c>
      <c r="Y126" t="s">
        <v>168</v>
      </c>
      <c r="Z126" t="s">
        <v>1205</v>
      </c>
      <c r="AA126">
        <v>0</v>
      </c>
      <c r="AB126">
        <v>0</v>
      </c>
      <c r="AC126" t="s">
        <v>73</v>
      </c>
      <c r="AD126" t="s">
        <v>169</v>
      </c>
    </row>
    <row r="127" spans="2:30" x14ac:dyDescent="0.25">
      <c r="B127" s="1" t="s">
        <v>1238</v>
      </c>
      <c r="C127" s="1">
        <v>2026</v>
      </c>
      <c r="D127" s="1">
        <v>1</v>
      </c>
      <c r="E127" s="1">
        <v>180282.3</v>
      </c>
      <c r="F127" s="1">
        <v>0</v>
      </c>
      <c r="G127" s="1" t="s">
        <v>1239</v>
      </c>
      <c r="H127" s="1" t="s">
        <v>73</v>
      </c>
      <c r="P127" s="1" t="s">
        <v>1238</v>
      </c>
      <c r="Q127" s="1">
        <v>2025</v>
      </c>
      <c r="R127" s="1">
        <v>1</v>
      </c>
      <c r="S127" s="1">
        <v>-330106.58</v>
      </c>
      <c r="T127" s="1">
        <v>-72146.58</v>
      </c>
      <c r="U127" s="1" t="s">
        <v>1239</v>
      </c>
      <c r="V127" s="1" t="s">
        <v>73</v>
      </c>
      <c r="Y127" t="s">
        <v>1238</v>
      </c>
      <c r="Z127" t="s">
        <v>1205</v>
      </c>
      <c r="AA127">
        <v>180282.3</v>
      </c>
      <c r="AB127">
        <v>151790</v>
      </c>
      <c r="AC127" t="s">
        <v>73</v>
      </c>
      <c r="AD127" t="s">
        <v>1239</v>
      </c>
    </row>
    <row r="128" spans="2:30" x14ac:dyDescent="0.25">
      <c r="B128" s="1" t="s">
        <v>170</v>
      </c>
      <c r="C128" s="1">
        <v>2026</v>
      </c>
      <c r="D128" s="1">
        <v>1</v>
      </c>
      <c r="E128" s="1">
        <v>-149403.66</v>
      </c>
      <c r="F128" s="1">
        <v>0</v>
      </c>
      <c r="G128" s="1" t="s">
        <v>171</v>
      </c>
      <c r="H128" s="1" t="s">
        <v>73</v>
      </c>
      <c r="P128" s="1" t="s">
        <v>170</v>
      </c>
      <c r="Q128" s="1">
        <v>2025</v>
      </c>
      <c r="R128" s="1">
        <v>1</v>
      </c>
      <c r="S128" s="1">
        <v>-149403.66</v>
      </c>
      <c r="T128" s="1">
        <v>0</v>
      </c>
      <c r="U128" s="1" t="s">
        <v>171</v>
      </c>
      <c r="V128" s="1" t="s">
        <v>73</v>
      </c>
      <c r="Y128" t="s">
        <v>170</v>
      </c>
      <c r="Z128" t="s">
        <v>1205</v>
      </c>
      <c r="AA128">
        <v>-149403.66</v>
      </c>
      <c r="AB128">
        <v>0</v>
      </c>
      <c r="AC128" t="s">
        <v>73</v>
      </c>
      <c r="AD128" t="s">
        <v>171</v>
      </c>
    </row>
    <row r="129" spans="2:30" x14ac:dyDescent="0.25">
      <c r="B129" s="1" t="s">
        <v>1266</v>
      </c>
      <c r="C129" s="1">
        <v>2026</v>
      </c>
      <c r="D129" s="1">
        <v>1</v>
      </c>
      <c r="E129" s="1">
        <v>0</v>
      </c>
      <c r="F129" s="1">
        <v>0</v>
      </c>
      <c r="G129" s="1" t="s">
        <v>1267</v>
      </c>
      <c r="H129" s="1" t="s">
        <v>73</v>
      </c>
      <c r="P129" s="1" t="s">
        <v>1266</v>
      </c>
      <c r="Q129" s="1">
        <v>2025</v>
      </c>
      <c r="R129" s="1">
        <v>1</v>
      </c>
      <c r="S129" s="1">
        <v>0</v>
      </c>
      <c r="T129" s="1">
        <v>0</v>
      </c>
      <c r="U129" s="1" t="s">
        <v>1267</v>
      </c>
      <c r="V129" s="1" t="s">
        <v>73</v>
      </c>
      <c r="Y129" t="s">
        <v>1266</v>
      </c>
      <c r="Z129" t="s">
        <v>1205</v>
      </c>
      <c r="AA129">
        <v>0</v>
      </c>
      <c r="AB129">
        <v>0</v>
      </c>
      <c r="AC129" t="s">
        <v>73</v>
      </c>
      <c r="AD129" t="s">
        <v>1267</v>
      </c>
    </row>
    <row r="130" spans="2:30" x14ac:dyDescent="0.25">
      <c r="B130" s="1" t="s">
        <v>172</v>
      </c>
      <c r="C130" s="1">
        <v>2026</v>
      </c>
      <c r="D130" s="1">
        <v>1</v>
      </c>
      <c r="E130" s="1">
        <v>-352936.77</v>
      </c>
      <c r="F130" s="1">
        <v>255631.18</v>
      </c>
      <c r="G130" s="1" t="s">
        <v>1264</v>
      </c>
      <c r="H130" s="1" t="s">
        <v>73</v>
      </c>
      <c r="P130" s="1" t="s">
        <v>172</v>
      </c>
      <c r="Q130" s="1">
        <v>2025</v>
      </c>
      <c r="R130" s="1">
        <v>1</v>
      </c>
      <c r="S130" s="1">
        <v>-793215.94</v>
      </c>
      <c r="T130" s="1">
        <v>126392.46</v>
      </c>
      <c r="U130" s="1" t="s">
        <v>1264</v>
      </c>
      <c r="V130" s="1" t="s">
        <v>73</v>
      </c>
      <c r="Y130" t="s">
        <v>172</v>
      </c>
      <c r="Z130" t="s">
        <v>1205</v>
      </c>
      <c r="AA130">
        <v>-608567.94999999995</v>
      </c>
      <c r="AB130">
        <v>241590.39999999999</v>
      </c>
      <c r="AC130" t="s">
        <v>73</v>
      </c>
      <c r="AD130" t="s">
        <v>1264</v>
      </c>
    </row>
    <row r="131" spans="2:30" x14ac:dyDescent="0.25">
      <c r="B131" s="1" t="s">
        <v>173</v>
      </c>
      <c r="C131" s="1">
        <v>2026</v>
      </c>
      <c r="D131" s="1">
        <v>1</v>
      </c>
      <c r="E131" s="1">
        <v>0</v>
      </c>
      <c r="F131" s="1">
        <v>0</v>
      </c>
      <c r="G131" s="1" t="s">
        <v>1265</v>
      </c>
      <c r="H131" s="1" t="s">
        <v>73</v>
      </c>
      <c r="P131" s="1" t="s">
        <v>173</v>
      </c>
      <c r="Q131" s="1">
        <v>2025</v>
      </c>
      <c r="R131" s="1">
        <v>1</v>
      </c>
      <c r="S131" s="1">
        <v>0</v>
      </c>
      <c r="T131" s="1">
        <v>0</v>
      </c>
      <c r="U131" s="1" t="s">
        <v>1265</v>
      </c>
      <c r="V131" s="1" t="s">
        <v>73</v>
      </c>
      <c r="Y131" t="s">
        <v>173</v>
      </c>
      <c r="Z131" t="s">
        <v>1205</v>
      </c>
      <c r="AA131">
        <v>0</v>
      </c>
      <c r="AB131">
        <v>0</v>
      </c>
      <c r="AC131" t="s">
        <v>73</v>
      </c>
      <c r="AD131" t="s">
        <v>1265</v>
      </c>
    </row>
    <row r="132" spans="2:30" x14ac:dyDescent="0.25">
      <c r="B132" s="1" t="s">
        <v>1374</v>
      </c>
      <c r="C132" s="1">
        <v>2026</v>
      </c>
      <c r="D132" s="1">
        <v>1</v>
      </c>
      <c r="E132" s="1">
        <v>-12519</v>
      </c>
      <c r="F132" s="1">
        <v>0</v>
      </c>
      <c r="G132" s="1" t="s">
        <v>1375</v>
      </c>
      <c r="H132" s="1" t="s">
        <v>73</v>
      </c>
      <c r="P132" s="1" t="s">
        <v>1374</v>
      </c>
      <c r="Q132" s="1">
        <v>2025</v>
      </c>
      <c r="R132" s="1">
        <v>1</v>
      </c>
      <c r="S132" s="1">
        <v>-12519</v>
      </c>
      <c r="T132" s="1">
        <v>0</v>
      </c>
      <c r="U132" s="1" t="s">
        <v>1375</v>
      </c>
      <c r="V132" s="1" t="s">
        <v>73</v>
      </c>
      <c r="Y132" t="s">
        <v>1374</v>
      </c>
      <c r="Z132" t="s">
        <v>1205</v>
      </c>
      <c r="AA132">
        <v>-12519</v>
      </c>
      <c r="AB132">
        <v>0</v>
      </c>
      <c r="AC132" t="s">
        <v>73</v>
      </c>
      <c r="AD132" t="s">
        <v>1375</v>
      </c>
    </row>
    <row r="133" spans="2:30" x14ac:dyDescent="0.25">
      <c r="B133" s="1" t="s">
        <v>1532</v>
      </c>
      <c r="C133" s="1">
        <v>2026</v>
      </c>
      <c r="D133" s="1">
        <v>1</v>
      </c>
      <c r="E133" s="1">
        <v>-8100</v>
      </c>
      <c r="F133" s="1">
        <v>0</v>
      </c>
      <c r="G133" s="1" t="s">
        <v>1533</v>
      </c>
      <c r="H133" s="1" t="s">
        <v>73</v>
      </c>
      <c r="P133" s="1" t="s">
        <v>1532</v>
      </c>
      <c r="Q133" s="1">
        <v>2025</v>
      </c>
      <c r="R133" s="1">
        <v>1</v>
      </c>
      <c r="S133" s="1">
        <v>-8100</v>
      </c>
      <c r="T133" s="1">
        <v>0</v>
      </c>
      <c r="U133" s="1" t="s">
        <v>1533</v>
      </c>
      <c r="V133" s="1" t="s">
        <v>73</v>
      </c>
      <c r="Y133" t="s">
        <v>1532</v>
      </c>
      <c r="Z133" t="s">
        <v>1205</v>
      </c>
      <c r="AA133">
        <v>-8100</v>
      </c>
      <c r="AB133">
        <v>0</v>
      </c>
      <c r="AC133" t="s">
        <v>73</v>
      </c>
      <c r="AD133" t="s">
        <v>1533</v>
      </c>
    </row>
    <row r="134" spans="2:30" x14ac:dyDescent="0.25">
      <c r="B134" s="1" t="s">
        <v>174</v>
      </c>
      <c r="C134" s="1">
        <v>2026</v>
      </c>
      <c r="D134" s="1">
        <v>1</v>
      </c>
      <c r="E134" s="1">
        <v>-750</v>
      </c>
      <c r="F134" s="1">
        <v>0</v>
      </c>
      <c r="G134" s="1" t="s">
        <v>175</v>
      </c>
      <c r="H134" s="1" t="s">
        <v>73</v>
      </c>
      <c r="P134" s="1" t="s">
        <v>174</v>
      </c>
      <c r="Q134" s="1">
        <v>2025</v>
      </c>
      <c r="R134" s="1">
        <v>1</v>
      </c>
      <c r="S134" s="1">
        <v>-750</v>
      </c>
      <c r="T134" s="1">
        <v>0</v>
      </c>
      <c r="U134" s="1" t="s">
        <v>175</v>
      </c>
      <c r="V134" s="1" t="s">
        <v>73</v>
      </c>
      <c r="Y134" t="s">
        <v>174</v>
      </c>
      <c r="Z134" t="s">
        <v>1205</v>
      </c>
      <c r="AA134">
        <v>-750</v>
      </c>
      <c r="AB134">
        <v>0</v>
      </c>
      <c r="AC134" t="s">
        <v>73</v>
      </c>
      <c r="AD134" t="s">
        <v>175</v>
      </c>
    </row>
    <row r="135" spans="2:30" x14ac:dyDescent="0.25">
      <c r="B135" s="1" t="s">
        <v>1261</v>
      </c>
      <c r="C135" s="1">
        <v>2026</v>
      </c>
      <c r="D135" s="1">
        <v>1</v>
      </c>
      <c r="E135" s="1">
        <v>5499409.4699999997</v>
      </c>
      <c r="F135" s="1">
        <v>0</v>
      </c>
      <c r="G135" s="1" t="s">
        <v>1262</v>
      </c>
      <c r="H135" s="1" t="s">
        <v>73</v>
      </c>
      <c r="P135" s="1" t="s">
        <v>1261</v>
      </c>
      <c r="Q135" s="1">
        <v>2025</v>
      </c>
      <c r="R135" s="1">
        <v>1</v>
      </c>
      <c r="S135" s="1">
        <v>5499409.4699999997</v>
      </c>
      <c r="T135" s="1">
        <v>0</v>
      </c>
      <c r="U135" s="1" t="s">
        <v>1262</v>
      </c>
      <c r="V135" s="1" t="s">
        <v>73</v>
      </c>
      <c r="Y135" t="s">
        <v>1261</v>
      </c>
      <c r="Z135" t="s">
        <v>1205</v>
      </c>
      <c r="AA135">
        <v>5499409.4699999997</v>
      </c>
      <c r="AB135">
        <v>0</v>
      </c>
      <c r="AC135" t="s">
        <v>73</v>
      </c>
      <c r="AD135" t="s">
        <v>1262</v>
      </c>
    </row>
    <row r="136" spans="2:30" x14ac:dyDescent="0.25">
      <c r="B136" s="1" t="s">
        <v>1235</v>
      </c>
      <c r="C136" s="1">
        <v>2026</v>
      </c>
      <c r="D136" s="1">
        <v>1</v>
      </c>
      <c r="E136" s="1">
        <v>20400</v>
      </c>
      <c r="F136" s="1">
        <v>0</v>
      </c>
      <c r="G136" s="1" t="s">
        <v>1482</v>
      </c>
      <c r="H136" s="1" t="s">
        <v>73</v>
      </c>
      <c r="P136" s="1" t="s">
        <v>1235</v>
      </c>
      <c r="Q136" s="1">
        <v>2025</v>
      </c>
      <c r="R136" s="1">
        <v>1</v>
      </c>
      <c r="S136" s="1">
        <v>11400</v>
      </c>
      <c r="T136" s="1">
        <v>800</v>
      </c>
      <c r="U136" s="1" t="s">
        <v>1482</v>
      </c>
      <c r="V136" s="1" t="s">
        <v>73</v>
      </c>
      <c r="Y136" t="s">
        <v>1235</v>
      </c>
      <c r="Z136" t="s">
        <v>1205</v>
      </c>
      <c r="AA136">
        <v>20400</v>
      </c>
      <c r="AB136">
        <v>4000</v>
      </c>
      <c r="AC136" t="s">
        <v>73</v>
      </c>
      <c r="AD136" t="s">
        <v>1482</v>
      </c>
    </row>
    <row r="137" spans="2:30" x14ac:dyDescent="0.25">
      <c r="B137" s="1" t="s">
        <v>1236</v>
      </c>
      <c r="C137" s="1">
        <v>2026</v>
      </c>
      <c r="D137" s="1">
        <v>1</v>
      </c>
      <c r="E137" s="1">
        <v>0</v>
      </c>
      <c r="F137" s="1">
        <v>0</v>
      </c>
      <c r="G137" s="1" t="s">
        <v>1237</v>
      </c>
      <c r="H137" s="1" t="s">
        <v>73</v>
      </c>
      <c r="P137" s="1" t="s">
        <v>1236</v>
      </c>
      <c r="Q137" s="1">
        <v>2025</v>
      </c>
      <c r="R137" s="1">
        <v>1</v>
      </c>
      <c r="S137" s="1">
        <v>0</v>
      </c>
      <c r="T137" s="1">
        <v>0</v>
      </c>
      <c r="U137" s="1" t="s">
        <v>1237</v>
      </c>
      <c r="V137" s="1" t="s">
        <v>73</v>
      </c>
      <c r="Y137" t="s">
        <v>1236</v>
      </c>
      <c r="Z137" t="s">
        <v>1205</v>
      </c>
      <c r="AA137">
        <v>0</v>
      </c>
      <c r="AB137">
        <v>0</v>
      </c>
      <c r="AC137" t="s">
        <v>73</v>
      </c>
      <c r="AD137" t="s">
        <v>1237</v>
      </c>
    </row>
    <row r="138" spans="2:30" x14ac:dyDescent="0.25">
      <c r="B138" s="1" t="s">
        <v>176</v>
      </c>
      <c r="C138" s="1">
        <v>2026</v>
      </c>
      <c r="D138" s="1">
        <v>1</v>
      </c>
      <c r="E138" s="1">
        <v>0</v>
      </c>
      <c r="F138" s="1">
        <v>0</v>
      </c>
      <c r="G138" s="1" t="s">
        <v>177</v>
      </c>
      <c r="H138" s="1" t="s">
        <v>73</v>
      </c>
      <c r="P138" s="1" t="s">
        <v>176</v>
      </c>
      <c r="Q138" s="1">
        <v>2025</v>
      </c>
      <c r="R138" s="1">
        <v>1</v>
      </c>
      <c r="S138" s="1">
        <v>0</v>
      </c>
      <c r="T138" s="1">
        <v>0</v>
      </c>
      <c r="U138" s="1" t="s">
        <v>177</v>
      </c>
      <c r="V138" s="1" t="s">
        <v>73</v>
      </c>
      <c r="Y138" t="s">
        <v>176</v>
      </c>
      <c r="Z138" t="s">
        <v>1205</v>
      </c>
      <c r="AA138">
        <v>0</v>
      </c>
      <c r="AB138">
        <v>0</v>
      </c>
      <c r="AC138" t="s">
        <v>73</v>
      </c>
      <c r="AD138" t="s">
        <v>177</v>
      </c>
    </row>
    <row r="139" spans="2:30" x14ac:dyDescent="0.25">
      <c r="B139" s="1" t="s">
        <v>178</v>
      </c>
      <c r="C139" s="1">
        <v>2026</v>
      </c>
      <c r="D139" s="1">
        <v>1</v>
      </c>
      <c r="E139" s="1">
        <v>-33371519.670000002</v>
      </c>
      <c r="F139" s="1">
        <v>0</v>
      </c>
      <c r="G139" s="1" t="s">
        <v>179</v>
      </c>
      <c r="H139" s="1" t="s">
        <v>73</v>
      </c>
      <c r="P139" s="1" t="s">
        <v>178</v>
      </c>
      <c r="Q139" s="1">
        <v>2025</v>
      </c>
      <c r="R139" s="1">
        <v>1</v>
      </c>
      <c r="S139" s="1">
        <v>-28313413.25</v>
      </c>
      <c r="T139" s="1">
        <v>0</v>
      </c>
      <c r="U139" s="1" t="s">
        <v>179</v>
      </c>
      <c r="V139" s="1" t="s">
        <v>73</v>
      </c>
      <c r="Y139" t="s">
        <v>178</v>
      </c>
      <c r="Z139" t="s">
        <v>1205</v>
      </c>
      <c r="AA139">
        <v>-28313413.25</v>
      </c>
      <c r="AB139">
        <v>0</v>
      </c>
      <c r="AC139" t="s">
        <v>73</v>
      </c>
      <c r="AD139" t="s">
        <v>179</v>
      </c>
    </row>
    <row r="140" spans="2:30" x14ac:dyDescent="0.25">
      <c r="B140" s="1" t="s">
        <v>180</v>
      </c>
      <c r="C140" s="1">
        <v>2026</v>
      </c>
      <c r="D140" s="1">
        <v>1</v>
      </c>
      <c r="E140" s="1">
        <v>0</v>
      </c>
      <c r="F140" s="1">
        <v>0</v>
      </c>
      <c r="G140" s="1" t="s">
        <v>181</v>
      </c>
      <c r="H140" s="1" t="s">
        <v>182</v>
      </c>
      <c r="P140" s="1" t="s">
        <v>180</v>
      </c>
      <c r="Q140" s="1">
        <v>2025</v>
      </c>
      <c r="R140" s="1">
        <v>1</v>
      </c>
      <c r="S140" s="1">
        <v>0</v>
      </c>
      <c r="T140" s="1">
        <v>0</v>
      </c>
      <c r="U140" s="1" t="s">
        <v>181</v>
      </c>
      <c r="V140" s="1" t="s">
        <v>182</v>
      </c>
      <c r="Y140" t="s">
        <v>180</v>
      </c>
      <c r="Z140" t="s">
        <v>1205</v>
      </c>
      <c r="AA140">
        <v>0</v>
      </c>
      <c r="AB140">
        <v>0</v>
      </c>
      <c r="AC140" t="s">
        <v>182</v>
      </c>
      <c r="AD140" t="s">
        <v>181</v>
      </c>
    </row>
    <row r="141" spans="2:30" x14ac:dyDescent="0.25">
      <c r="B141" s="1" t="s">
        <v>183</v>
      </c>
      <c r="C141" s="1">
        <v>2026</v>
      </c>
      <c r="D141" s="1">
        <v>1</v>
      </c>
      <c r="E141" s="1">
        <v>-239550</v>
      </c>
      <c r="F141" s="1">
        <v>-239550</v>
      </c>
      <c r="G141" s="1" t="s">
        <v>184</v>
      </c>
      <c r="H141" s="1" t="s">
        <v>182</v>
      </c>
      <c r="P141" s="1" t="s">
        <v>183</v>
      </c>
      <c r="Q141" s="1">
        <v>2025</v>
      </c>
      <c r="R141" s="1">
        <v>1</v>
      </c>
      <c r="S141" s="1">
        <v>-73800</v>
      </c>
      <c r="T141" s="1">
        <v>-73800</v>
      </c>
      <c r="U141" s="1" t="s">
        <v>184</v>
      </c>
      <c r="V141" s="1" t="s">
        <v>182</v>
      </c>
      <c r="Y141" t="s">
        <v>183</v>
      </c>
      <c r="Z141" t="s">
        <v>1205</v>
      </c>
      <c r="AA141">
        <v>-2342239.63</v>
      </c>
      <c r="AB141">
        <v>-124345.41</v>
      </c>
      <c r="AC141" t="s">
        <v>182</v>
      </c>
      <c r="AD141" t="s">
        <v>184</v>
      </c>
    </row>
    <row r="142" spans="2:30" x14ac:dyDescent="0.25">
      <c r="B142" s="1" t="s">
        <v>758</v>
      </c>
      <c r="C142" s="1">
        <v>2026</v>
      </c>
      <c r="D142" s="1">
        <v>1</v>
      </c>
      <c r="E142" s="1">
        <v>-111968</v>
      </c>
      <c r="F142" s="1">
        <v>-111968</v>
      </c>
      <c r="G142" s="1" t="s">
        <v>759</v>
      </c>
      <c r="H142" s="1" t="s">
        <v>182</v>
      </c>
      <c r="P142" s="1" t="s">
        <v>758</v>
      </c>
      <c r="Q142" s="1">
        <v>2025</v>
      </c>
      <c r="R142" s="1">
        <v>1</v>
      </c>
      <c r="S142" s="1">
        <v>-114900</v>
      </c>
      <c r="T142" s="1">
        <v>-114900</v>
      </c>
      <c r="U142" s="1" t="s">
        <v>759</v>
      </c>
      <c r="V142" s="1" t="s">
        <v>182</v>
      </c>
      <c r="Y142" t="s">
        <v>758</v>
      </c>
      <c r="Z142" t="s">
        <v>1205</v>
      </c>
      <c r="AA142">
        <v>-531343</v>
      </c>
      <c r="AB142">
        <v>-84900</v>
      </c>
      <c r="AC142" t="s">
        <v>182</v>
      </c>
      <c r="AD142" t="s">
        <v>759</v>
      </c>
    </row>
    <row r="143" spans="2:30" x14ac:dyDescent="0.25">
      <c r="B143" s="1" t="s">
        <v>995</v>
      </c>
      <c r="C143" s="1">
        <v>2026</v>
      </c>
      <c r="D143" s="1">
        <v>1</v>
      </c>
      <c r="E143" s="1">
        <v>0</v>
      </c>
      <c r="F143" s="1">
        <v>0</v>
      </c>
      <c r="G143" s="1" t="s">
        <v>996</v>
      </c>
      <c r="H143" s="1" t="s">
        <v>182</v>
      </c>
      <c r="P143" s="1" t="s">
        <v>995</v>
      </c>
      <c r="Q143" s="1">
        <v>2025</v>
      </c>
      <c r="R143" s="1">
        <v>1</v>
      </c>
      <c r="S143" s="1">
        <v>0</v>
      </c>
      <c r="T143" s="1">
        <v>0</v>
      </c>
      <c r="U143" s="1" t="s">
        <v>996</v>
      </c>
      <c r="V143" s="1" t="s">
        <v>182</v>
      </c>
      <c r="Y143" t="s">
        <v>995</v>
      </c>
      <c r="Z143" t="s">
        <v>1205</v>
      </c>
      <c r="AA143">
        <v>0</v>
      </c>
      <c r="AB143">
        <v>0</v>
      </c>
      <c r="AC143" t="s">
        <v>182</v>
      </c>
      <c r="AD143" t="s">
        <v>996</v>
      </c>
    </row>
    <row r="144" spans="2:30" x14ac:dyDescent="0.25">
      <c r="B144" s="1" t="s">
        <v>1396</v>
      </c>
      <c r="C144" s="1">
        <v>2026</v>
      </c>
      <c r="D144" s="1">
        <v>1</v>
      </c>
      <c r="E144" s="1">
        <v>0</v>
      </c>
      <c r="F144" s="1">
        <v>0</v>
      </c>
      <c r="G144" s="1" t="s">
        <v>1439</v>
      </c>
      <c r="H144" s="1" t="s">
        <v>182</v>
      </c>
      <c r="P144" s="1" t="s">
        <v>1396</v>
      </c>
      <c r="Q144" s="1">
        <v>2025</v>
      </c>
      <c r="R144" s="1">
        <v>1</v>
      </c>
      <c r="S144" s="1">
        <v>0</v>
      </c>
      <c r="T144" s="1">
        <v>0</v>
      </c>
      <c r="U144" s="1" t="s">
        <v>1439</v>
      </c>
      <c r="V144" s="1" t="s">
        <v>182</v>
      </c>
      <c r="Y144" t="s">
        <v>1396</v>
      </c>
      <c r="Z144" t="s">
        <v>1205</v>
      </c>
      <c r="AA144">
        <v>0</v>
      </c>
      <c r="AB144">
        <v>0</v>
      </c>
      <c r="AC144" t="s">
        <v>182</v>
      </c>
      <c r="AD144" t="s">
        <v>1439</v>
      </c>
    </row>
    <row r="145" spans="2:30" x14ac:dyDescent="0.25">
      <c r="B145" s="1" t="s">
        <v>1269</v>
      </c>
      <c r="C145" s="1">
        <v>2026</v>
      </c>
      <c r="D145" s="1">
        <v>1</v>
      </c>
      <c r="E145" s="1">
        <v>0</v>
      </c>
      <c r="F145" s="1">
        <v>0</v>
      </c>
      <c r="G145" s="1" t="s">
        <v>1270</v>
      </c>
      <c r="H145" s="1" t="s">
        <v>182</v>
      </c>
      <c r="P145" s="1" t="s">
        <v>1269</v>
      </c>
      <c r="Q145" s="1">
        <v>2025</v>
      </c>
      <c r="R145" s="1">
        <v>1</v>
      </c>
      <c r="S145" s="1">
        <v>0</v>
      </c>
      <c r="T145" s="1">
        <v>0</v>
      </c>
      <c r="U145" s="1" t="s">
        <v>1270</v>
      </c>
      <c r="V145" s="1" t="s">
        <v>182</v>
      </c>
      <c r="Y145" t="s">
        <v>1269</v>
      </c>
      <c r="Z145" t="s">
        <v>1205</v>
      </c>
      <c r="AA145">
        <v>0</v>
      </c>
      <c r="AB145">
        <v>0</v>
      </c>
      <c r="AC145" t="s">
        <v>182</v>
      </c>
      <c r="AD145" t="s">
        <v>1270</v>
      </c>
    </row>
    <row r="146" spans="2:30" x14ac:dyDescent="0.25">
      <c r="B146" s="1" t="s">
        <v>1493</v>
      </c>
      <c r="C146" s="1">
        <v>2026</v>
      </c>
      <c r="D146" s="1">
        <v>1</v>
      </c>
      <c r="E146" s="1">
        <v>0</v>
      </c>
      <c r="F146" s="1">
        <v>0</v>
      </c>
      <c r="G146" s="1" t="s">
        <v>1270</v>
      </c>
      <c r="H146" s="1" t="s">
        <v>182</v>
      </c>
      <c r="P146" s="1" t="s">
        <v>1493</v>
      </c>
      <c r="Q146" s="1">
        <v>2025</v>
      </c>
      <c r="R146" s="1">
        <v>1</v>
      </c>
      <c r="S146" s="1">
        <v>0</v>
      </c>
      <c r="T146" s="1">
        <v>0</v>
      </c>
      <c r="U146" s="1" t="s">
        <v>1270</v>
      </c>
      <c r="V146" s="1" t="s">
        <v>182</v>
      </c>
      <c r="Y146" t="s">
        <v>1493</v>
      </c>
      <c r="Z146" t="s">
        <v>1205</v>
      </c>
      <c r="AA146">
        <v>0</v>
      </c>
      <c r="AB146">
        <v>0</v>
      </c>
      <c r="AC146" t="s">
        <v>182</v>
      </c>
      <c r="AD146" t="s">
        <v>1270</v>
      </c>
    </row>
    <row r="147" spans="2:30" x14ac:dyDescent="0.25">
      <c r="B147" s="1" t="s">
        <v>1271</v>
      </c>
      <c r="C147" s="1">
        <v>2026</v>
      </c>
      <c r="D147" s="1">
        <v>1</v>
      </c>
      <c r="E147" s="1">
        <v>0</v>
      </c>
      <c r="F147" s="1">
        <v>0</v>
      </c>
      <c r="G147" s="1" t="s">
        <v>1270</v>
      </c>
      <c r="H147" s="1" t="s">
        <v>182</v>
      </c>
      <c r="P147" s="1" t="s">
        <v>1271</v>
      </c>
      <c r="Q147" s="1">
        <v>2025</v>
      </c>
      <c r="R147" s="1">
        <v>1</v>
      </c>
      <c r="S147" s="1">
        <v>0</v>
      </c>
      <c r="T147" s="1">
        <v>0</v>
      </c>
      <c r="U147" s="1" t="s">
        <v>1270</v>
      </c>
      <c r="V147" s="1" t="s">
        <v>182</v>
      </c>
      <c r="Y147" t="s">
        <v>1271</v>
      </c>
      <c r="Z147" t="s">
        <v>1205</v>
      </c>
      <c r="AA147">
        <v>0</v>
      </c>
      <c r="AB147">
        <v>0</v>
      </c>
      <c r="AC147" t="s">
        <v>182</v>
      </c>
      <c r="AD147" t="s">
        <v>1270</v>
      </c>
    </row>
    <row r="148" spans="2:30" x14ac:dyDescent="0.25">
      <c r="B148" s="1" t="s">
        <v>1398</v>
      </c>
      <c r="C148" s="1">
        <v>2026</v>
      </c>
      <c r="D148" s="1">
        <v>1</v>
      </c>
      <c r="E148" s="1">
        <v>0</v>
      </c>
      <c r="F148" s="1">
        <v>0</v>
      </c>
      <c r="G148" s="1" t="s">
        <v>1440</v>
      </c>
      <c r="H148" s="1" t="s">
        <v>182</v>
      </c>
      <c r="P148" s="1" t="s">
        <v>1398</v>
      </c>
      <c r="Q148" s="1">
        <v>2025</v>
      </c>
      <c r="R148" s="1">
        <v>1</v>
      </c>
      <c r="S148" s="1">
        <v>0</v>
      </c>
      <c r="T148" s="1">
        <v>0</v>
      </c>
      <c r="U148" s="1" t="s">
        <v>1440</v>
      </c>
      <c r="V148" s="1" t="s">
        <v>182</v>
      </c>
      <c r="Y148" t="s">
        <v>1398</v>
      </c>
      <c r="Z148" t="s">
        <v>1205</v>
      </c>
      <c r="AA148">
        <v>0</v>
      </c>
      <c r="AB148">
        <v>0</v>
      </c>
      <c r="AC148" t="s">
        <v>182</v>
      </c>
      <c r="AD148" t="s">
        <v>1440</v>
      </c>
    </row>
    <row r="149" spans="2:30" x14ac:dyDescent="0.25">
      <c r="B149" s="1" t="s">
        <v>186</v>
      </c>
      <c r="C149" s="1">
        <v>2026</v>
      </c>
      <c r="D149" s="1">
        <v>1</v>
      </c>
      <c r="E149" s="1">
        <v>-550</v>
      </c>
      <c r="F149" s="1">
        <v>-550</v>
      </c>
      <c r="G149" s="1" t="s">
        <v>185</v>
      </c>
      <c r="H149" s="1" t="s">
        <v>182</v>
      </c>
      <c r="P149" s="1" t="s">
        <v>186</v>
      </c>
      <c r="Q149" s="1">
        <v>2025</v>
      </c>
      <c r="R149" s="1">
        <v>1</v>
      </c>
      <c r="S149" s="1">
        <v>-18200</v>
      </c>
      <c r="T149" s="1">
        <v>-18200</v>
      </c>
      <c r="U149" s="1" t="s">
        <v>185</v>
      </c>
      <c r="V149" s="1" t="s">
        <v>182</v>
      </c>
      <c r="Y149" t="s">
        <v>186</v>
      </c>
      <c r="Z149" t="s">
        <v>1205</v>
      </c>
      <c r="AA149">
        <v>-110328.37</v>
      </c>
      <c r="AB149">
        <v>-4290</v>
      </c>
      <c r="AC149" t="s">
        <v>182</v>
      </c>
      <c r="AD149" t="s">
        <v>185</v>
      </c>
    </row>
    <row r="150" spans="2:30" x14ac:dyDescent="0.25">
      <c r="B150" s="1" t="s">
        <v>760</v>
      </c>
      <c r="C150" s="1">
        <v>2026</v>
      </c>
      <c r="D150" s="1">
        <v>1</v>
      </c>
      <c r="E150" s="1">
        <v>0</v>
      </c>
      <c r="F150" s="1">
        <v>0</v>
      </c>
      <c r="G150" s="1" t="s">
        <v>185</v>
      </c>
      <c r="H150" s="1" t="s">
        <v>182</v>
      </c>
      <c r="P150" s="1" t="s">
        <v>760</v>
      </c>
      <c r="Q150" s="1">
        <v>2025</v>
      </c>
      <c r="R150" s="1">
        <v>1</v>
      </c>
      <c r="S150" s="1">
        <v>0</v>
      </c>
      <c r="T150" s="1">
        <v>0</v>
      </c>
      <c r="U150" s="1" t="s">
        <v>185</v>
      </c>
      <c r="V150" s="1" t="s">
        <v>182</v>
      </c>
      <c r="Y150" t="s">
        <v>760</v>
      </c>
      <c r="Z150" t="s">
        <v>1205</v>
      </c>
      <c r="AA150">
        <v>-4947.75</v>
      </c>
      <c r="AB150">
        <v>-2022.75</v>
      </c>
      <c r="AC150" t="s">
        <v>182</v>
      </c>
      <c r="AD150" t="s">
        <v>185</v>
      </c>
    </row>
    <row r="151" spans="2:30" x14ac:dyDescent="0.25">
      <c r="B151" s="1" t="s">
        <v>187</v>
      </c>
      <c r="C151" s="1">
        <v>2026</v>
      </c>
      <c r="D151" s="1">
        <v>1</v>
      </c>
      <c r="E151" s="1">
        <v>0</v>
      </c>
      <c r="F151" s="1">
        <v>0</v>
      </c>
      <c r="G151" s="1" t="s">
        <v>185</v>
      </c>
      <c r="H151" s="1" t="s">
        <v>182</v>
      </c>
      <c r="P151" s="1" t="s">
        <v>187</v>
      </c>
      <c r="Q151" s="1">
        <v>2025</v>
      </c>
      <c r="R151" s="1">
        <v>1</v>
      </c>
      <c r="S151" s="1">
        <v>0</v>
      </c>
      <c r="T151" s="1">
        <v>0</v>
      </c>
      <c r="U151" s="1" t="s">
        <v>185</v>
      </c>
      <c r="V151" s="1" t="s">
        <v>182</v>
      </c>
      <c r="Y151" t="s">
        <v>187</v>
      </c>
      <c r="Z151" t="s">
        <v>1205</v>
      </c>
      <c r="AA151">
        <v>0</v>
      </c>
      <c r="AB151">
        <v>0</v>
      </c>
      <c r="AC151" t="s">
        <v>182</v>
      </c>
      <c r="AD151" t="s">
        <v>185</v>
      </c>
    </row>
    <row r="152" spans="2:30" x14ac:dyDescent="0.25">
      <c r="B152" s="1" t="s">
        <v>1399</v>
      </c>
      <c r="C152" s="1">
        <v>2026</v>
      </c>
      <c r="D152" s="1">
        <v>1</v>
      </c>
      <c r="E152" s="1">
        <v>0</v>
      </c>
      <c r="F152" s="1">
        <v>0</v>
      </c>
      <c r="G152" s="1" t="s">
        <v>1441</v>
      </c>
      <c r="H152" s="1" t="s">
        <v>182</v>
      </c>
      <c r="P152" s="1" t="s">
        <v>1399</v>
      </c>
      <c r="Q152" s="1">
        <v>2025</v>
      </c>
      <c r="R152" s="1">
        <v>1</v>
      </c>
      <c r="S152" s="1">
        <v>0</v>
      </c>
      <c r="T152" s="1">
        <v>0</v>
      </c>
      <c r="U152" s="1" t="s">
        <v>1441</v>
      </c>
      <c r="V152" s="1" t="s">
        <v>182</v>
      </c>
      <c r="Y152" t="s">
        <v>1399</v>
      </c>
      <c r="Z152" t="s">
        <v>1205</v>
      </c>
      <c r="AA152">
        <v>0</v>
      </c>
      <c r="AB152">
        <v>0</v>
      </c>
      <c r="AC152" t="s">
        <v>182</v>
      </c>
      <c r="AD152" t="s">
        <v>1441</v>
      </c>
    </row>
    <row r="153" spans="2:30" x14ac:dyDescent="0.25">
      <c r="B153" s="1" t="s">
        <v>1273</v>
      </c>
      <c r="C153" s="1">
        <v>2026</v>
      </c>
      <c r="D153" s="1">
        <v>1</v>
      </c>
      <c r="E153" s="1">
        <v>0</v>
      </c>
      <c r="F153" s="1">
        <v>0</v>
      </c>
      <c r="G153" s="1" t="s">
        <v>1268</v>
      </c>
      <c r="H153" s="1" t="s">
        <v>182</v>
      </c>
      <c r="P153" s="1" t="s">
        <v>1273</v>
      </c>
      <c r="Q153" s="1">
        <v>2025</v>
      </c>
      <c r="R153" s="1">
        <v>1</v>
      </c>
      <c r="S153" s="1">
        <v>0</v>
      </c>
      <c r="T153" s="1">
        <v>0</v>
      </c>
      <c r="U153" s="1" t="s">
        <v>1268</v>
      </c>
      <c r="V153" s="1" t="s">
        <v>182</v>
      </c>
      <c r="Y153" t="s">
        <v>1273</v>
      </c>
      <c r="Z153" t="s">
        <v>1205</v>
      </c>
      <c r="AA153">
        <v>0</v>
      </c>
      <c r="AB153">
        <v>0</v>
      </c>
      <c r="AC153" t="s">
        <v>182</v>
      </c>
      <c r="AD153" t="s">
        <v>1268</v>
      </c>
    </row>
    <row r="154" spans="2:30" x14ac:dyDescent="0.25">
      <c r="B154" s="1" t="s">
        <v>1494</v>
      </c>
      <c r="C154" s="1">
        <v>2026</v>
      </c>
      <c r="D154" s="1">
        <v>1</v>
      </c>
      <c r="E154" s="1">
        <v>0</v>
      </c>
      <c r="F154" s="1">
        <v>0</v>
      </c>
      <c r="G154" s="1" t="s">
        <v>1268</v>
      </c>
      <c r="H154" s="1" t="s">
        <v>182</v>
      </c>
      <c r="P154" s="1" t="s">
        <v>1494</v>
      </c>
      <c r="Q154" s="1">
        <v>2025</v>
      </c>
      <c r="R154" s="1">
        <v>1</v>
      </c>
      <c r="S154" s="1">
        <v>0</v>
      </c>
      <c r="T154" s="1">
        <v>0</v>
      </c>
      <c r="U154" s="1" t="s">
        <v>1268</v>
      </c>
      <c r="V154" s="1" t="s">
        <v>182</v>
      </c>
      <c r="Y154" t="s">
        <v>1494</v>
      </c>
      <c r="Z154" t="s">
        <v>1205</v>
      </c>
      <c r="AA154">
        <v>0</v>
      </c>
      <c r="AB154">
        <v>0</v>
      </c>
      <c r="AC154" t="s">
        <v>182</v>
      </c>
      <c r="AD154" t="s">
        <v>1268</v>
      </c>
    </row>
    <row r="155" spans="2:30" x14ac:dyDescent="0.25">
      <c r="B155" s="1" t="s">
        <v>188</v>
      </c>
      <c r="C155" s="1">
        <v>2026</v>
      </c>
      <c r="D155" s="1">
        <v>1</v>
      </c>
      <c r="E155" s="1">
        <v>-23275</v>
      </c>
      <c r="F155" s="1">
        <v>-23275</v>
      </c>
      <c r="G155" s="1" t="s">
        <v>1331</v>
      </c>
      <c r="H155" s="1" t="s">
        <v>182</v>
      </c>
      <c r="P155" s="1" t="s">
        <v>188</v>
      </c>
      <c r="Q155" s="1">
        <v>2025</v>
      </c>
      <c r="R155" s="1">
        <v>1</v>
      </c>
      <c r="S155" s="1">
        <v>-42300</v>
      </c>
      <c r="T155" s="1">
        <v>-42300</v>
      </c>
      <c r="U155" s="1" t="s">
        <v>1331</v>
      </c>
      <c r="V155" s="1" t="s">
        <v>182</v>
      </c>
      <c r="Y155" t="s">
        <v>188</v>
      </c>
      <c r="Z155" t="s">
        <v>1205</v>
      </c>
      <c r="AA155">
        <v>-362869.58</v>
      </c>
      <c r="AB155">
        <v>-38673</v>
      </c>
      <c r="AC155" t="s">
        <v>182</v>
      </c>
      <c r="AD155" t="s">
        <v>1331</v>
      </c>
    </row>
    <row r="156" spans="2:30" x14ac:dyDescent="0.25">
      <c r="B156" s="1" t="s">
        <v>1272</v>
      </c>
      <c r="C156" s="1">
        <v>2026</v>
      </c>
      <c r="D156" s="1">
        <v>1</v>
      </c>
      <c r="E156" s="1">
        <v>0</v>
      </c>
      <c r="F156" s="1">
        <v>0</v>
      </c>
      <c r="G156" s="1" t="s">
        <v>1268</v>
      </c>
      <c r="H156" s="1" t="s">
        <v>182</v>
      </c>
      <c r="P156" s="1" t="s">
        <v>1272</v>
      </c>
      <c r="Q156" s="1">
        <v>2025</v>
      </c>
      <c r="R156" s="1">
        <v>1</v>
      </c>
      <c r="S156" s="1">
        <v>0</v>
      </c>
      <c r="T156" s="1">
        <v>0</v>
      </c>
      <c r="U156" s="1" t="s">
        <v>1268</v>
      </c>
      <c r="V156" s="1" t="s">
        <v>182</v>
      </c>
      <c r="Y156" t="s">
        <v>1272</v>
      </c>
      <c r="Z156" t="s">
        <v>1205</v>
      </c>
      <c r="AA156">
        <v>0</v>
      </c>
      <c r="AB156">
        <v>0</v>
      </c>
      <c r="AC156" t="s">
        <v>182</v>
      </c>
      <c r="AD156" t="s">
        <v>1268</v>
      </c>
    </row>
    <row r="157" spans="2:30" x14ac:dyDescent="0.25">
      <c r="B157" s="1" t="s">
        <v>1400</v>
      </c>
      <c r="C157" s="1">
        <v>2026</v>
      </c>
      <c r="D157" s="1">
        <v>1</v>
      </c>
      <c r="E157" s="1">
        <v>0</v>
      </c>
      <c r="F157" s="1">
        <v>0</v>
      </c>
      <c r="G157" s="1" t="s">
        <v>1442</v>
      </c>
      <c r="H157" s="1" t="s">
        <v>182</v>
      </c>
      <c r="P157" s="1" t="s">
        <v>1400</v>
      </c>
      <c r="Q157" s="1">
        <v>2025</v>
      </c>
      <c r="R157" s="1">
        <v>1</v>
      </c>
      <c r="S157" s="1">
        <v>0</v>
      </c>
      <c r="T157" s="1">
        <v>0</v>
      </c>
      <c r="U157" s="1" t="s">
        <v>1442</v>
      </c>
      <c r="V157" s="1" t="s">
        <v>182</v>
      </c>
      <c r="Y157" t="s">
        <v>1400</v>
      </c>
      <c r="Z157" t="s">
        <v>1205</v>
      </c>
      <c r="AA157">
        <v>0</v>
      </c>
      <c r="AB157">
        <v>0</v>
      </c>
      <c r="AC157" t="s">
        <v>182</v>
      </c>
      <c r="AD157" t="s">
        <v>1442</v>
      </c>
    </row>
    <row r="158" spans="2:30" x14ac:dyDescent="0.25">
      <c r="B158" s="1" t="s">
        <v>190</v>
      </c>
      <c r="C158" s="1">
        <v>2026</v>
      </c>
      <c r="D158" s="1">
        <v>1</v>
      </c>
      <c r="E158" s="1">
        <v>-10760</v>
      </c>
      <c r="F158" s="1">
        <v>-10760</v>
      </c>
      <c r="G158" s="1" t="s">
        <v>189</v>
      </c>
      <c r="H158" s="1" t="s">
        <v>182</v>
      </c>
      <c r="P158" s="1" t="s">
        <v>190</v>
      </c>
      <c r="Q158" s="1">
        <v>2025</v>
      </c>
      <c r="R158" s="1">
        <v>1</v>
      </c>
      <c r="S158" s="1">
        <v>-3336.25</v>
      </c>
      <c r="T158" s="1">
        <v>-3336.25</v>
      </c>
      <c r="U158" s="1" t="s">
        <v>189</v>
      </c>
      <c r="V158" s="1" t="s">
        <v>182</v>
      </c>
      <c r="Y158" t="s">
        <v>190</v>
      </c>
      <c r="Z158" t="s">
        <v>1205</v>
      </c>
      <c r="AA158">
        <v>-92722.72</v>
      </c>
      <c r="AB158">
        <v>-5204.5</v>
      </c>
      <c r="AC158" t="s">
        <v>182</v>
      </c>
      <c r="AD158" t="s">
        <v>189</v>
      </c>
    </row>
    <row r="159" spans="2:30" x14ac:dyDescent="0.25">
      <c r="B159" s="1" t="s">
        <v>761</v>
      </c>
      <c r="C159" s="1">
        <v>2026</v>
      </c>
      <c r="D159" s="1">
        <v>1</v>
      </c>
      <c r="E159" s="1">
        <v>-173.76</v>
      </c>
      <c r="F159" s="1">
        <v>-173.76</v>
      </c>
      <c r="G159" s="1" t="s">
        <v>189</v>
      </c>
      <c r="H159" s="1" t="s">
        <v>182</v>
      </c>
      <c r="P159" s="1" t="s">
        <v>761</v>
      </c>
      <c r="Q159" s="1">
        <v>2025</v>
      </c>
      <c r="R159" s="1">
        <v>1</v>
      </c>
      <c r="S159" s="1">
        <v>0</v>
      </c>
      <c r="T159" s="1">
        <v>0</v>
      </c>
      <c r="U159" s="1" t="s">
        <v>189</v>
      </c>
      <c r="V159" s="1" t="s">
        <v>182</v>
      </c>
      <c r="Y159" t="s">
        <v>761</v>
      </c>
      <c r="Z159" t="s">
        <v>1205</v>
      </c>
      <c r="AA159">
        <v>-15059.75</v>
      </c>
      <c r="AB159">
        <v>-6680.75</v>
      </c>
      <c r="AC159" t="s">
        <v>182</v>
      </c>
      <c r="AD159" t="s">
        <v>189</v>
      </c>
    </row>
    <row r="160" spans="2:30" x14ac:dyDescent="0.25">
      <c r="B160" s="1" t="s">
        <v>191</v>
      </c>
      <c r="C160" s="1">
        <v>2026</v>
      </c>
      <c r="D160" s="1">
        <v>1</v>
      </c>
      <c r="E160" s="1">
        <v>0</v>
      </c>
      <c r="F160" s="1">
        <v>0</v>
      </c>
      <c r="G160" s="1" t="s">
        <v>189</v>
      </c>
      <c r="H160" s="1" t="s">
        <v>182</v>
      </c>
      <c r="P160" s="1" t="s">
        <v>191</v>
      </c>
      <c r="Q160" s="1">
        <v>2025</v>
      </c>
      <c r="R160" s="1">
        <v>1</v>
      </c>
      <c r="S160" s="1">
        <v>-5898</v>
      </c>
      <c r="T160" s="1">
        <v>-5898</v>
      </c>
      <c r="U160" s="1" t="s">
        <v>189</v>
      </c>
      <c r="V160" s="1" t="s">
        <v>182</v>
      </c>
      <c r="Y160" t="s">
        <v>191</v>
      </c>
      <c r="Z160" t="s">
        <v>1205</v>
      </c>
      <c r="AA160">
        <v>-48579.11</v>
      </c>
      <c r="AB160">
        <v>0</v>
      </c>
      <c r="AC160" t="s">
        <v>182</v>
      </c>
      <c r="AD160" t="s">
        <v>189</v>
      </c>
    </row>
    <row r="161" spans="2:30" x14ac:dyDescent="0.25">
      <c r="B161" s="1" t="s">
        <v>1402</v>
      </c>
      <c r="C161" s="1">
        <v>2026</v>
      </c>
      <c r="D161" s="1">
        <v>1</v>
      </c>
      <c r="E161" s="1">
        <v>-7713.69</v>
      </c>
      <c r="F161" s="1">
        <v>-7713.69</v>
      </c>
      <c r="G161" s="1" t="s">
        <v>1443</v>
      </c>
      <c r="H161" s="1" t="s">
        <v>182</v>
      </c>
      <c r="P161" s="1" t="s">
        <v>1402</v>
      </c>
      <c r="Q161" s="1">
        <v>2025</v>
      </c>
      <c r="R161" s="1">
        <v>1</v>
      </c>
      <c r="S161" s="1">
        <v>-5600.17</v>
      </c>
      <c r="T161" s="1">
        <v>-5600.17</v>
      </c>
      <c r="U161" s="1" t="s">
        <v>1443</v>
      </c>
      <c r="V161" s="1" t="s">
        <v>182</v>
      </c>
      <c r="Y161" t="s">
        <v>1402</v>
      </c>
      <c r="Z161" t="s">
        <v>1205</v>
      </c>
      <c r="AA161">
        <v>-130965.16</v>
      </c>
      <c r="AB161">
        <v>-13308.98</v>
      </c>
      <c r="AC161" t="s">
        <v>182</v>
      </c>
      <c r="AD161" t="s">
        <v>1443</v>
      </c>
    </row>
    <row r="162" spans="2:30" x14ac:dyDescent="0.25">
      <c r="B162" s="1" t="s">
        <v>192</v>
      </c>
      <c r="C162" s="1">
        <v>2026</v>
      </c>
      <c r="D162" s="1">
        <v>1</v>
      </c>
      <c r="E162" s="1">
        <v>-221925</v>
      </c>
      <c r="F162" s="1">
        <v>-221925</v>
      </c>
      <c r="G162" s="1" t="s">
        <v>193</v>
      </c>
      <c r="H162" s="1" t="s">
        <v>182</v>
      </c>
      <c r="P162" s="1" t="s">
        <v>192</v>
      </c>
      <c r="Q162" s="1">
        <v>2025</v>
      </c>
      <c r="R162" s="1">
        <v>1</v>
      </c>
      <c r="S162" s="1">
        <v>-208035</v>
      </c>
      <c r="T162" s="1">
        <v>-208035</v>
      </c>
      <c r="U162" s="1" t="s">
        <v>193</v>
      </c>
      <c r="V162" s="1" t="s">
        <v>182</v>
      </c>
      <c r="Y162" t="s">
        <v>192</v>
      </c>
      <c r="Z162" t="s">
        <v>1205</v>
      </c>
      <c r="AA162">
        <v>-3277348.01</v>
      </c>
      <c r="AB162">
        <v>-176805</v>
      </c>
      <c r="AC162" t="s">
        <v>182</v>
      </c>
      <c r="AD162" t="s">
        <v>193</v>
      </c>
    </row>
    <row r="163" spans="2:30" x14ac:dyDescent="0.25">
      <c r="B163" s="1" t="s">
        <v>762</v>
      </c>
      <c r="C163" s="1">
        <v>2026</v>
      </c>
      <c r="D163" s="1">
        <v>1</v>
      </c>
      <c r="E163" s="1">
        <v>0</v>
      </c>
      <c r="F163" s="1">
        <v>0</v>
      </c>
      <c r="G163" s="1" t="s">
        <v>763</v>
      </c>
      <c r="H163" s="1" t="s">
        <v>182</v>
      </c>
      <c r="P163" s="1" t="s">
        <v>762</v>
      </c>
      <c r="Q163" s="1">
        <v>2025</v>
      </c>
      <c r="R163" s="1">
        <v>1</v>
      </c>
      <c r="S163" s="1">
        <v>0</v>
      </c>
      <c r="T163" s="1">
        <v>0</v>
      </c>
      <c r="U163" s="1" t="s">
        <v>763</v>
      </c>
      <c r="V163" s="1" t="s">
        <v>182</v>
      </c>
      <c r="Y163" t="s">
        <v>762</v>
      </c>
      <c r="Z163" t="s">
        <v>1205</v>
      </c>
      <c r="AA163">
        <v>0</v>
      </c>
      <c r="AB163">
        <v>0</v>
      </c>
      <c r="AC163" t="s">
        <v>182</v>
      </c>
      <c r="AD163" t="s">
        <v>763</v>
      </c>
    </row>
    <row r="164" spans="2:30" x14ac:dyDescent="0.25">
      <c r="B164" s="1" t="s">
        <v>194</v>
      </c>
      <c r="C164" s="1">
        <v>2026</v>
      </c>
      <c r="D164" s="1">
        <v>1</v>
      </c>
      <c r="E164" s="1">
        <v>0</v>
      </c>
      <c r="F164" s="1">
        <v>0</v>
      </c>
      <c r="G164" s="1" t="s">
        <v>195</v>
      </c>
      <c r="H164" s="1" t="s">
        <v>182</v>
      </c>
      <c r="P164" s="1" t="s">
        <v>194</v>
      </c>
      <c r="Q164" s="1">
        <v>2025</v>
      </c>
      <c r="R164" s="1">
        <v>1</v>
      </c>
      <c r="S164" s="1">
        <v>-764622.72</v>
      </c>
      <c r="T164" s="1">
        <v>-764622.72</v>
      </c>
      <c r="U164" s="1" t="s">
        <v>195</v>
      </c>
      <c r="V164" s="1" t="s">
        <v>182</v>
      </c>
      <c r="Y164" t="s">
        <v>194</v>
      </c>
      <c r="Z164" t="s">
        <v>1205</v>
      </c>
      <c r="AA164">
        <v>-3683028.35</v>
      </c>
      <c r="AB164">
        <v>0</v>
      </c>
      <c r="AC164" t="s">
        <v>182</v>
      </c>
      <c r="AD164" t="s">
        <v>195</v>
      </c>
    </row>
    <row r="165" spans="2:30" x14ac:dyDescent="0.25">
      <c r="B165" s="1" t="s">
        <v>1397</v>
      </c>
      <c r="C165" s="1">
        <v>2026</v>
      </c>
      <c r="D165" s="1">
        <v>1</v>
      </c>
      <c r="E165" s="1">
        <v>0</v>
      </c>
      <c r="F165" s="1">
        <v>0</v>
      </c>
      <c r="G165" s="1" t="s">
        <v>1444</v>
      </c>
      <c r="H165" s="1" t="s">
        <v>182</v>
      </c>
      <c r="P165" s="1" t="s">
        <v>1397</v>
      </c>
      <c r="Q165" s="1">
        <v>2025</v>
      </c>
      <c r="R165" s="1">
        <v>1</v>
      </c>
      <c r="S165" s="1">
        <v>0</v>
      </c>
      <c r="T165" s="1">
        <v>0</v>
      </c>
      <c r="U165" s="1" t="s">
        <v>1444</v>
      </c>
      <c r="V165" s="1" t="s">
        <v>182</v>
      </c>
      <c r="Y165" t="s">
        <v>1397</v>
      </c>
      <c r="Z165" t="s">
        <v>1205</v>
      </c>
      <c r="AA165">
        <v>0</v>
      </c>
      <c r="AB165">
        <v>0</v>
      </c>
      <c r="AC165" t="s">
        <v>182</v>
      </c>
      <c r="AD165" t="s">
        <v>1444</v>
      </c>
    </row>
    <row r="166" spans="2:30" x14ac:dyDescent="0.25">
      <c r="B166" s="1" t="s">
        <v>196</v>
      </c>
      <c r="C166" s="1">
        <v>2026</v>
      </c>
      <c r="D166" s="1">
        <v>1</v>
      </c>
      <c r="E166" s="1">
        <v>-319444.63</v>
      </c>
      <c r="F166" s="1">
        <v>-319444.63</v>
      </c>
      <c r="G166" s="1" t="s">
        <v>1298</v>
      </c>
      <c r="H166" s="1" t="s">
        <v>182</v>
      </c>
      <c r="P166" s="1" t="s">
        <v>196</v>
      </c>
      <c r="Q166" s="1">
        <v>2025</v>
      </c>
      <c r="R166" s="1">
        <v>1</v>
      </c>
      <c r="S166" s="1">
        <v>-314340.7</v>
      </c>
      <c r="T166" s="1">
        <v>-314340.7</v>
      </c>
      <c r="U166" s="1" t="s">
        <v>1298</v>
      </c>
      <c r="V166" s="1" t="s">
        <v>182</v>
      </c>
      <c r="Y166" t="s">
        <v>196</v>
      </c>
      <c r="Z166" t="s">
        <v>1205</v>
      </c>
      <c r="AA166">
        <v>-3867200.26</v>
      </c>
      <c r="AB166">
        <v>-324129.63</v>
      </c>
      <c r="AC166" t="s">
        <v>182</v>
      </c>
      <c r="AD166" t="s">
        <v>1298</v>
      </c>
    </row>
    <row r="167" spans="2:30" x14ac:dyDescent="0.25">
      <c r="B167" s="1" t="s">
        <v>1023</v>
      </c>
      <c r="C167" s="1">
        <v>2026</v>
      </c>
      <c r="D167" s="1">
        <v>1</v>
      </c>
      <c r="E167" s="1">
        <v>-25150.94</v>
      </c>
      <c r="F167" s="1">
        <v>-25150.94</v>
      </c>
      <c r="G167" s="1" t="s">
        <v>1332</v>
      </c>
      <c r="H167" s="1" t="s">
        <v>182</v>
      </c>
      <c r="P167" s="1" t="s">
        <v>1023</v>
      </c>
      <c r="Q167" s="1">
        <v>2025</v>
      </c>
      <c r="R167" s="1">
        <v>1</v>
      </c>
      <c r="S167" s="1">
        <v>-67512.98</v>
      </c>
      <c r="T167" s="1">
        <v>-67512.98</v>
      </c>
      <c r="U167" s="1" t="s">
        <v>1332</v>
      </c>
      <c r="V167" s="1" t="s">
        <v>182</v>
      </c>
      <c r="Y167" t="s">
        <v>1023</v>
      </c>
      <c r="Z167" t="s">
        <v>1205</v>
      </c>
      <c r="AA167">
        <v>-370796.54</v>
      </c>
      <c r="AB167">
        <v>-25150.94</v>
      </c>
      <c r="AC167" t="s">
        <v>182</v>
      </c>
      <c r="AD167" t="s">
        <v>1332</v>
      </c>
    </row>
    <row r="168" spans="2:30" x14ac:dyDescent="0.25">
      <c r="B168" s="1" t="s">
        <v>764</v>
      </c>
      <c r="C168" s="1">
        <v>2026</v>
      </c>
      <c r="D168" s="1">
        <v>1</v>
      </c>
      <c r="E168" s="1">
        <v>0</v>
      </c>
      <c r="F168" s="1">
        <v>0</v>
      </c>
      <c r="G168" s="1" t="s">
        <v>1169</v>
      </c>
      <c r="H168" s="1" t="s">
        <v>182</v>
      </c>
      <c r="P168" s="1" t="s">
        <v>764</v>
      </c>
      <c r="Q168" s="1">
        <v>2025</v>
      </c>
      <c r="R168" s="1">
        <v>1</v>
      </c>
      <c r="S168" s="1">
        <v>0</v>
      </c>
      <c r="T168" s="1">
        <v>0</v>
      </c>
      <c r="U168" s="1" t="s">
        <v>1169</v>
      </c>
      <c r="V168" s="1" t="s">
        <v>182</v>
      </c>
      <c r="Y168" t="s">
        <v>764</v>
      </c>
      <c r="Z168" t="s">
        <v>1205</v>
      </c>
      <c r="AA168">
        <v>0</v>
      </c>
      <c r="AB168">
        <v>0</v>
      </c>
      <c r="AC168" t="s">
        <v>182</v>
      </c>
      <c r="AD168" t="s">
        <v>1169</v>
      </c>
    </row>
    <row r="169" spans="2:30" x14ac:dyDescent="0.25">
      <c r="B169" s="1" t="s">
        <v>197</v>
      </c>
      <c r="C169" s="1">
        <v>2026</v>
      </c>
      <c r="D169" s="1">
        <v>1</v>
      </c>
      <c r="E169" s="1">
        <v>0</v>
      </c>
      <c r="F169" s="1">
        <v>0</v>
      </c>
      <c r="G169" s="1" t="s">
        <v>1170</v>
      </c>
      <c r="H169" s="1" t="s">
        <v>182</v>
      </c>
      <c r="P169" s="1" t="s">
        <v>197</v>
      </c>
      <c r="Q169" s="1">
        <v>2025</v>
      </c>
      <c r="R169" s="1">
        <v>1</v>
      </c>
      <c r="S169" s="1">
        <v>0</v>
      </c>
      <c r="T169" s="1">
        <v>0</v>
      </c>
      <c r="U169" s="1" t="s">
        <v>1170</v>
      </c>
      <c r="V169" s="1" t="s">
        <v>182</v>
      </c>
      <c r="Y169" t="s">
        <v>197</v>
      </c>
      <c r="Z169" t="s">
        <v>1205</v>
      </c>
      <c r="AA169">
        <v>0</v>
      </c>
      <c r="AB169">
        <v>0</v>
      </c>
      <c r="AC169" t="s">
        <v>182</v>
      </c>
      <c r="AD169" t="s">
        <v>1170</v>
      </c>
    </row>
    <row r="170" spans="2:30" x14ac:dyDescent="0.25">
      <c r="B170" s="1" t="s">
        <v>1383</v>
      </c>
      <c r="C170" s="1">
        <v>2026</v>
      </c>
      <c r="D170" s="1">
        <v>1</v>
      </c>
      <c r="E170" s="1">
        <v>0</v>
      </c>
      <c r="F170" s="1">
        <v>0</v>
      </c>
      <c r="G170" s="1" t="s">
        <v>1384</v>
      </c>
      <c r="H170" s="1" t="s">
        <v>182</v>
      </c>
      <c r="P170" s="1" t="s">
        <v>1383</v>
      </c>
      <c r="Q170" s="1">
        <v>2025</v>
      </c>
      <c r="R170" s="1">
        <v>1</v>
      </c>
      <c r="S170" s="1">
        <v>0</v>
      </c>
      <c r="T170" s="1">
        <v>0</v>
      </c>
      <c r="U170" s="1" t="s">
        <v>1384</v>
      </c>
      <c r="V170" s="1" t="s">
        <v>182</v>
      </c>
      <c r="Y170" t="s">
        <v>1383</v>
      </c>
      <c r="Z170" t="s">
        <v>1205</v>
      </c>
      <c r="AA170">
        <v>0</v>
      </c>
      <c r="AB170">
        <v>0</v>
      </c>
      <c r="AC170" t="s">
        <v>182</v>
      </c>
      <c r="AD170" t="s">
        <v>1384</v>
      </c>
    </row>
    <row r="171" spans="2:30" x14ac:dyDescent="0.25">
      <c r="B171" s="1" t="s">
        <v>1495</v>
      </c>
      <c r="C171" s="1">
        <v>2026</v>
      </c>
      <c r="D171" s="1">
        <v>1</v>
      </c>
      <c r="E171" s="1">
        <v>0</v>
      </c>
      <c r="F171" s="1">
        <v>0</v>
      </c>
      <c r="G171" s="1" t="s">
        <v>1496</v>
      </c>
      <c r="H171" s="1" t="s">
        <v>182</v>
      </c>
      <c r="P171" s="1" t="s">
        <v>1495</v>
      </c>
      <c r="Q171" s="1">
        <v>2025</v>
      </c>
      <c r="R171" s="1">
        <v>1</v>
      </c>
      <c r="S171" s="1">
        <v>0</v>
      </c>
      <c r="T171" s="1">
        <v>0</v>
      </c>
      <c r="U171" s="1" t="s">
        <v>1496</v>
      </c>
      <c r="V171" s="1" t="s">
        <v>182</v>
      </c>
      <c r="Y171" t="s">
        <v>1495</v>
      </c>
      <c r="Z171" t="s">
        <v>1205</v>
      </c>
      <c r="AA171">
        <v>0</v>
      </c>
      <c r="AB171">
        <v>0</v>
      </c>
      <c r="AC171" t="s">
        <v>182</v>
      </c>
      <c r="AD171" t="s">
        <v>1496</v>
      </c>
    </row>
    <row r="172" spans="2:30" x14ac:dyDescent="0.25">
      <c r="B172" s="1" t="s">
        <v>1245</v>
      </c>
      <c r="C172" s="1">
        <v>2026</v>
      </c>
      <c r="D172" s="1">
        <v>1</v>
      </c>
      <c r="E172" s="1">
        <v>-18495.95</v>
      </c>
      <c r="F172" s="1">
        <v>-18495.95</v>
      </c>
      <c r="G172" s="1" t="s">
        <v>1246</v>
      </c>
      <c r="H172" s="1" t="s">
        <v>182</v>
      </c>
      <c r="P172" s="1" t="s">
        <v>1245</v>
      </c>
      <c r="Q172" s="1">
        <v>2025</v>
      </c>
      <c r="R172" s="1">
        <v>1</v>
      </c>
      <c r="S172" s="1">
        <v>0</v>
      </c>
      <c r="T172" s="1">
        <v>0</v>
      </c>
      <c r="U172" s="1" t="s">
        <v>1246</v>
      </c>
      <c r="V172" s="1" t="s">
        <v>182</v>
      </c>
      <c r="Y172" t="s">
        <v>1245</v>
      </c>
      <c r="Z172" t="s">
        <v>1205</v>
      </c>
      <c r="AA172">
        <v>-437702.34</v>
      </c>
      <c r="AB172">
        <v>-33436</v>
      </c>
      <c r="AC172" t="s">
        <v>182</v>
      </c>
      <c r="AD172" t="s">
        <v>1246</v>
      </c>
    </row>
    <row r="173" spans="2:30" x14ac:dyDescent="0.25">
      <c r="B173" s="1" t="s">
        <v>1497</v>
      </c>
      <c r="C173" s="1">
        <v>2026</v>
      </c>
      <c r="D173" s="1">
        <v>1</v>
      </c>
      <c r="E173" s="1">
        <v>0</v>
      </c>
      <c r="F173" s="1">
        <v>0</v>
      </c>
      <c r="G173" s="1" t="s">
        <v>1498</v>
      </c>
      <c r="H173" s="1" t="s">
        <v>182</v>
      </c>
      <c r="P173" s="1" t="s">
        <v>1497</v>
      </c>
      <c r="Q173" s="1">
        <v>2025</v>
      </c>
      <c r="R173" s="1">
        <v>1</v>
      </c>
      <c r="S173" s="1">
        <v>0</v>
      </c>
      <c r="T173" s="1">
        <v>0</v>
      </c>
      <c r="U173" s="1" t="s">
        <v>1498</v>
      </c>
      <c r="V173" s="1" t="s">
        <v>182</v>
      </c>
      <c r="Y173" t="s">
        <v>1497</v>
      </c>
      <c r="Z173" t="s">
        <v>1205</v>
      </c>
      <c r="AA173">
        <v>-7294</v>
      </c>
      <c r="AB173">
        <v>0</v>
      </c>
      <c r="AC173" t="s">
        <v>182</v>
      </c>
      <c r="AD173" t="s">
        <v>1498</v>
      </c>
    </row>
    <row r="174" spans="2:30" x14ac:dyDescent="0.25">
      <c r="B174" s="1" t="s">
        <v>198</v>
      </c>
      <c r="C174" s="1">
        <v>2026</v>
      </c>
      <c r="D174" s="1">
        <v>1</v>
      </c>
      <c r="E174" s="1">
        <v>-132129.07</v>
      </c>
      <c r="F174" s="1">
        <v>-132129.07</v>
      </c>
      <c r="G174" s="1" t="s">
        <v>199</v>
      </c>
      <c r="H174" s="1" t="s">
        <v>182</v>
      </c>
      <c r="P174" s="1" t="s">
        <v>198</v>
      </c>
      <c r="Q174" s="1">
        <v>2025</v>
      </c>
      <c r="R174" s="1">
        <v>1</v>
      </c>
      <c r="S174" s="1">
        <v>-136717.10999999999</v>
      </c>
      <c r="T174" s="1">
        <v>-136717.10999999999</v>
      </c>
      <c r="U174" s="1" t="s">
        <v>199</v>
      </c>
      <c r="V174" s="1" t="s">
        <v>182</v>
      </c>
      <c r="Y174" t="s">
        <v>198</v>
      </c>
      <c r="Z174" t="s">
        <v>1205</v>
      </c>
      <c r="AA174">
        <v>-1766386.77</v>
      </c>
      <c r="AB174">
        <v>-137125.28</v>
      </c>
      <c r="AC174" t="s">
        <v>182</v>
      </c>
      <c r="AD174" t="s">
        <v>199</v>
      </c>
    </row>
    <row r="175" spans="2:30" x14ac:dyDescent="0.25">
      <c r="B175" s="1" t="s">
        <v>765</v>
      </c>
      <c r="C175" s="1">
        <v>2026</v>
      </c>
      <c r="D175" s="1">
        <v>1</v>
      </c>
      <c r="E175" s="1">
        <v>0</v>
      </c>
      <c r="F175" s="1">
        <v>0</v>
      </c>
      <c r="G175" s="1" t="s">
        <v>199</v>
      </c>
      <c r="H175" s="1" t="s">
        <v>182</v>
      </c>
      <c r="P175" s="1" t="s">
        <v>765</v>
      </c>
      <c r="Q175" s="1">
        <v>2025</v>
      </c>
      <c r="R175" s="1">
        <v>1</v>
      </c>
      <c r="S175" s="1">
        <v>0</v>
      </c>
      <c r="T175" s="1">
        <v>0</v>
      </c>
      <c r="U175" s="1" t="s">
        <v>199</v>
      </c>
      <c r="V175" s="1" t="s">
        <v>182</v>
      </c>
      <c r="Y175" t="s">
        <v>765</v>
      </c>
      <c r="Z175" t="s">
        <v>1205</v>
      </c>
      <c r="AA175">
        <v>0</v>
      </c>
      <c r="AB175">
        <v>0</v>
      </c>
      <c r="AC175" t="s">
        <v>182</v>
      </c>
      <c r="AD175" t="s">
        <v>199</v>
      </c>
    </row>
    <row r="176" spans="2:30" x14ac:dyDescent="0.25">
      <c r="B176" s="1" t="s">
        <v>200</v>
      </c>
      <c r="C176" s="1">
        <v>2026</v>
      </c>
      <c r="D176" s="1">
        <v>1</v>
      </c>
      <c r="E176" s="1">
        <v>-47878.25</v>
      </c>
      <c r="F176" s="1">
        <v>-47878.25</v>
      </c>
      <c r="G176" s="1" t="s">
        <v>201</v>
      </c>
      <c r="H176" s="1" t="s">
        <v>182</v>
      </c>
      <c r="P176" s="1" t="s">
        <v>200</v>
      </c>
      <c r="Q176" s="1">
        <v>2025</v>
      </c>
      <c r="R176" s="1">
        <v>1</v>
      </c>
      <c r="S176" s="1">
        <v>-51636.03</v>
      </c>
      <c r="T176" s="1">
        <v>-51636.03</v>
      </c>
      <c r="U176" s="1" t="s">
        <v>201</v>
      </c>
      <c r="V176" s="1" t="s">
        <v>182</v>
      </c>
      <c r="Y176" t="s">
        <v>200</v>
      </c>
      <c r="Z176" t="s">
        <v>1205</v>
      </c>
      <c r="AA176">
        <v>-543092.82999999996</v>
      </c>
      <c r="AB176">
        <v>-21739.39</v>
      </c>
      <c r="AC176" t="s">
        <v>182</v>
      </c>
      <c r="AD176" t="s">
        <v>201</v>
      </c>
    </row>
    <row r="177" spans="2:30" x14ac:dyDescent="0.25">
      <c r="B177" s="1" t="s">
        <v>766</v>
      </c>
      <c r="C177" s="1">
        <v>2026</v>
      </c>
      <c r="D177" s="1">
        <v>1</v>
      </c>
      <c r="E177" s="1">
        <v>0</v>
      </c>
      <c r="F177" s="1">
        <v>0</v>
      </c>
      <c r="G177" s="1" t="s">
        <v>201</v>
      </c>
      <c r="H177" s="1" t="s">
        <v>182</v>
      </c>
      <c r="P177" s="1" t="s">
        <v>766</v>
      </c>
      <c r="Q177" s="1">
        <v>2025</v>
      </c>
      <c r="R177" s="1">
        <v>1</v>
      </c>
      <c r="S177" s="1">
        <v>0</v>
      </c>
      <c r="T177" s="1">
        <v>0</v>
      </c>
      <c r="U177" s="1" t="s">
        <v>201</v>
      </c>
      <c r="V177" s="1" t="s">
        <v>182</v>
      </c>
      <c r="Y177" t="s">
        <v>766</v>
      </c>
      <c r="Z177" t="s">
        <v>1205</v>
      </c>
      <c r="AA177">
        <v>0</v>
      </c>
      <c r="AB177">
        <v>0</v>
      </c>
      <c r="AC177" t="s">
        <v>182</v>
      </c>
      <c r="AD177" t="s">
        <v>201</v>
      </c>
    </row>
    <row r="178" spans="2:30" x14ac:dyDescent="0.25">
      <c r="B178" s="1" t="s">
        <v>202</v>
      </c>
      <c r="C178" s="1">
        <v>2026</v>
      </c>
      <c r="D178" s="1">
        <v>1</v>
      </c>
      <c r="E178" s="1">
        <v>0</v>
      </c>
      <c r="F178" s="1">
        <v>0</v>
      </c>
      <c r="G178" s="1" t="s">
        <v>203</v>
      </c>
      <c r="H178" s="1" t="s">
        <v>182</v>
      </c>
      <c r="P178" s="1" t="s">
        <v>202</v>
      </c>
      <c r="Q178" s="1">
        <v>2025</v>
      </c>
      <c r="R178" s="1">
        <v>1</v>
      </c>
      <c r="S178" s="1">
        <v>-1272.33</v>
      </c>
      <c r="T178" s="1">
        <v>-1272.33</v>
      </c>
      <c r="U178" s="1" t="s">
        <v>203</v>
      </c>
      <c r="V178" s="1" t="s">
        <v>182</v>
      </c>
      <c r="Y178" t="s">
        <v>202</v>
      </c>
      <c r="Z178" t="s">
        <v>1205</v>
      </c>
      <c r="AA178">
        <v>-3249.01</v>
      </c>
      <c r="AB178">
        <v>-803.9</v>
      </c>
      <c r="AC178" t="s">
        <v>182</v>
      </c>
      <c r="AD178" t="s">
        <v>203</v>
      </c>
    </row>
    <row r="179" spans="2:30" x14ac:dyDescent="0.25">
      <c r="B179" s="1" t="s">
        <v>767</v>
      </c>
      <c r="C179" s="1">
        <v>2026</v>
      </c>
      <c r="D179" s="1">
        <v>1</v>
      </c>
      <c r="E179" s="1">
        <v>0</v>
      </c>
      <c r="F179" s="1">
        <v>0</v>
      </c>
      <c r="G179" s="1" t="s">
        <v>203</v>
      </c>
      <c r="H179" s="1" t="s">
        <v>182</v>
      </c>
      <c r="P179" s="1" t="s">
        <v>767</v>
      </c>
      <c r="Q179" s="1">
        <v>2025</v>
      </c>
      <c r="R179" s="1">
        <v>1</v>
      </c>
      <c r="S179" s="1">
        <v>0</v>
      </c>
      <c r="T179" s="1">
        <v>0</v>
      </c>
      <c r="U179" s="1" t="s">
        <v>203</v>
      </c>
      <c r="V179" s="1" t="s">
        <v>182</v>
      </c>
      <c r="Y179" t="s">
        <v>767</v>
      </c>
      <c r="Z179" t="s">
        <v>1205</v>
      </c>
      <c r="AA179">
        <v>0</v>
      </c>
      <c r="AB179">
        <v>0</v>
      </c>
      <c r="AC179" t="s">
        <v>182</v>
      </c>
      <c r="AD179" t="s">
        <v>203</v>
      </c>
    </row>
    <row r="180" spans="2:30" x14ac:dyDescent="0.25">
      <c r="B180" s="1" t="s">
        <v>204</v>
      </c>
      <c r="C180" s="1">
        <v>2026</v>
      </c>
      <c r="D180" s="1">
        <v>1</v>
      </c>
      <c r="E180" s="1">
        <v>-7977.85</v>
      </c>
      <c r="F180" s="1">
        <v>-7977.85</v>
      </c>
      <c r="G180" s="1" t="s">
        <v>205</v>
      </c>
      <c r="H180" s="1" t="s">
        <v>182</v>
      </c>
      <c r="P180" s="1" t="s">
        <v>204</v>
      </c>
      <c r="Q180" s="1">
        <v>2025</v>
      </c>
      <c r="R180" s="1">
        <v>1</v>
      </c>
      <c r="S180" s="1">
        <v>-10554.19</v>
      </c>
      <c r="T180" s="1">
        <v>-10554.19</v>
      </c>
      <c r="U180" s="1" t="s">
        <v>205</v>
      </c>
      <c r="V180" s="1" t="s">
        <v>182</v>
      </c>
      <c r="Y180" t="s">
        <v>204</v>
      </c>
      <c r="Z180" t="s">
        <v>1205</v>
      </c>
      <c r="AA180">
        <v>-110934.62</v>
      </c>
      <c r="AB180">
        <v>-7515.3</v>
      </c>
      <c r="AC180" t="s">
        <v>182</v>
      </c>
      <c r="AD180" t="s">
        <v>205</v>
      </c>
    </row>
    <row r="181" spans="2:30" x14ac:dyDescent="0.25">
      <c r="B181" s="1" t="s">
        <v>768</v>
      </c>
      <c r="C181" s="1">
        <v>2026</v>
      </c>
      <c r="D181" s="1">
        <v>1</v>
      </c>
      <c r="E181" s="1">
        <v>0</v>
      </c>
      <c r="F181" s="1">
        <v>0</v>
      </c>
      <c r="G181" s="1" t="s">
        <v>205</v>
      </c>
      <c r="H181" s="1" t="s">
        <v>182</v>
      </c>
      <c r="P181" s="1" t="s">
        <v>768</v>
      </c>
      <c r="Q181" s="1">
        <v>2025</v>
      </c>
      <c r="R181" s="1">
        <v>1</v>
      </c>
      <c r="S181" s="1">
        <v>0</v>
      </c>
      <c r="T181" s="1">
        <v>0</v>
      </c>
      <c r="U181" s="1" t="s">
        <v>205</v>
      </c>
      <c r="V181" s="1" t="s">
        <v>182</v>
      </c>
      <c r="Y181" t="s">
        <v>768</v>
      </c>
      <c r="Z181" t="s">
        <v>1205</v>
      </c>
      <c r="AA181">
        <v>0</v>
      </c>
      <c r="AB181">
        <v>0</v>
      </c>
      <c r="AC181" t="s">
        <v>182</v>
      </c>
      <c r="AD181" t="s">
        <v>205</v>
      </c>
    </row>
    <row r="182" spans="2:30" x14ac:dyDescent="0.25">
      <c r="B182" s="1" t="s">
        <v>206</v>
      </c>
      <c r="C182" s="1">
        <v>2026</v>
      </c>
      <c r="D182" s="1">
        <v>1</v>
      </c>
      <c r="E182" s="1">
        <v>-42014.11</v>
      </c>
      <c r="F182" s="1">
        <v>-42014.11</v>
      </c>
      <c r="G182" s="1" t="s">
        <v>207</v>
      </c>
      <c r="H182" s="1" t="s">
        <v>182</v>
      </c>
      <c r="P182" s="1" t="s">
        <v>206</v>
      </c>
      <c r="Q182" s="1">
        <v>2025</v>
      </c>
      <c r="R182" s="1">
        <v>1</v>
      </c>
      <c r="S182" s="1">
        <v>-52716.39</v>
      </c>
      <c r="T182" s="1">
        <v>-52716.39</v>
      </c>
      <c r="U182" s="1" t="s">
        <v>207</v>
      </c>
      <c r="V182" s="1" t="s">
        <v>182</v>
      </c>
      <c r="Y182" t="s">
        <v>206</v>
      </c>
      <c r="Z182" t="s">
        <v>1205</v>
      </c>
      <c r="AA182">
        <v>-725388.63</v>
      </c>
      <c r="AB182">
        <v>-76293.289999999994</v>
      </c>
      <c r="AC182" t="s">
        <v>182</v>
      </c>
      <c r="AD182" t="s">
        <v>207</v>
      </c>
    </row>
    <row r="183" spans="2:30" x14ac:dyDescent="0.25">
      <c r="B183" s="1" t="s">
        <v>769</v>
      </c>
      <c r="C183" s="1">
        <v>2026</v>
      </c>
      <c r="D183" s="1">
        <v>1</v>
      </c>
      <c r="E183" s="1">
        <v>0</v>
      </c>
      <c r="F183" s="1">
        <v>0</v>
      </c>
      <c r="G183" s="1" t="s">
        <v>207</v>
      </c>
      <c r="H183" s="1" t="s">
        <v>182</v>
      </c>
      <c r="P183" s="1" t="s">
        <v>769</v>
      </c>
      <c r="Q183" s="1">
        <v>2025</v>
      </c>
      <c r="R183" s="1">
        <v>1</v>
      </c>
      <c r="S183" s="1">
        <v>0</v>
      </c>
      <c r="T183" s="1">
        <v>0</v>
      </c>
      <c r="U183" s="1" t="s">
        <v>207</v>
      </c>
      <c r="V183" s="1" t="s">
        <v>182</v>
      </c>
      <c r="Y183" t="s">
        <v>769</v>
      </c>
      <c r="Z183" t="s">
        <v>1205</v>
      </c>
      <c r="AA183">
        <v>0</v>
      </c>
      <c r="AB183">
        <v>0</v>
      </c>
      <c r="AC183" t="s">
        <v>182</v>
      </c>
      <c r="AD183" t="s">
        <v>207</v>
      </c>
    </row>
    <row r="184" spans="2:30" x14ac:dyDescent="0.25">
      <c r="B184" s="1" t="s">
        <v>208</v>
      </c>
      <c r="C184" s="1">
        <v>2026</v>
      </c>
      <c r="D184" s="1">
        <v>1</v>
      </c>
      <c r="E184" s="1">
        <v>-13032.79</v>
      </c>
      <c r="F184" s="1">
        <v>-13032.79</v>
      </c>
      <c r="G184" s="1" t="s">
        <v>209</v>
      </c>
      <c r="H184" s="1" t="s">
        <v>182</v>
      </c>
      <c r="P184" s="1" t="s">
        <v>208</v>
      </c>
      <c r="Q184" s="1">
        <v>2025</v>
      </c>
      <c r="R184" s="1">
        <v>1</v>
      </c>
      <c r="S184" s="1">
        <v>-5050.8</v>
      </c>
      <c r="T184" s="1">
        <v>-5050.8</v>
      </c>
      <c r="U184" s="1" t="s">
        <v>209</v>
      </c>
      <c r="V184" s="1" t="s">
        <v>182</v>
      </c>
      <c r="Y184" t="s">
        <v>208</v>
      </c>
      <c r="Z184" t="s">
        <v>1205</v>
      </c>
      <c r="AA184">
        <v>-94885.86</v>
      </c>
      <c r="AB184">
        <v>-7633.47</v>
      </c>
      <c r="AC184" t="s">
        <v>182</v>
      </c>
      <c r="AD184" t="s">
        <v>209</v>
      </c>
    </row>
    <row r="185" spans="2:30" x14ac:dyDescent="0.25">
      <c r="B185" s="1" t="s">
        <v>770</v>
      </c>
      <c r="C185" s="1">
        <v>2026</v>
      </c>
      <c r="D185" s="1">
        <v>1</v>
      </c>
      <c r="E185" s="1">
        <v>0</v>
      </c>
      <c r="F185" s="1">
        <v>0</v>
      </c>
      <c r="G185" s="1" t="s">
        <v>209</v>
      </c>
      <c r="H185" s="1" t="s">
        <v>182</v>
      </c>
      <c r="P185" s="1" t="s">
        <v>770</v>
      </c>
      <c r="Q185" s="1">
        <v>2025</v>
      </c>
      <c r="R185" s="1">
        <v>1</v>
      </c>
      <c r="S185" s="1">
        <v>0</v>
      </c>
      <c r="T185" s="1">
        <v>0</v>
      </c>
      <c r="U185" s="1" t="s">
        <v>209</v>
      </c>
      <c r="V185" s="1" t="s">
        <v>182</v>
      </c>
      <c r="Y185" t="s">
        <v>770</v>
      </c>
      <c r="Z185" t="s">
        <v>1205</v>
      </c>
      <c r="AA185">
        <v>0</v>
      </c>
      <c r="AB185">
        <v>0</v>
      </c>
      <c r="AC185" t="s">
        <v>182</v>
      </c>
      <c r="AD185" t="s">
        <v>209</v>
      </c>
    </row>
    <row r="186" spans="2:30" x14ac:dyDescent="0.25">
      <c r="B186" s="1" t="s">
        <v>210</v>
      </c>
      <c r="C186" s="1">
        <v>2026</v>
      </c>
      <c r="D186" s="1">
        <v>1</v>
      </c>
      <c r="E186" s="1">
        <v>-1044.46</v>
      </c>
      <c r="F186" s="1">
        <v>-1044.46</v>
      </c>
      <c r="G186" s="1" t="s">
        <v>211</v>
      </c>
      <c r="H186" s="1" t="s">
        <v>182</v>
      </c>
      <c r="P186" s="1" t="s">
        <v>210</v>
      </c>
      <c r="Q186" s="1">
        <v>2025</v>
      </c>
      <c r="R186" s="1">
        <v>1</v>
      </c>
      <c r="S186" s="1">
        <v>360.16</v>
      </c>
      <c r="T186" s="1">
        <v>360.16</v>
      </c>
      <c r="U186" s="1" t="s">
        <v>211</v>
      </c>
      <c r="V186" s="1" t="s">
        <v>182</v>
      </c>
      <c r="Y186" t="s">
        <v>210</v>
      </c>
      <c r="Z186" t="s">
        <v>1205</v>
      </c>
      <c r="AA186">
        <v>-78334.78</v>
      </c>
      <c r="AB186">
        <v>-1948.74</v>
      </c>
      <c r="AC186" t="s">
        <v>182</v>
      </c>
      <c r="AD186" t="s">
        <v>211</v>
      </c>
    </row>
    <row r="187" spans="2:30" x14ac:dyDescent="0.25">
      <c r="B187" s="1" t="s">
        <v>771</v>
      </c>
      <c r="C187" s="1">
        <v>2026</v>
      </c>
      <c r="D187" s="1">
        <v>1</v>
      </c>
      <c r="E187" s="1">
        <v>0</v>
      </c>
      <c r="F187" s="1">
        <v>0</v>
      </c>
      <c r="G187" s="1" t="s">
        <v>211</v>
      </c>
      <c r="H187" s="1" t="s">
        <v>182</v>
      </c>
      <c r="P187" s="1" t="s">
        <v>771</v>
      </c>
      <c r="Q187" s="1">
        <v>2025</v>
      </c>
      <c r="R187" s="1">
        <v>1</v>
      </c>
      <c r="S187" s="1">
        <v>0</v>
      </c>
      <c r="T187" s="1">
        <v>0</v>
      </c>
      <c r="U187" s="1" t="s">
        <v>211</v>
      </c>
      <c r="V187" s="1" t="s">
        <v>182</v>
      </c>
      <c r="Y187" t="s">
        <v>771</v>
      </c>
      <c r="Z187" t="s">
        <v>1205</v>
      </c>
      <c r="AA187">
        <v>0</v>
      </c>
      <c r="AB187">
        <v>0</v>
      </c>
      <c r="AC187" t="s">
        <v>182</v>
      </c>
      <c r="AD187" t="s">
        <v>211</v>
      </c>
    </row>
    <row r="188" spans="2:30" x14ac:dyDescent="0.25">
      <c r="B188" s="1" t="s">
        <v>212</v>
      </c>
      <c r="C188" s="1">
        <v>2026</v>
      </c>
      <c r="D188" s="1">
        <v>1</v>
      </c>
      <c r="E188" s="1">
        <v>-9825.1299999999992</v>
      </c>
      <c r="F188" s="1">
        <v>-9825.1299999999992</v>
      </c>
      <c r="G188" s="1" t="s">
        <v>213</v>
      </c>
      <c r="H188" s="1" t="s">
        <v>182</v>
      </c>
      <c r="P188" s="1" t="s">
        <v>212</v>
      </c>
      <c r="Q188" s="1">
        <v>2025</v>
      </c>
      <c r="R188" s="1">
        <v>1</v>
      </c>
      <c r="S188" s="1">
        <v>-17214.34</v>
      </c>
      <c r="T188" s="1">
        <v>-17214.34</v>
      </c>
      <c r="U188" s="1" t="s">
        <v>213</v>
      </c>
      <c r="V188" s="1" t="s">
        <v>182</v>
      </c>
      <c r="Y188" t="s">
        <v>212</v>
      </c>
      <c r="Z188" t="s">
        <v>1205</v>
      </c>
      <c r="AA188">
        <v>-331585.49</v>
      </c>
      <c r="AB188">
        <v>-37872.980000000003</v>
      </c>
      <c r="AC188" t="s">
        <v>182</v>
      </c>
      <c r="AD188" t="s">
        <v>213</v>
      </c>
    </row>
    <row r="189" spans="2:30" x14ac:dyDescent="0.25">
      <c r="B189" s="1" t="s">
        <v>772</v>
      </c>
      <c r="C189" s="1">
        <v>2026</v>
      </c>
      <c r="D189" s="1">
        <v>1</v>
      </c>
      <c r="E189" s="1">
        <v>0</v>
      </c>
      <c r="F189" s="1">
        <v>0</v>
      </c>
      <c r="G189" s="1" t="s">
        <v>213</v>
      </c>
      <c r="H189" s="1" t="s">
        <v>182</v>
      </c>
      <c r="P189" s="1" t="s">
        <v>772</v>
      </c>
      <c r="Q189" s="1">
        <v>2025</v>
      </c>
      <c r="R189" s="1">
        <v>1</v>
      </c>
      <c r="S189" s="1">
        <v>0</v>
      </c>
      <c r="T189" s="1">
        <v>0</v>
      </c>
      <c r="U189" s="1" t="s">
        <v>213</v>
      </c>
      <c r="V189" s="1" t="s">
        <v>182</v>
      </c>
      <c r="Y189" t="s">
        <v>772</v>
      </c>
      <c r="Z189" t="s">
        <v>1205</v>
      </c>
      <c r="AA189">
        <v>-1120.04</v>
      </c>
      <c r="AB189">
        <v>0</v>
      </c>
      <c r="AC189" t="s">
        <v>182</v>
      </c>
      <c r="AD189" t="s">
        <v>213</v>
      </c>
    </row>
    <row r="190" spans="2:30" x14ac:dyDescent="0.25">
      <c r="B190" s="1" t="s">
        <v>214</v>
      </c>
      <c r="C190" s="1">
        <v>2026</v>
      </c>
      <c r="D190" s="1">
        <v>1</v>
      </c>
      <c r="E190" s="1">
        <v>-26290.97</v>
      </c>
      <c r="F190" s="1">
        <v>-26290.97</v>
      </c>
      <c r="G190" s="1" t="s">
        <v>215</v>
      </c>
      <c r="H190" s="1" t="s">
        <v>182</v>
      </c>
      <c r="P190" s="1" t="s">
        <v>214</v>
      </c>
      <c r="Q190" s="1">
        <v>2025</v>
      </c>
      <c r="R190" s="1">
        <v>1</v>
      </c>
      <c r="S190" s="1">
        <v>-31657.279999999999</v>
      </c>
      <c r="T190" s="1">
        <v>-31657.279999999999</v>
      </c>
      <c r="U190" s="1" t="s">
        <v>215</v>
      </c>
      <c r="V190" s="1" t="s">
        <v>182</v>
      </c>
      <c r="Y190" t="s">
        <v>214</v>
      </c>
      <c r="Z190" t="s">
        <v>1205</v>
      </c>
      <c r="AA190">
        <v>-445103.35999999999</v>
      </c>
      <c r="AB190">
        <v>-50070.09</v>
      </c>
      <c r="AC190" t="s">
        <v>182</v>
      </c>
      <c r="AD190" t="s">
        <v>215</v>
      </c>
    </row>
    <row r="191" spans="2:30" x14ac:dyDescent="0.25">
      <c r="B191" s="1" t="s">
        <v>773</v>
      </c>
      <c r="C191" s="1">
        <v>2026</v>
      </c>
      <c r="D191" s="1">
        <v>1</v>
      </c>
      <c r="E191" s="1">
        <v>0</v>
      </c>
      <c r="F191" s="1">
        <v>0</v>
      </c>
      <c r="G191" s="1" t="s">
        <v>215</v>
      </c>
      <c r="H191" s="1" t="s">
        <v>182</v>
      </c>
      <c r="P191" s="1" t="s">
        <v>773</v>
      </c>
      <c r="Q191" s="1">
        <v>2025</v>
      </c>
      <c r="R191" s="1">
        <v>1</v>
      </c>
      <c r="S191" s="1">
        <v>0</v>
      </c>
      <c r="T191" s="1">
        <v>0</v>
      </c>
      <c r="U191" s="1" t="s">
        <v>215</v>
      </c>
      <c r="V191" s="1" t="s">
        <v>182</v>
      </c>
      <c r="Y191" t="s">
        <v>773</v>
      </c>
      <c r="Z191" t="s">
        <v>1205</v>
      </c>
      <c r="AA191">
        <v>0</v>
      </c>
      <c r="AB191">
        <v>0</v>
      </c>
      <c r="AC191" t="s">
        <v>182</v>
      </c>
      <c r="AD191" t="s">
        <v>215</v>
      </c>
    </row>
    <row r="192" spans="2:30" x14ac:dyDescent="0.25">
      <c r="B192" s="1" t="s">
        <v>216</v>
      </c>
      <c r="C192" s="1">
        <v>2026</v>
      </c>
      <c r="D192" s="1">
        <v>1</v>
      </c>
      <c r="E192" s="1">
        <v>-17981.82</v>
      </c>
      <c r="F192" s="1">
        <v>-17981.82</v>
      </c>
      <c r="G192" s="1" t="s">
        <v>217</v>
      </c>
      <c r="H192" s="1" t="s">
        <v>182</v>
      </c>
      <c r="P192" s="1" t="s">
        <v>216</v>
      </c>
      <c r="Q192" s="1">
        <v>2025</v>
      </c>
      <c r="R192" s="1">
        <v>1</v>
      </c>
      <c r="S192" s="1">
        <v>-13408.77</v>
      </c>
      <c r="T192" s="1">
        <v>-13408.77</v>
      </c>
      <c r="U192" s="1" t="s">
        <v>217</v>
      </c>
      <c r="V192" s="1" t="s">
        <v>182</v>
      </c>
      <c r="Y192" t="s">
        <v>216</v>
      </c>
      <c r="Z192" t="s">
        <v>1205</v>
      </c>
      <c r="AA192">
        <v>-321447.78999999998</v>
      </c>
      <c r="AB192">
        <v>-47501.75</v>
      </c>
      <c r="AC192" t="s">
        <v>182</v>
      </c>
      <c r="AD192" t="s">
        <v>217</v>
      </c>
    </row>
    <row r="193" spans="2:30" x14ac:dyDescent="0.25">
      <c r="B193" s="1" t="s">
        <v>774</v>
      </c>
      <c r="C193" s="1">
        <v>2026</v>
      </c>
      <c r="D193" s="1">
        <v>1</v>
      </c>
      <c r="E193" s="1">
        <v>0</v>
      </c>
      <c r="F193" s="1">
        <v>0</v>
      </c>
      <c r="G193" s="1" t="s">
        <v>217</v>
      </c>
      <c r="H193" s="1" t="s">
        <v>182</v>
      </c>
      <c r="P193" s="1" t="s">
        <v>774</v>
      </c>
      <c r="Q193" s="1">
        <v>2025</v>
      </c>
      <c r="R193" s="1">
        <v>1</v>
      </c>
      <c r="S193" s="1">
        <v>0</v>
      </c>
      <c r="T193" s="1">
        <v>0</v>
      </c>
      <c r="U193" s="1" t="s">
        <v>217</v>
      </c>
      <c r="V193" s="1" t="s">
        <v>182</v>
      </c>
      <c r="Y193" t="s">
        <v>774</v>
      </c>
      <c r="Z193" t="s">
        <v>1205</v>
      </c>
      <c r="AA193">
        <v>0</v>
      </c>
      <c r="AB193">
        <v>0</v>
      </c>
      <c r="AC193" t="s">
        <v>182</v>
      </c>
      <c r="AD193" t="s">
        <v>217</v>
      </c>
    </row>
    <row r="194" spans="2:30" x14ac:dyDescent="0.25">
      <c r="B194" s="1" t="s">
        <v>218</v>
      </c>
      <c r="C194" s="1">
        <v>2026</v>
      </c>
      <c r="D194" s="1">
        <v>1</v>
      </c>
      <c r="E194" s="1">
        <v>-40289.65</v>
      </c>
      <c r="F194" s="1">
        <v>-40289.65</v>
      </c>
      <c r="G194" s="1" t="s">
        <v>219</v>
      </c>
      <c r="H194" s="1" t="s">
        <v>182</v>
      </c>
      <c r="P194" s="1" t="s">
        <v>218</v>
      </c>
      <c r="Q194" s="1">
        <v>2025</v>
      </c>
      <c r="R194" s="1">
        <v>1</v>
      </c>
      <c r="S194" s="1">
        <v>-31584.85</v>
      </c>
      <c r="T194" s="1">
        <v>-31584.85</v>
      </c>
      <c r="U194" s="1" t="s">
        <v>219</v>
      </c>
      <c r="V194" s="1" t="s">
        <v>182</v>
      </c>
      <c r="Y194" t="s">
        <v>218</v>
      </c>
      <c r="Z194" t="s">
        <v>1205</v>
      </c>
      <c r="AA194">
        <v>-481895.26</v>
      </c>
      <c r="AB194">
        <v>-35040</v>
      </c>
      <c r="AC194" t="s">
        <v>182</v>
      </c>
      <c r="AD194" t="s">
        <v>219</v>
      </c>
    </row>
    <row r="195" spans="2:30" x14ac:dyDescent="0.25">
      <c r="B195" s="1" t="s">
        <v>775</v>
      </c>
      <c r="C195" s="1">
        <v>2026</v>
      </c>
      <c r="D195" s="1">
        <v>1</v>
      </c>
      <c r="E195" s="1">
        <v>-7526.35</v>
      </c>
      <c r="F195" s="1">
        <v>-7526.35</v>
      </c>
      <c r="G195" s="1" t="s">
        <v>219</v>
      </c>
      <c r="H195" s="1" t="s">
        <v>182</v>
      </c>
      <c r="P195" s="1" t="s">
        <v>775</v>
      </c>
      <c r="Q195" s="1">
        <v>2025</v>
      </c>
      <c r="R195" s="1">
        <v>1</v>
      </c>
      <c r="S195" s="1">
        <v>-3812.21</v>
      </c>
      <c r="T195" s="1">
        <v>-3812.21</v>
      </c>
      <c r="U195" s="1" t="s">
        <v>219</v>
      </c>
      <c r="V195" s="1" t="s">
        <v>182</v>
      </c>
      <c r="Y195" t="s">
        <v>775</v>
      </c>
      <c r="Z195" t="s">
        <v>1205</v>
      </c>
      <c r="AA195">
        <v>-88766.89</v>
      </c>
      <c r="AB195">
        <v>-12209.54</v>
      </c>
      <c r="AC195" t="s">
        <v>182</v>
      </c>
      <c r="AD195" t="s">
        <v>219</v>
      </c>
    </row>
    <row r="196" spans="2:30" x14ac:dyDescent="0.25">
      <c r="B196" s="1" t="s">
        <v>220</v>
      </c>
      <c r="C196" s="1">
        <v>2026</v>
      </c>
      <c r="D196" s="1">
        <v>1</v>
      </c>
      <c r="E196" s="1">
        <v>-14301.48</v>
      </c>
      <c r="F196" s="1">
        <v>-14301.48</v>
      </c>
      <c r="G196" s="1" t="s">
        <v>1310</v>
      </c>
      <c r="H196" s="1" t="s">
        <v>182</v>
      </c>
      <c r="P196" s="1" t="s">
        <v>220</v>
      </c>
      <c r="Q196" s="1">
        <v>2025</v>
      </c>
      <c r="R196" s="1">
        <v>1</v>
      </c>
      <c r="S196" s="1">
        <v>-6354.38</v>
      </c>
      <c r="T196" s="1">
        <v>-6354.38</v>
      </c>
      <c r="U196" s="1" t="s">
        <v>1310</v>
      </c>
      <c r="V196" s="1" t="s">
        <v>182</v>
      </c>
      <c r="Y196" t="s">
        <v>220</v>
      </c>
      <c r="Z196" t="s">
        <v>1205</v>
      </c>
      <c r="AA196">
        <v>-102943.2</v>
      </c>
      <c r="AB196">
        <v>-10588.06</v>
      </c>
      <c r="AC196" t="s">
        <v>182</v>
      </c>
      <c r="AD196" t="s">
        <v>1310</v>
      </c>
    </row>
    <row r="197" spans="2:30" x14ac:dyDescent="0.25">
      <c r="B197" s="1" t="s">
        <v>776</v>
      </c>
      <c r="C197" s="1">
        <v>2026</v>
      </c>
      <c r="D197" s="1">
        <v>1</v>
      </c>
      <c r="E197" s="1">
        <v>0</v>
      </c>
      <c r="F197" s="1">
        <v>0</v>
      </c>
      <c r="G197" s="1" t="s">
        <v>221</v>
      </c>
      <c r="H197" s="1" t="s">
        <v>182</v>
      </c>
      <c r="P197" s="1" t="s">
        <v>776</v>
      </c>
      <c r="Q197" s="1">
        <v>2025</v>
      </c>
      <c r="R197" s="1">
        <v>1</v>
      </c>
      <c r="S197" s="1">
        <v>0</v>
      </c>
      <c r="T197" s="1">
        <v>0</v>
      </c>
      <c r="U197" s="1" t="s">
        <v>221</v>
      </c>
      <c r="V197" s="1" t="s">
        <v>182</v>
      </c>
      <c r="Y197" t="s">
        <v>776</v>
      </c>
      <c r="Z197" t="s">
        <v>1205</v>
      </c>
      <c r="AA197">
        <v>0</v>
      </c>
      <c r="AB197">
        <v>0</v>
      </c>
      <c r="AC197" t="s">
        <v>182</v>
      </c>
      <c r="AD197" t="s">
        <v>221</v>
      </c>
    </row>
    <row r="198" spans="2:30" x14ac:dyDescent="0.25">
      <c r="B198" s="1" t="s">
        <v>222</v>
      </c>
      <c r="C198" s="1">
        <v>2026</v>
      </c>
      <c r="D198" s="1">
        <v>1</v>
      </c>
      <c r="E198" s="1">
        <v>0</v>
      </c>
      <c r="F198" s="1">
        <v>0</v>
      </c>
      <c r="G198" s="1" t="s">
        <v>223</v>
      </c>
      <c r="H198" s="1" t="s">
        <v>182</v>
      </c>
      <c r="P198" s="1" t="s">
        <v>222</v>
      </c>
      <c r="Q198" s="1">
        <v>2025</v>
      </c>
      <c r="R198" s="1">
        <v>1</v>
      </c>
      <c r="S198" s="1">
        <v>0</v>
      </c>
      <c r="T198" s="1">
        <v>0</v>
      </c>
      <c r="U198" s="1" t="s">
        <v>223</v>
      </c>
      <c r="V198" s="1" t="s">
        <v>182</v>
      </c>
      <c r="Y198" t="s">
        <v>222</v>
      </c>
      <c r="Z198" t="s">
        <v>1205</v>
      </c>
      <c r="AA198">
        <v>0</v>
      </c>
      <c r="AB198">
        <v>0</v>
      </c>
      <c r="AC198" t="s">
        <v>182</v>
      </c>
      <c r="AD198" t="s">
        <v>223</v>
      </c>
    </row>
    <row r="199" spans="2:30" x14ac:dyDescent="0.25">
      <c r="B199" s="1" t="s">
        <v>777</v>
      </c>
      <c r="C199" s="1">
        <v>2026</v>
      </c>
      <c r="D199" s="1">
        <v>1</v>
      </c>
      <c r="E199" s="1">
        <v>0</v>
      </c>
      <c r="F199" s="1">
        <v>0</v>
      </c>
      <c r="G199" s="1" t="s">
        <v>223</v>
      </c>
      <c r="H199" s="1" t="s">
        <v>182</v>
      </c>
      <c r="P199" s="1" t="s">
        <v>777</v>
      </c>
      <c r="Q199" s="1">
        <v>2025</v>
      </c>
      <c r="R199" s="1">
        <v>1</v>
      </c>
      <c r="S199" s="1">
        <v>0</v>
      </c>
      <c r="T199" s="1">
        <v>0</v>
      </c>
      <c r="U199" s="1" t="s">
        <v>223</v>
      </c>
      <c r="V199" s="1" t="s">
        <v>182</v>
      </c>
      <c r="Y199" t="s">
        <v>777</v>
      </c>
      <c r="Z199" t="s">
        <v>1205</v>
      </c>
      <c r="AA199">
        <v>0</v>
      </c>
      <c r="AB199">
        <v>0</v>
      </c>
      <c r="AC199" t="s">
        <v>182</v>
      </c>
      <c r="AD199" t="s">
        <v>223</v>
      </c>
    </row>
    <row r="200" spans="2:30" x14ac:dyDescent="0.25">
      <c r="B200" s="1" t="s">
        <v>224</v>
      </c>
      <c r="C200" s="1">
        <v>2026</v>
      </c>
      <c r="D200" s="1">
        <v>1</v>
      </c>
      <c r="E200" s="1">
        <v>-2128.79</v>
      </c>
      <c r="F200" s="1">
        <v>-2128.79</v>
      </c>
      <c r="G200" s="1" t="s">
        <v>1311</v>
      </c>
      <c r="H200" s="1" t="s">
        <v>182</v>
      </c>
      <c r="P200" s="1" t="s">
        <v>224</v>
      </c>
      <c r="Q200" s="1">
        <v>2025</v>
      </c>
      <c r="R200" s="1">
        <v>1</v>
      </c>
      <c r="S200" s="1">
        <v>-1324.71</v>
      </c>
      <c r="T200" s="1">
        <v>-1324.71</v>
      </c>
      <c r="U200" s="1" t="s">
        <v>1311</v>
      </c>
      <c r="V200" s="1" t="s">
        <v>182</v>
      </c>
      <c r="Y200" t="s">
        <v>224</v>
      </c>
      <c r="Z200" t="s">
        <v>1205</v>
      </c>
      <c r="AA200">
        <v>-26271.67</v>
      </c>
      <c r="AB200">
        <v>-2279.88</v>
      </c>
      <c r="AC200" t="s">
        <v>182</v>
      </c>
      <c r="AD200" t="s">
        <v>1311</v>
      </c>
    </row>
    <row r="201" spans="2:30" x14ac:dyDescent="0.25">
      <c r="B201" s="1" t="s">
        <v>778</v>
      </c>
      <c r="C201" s="1">
        <v>2026</v>
      </c>
      <c r="D201" s="1">
        <v>1</v>
      </c>
      <c r="E201" s="1">
        <v>-898.6</v>
      </c>
      <c r="F201" s="1">
        <v>-898.6</v>
      </c>
      <c r="G201" s="1" t="s">
        <v>225</v>
      </c>
      <c r="H201" s="1" t="s">
        <v>182</v>
      </c>
      <c r="P201" s="1" t="s">
        <v>778</v>
      </c>
      <c r="Q201" s="1">
        <v>2025</v>
      </c>
      <c r="R201" s="1">
        <v>1</v>
      </c>
      <c r="S201" s="1">
        <v>-310.27999999999997</v>
      </c>
      <c r="T201" s="1">
        <v>-310.27999999999997</v>
      </c>
      <c r="U201" s="1" t="s">
        <v>225</v>
      </c>
      <c r="V201" s="1" t="s">
        <v>182</v>
      </c>
      <c r="Y201" t="s">
        <v>778</v>
      </c>
      <c r="Z201" t="s">
        <v>1205</v>
      </c>
      <c r="AA201">
        <v>-9758.94</v>
      </c>
      <c r="AB201">
        <v>-2166.9899999999998</v>
      </c>
      <c r="AC201" t="s">
        <v>182</v>
      </c>
      <c r="AD201" t="s">
        <v>225</v>
      </c>
    </row>
    <row r="202" spans="2:30" x14ac:dyDescent="0.25">
      <c r="B202" s="1" t="s">
        <v>226</v>
      </c>
      <c r="C202" s="1">
        <v>2026</v>
      </c>
      <c r="D202" s="1">
        <v>1</v>
      </c>
      <c r="E202" s="1">
        <v>-43232.22</v>
      </c>
      <c r="F202" s="1">
        <v>-43232.22</v>
      </c>
      <c r="G202" s="1" t="s">
        <v>227</v>
      </c>
      <c r="H202" s="1" t="s">
        <v>182</v>
      </c>
      <c r="P202" s="1" t="s">
        <v>226</v>
      </c>
      <c r="Q202" s="1">
        <v>2025</v>
      </c>
      <c r="R202" s="1">
        <v>1</v>
      </c>
      <c r="S202" s="1">
        <v>-28794</v>
      </c>
      <c r="T202" s="1">
        <v>-28794</v>
      </c>
      <c r="U202" s="1" t="s">
        <v>227</v>
      </c>
      <c r="V202" s="1" t="s">
        <v>182</v>
      </c>
      <c r="Y202" t="s">
        <v>226</v>
      </c>
      <c r="Z202" t="s">
        <v>1205</v>
      </c>
      <c r="AA202">
        <v>-358979.19</v>
      </c>
      <c r="AB202">
        <v>-148910.17000000001</v>
      </c>
      <c r="AC202" t="s">
        <v>182</v>
      </c>
      <c r="AD202" t="s">
        <v>227</v>
      </c>
    </row>
    <row r="203" spans="2:30" x14ac:dyDescent="0.25">
      <c r="B203" s="1" t="s">
        <v>779</v>
      </c>
      <c r="C203" s="1">
        <v>2026</v>
      </c>
      <c r="D203" s="1">
        <v>1</v>
      </c>
      <c r="E203" s="1">
        <v>-1711.03</v>
      </c>
      <c r="F203" s="1">
        <v>-1711.03</v>
      </c>
      <c r="G203" s="1" t="s">
        <v>780</v>
      </c>
      <c r="H203" s="1" t="s">
        <v>182</v>
      </c>
      <c r="P203" s="1" t="s">
        <v>779</v>
      </c>
      <c r="Q203" s="1">
        <v>2025</v>
      </c>
      <c r="R203" s="1">
        <v>1</v>
      </c>
      <c r="S203" s="1">
        <v>0</v>
      </c>
      <c r="T203" s="1">
        <v>0</v>
      </c>
      <c r="U203" s="1" t="s">
        <v>780</v>
      </c>
      <c r="V203" s="1" t="s">
        <v>182</v>
      </c>
      <c r="Y203" t="s">
        <v>779</v>
      </c>
      <c r="Z203" t="s">
        <v>1205</v>
      </c>
      <c r="AA203">
        <v>-106979.06</v>
      </c>
      <c r="AB203">
        <v>-92404.65</v>
      </c>
      <c r="AC203" t="s">
        <v>182</v>
      </c>
      <c r="AD203" t="s">
        <v>780</v>
      </c>
    </row>
    <row r="204" spans="2:30" x14ac:dyDescent="0.25">
      <c r="B204" s="1" t="s">
        <v>228</v>
      </c>
      <c r="C204" s="1">
        <v>2026</v>
      </c>
      <c r="D204" s="1">
        <v>1</v>
      </c>
      <c r="E204" s="1">
        <v>-27086.31</v>
      </c>
      <c r="F204" s="1">
        <v>-27086.31</v>
      </c>
      <c r="G204" s="1" t="s">
        <v>229</v>
      </c>
      <c r="H204" s="1" t="s">
        <v>182</v>
      </c>
      <c r="P204" s="1" t="s">
        <v>228</v>
      </c>
      <c r="Q204" s="1">
        <v>2025</v>
      </c>
      <c r="R204" s="1">
        <v>1</v>
      </c>
      <c r="S204" s="1">
        <v>-270923.07</v>
      </c>
      <c r="T204" s="1">
        <v>-270923.07</v>
      </c>
      <c r="U204" s="1" t="s">
        <v>229</v>
      </c>
      <c r="V204" s="1" t="s">
        <v>182</v>
      </c>
      <c r="Y204" t="s">
        <v>228</v>
      </c>
      <c r="Z204" t="s">
        <v>1205</v>
      </c>
      <c r="AA204">
        <v>-4473223.26</v>
      </c>
      <c r="AB204">
        <v>-188236.34</v>
      </c>
      <c r="AC204" t="s">
        <v>182</v>
      </c>
      <c r="AD204" t="s">
        <v>229</v>
      </c>
    </row>
    <row r="205" spans="2:30" x14ac:dyDescent="0.25">
      <c r="B205" s="1" t="s">
        <v>1401</v>
      </c>
      <c r="C205" s="1">
        <v>2026</v>
      </c>
      <c r="D205" s="1">
        <v>1</v>
      </c>
      <c r="E205" s="1">
        <v>-112711.88</v>
      </c>
      <c r="F205" s="1">
        <v>-112711.88</v>
      </c>
      <c r="G205" s="1" t="s">
        <v>1480</v>
      </c>
      <c r="H205" s="1" t="s">
        <v>182</v>
      </c>
      <c r="P205" s="1" t="s">
        <v>1401</v>
      </c>
      <c r="Q205" s="1">
        <v>2025</v>
      </c>
      <c r="R205" s="1">
        <v>1</v>
      </c>
      <c r="S205" s="1">
        <v>-273457</v>
      </c>
      <c r="T205" s="1">
        <v>-273457</v>
      </c>
      <c r="U205" s="1" t="s">
        <v>1480</v>
      </c>
      <c r="V205" s="1" t="s">
        <v>182</v>
      </c>
      <c r="Y205" t="s">
        <v>1401</v>
      </c>
      <c r="Z205" t="s">
        <v>1205</v>
      </c>
      <c r="AA205">
        <v>-3688747.4</v>
      </c>
      <c r="AB205">
        <v>-111934.64</v>
      </c>
      <c r="AC205" t="s">
        <v>182</v>
      </c>
      <c r="AD205" t="s">
        <v>1480</v>
      </c>
    </row>
    <row r="206" spans="2:30" x14ac:dyDescent="0.25">
      <c r="B206" s="1" t="s">
        <v>2078</v>
      </c>
      <c r="C206" s="1">
        <v>2026</v>
      </c>
      <c r="D206" s="1">
        <v>1</v>
      </c>
      <c r="E206" s="1">
        <v>-357.17</v>
      </c>
      <c r="F206" s="1">
        <v>-357.17</v>
      </c>
      <c r="G206" s="1" t="s">
        <v>2079</v>
      </c>
      <c r="H206" s="1" t="s">
        <v>182</v>
      </c>
      <c r="P206" s="1" t="s">
        <v>230</v>
      </c>
      <c r="Q206" s="1">
        <v>2025</v>
      </c>
      <c r="R206" s="1">
        <v>1</v>
      </c>
      <c r="S206" s="1">
        <v>0</v>
      </c>
      <c r="T206" s="1">
        <v>0</v>
      </c>
      <c r="U206" s="1" t="s">
        <v>231</v>
      </c>
      <c r="V206" s="1" t="s">
        <v>182</v>
      </c>
      <c r="Y206" t="s">
        <v>230</v>
      </c>
      <c r="Z206" t="s">
        <v>1205</v>
      </c>
      <c r="AA206">
        <v>-9145</v>
      </c>
      <c r="AB206">
        <v>-750</v>
      </c>
      <c r="AC206" t="s">
        <v>182</v>
      </c>
      <c r="AD206" t="s">
        <v>231</v>
      </c>
    </row>
    <row r="207" spans="2:30" x14ac:dyDescent="0.25">
      <c r="B207" s="1" t="s">
        <v>230</v>
      </c>
      <c r="C207" s="1">
        <v>2026</v>
      </c>
      <c r="D207" s="1">
        <v>1</v>
      </c>
      <c r="E207" s="1">
        <v>0</v>
      </c>
      <c r="F207" s="1">
        <v>0</v>
      </c>
      <c r="G207" s="1" t="s">
        <v>231</v>
      </c>
      <c r="H207" s="1" t="s">
        <v>182</v>
      </c>
      <c r="P207" s="1" t="s">
        <v>781</v>
      </c>
      <c r="Q207" s="1">
        <v>2025</v>
      </c>
      <c r="R207" s="1">
        <v>1</v>
      </c>
      <c r="S207" s="1">
        <v>0</v>
      </c>
      <c r="T207" s="1">
        <v>0</v>
      </c>
      <c r="U207" s="1" t="s">
        <v>231</v>
      </c>
      <c r="V207" s="1" t="s">
        <v>182</v>
      </c>
      <c r="Y207" t="s">
        <v>781</v>
      </c>
      <c r="Z207" t="s">
        <v>1205</v>
      </c>
      <c r="AA207">
        <v>-11790.56</v>
      </c>
      <c r="AB207">
        <v>0</v>
      </c>
      <c r="AC207" t="s">
        <v>182</v>
      </c>
      <c r="AD207" t="s">
        <v>231</v>
      </c>
    </row>
    <row r="208" spans="2:30" x14ac:dyDescent="0.25">
      <c r="B208" s="1" t="s">
        <v>781</v>
      </c>
      <c r="C208" s="1">
        <v>2026</v>
      </c>
      <c r="D208" s="1">
        <v>1</v>
      </c>
      <c r="E208" s="1">
        <v>-598</v>
      </c>
      <c r="F208" s="1">
        <v>-598</v>
      </c>
      <c r="G208" s="1" t="s">
        <v>231</v>
      </c>
      <c r="H208" s="1" t="s">
        <v>182</v>
      </c>
      <c r="P208" s="1" t="s">
        <v>782</v>
      </c>
      <c r="Q208" s="1">
        <v>2025</v>
      </c>
      <c r="R208" s="1">
        <v>1</v>
      </c>
      <c r="S208" s="1">
        <v>-153442.06</v>
      </c>
      <c r="T208" s="1">
        <v>-153442.06</v>
      </c>
      <c r="U208" s="1" t="s">
        <v>783</v>
      </c>
      <c r="V208" s="1" t="s">
        <v>182</v>
      </c>
      <c r="Y208" t="s">
        <v>782</v>
      </c>
      <c r="Z208" t="s">
        <v>1205</v>
      </c>
      <c r="AA208">
        <v>-2330552.36</v>
      </c>
      <c r="AB208">
        <v>-218353.63</v>
      </c>
      <c r="AC208" t="s">
        <v>182</v>
      </c>
      <c r="AD208" t="s">
        <v>783</v>
      </c>
    </row>
    <row r="209" spans="2:30" x14ac:dyDescent="0.25">
      <c r="B209" s="1" t="s">
        <v>2075</v>
      </c>
      <c r="C209" s="1">
        <v>2026</v>
      </c>
      <c r="D209" s="1">
        <v>1</v>
      </c>
      <c r="E209" s="1">
        <v>-565.20000000000005</v>
      </c>
      <c r="F209" s="1">
        <v>-565.20000000000005</v>
      </c>
      <c r="G209" s="1" t="s">
        <v>2076</v>
      </c>
      <c r="H209" s="1" t="s">
        <v>182</v>
      </c>
      <c r="P209" s="1" t="s">
        <v>784</v>
      </c>
      <c r="Q209" s="1">
        <v>2025</v>
      </c>
      <c r="R209" s="1">
        <v>1</v>
      </c>
      <c r="S209" s="1">
        <v>-5585</v>
      </c>
      <c r="T209" s="1">
        <v>-5585</v>
      </c>
      <c r="U209" s="1" t="s">
        <v>783</v>
      </c>
      <c r="V209" s="1" t="s">
        <v>182</v>
      </c>
      <c r="Y209" t="s">
        <v>784</v>
      </c>
      <c r="Z209" t="s">
        <v>1205</v>
      </c>
      <c r="AA209">
        <v>-160045.04</v>
      </c>
      <c r="AB209">
        <v>-17923.740000000002</v>
      </c>
      <c r="AC209" t="s">
        <v>182</v>
      </c>
      <c r="AD209" t="s">
        <v>783</v>
      </c>
    </row>
    <row r="210" spans="2:30" x14ac:dyDescent="0.25">
      <c r="B210" s="1" t="s">
        <v>2069</v>
      </c>
      <c r="C210" s="1">
        <v>2026</v>
      </c>
      <c r="D210" s="1">
        <v>1</v>
      </c>
      <c r="E210" s="1">
        <v>-2046.32</v>
      </c>
      <c r="F210" s="1">
        <v>-2046.32</v>
      </c>
      <c r="G210" s="1" t="s">
        <v>2109</v>
      </c>
      <c r="H210" s="1" t="s">
        <v>182</v>
      </c>
      <c r="P210" s="1" t="s">
        <v>232</v>
      </c>
      <c r="Q210" s="1">
        <v>2025</v>
      </c>
      <c r="R210" s="1">
        <v>1</v>
      </c>
      <c r="S210" s="1">
        <v>-32.090000000000003</v>
      </c>
      <c r="T210" s="1">
        <v>-32.090000000000003</v>
      </c>
      <c r="U210" s="1" t="s">
        <v>1346</v>
      </c>
      <c r="V210" s="1" t="s">
        <v>182</v>
      </c>
      <c r="Y210" t="s">
        <v>232</v>
      </c>
      <c r="Z210" t="s">
        <v>1205</v>
      </c>
      <c r="AA210">
        <v>-24884.639999999999</v>
      </c>
      <c r="AB210">
        <v>-3261.09</v>
      </c>
      <c r="AC210" t="s">
        <v>182</v>
      </c>
      <c r="AD210" t="s">
        <v>1346</v>
      </c>
    </row>
    <row r="211" spans="2:30" x14ac:dyDescent="0.25">
      <c r="B211" s="1" t="s">
        <v>2073</v>
      </c>
      <c r="C211" s="1">
        <v>2026</v>
      </c>
      <c r="D211" s="1">
        <v>1</v>
      </c>
      <c r="E211" s="1">
        <v>-333.74</v>
      </c>
      <c r="F211" s="1">
        <v>-333.74</v>
      </c>
      <c r="G211" s="1" t="s">
        <v>2110</v>
      </c>
      <c r="H211" s="1" t="s">
        <v>182</v>
      </c>
      <c r="P211" s="1" t="s">
        <v>785</v>
      </c>
      <c r="Q211" s="1">
        <v>2025</v>
      </c>
      <c r="R211" s="1">
        <v>1</v>
      </c>
      <c r="S211" s="1">
        <v>-399.11</v>
      </c>
      <c r="T211" s="1">
        <v>-399.11</v>
      </c>
      <c r="U211" s="1" t="s">
        <v>233</v>
      </c>
      <c r="V211" s="1" t="s">
        <v>182</v>
      </c>
      <c r="Y211" t="s">
        <v>785</v>
      </c>
      <c r="Z211" t="s">
        <v>1205</v>
      </c>
      <c r="AA211">
        <v>-568.99</v>
      </c>
      <c r="AB211">
        <v>0</v>
      </c>
      <c r="AC211" t="s">
        <v>182</v>
      </c>
      <c r="AD211" t="s">
        <v>233</v>
      </c>
    </row>
    <row r="212" spans="2:30" x14ac:dyDescent="0.25">
      <c r="B212" s="1" t="s">
        <v>782</v>
      </c>
      <c r="C212" s="1">
        <v>2026</v>
      </c>
      <c r="D212" s="1">
        <v>1</v>
      </c>
      <c r="E212" s="1">
        <v>-173527.67999999999</v>
      </c>
      <c r="F212" s="1">
        <v>-173527.67999999999</v>
      </c>
      <c r="G212" s="1" t="s">
        <v>783</v>
      </c>
      <c r="H212" s="1" t="s">
        <v>182</v>
      </c>
      <c r="P212" s="1" t="s">
        <v>234</v>
      </c>
      <c r="Q212" s="1">
        <v>2025</v>
      </c>
      <c r="R212" s="1">
        <v>1</v>
      </c>
      <c r="S212" s="1">
        <v>0</v>
      </c>
      <c r="T212" s="1">
        <v>0</v>
      </c>
      <c r="U212" s="1" t="s">
        <v>235</v>
      </c>
      <c r="V212" s="1" t="s">
        <v>182</v>
      </c>
      <c r="Y212" t="s">
        <v>234</v>
      </c>
      <c r="Z212" t="s">
        <v>1205</v>
      </c>
      <c r="AA212">
        <v>0</v>
      </c>
      <c r="AB212">
        <v>0</v>
      </c>
      <c r="AC212" t="s">
        <v>182</v>
      </c>
      <c r="AD212" t="s">
        <v>235</v>
      </c>
    </row>
    <row r="213" spans="2:30" x14ac:dyDescent="0.25">
      <c r="B213" s="1" t="s">
        <v>784</v>
      </c>
      <c r="C213" s="1">
        <v>2026</v>
      </c>
      <c r="D213" s="1">
        <v>1</v>
      </c>
      <c r="E213" s="1">
        <v>-19902.2</v>
      </c>
      <c r="F213" s="1">
        <v>-19902.2</v>
      </c>
      <c r="G213" s="1" t="s">
        <v>783</v>
      </c>
      <c r="H213" s="1" t="s">
        <v>182</v>
      </c>
      <c r="P213" s="1" t="s">
        <v>786</v>
      </c>
      <c r="Q213" s="1">
        <v>2025</v>
      </c>
      <c r="R213" s="1">
        <v>1</v>
      </c>
      <c r="S213" s="1">
        <v>0</v>
      </c>
      <c r="T213" s="1">
        <v>0</v>
      </c>
      <c r="U213" s="1" t="s">
        <v>235</v>
      </c>
      <c r="V213" s="1" t="s">
        <v>182</v>
      </c>
      <c r="Y213" t="s">
        <v>786</v>
      </c>
      <c r="Z213" t="s">
        <v>1205</v>
      </c>
      <c r="AA213">
        <v>0</v>
      </c>
      <c r="AB213">
        <v>0</v>
      </c>
      <c r="AC213" t="s">
        <v>182</v>
      </c>
      <c r="AD213" t="s">
        <v>235</v>
      </c>
    </row>
    <row r="214" spans="2:30" x14ac:dyDescent="0.25">
      <c r="B214" s="1" t="s">
        <v>232</v>
      </c>
      <c r="C214" s="1">
        <v>2026</v>
      </c>
      <c r="D214" s="1">
        <v>1</v>
      </c>
      <c r="E214" s="1">
        <v>-2194.0100000000002</v>
      </c>
      <c r="F214" s="1">
        <v>-2194.0100000000002</v>
      </c>
      <c r="G214" s="1" t="s">
        <v>1346</v>
      </c>
      <c r="H214" s="1" t="s">
        <v>182</v>
      </c>
      <c r="P214" s="1" t="s">
        <v>236</v>
      </c>
      <c r="Q214" s="1">
        <v>2025</v>
      </c>
      <c r="R214" s="1">
        <v>1</v>
      </c>
      <c r="S214" s="1">
        <v>0</v>
      </c>
      <c r="T214" s="1">
        <v>0</v>
      </c>
      <c r="U214" s="1" t="s">
        <v>237</v>
      </c>
      <c r="V214" s="1" t="s">
        <v>182</v>
      </c>
      <c r="Y214" t="s">
        <v>236</v>
      </c>
      <c r="Z214" t="s">
        <v>1205</v>
      </c>
      <c r="AA214">
        <v>0</v>
      </c>
      <c r="AB214">
        <v>0</v>
      </c>
      <c r="AC214" t="s">
        <v>182</v>
      </c>
      <c r="AD214" t="s">
        <v>237</v>
      </c>
    </row>
    <row r="215" spans="2:30" x14ac:dyDescent="0.25">
      <c r="B215" s="1" t="s">
        <v>785</v>
      </c>
      <c r="C215" s="1">
        <v>2026</v>
      </c>
      <c r="D215" s="1">
        <v>1</v>
      </c>
      <c r="E215" s="1">
        <v>0</v>
      </c>
      <c r="F215" s="1">
        <v>0</v>
      </c>
      <c r="G215" s="1" t="s">
        <v>233</v>
      </c>
      <c r="H215" s="1" t="s">
        <v>182</v>
      </c>
      <c r="P215" s="1" t="s">
        <v>787</v>
      </c>
      <c r="Q215" s="1">
        <v>2025</v>
      </c>
      <c r="R215" s="1">
        <v>1</v>
      </c>
      <c r="S215" s="1">
        <v>0</v>
      </c>
      <c r="T215" s="1">
        <v>0</v>
      </c>
      <c r="U215" s="1" t="s">
        <v>237</v>
      </c>
      <c r="V215" s="1" t="s">
        <v>182</v>
      </c>
      <c r="Y215" t="s">
        <v>787</v>
      </c>
      <c r="Z215" t="s">
        <v>1205</v>
      </c>
      <c r="AA215">
        <v>0</v>
      </c>
      <c r="AB215">
        <v>0</v>
      </c>
      <c r="AC215" t="s">
        <v>182</v>
      </c>
      <c r="AD215" t="s">
        <v>237</v>
      </c>
    </row>
    <row r="216" spans="2:30" x14ac:dyDescent="0.25">
      <c r="B216" s="1" t="s">
        <v>234</v>
      </c>
      <c r="C216" s="1">
        <v>2026</v>
      </c>
      <c r="D216" s="1">
        <v>1</v>
      </c>
      <c r="E216" s="1">
        <v>0</v>
      </c>
      <c r="F216" s="1">
        <v>0</v>
      </c>
      <c r="G216" s="1" t="s">
        <v>235</v>
      </c>
      <c r="H216" s="1" t="s">
        <v>182</v>
      </c>
      <c r="P216" s="1" t="s">
        <v>238</v>
      </c>
      <c r="Q216" s="1">
        <v>2025</v>
      </c>
      <c r="R216" s="1">
        <v>1</v>
      </c>
      <c r="S216" s="1">
        <v>5638.7</v>
      </c>
      <c r="T216" s="1">
        <v>5638.7</v>
      </c>
      <c r="U216" s="1" t="s">
        <v>239</v>
      </c>
      <c r="V216" s="1" t="s">
        <v>182</v>
      </c>
      <c r="Y216" t="s">
        <v>238</v>
      </c>
      <c r="Z216" t="s">
        <v>1205</v>
      </c>
      <c r="AA216">
        <v>-287622.25</v>
      </c>
      <c r="AB216">
        <v>-28559</v>
      </c>
      <c r="AC216" t="s">
        <v>182</v>
      </c>
      <c r="AD216" t="s">
        <v>239</v>
      </c>
    </row>
    <row r="217" spans="2:30" x14ac:dyDescent="0.25">
      <c r="B217" s="1" t="s">
        <v>786</v>
      </c>
      <c r="C217" s="1">
        <v>2026</v>
      </c>
      <c r="D217" s="1">
        <v>1</v>
      </c>
      <c r="E217" s="1">
        <v>0</v>
      </c>
      <c r="F217" s="1">
        <v>0</v>
      </c>
      <c r="G217" s="1" t="s">
        <v>235</v>
      </c>
      <c r="H217" s="1" t="s">
        <v>182</v>
      </c>
      <c r="P217" s="1" t="s">
        <v>788</v>
      </c>
      <c r="Q217" s="1">
        <v>2025</v>
      </c>
      <c r="R217" s="1">
        <v>1</v>
      </c>
      <c r="S217" s="1">
        <v>0</v>
      </c>
      <c r="T217" s="1">
        <v>0</v>
      </c>
      <c r="U217" s="1" t="s">
        <v>239</v>
      </c>
      <c r="V217" s="1" t="s">
        <v>182</v>
      </c>
      <c r="Y217" t="s">
        <v>788</v>
      </c>
      <c r="Z217" t="s">
        <v>1205</v>
      </c>
      <c r="AA217">
        <v>0</v>
      </c>
      <c r="AB217">
        <v>0</v>
      </c>
      <c r="AC217" t="s">
        <v>182</v>
      </c>
      <c r="AD217" t="s">
        <v>239</v>
      </c>
    </row>
    <row r="218" spans="2:30" x14ac:dyDescent="0.25">
      <c r="B218" s="1" t="s">
        <v>236</v>
      </c>
      <c r="C218" s="1">
        <v>2026</v>
      </c>
      <c r="D218" s="1">
        <v>1</v>
      </c>
      <c r="E218" s="1">
        <v>0</v>
      </c>
      <c r="F218" s="1">
        <v>0</v>
      </c>
      <c r="G218" s="1" t="s">
        <v>237</v>
      </c>
      <c r="H218" s="1" t="s">
        <v>182</v>
      </c>
      <c r="P218" s="1" t="s">
        <v>240</v>
      </c>
      <c r="Q218" s="1">
        <v>2025</v>
      </c>
      <c r="R218" s="1">
        <v>1</v>
      </c>
      <c r="S218" s="1">
        <v>0</v>
      </c>
      <c r="T218" s="1">
        <v>0</v>
      </c>
      <c r="U218" s="1" t="s">
        <v>241</v>
      </c>
      <c r="V218" s="1" t="s">
        <v>182</v>
      </c>
      <c r="Y218" t="s">
        <v>240</v>
      </c>
      <c r="Z218" t="s">
        <v>1205</v>
      </c>
      <c r="AA218">
        <v>0</v>
      </c>
      <c r="AB218">
        <v>0</v>
      </c>
      <c r="AC218" t="s">
        <v>182</v>
      </c>
      <c r="AD218" t="s">
        <v>241</v>
      </c>
    </row>
    <row r="219" spans="2:30" x14ac:dyDescent="0.25">
      <c r="B219" s="1" t="s">
        <v>787</v>
      </c>
      <c r="C219" s="1">
        <v>2026</v>
      </c>
      <c r="D219" s="1">
        <v>1</v>
      </c>
      <c r="E219" s="1">
        <v>0</v>
      </c>
      <c r="F219" s="1">
        <v>0</v>
      </c>
      <c r="G219" s="1" t="s">
        <v>237</v>
      </c>
      <c r="H219" s="1" t="s">
        <v>182</v>
      </c>
      <c r="P219" s="1" t="s">
        <v>789</v>
      </c>
      <c r="Q219" s="1">
        <v>2025</v>
      </c>
      <c r="R219" s="1">
        <v>1</v>
      </c>
      <c r="S219" s="1">
        <v>0</v>
      </c>
      <c r="T219" s="1">
        <v>0</v>
      </c>
      <c r="U219" s="1" t="s">
        <v>241</v>
      </c>
      <c r="V219" s="1" t="s">
        <v>182</v>
      </c>
      <c r="Y219" t="s">
        <v>789</v>
      </c>
      <c r="Z219" t="s">
        <v>1205</v>
      </c>
      <c r="AA219">
        <v>0</v>
      </c>
      <c r="AB219">
        <v>0</v>
      </c>
      <c r="AC219" t="s">
        <v>182</v>
      </c>
      <c r="AD219" t="s">
        <v>241</v>
      </c>
    </row>
    <row r="220" spans="2:30" x14ac:dyDescent="0.25">
      <c r="B220" s="1" t="s">
        <v>238</v>
      </c>
      <c r="C220" s="1">
        <v>2026</v>
      </c>
      <c r="D220" s="1">
        <v>1</v>
      </c>
      <c r="E220" s="1">
        <v>-30654.62</v>
      </c>
      <c r="F220" s="1">
        <v>-30654.62</v>
      </c>
      <c r="G220" s="1" t="s">
        <v>239</v>
      </c>
      <c r="H220" s="1" t="s">
        <v>182</v>
      </c>
      <c r="P220" s="1" t="s">
        <v>242</v>
      </c>
      <c r="Q220" s="1">
        <v>2025</v>
      </c>
      <c r="R220" s="1">
        <v>1</v>
      </c>
      <c r="S220" s="1">
        <v>-20610</v>
      </c>
      <c r="T220" s="1">
        <v>-20610</v>
      </c>
      <c r="U220" s="1" t="s">
        <v>1312</v>
      </c>
      <c r="V220" s="1" t="s">
        <v>182</v>
      </c>
      <c r="Y220" t="s">
        <v>242</v>
      </c>
      <c r="Z220" t="s">
        <v>1205</v>
      </c>
      <c r="AA220">
        <v>-356957.46</v>
      </c>
      <c r="AB220">
        <v>-30873.75</v>
      </c>
      <c r="AC220" t="s">
        <v>182</v>
      </c>
      <c r="AD220" t="s">
        <v>1312</v>
      </c>
    </row>
    <row r="221" spans="2:30" x14ac:dyDescent="0.25">
      <c r="B221" s="1" t="s">
        <v>788</v>
      </c>
      <c r="C221" s="1">
        <v>2026</v>
      </c>
      <c r="D221" s="1">
        <v>1</v>
      </c>
      <c r="E221" s="1">
        <v>0</v>
      </c>
      <c r="F221" s="1">
        <v>0</v>
      </c>
      <c r="G221" s="1" t="s">
        <v>239</v>
      </c>
      <c r="H221" s="1" t="s">
        <v>182</v>
      </c>
      <c r="P221" s="1" t="s">
        <v>790</v>
      </c>
      <c r="Q221" s="1">
        <v>2025</v>
      </c>
      <c r="R221" s="1">
        <v>1</v>
      </c>
      <c r="S221" s="1">
        <v>-1585</v>
      </c>
      <c r="T221" s="1">
        <v>-1585</v>
      </c>
      <c r="U221" s="1" t="s">
        <v>243</v>
      </c>
      <c r="V221" s="1" t="s">
        <v>182</v>
      </c>
      <c r="Y221" t="s">
        <v>790</v>
      </c>
      <c r="Z221" t="s">
        <v>1205</v>
      </c>
      <c r="AA221">
        <v>-45931.87</v>
      </c>
      <c r="AB221">
        <v>-9762.5</v>
      </c>
      <c r="AC221" t="s">
        <v>182</v>
      </c>
      <c r="AD221" t="s">
        <v>243</v>
      </c>
    </row>
    <row r="222" spans="2:30" x14ac:dyDescent="0.25">
      <c r="B222" s="1" t="s">
        <v>240</v>
      </c>
      <c r="C222" s="1">
        <v>2026</v>
      </c>
      <c r="D222" s="1">
        <v>1</v>
      </c>
      <c r="E222" s="1">
        <v>0</v>
      </c>
      <c r="F222" s="1">
        <v>0</v>
      </c>
      <c r="G222" s="1" t="s">
        <v>241</v>
      </c>
      <c r="H222" s="1" t="s">
        <v>182</v>
      </c>
      <c r="P222" s="1" t="s">
        <v>244</v>
      </c>
      <c r="Q222" s="1">
        <v>2025</v>
      </c>
      <c r="R222" s="1">
        <v>1</v>
      </c>
      <c r="S222" s="1">
        <v>-16631.45</v>
      </c>
      <c r="T222" s="1">
        <v>-16631.45</v>
      </c>
      <c r="U222" s="1" t="s">
        <v>245</v>
      </c>
      <c r="V222" s="1" t="s">
        <v>182</v>
      </c>
      <c r="Y222" t="s">
        <v>244</v>
      </c>
      <c r="Z222" t="s">
        <v>1205</v>
      </c>
      <c r="AA222">
        <v>-311918.98</v>
      </c>
      <c r="AB222">
        <v>-26503.39</v>
      </c>
      <c r="AC222" t="s">
        <v>182</v>
      </c>
      <c r="AD222" t="s">
        <v>245</v>
      </c>
    </row>
    <row r="223" spans="2:30" x14ac:dyDescent="0.25">
      <c r="B223" s="1" t="s">
        <v>789</v>
      </c>
      <c r="C223" s="1">
        <v>2026</v>
      </c>
      <c r="D223" s="1">
        <v>1</v>
      </c>
      <c r="E223" s="1">
        <v>0</v>
      </c>
      <c r="F223" s="1">
        <v>0</v>
      </c>
      <c r="G223" s="1" t="s">
        <v>241</v>
      </c>
      <c r="H223" s="1" t="s">
        <v>182</v>
      </c>
      <c r="P223" s="1" t="s">
        <v>791</v>
      </c>
      <c r="Q223" s="1">
        <v>2025</v>
      </c>
      <c r="R223" s="1">
        <v>1</v>
      </c>
      <c r="S223" s="1">
        <v>-1178.01</v>
      </c>
      <c r="T223" s="1">
        <v>-1178.01</v>
      </c>
      <c r="U223" s="1" t="s">
        <v>245</v>
      </c>
      <c r="V223" s="1" t="s">
        <v>182</v>
      </c>
      <c r="Y223" t="s">
        <v>791</v>
      </c>
      <c r="Z223" t="s">
        <v>1205</v>
      </c>
      <c r="AA223">
        <v>-24598.66</v>
      </c>
      <c r="AB223">
        <v>-3040.71</v>
      </c>
      <c r="AC223" t="s">
        <v>182</v>
      </c>
      <c r="AD223" t="s">
        <v>245</v>
      </c>
    </row>
    <row r="224" spans="2:30" x14ac:dyDescent="0.25">
      <c r="B224" s="1" t="s">
        <v>242</v>
      </c>
      <c r="C224" s="1">
        <v>2026</v>
      </c>
      <c r="D224" s="1">
        <v>1</v>
      </c>
      <c r="E224" s="1">
        <v>-28594.48</v>
      </c>
      <c r="F224" s="1">
        <v>-28594.48</v>
      </c>
      <c r="G224" s="1" t="s">
        <v>1312</v>
      </c>
      <c r="H224" s="1" t="s">
        <v>182</v>
      </c>
      <c r="P224" s="1" t="s">
        <v>246</v>
      </c>
      <c r="Q224" s="1">
        <v>2025</v>
      </c>
      <c r="R224" s="1">
        <v>1</v>
      </c>
      <c r="S224" s="1">
        <v>-7077.48</v>
      </c>
      <c r="T224" s="1">
        <v>-7077.48</v>
      </c>
      <c r="U224" s="1" t="s">
        <v>247</v>
      </c>
      <c r="V224" s="1" t="s">
        <v>182</v>
      </c>
      <c r="Y224" t="s">
        <v>246</v>
      </c>
      <c r="Z224" t="s">
        <v>1205</v>
      </c>
      <c r="AA224">
        <v>-42464.88</v>
      </c>
      <c r="AB224">
        <v>-3538.74</v>
      </c>
      <c r="AC224" t="s">
        <v>182</v>
      </c>
      <c r="AD224" t="s">
        <v>247</v>
      </c>
    </row>
    <row r="225" spans="2:30" x14ac:dyDescent="0.25">
      <c r="B225" s="1" t="s">
        <v>790</v>
      </c>
      <c r="C225" s="1">
        <v>2026</v>
      </c>
      <c r="D225" s="1">
        <v>1</v>
      </c>
      <c r="E225" s="1">
        <v>-6532.26</v>
      </c>
      <c r="F225" s="1">
        <v>-6532.26</v>
      </c>
      <c r="G225" s="1" t="s">
        <v>243</v>
      </c>
      <c r="H225" s="1" t="s">
        <v>182</v>
      </c>
      <c r="P225" s="1" t="s">
        <v>792</v>
      </c>
      <c r="Q225" s="1">
        <v>2025</v>
      </c>
      <c r="R225" s="1">
        <v>1</v>
      </c>
      <c r="S225" s="1">
        <v>0</v>
      </c>
      <c r="T225" s="1">
        <v>0</v>
      </c>
      <c r="U225" s="1" t="s">
        <v>247</v>
      </c>
      <c r="V225" s="1" t="s">
        <v>182</v>
      </c>
      <c r="Y225" t="s">
        <v>792</v>
      </c>
      <c r="Z225" t="s">
        <v>1205</v>
      </c>
      <c r="AA225">
        <v>0</v>
      </c>
      <c r="AB225">
        <v>0</v>
      </c>
      <c r="AC225" t="s">
        <v>182</v>
      </c>
      <c r="AD225" t="s">
        <v>247</v>
      </c>
    </row>
    <row r="226" spans="2:30" x14ac:dyDescent="0.25">
      <c r="B226" s="1" t="s">
        <v>244</v>
      </c>
      <c r="C226" s="1">
        <v>2026</v>
      </c>
      <c r="D226" s="1">
        <v>1</v>
      </c>
      <c r="E226" s="1">
        <v>-17544.43</v>
      </c>
      <c r="F226" s="1">
        <v>-17544.43</v>
      </c>
      <c r="G226" s="1" t="s">
        <v>245</v>
      </c>
      <c r="H226" s="1" t="s">
        <v>182</v>
      </c>
      <c r="P226" s="1" t="s">
        <v>248</v>
      </c>
      <c r="Q226" s="1">
        <v>2025</v>
      </c>
      <c r="R226" s="1">
        <v>1</v>
      </c>
      <c r="S226" s="1">
        <v>-1065</v>
      </c>
      <c r="T226" s="1">
        <v>-1065</v>
      </c>
      <c r="U226" s="1" t="s">
        <v>1348</v>
      </c>
      <c r="V226" s="1" t="s">
        <v>182</v>
      </c>
      <c r="Y226" t="s">
        <v>248</v>
      </c>
      <c r="Z226" t="s">
        <v>1205</v>
      </c>
      <c r="AA226">
        <v>-52224.49</v>
      </c>
      <c r="AB226">
        <v>-3838.75</v>
      </c>
      <c r="AC226" t="s">
        <v>182</v>
      </c>
      <c r="AD226" t="s">
        <v>1348</v>
      </c>
    </row>
    <row r="227" spans="2:30" x14ac:dyDescent="0.25">
      <c r="B227" s="1" t="s">
        <v>791</v>
      </c>
      <c r="C227" s="1">
        <v>2026</v>
      </c>
      <c r="D227" s="1">
        <v>1</v>
      </c>
      <c r="E227" s="1">
        <v>-2357.5</v>
      </c>
      <c r="F227" s="1">
        <v>-2357.5</v>
      </c>
      <c r="G227" s="1" t="s">
        <v>245</v>
      </c>
      <c r="H227" s="1" t="s">
        <v>182</v>
      </c>
      <c r="P227" s="1" t="s">
        <v>793</v>
      </c>
      <c r="Q227" s="1">
        <v>2025</v>
      </c>
      <c r="R227" s="1">
        <v>1</v>
      </c>
      <c r="S227" s="1">
        <v>0</v>
      </c>
      <c r="T227" s="1">
        <v>0</v>
      </c>
      <c r="U227" s="1" t="s">
        <v>249</v>
      </c>
      <c r="V227" s="1" t="s">
        <v>182</v>
      </c>
      <c r="Y227" t="s">
        <v>793</v>
      </c>
      <c r="Z227" t="s">
        <v>1205</v>
      </c>
      <c r="AA227">
        <v>0</v>
      </c>
      <c r="AB227">
        <v>0</v>
      </c>
      <c r="AC227" t="s">
        <v>182</v>
      </c>
      <c r="AD227" t="s">
        <v>249</v>
      </c>
    </row>
    <row r="228" spans="2:30" x14ac:dyDescent="0.25">
      <c r="B228" s="1" t="s">
        <v>246</v>
      </c>
      <c r="C228" s="1">
        <v>2026</v>
      </c>
      <c r="D228" s="1">
        <v>1</v>
      </c>
      <c r="E228" s="1">
        <v>-3538.74</v>
      </c>
      <c r="F228" s="1">
        <v>-3538.74</v>
      </c>
      <c r="G228" s="1" t="s">
        <v>247</v>
      </c>
      <c r="H228" s="1" t="s">
        <v>182</v>
      </c>
      <c r="P228" s="1" t="s">
        <v>250</v>
      </c>
      <c r="Q228" s="1">
        <v>2025</v>
      </c>
      <c r="R228" s="1">
        <v>1</v>
      </c>
      <c r="S228" s="1">
        <v>-1931.74</v>
      </c>
      <c r="T228" s="1">
        <v>-1931.74</v>
      </c>
      <c r="U228" s="1" t="s">
        <v>1347</v>
      </c>
      <c r="V228" s="1" t="s">
        <v>182</v>
      </c>
      <c r="Y228" t="s">
        <v>250</v>
      </c>
      <c r="Z228" t="s">
        <v>1205</v>
      </c>
      <c r="AA228">
        <v>-28785.99</v>
      </c>
      <c r="AB228">
        <v>-1657.73</v>
      </c>
      <c r="AC228" t="s">
        <v>182</v>
      </c>
      <c r="AD228" t="s">
        <v>1347</v>
      </c>
    </row>
    <row r="229" spans="2:30" x14ac:dyDescent="0.25">
      <c r="B229" s="1" t="s">
        <v>792</v>
      </c>
      <c r="C229" s="1">
        <v>2026</v>
      </c>
      <c r="D229" s="1">
        <v>1</v>
      </c>
      <c r="E229" s="1">
        <v>0</v>
      </c>
      <c r="F229" s="1">
        <v>0</v>
      </c>
      <c r="G229" s="1" t="s">
        <v>247</v>
      </c>
      <c r="H229" s="1" t="s">
        <v>182</v>
      </c>
      <c r="P229" s="1" t="s">
        <v>794</v>
      </c>
      <c r="Q229" s="1">
        <v>2025</v>
      </c>
      <c r="R229" s="1">
        <v>1</v>
      </c>
      <c r="S229" s="1">
        <v>-194.96</v>
      </c>
      <c r="T229" s="1">
        <v>-194.96</v>
      </c>
      <c r="U229" s="1" t="s">
        <v>251</v>
      </c>
      <c r="V229" s="1" t="s">
        <v>182</v>
      </c>
      <c r="Y229" t="s">
        <v>794</v>
      </c>
      <c r="Z229" t="s">
        <v>1205</v>
      </c>
      <c r="AA229">
        <v>-913.3</v>
      </c>
      <c r="AB229">
        <v>-462.99</v>
      </c>
      <c r="AC229" t="s">
        <v>182</v>
      </c>
      <c r="AD229" t="s">
        <v>251</v>
      </c>
    </row>
    <row r="230" spans="2:30" x14ac:dyDescent="0.25">
      <c r="B230" s="1" t="s">
        <v>248</v>
      </c>
      <c r="C230" s="1">
        <v>2026</v>
      </c>
      <c r="D230" s="1">
        <v>1</v>
      </c>
      <c r="E230" s="1">
        <v>-4237.6000000000004</v>
      </c>
      <c r="F230" s="1">
        <v>-4237.6000000000004</v>
      </c>
      <c r="G230" s="1" t="s">
        <v>1348</v>
      </c>
      <c r="H230" s="1" t="s">
        <v>182</v>
      </c>
      <c r="P230" s="1" t="s">
        <v>252</v>
      </c>
      <c r="Q230" s="1">
        <v>2025</v>
      </c>
      <c r="R230" s="1">
        <v>1</v>
      </c>
      <c r="S230" s="1">
        <v>0</v>
      </c>
      <c r="T230" s="1">
        <v>0</v>
      </c>
      <c r="U230" s="1" t="s">
        <v>253</v>
      </c>
      <c r="V230" s="1" t="s">
        <v>182</v>
      </c>
      <c r="Y230" t="s">
        <v>252</v>
      </c>
      <c r="Z230" t="s">
        <v>1205</v>
      </c>
      <c r="AA230">
        <v>-0.49</v>
      </c>
      <c r="AB230">
        <v>0</v>
      </c>
      <c r="AC230" t="s">
        <v>182</v>
      </c>
      <c r="AD230" t="s">
        <v>253</v>
      </c>
    </row>
    <row r="231" spans="2:30" x14ac:dyDescent="0.25">
      <c r="B231" s="1" t="s">
        <v>793</v>
      </c>
      <c r="C231" s="1">
        <v>2026</v>
      </c>
      <c r="D231" s="1">
        <v>1</v>
      </c>
      <c r="E231" s="1">
        <v>0</v>
      </c>
      <c r="F231" s="1">
        <v>0</v>
      </c>
      <c r="G231" s="1" t="s">
        <v>249</v>
      </c>
      <c r="H231" s="1" t="s">
        <v>182</v>
      </c>
      <c r="P231" s="1" t="s">
        <v>1483</v>
      </c>
      <c r="Q231" s="1">
        <v>2025</v>
      </c>
      <c r="R231" s="1">
        <v>1</v>
      </c>
      <c r="S231" s="1">
        <v>-800</v>
      </c>
      <c r="T231" s="1">
        <v>-800</v>
      </c>
      <c r="U231" s="1" t="s">
        <v>1484</v>
      </c>
      <c r="V231" s="1" t="s">
        <v>182</v>
      </c>
      <c r="Y231" t="s">
        <v>1483</v>
      </c>
      <c r="Z231" t="s">
        <v>1205</v>
      </c>
      <c r="AA231">
        <v>-4800</v>
      </c>
      <c r="AB231">
        <v>0</v>
      </c>
      <c r="AC231" t="s">
        <v>182</v>
      </c>
      <c r="AD231" t="s">
        <v>1484</v>
      </c>
    </row>
    <row r="232" spans="2:30" x14ac:dyDescent="0.25">
      <c r="B232" s="1" t="s">
        <v>250</v>
      </c>
      <c r="C232" s="1">
        <v>2026</v>
      </c>
      <c r="D232" s="1">
        <v>1</v>
      </c>
      <c r="E232" s="1">
        <v>-2311.21</v>
      </c>
      <c r="F232" s="1">
        <v>-2311.21</v>
      </c>
      <c r="G232" s="1" t="s">
        <v>1347</v>
      </c>
      <c r="H232" s="1" t="s">
        <v>182</v>
      </c>
      <c r="P232" s="1" t="s">
        <v>254</v>
      </c>
      <c r="Q232" s="1">
        <v>2025</v>
      </c>
      <c r="R232" s="1">
        <v>1</v>
      </c>
      <c r="S232" s="1">
        <v>-18597.099999999999</v>
      </c>
      <c r="T232" s="1">
        <v>-18597.099999999999</v>
      </c>
      <c r="U232" s="1" t="s">
        <v>255</v>
      </c>
      <c r="V232" s="1" t="s">
        <v>182</v>
      </c>
      <c r="Y232" t="s">
        <v>254</v>
      </c>
      <c r="Z232" t="s">
        <v>1205</v>
      </c>
      <c r="AA232">
        <v>-245378.32</v>
      </c>
      <c r="AB232">
        <v>-32118.03</v>
      </c>
      <c r="AC232" t="s">
        <v>182</v>
      </c>
      <c r="AD232" t="s">
        <v>255</v>
      </c>
    </row>
    <row r="233" spans="2:30" x14ac:dyDescent="0.25">
      <c r="B233" s="1" t="s">
        <v>794</v>
      </c>
      <c r="C233" s="1">
        <v>2026</v>
      </c>
      <c r="D233" s="1">
        <v>1</v>
      </c>
      <c r="E233" s="1">
        <v>0</v>
      </c>
      <c r="F233" s="1">
        <v>0</v>
      </c>
      <c r="G233" s="1" t="s">
        <v>251</v>
      </c>
      <c r="H233" s="1" t="s">
        <v>182</v>
      </c>
      <c r="P233" s="1" t="s">
        <v>256</v>
      </c>
      <c r="Q233" s="1">
        <v>2025</v>
      </c>
      <c r="R233" s="1">
        <v>1</v>
      </c>
      <c r="S233" s="1">
        <v>1425.45</v>
      </c>
      <c r="T233" s="1">
        <v>1425.45</v>
      </c>
      <c r="U233" s="1" t="s">
        <v>257</v>
      </c>
      <c r="V233" s="1" t="s">
        <v>182</v>
      </c>
      <c r="Y233" t="s">
        <v>256</v>
      </c>
      <c r="Z233" t="s">
        <v>1205</v>
      </c>
      <c r="AA233">
        <v>-4895</v>
      </c>
      <c r="AB233">
        <v>999.87</v>
      </c>
      <c r="AC233" t="s">
        <v>182</v>
      </c>
      <c r="AD233" t="s">
        <v>257</v>
      </c>
    </row>
    <row r="234" spans="2:30" x14ac:dyDescent="0.25">
      <c r="B234" s="1" t="s">
        <v>252</v>
      </c>
      <c r="C234" s="1">
        <v>2026</v>
      </c>
      <c r="D234" s="1">
        <v>1</v>
      </c>
      <c r="E234" s="1">
        <v>0</v>
      </c>
      <c r="F234" s="1">
        <v>0</v>
      </c>
      <c r="G234" s="1" t="s">
        <v>253</v>
      </c>
      <c r="H234" s="1" t="s">
        <v>182</v>
      </c>
      <c r="P234" s="1" t="s">
        <v>258</v>
      </c>
      <c r="Q234" s="1">
        <v>2025</v>
      </c>
      <c r="R234" s="1">
        <v>1</v>
      </c>
      <c r="S234" s="1">
        <v>0</v>
      </c>
      <c r="T234" s="1">
        <v>0</v>
      </c>
      <c r="U234" s="1" t="s">
        <v>259</v>
      </c>
      <c r="V234" s="1" t="s">
        <v>182</v>
      </c>
      <c r="Y234" t="s">
        <v>258</v>
      </c>
      <c r="Z234" t="s">
        <v>1205</v>
      </c>
      <c r="AA234">
        <v>0</v>
      </c>
      <c r="AB234">
        <v>0</v>
      </c>
      <c r="AC234" t="s">
        <v>182</v>
      </c>
      <c r="AD234" t="s">
        <v>259</v>
      </c>
    </row>
    <row r="235" spans="2:30" x14ac:dyDescent="0.25">
      <c r="B235" s="1" t="s">
        <v>1483</v>
      </c>
      <c r="C235" s="1">
        <v>2026</v>
      </c>
      <c r="D235" s="1">
        <v>1</v>
      </c>
      <c r="E235" s="1">
        <v>0</v>
      </c>
      <c r="F235" s="1">
        <v>0</v>
      </c>
      <c r="G235" s="1" t="s">
        <v>1484</v>
      </c>
      <c r="H235" s="1" t="s">
        <v>182</v>
      </c>
      <c r="P235" s="1" t="s">
        <v>260</v>
      </c>
      <c r="Q235" s="1">
        <v>2025</v>
      </c>
      <c r="R235" s="1">
        <v>1</v>
      </c>
      <c r="S235" s="1">
        <v>-180536.29</v>
      </c>
      <c r="T235" s="1">
        <v>-180536.29</v>
      </c>
      <c r="U235" s="1" t="s">
        <v>261</v>
      </c>
      <c r="V235" s="1" t="s">
        <v>182</v>
      </c>
      <c r="Y235" t="s">
        <v>260</v>
      </c>
      <c r="Z235" t="s">
        <v>1205</v>
      </c>
      <c r="AA235">
        <v>-2098957.66</v>
      </c>
      <c r="AB235">
        <v>-221485.06</v>
      </c>
      <c r="AC235" t="s">
        <v>182</v>
      </c>
      <c r="AD235" t="s">
        <v>261</v>
      </c>
    </row>
    <row r="236" spans="2:30" x14ac:dyDescent="0.25">
      <c r="B236" s="1" t="s">
        <v>254</v>
      </c>
      <c r="C236" s="1">
        <v>2026</v>
      </c>
      <c r="D236" s="1">
        <v>1</v>
      </c>
      <c r="E236" s="1">
        <v>0</v>
      </c>
      <c r="F236" s="1">
        <v>0</v>
      </c>
      <c r="G236" s="1" t="s">
        <v>255</v>
      </c>
      <c r="H236" s="1" t="s">
        <v>182</v>
      </c>
      <c r="P236" s="1" t="s">
        <v>795</v>
      </c>
      <c r="Q236" s="1">
        <v>2025</v>
      </c>
      <c r="R236" s="1">
        <v>1</v>
      </c>
      <c r="S236" s="1">
        <v>0</v>
      </c>
      <c r="T236" s="1">
        <v>0</v>
      </c>
      <c r="U236" s="1" t="s">
        <v>261</v>
      </c>
      <c r="V236" s="1" t="s">
        <v>182</v>
      </c>
      <c r="Y236" t="s">
        <v>795</v>
      </c>
      <c r="Z236" t="s">
        <v>1205</v>
      </c>
      <c r="AA236">
        <v>0</v>
      </c>
      <c r="AB236">
        <v>0</v>
      </c>
      <c r="AC236" t="s">
        <v>182</v>
      </c>
      <c r="AD236" t="s">
        <v>261</v>
      </c>
    </row>
    <row r="237" spans="2:30" x14ac:dyDescent="0.25">
      <c r="B237" s="1" t="s">
        <v>256</v>
      </c>
      <c r="C237" s="1">
        <v>2026</v>
      </c>
      <c r="D237" s="1">
        <v>1</v>
      </c>
      <c r="E237" s="1">
        <v>54.31</v>
      </c>
      <c r="F237" s="1">
        <v>54.31</v>
      </c>
      <c r="G237" s="1" t="s">
        <v>257</v>
      </c>
      <c r="H237" s="1" t="s">
        <v>182</v>
      </c>
      <c r="P237" s="1" t="s">
        <v>262</v>
      </c>
      <c r="Q237" s="1">
        <v>2025</v>
      </c>
      <c r="R237" s="1">
        <v>1</v>
      </c>
      <c r="S237" s="1">
        <v>0</v>
      </c>
      <c r="T237" s="1">
        <v>0</v>
      </c>
      <c r="U237" s="1" t="s">
        <v>263</v>
      </c>
      <c r="V237" s="1" t="s">
        <v>182</v>
      </c>
      <c r="Y237" t="s">
        <v>262</v>
      </c>
      <c r="Z237" t="s">
        <v>1205</v>
      </c>
      <c r="AA237">
        <v>0</v>
      </c>
      <c r="AB237">
        <v>0</v>
      </c>
      <c r="AC237" t="s">
        <v>182</v>
      </c>
      <c r="AD237" t="s">
        <v>263</v>
      </c>
    </row>
    <row r="238" spans="2:30" x14ac:dyDescent="0.25">
      <c r="B238" s="1" t="s">
        <v>258</v>
      </c>
      <c r="C238" s="1">
        <v>2026</v>
      </c>
      <c r="D238" s="1">
        <v>1</v>
      </c>
      <c r="E238" s="1">
        <v>0</v>
      </c>
      <c r="F238" s="1">
        <v>0</v>
      </c>
      <c r="G238" s="1" t="s">
        <v>259</v>
      </c>
      <c r="H238" s="1" t="s">
        <v>182</v>
      </c>
      <c r="P238" s="1" t="s">
        <v>796</v>
      </c>
      <c r="Q238" s="1">
        <v>2025</v>
      </c>
      <c r="R238" s="1">
        <v>1</v>
      </c>
      <c r="S238" s="1">
        <v>0</v>
      </c>
      <c r="T238" s="1">
        <v>0</v>
      </c>
      <c r="U238" s="1" t="s">
        <v>263</v>
      </c>
      <c r="V238" s="1" t="s">
        <v>182</v>
      </c>
      <c r="Y238" t="s">
        <v>796</v>
      </c>
      <c r="Z238" t="s">
        <v>1205</v>
      </c>
      <c r="AA238">
        <v>0</v>
      </c>
      <c r="AB238">
        <v>0</v>
      </c>
      <c r="AC238" t="s">
        <v>182</v>
      </c>
      <c r="AD238" t="s">
        <v>263</v>
      </c>
    </row>
    <row r="239" spans="2:30" x14ac:dyDescent="0.25">
      <c r="B239" s="1" t="s">
        <v>260</v>
      </c>
      <c r="C239" s="1">
        <v>2026</v>
      </c>
      <c r="D239" s="1">
        <v>1</v>
      </c>
      <c r="E239" s="1">
        <v>-226195.08</v>
      </c>
      <c r="F239" s="1">
        <v>-226195.08</v>
      </c>
      <c r="G239" s="1" t="s">
        <v>261</v>
      </c>
      <c r="H239" s="1" t="s">
        <v>182</v>
      </c>
      <c r="P239" s="1" t="s">
        <v>264</v>
      </c>
      <c r="Q239" s="1">
        <v>2025</v>
      </c>
      <c r="R239" s="1">
        <v>1</v>
      </c>
      <c r="S239" s="1">
        <v>-262.5</v>
      </c>
      <c r="T239" s="1">
        <v>-262.5</v>
      </c>
      <c r="U239" s="1" t="s">
        <v>265</v>
      </c>
      <c r="V239" s="1" t="s">
        <v>182</v>
      </c>
      <c r="Y239" t="s">
        <v>264</v>
      </c>
      <c r="Z239" t="s">
        <v>1205</v>
      </c>
      <c r="AA239">
        <v>-58306.75</v>
      </c>
      <c r="AB239">
        <v>-9190</v>
      </c>
      <c r="AC239" t="s">
        <v>182</v>
      </c>
      <c r="AD239" t="s">
        <v>265</v>
      </c>
    </row>
    <row r="240" spans="2:30" x14ac:dyDescent="0.25">
      <c r="B240" s="1" t="s">
        <v>795</v>
      </c>
      <c r="C240" s="1">
        <v>2026</v>
      </c>
      <c r="D240" s="1">
        <v>1</v>
      </c>
      <c r="E240" s="1">
        <v>0</v>
      </c>
      <c r="F240" s="1">
        <v>0</v>
      </c>
      <c r="G240" s="1" t="s">
        <v>261</v>
      </c>
      <c r="H240" s="1" t="s">
        <v>182</v>
      </c>
      <c r="P240" s="1" t="s">
        <v>797</v>
      </c>
      <c r="Q240" s="1">
        <v>2025</v>
      </c>
      <c r="R240" s="1">
        <v>1</v>
      </c>
      <c r="S240" s="1">
        <v>0</v>
      </c>
      <c r="T240" s="1">
        <v>0</v>
      </c>
      <c r="U240" s="1" t="s">
        <v>265</v>
      </c>
      <c r="V240" s="1" t="s">
        <v>182</v>
      </c>
      <c r="Y240" t="s">
        <v>797</v>
      </c>
      <c r="Z240" t="s">
        <v>1205</v>
      </c>
      <c r="AA240">
        <v>0</v>
      </c>
      <c r="AB240">
        <v>0</v>
      </c>
      <c r="AC240" t="s">
        <v>182</v>
      </c>
      <c r="AD240" t="s">
        <v>265</v>
      </c>
    </row>
    <row r="241" spans="2:30" x14ac:dyDescent="0.25">
      <c r="B241" s="1" t="s">
        <v>262</v>
      </c>
      <c r="C241" s="1">
        <v>2026</v>
      </c>
      <c r="D241" s="1">
        <v>1</v>
      </c>
      <c r="E241" s="1">
        <v>0</v>
      </c>
      <c r="F241" s="1">
        <v>0</v>
      </c>
      <c r="G241" s="1" t="s">
        <v>263</v>
      </c>
      <c r="H241" s="1" t="s">
        <v>182</v>
      </c>
      <c r="P241" s="1" t="s">
        <v>266</v>
      </c>
      <c r="Q241" s="1">
        <v>2025</v>
      </c>
      <c r="R241" s="1">
        <v>1</v>
      </c>
      <c r="S241" s="1">
        <v>0</v>
      </c>
      <c r="T241" s="1">
        <v>0</v>
      </c>
      <c r="U241" s="1" t="s">
        <v>267</v>
      </c>
      <c r="V241" s="1" t="s">
        <v>182</v>
      </c>
      <c r="Y241" t="s">
        <v>266</v>
      </c>
      <c r="Z241" t="s">
        <v>1205</v>
      </c>
      <c r="AA241">
        <v>-270502.52</v>
      </c>
      <c r="AB241">
        <v>-18100</v>
      </c>
      <c r="AC241" t="s">
        <v>182</v>
      </c>
      <c r="AD241" t="s">
        <v>267</v>
      </c>
    </row>
    <row r="242" spans="2:30" x14ac:dyDescent="0.25">
      <c r="B242" s="1" t="s">
        <v>796</v>
      </c>
      <c r="C242" s="1">
        <v>2026</v>
      </c>
      <c r="D242" s="1">
        <v>1</v>
      </c>
      <c r="E242" s="1">
        <v>0</v>
      </c>
      <c r="F242" s="1">
        <v>0</v>
      </c>
      <c r="G242" s="1" t="s">
        <v>263</v>
      </c>
      <c r="H242" s="1" t="s">
        <v>182</v>
      </c>
      <c r="P242" s="1" t="s">
        <v>798</v>
      </c>
      <c r="Q242" s="1">
        <v>2025</v>
      </c>
      <c r="R242" s="1">
        <v>1</v>
      </c>
      <c r="S242" s="1">
        <v>0</v>
      </c>
      <c r="T242" s="1">
        <v>0</v>
      </c>
      <c r="U242" s="1" t="s">
        <v>267</v>
      </c>
      <c r="V242" s="1" t="s">
        <v>182</v>
      </c>
      <c r="Y242" t="s">
        <v>798</v>
      </c>
      <c r="Z242" t="s">
        <v>1205</v>
      </c>
      <c r="AA242">
        <v>-146850</v>
      </c>
      <c r="AB242">
        <v>0</v>
      </c>
      <c r="AC242" t="s">
        <v>182</v>
      </c>
      <c r="AD242" t="s">
        <v>267</v>
      </c>
    </row>
    <row r="243" spans="2:30" x14ac:dyDescent="0.25">
      <c r="B243" s="1" t="s">
        <v>264</v>
      </c>
      <c r="C243" s="1">
        <v>2026</v>
      </c>
      <c r="D243" s="1">
        <v>1</v>
      </c>
      <c r="E243" s="1">
        <v>-3462.5</v>
      </c>
      <c r="F243" s="1">
        <v>-3462.5</v>
      </c>
      <c r="G243" s="1" t="s">
        <v>265</v>
      </c>
      <c r="H243" s="1" t="s">
        <v>182</v>
      </c>
      <c r="P243" s="1" t="s">
        <v>268</v>
      </c>
      <c r="Q243" s="1">
        <v>2025</v>
      </c>
      <c r="R243" s="1">
        <v>1</v>
      </c>
      <c r="S243" s="1">
        <v>0</v>
      </c>
      <c r="T243" s="1">
        <v>0</v>
      </c>
      <c r="U243" s="1" t="s">
        <v>269</v>
      </c>
      <c r="V243" s="1" t="s">
        <v>182</v>
      </c>
      <c r="Y243" t="s">
        <v>268</v>
      </c>
      <c r="Z243" t="s">
        <v>1205</v>
      </c>
      <c r="AA243">
        <v>-32000</v>
      </c>
      <c r="AB243">
        <v>0</v>
      </c>
      <c r="AC243" t="s">
        <v>182</v>
      </c>
      <c r="AD243" t="s">
        <v>269</v>
      </c>
    </row>
    <row r="244" spans="2:30" x14ac:dyDescent="0.25">
      <c r="B244" s="1" t="s">
        <v>797</v>
      </c>
      <c r="C244" s="1">
        <v>2026</v>
      </c>
      <c r="D244" s="1">
        <v>1</v>
      </c>
      <c r="E244" s="1">
        <v>0</v>
      </c>
      <c r="F244" s="1">
        <v>0</v>
      </c>
      <c r="G244" s="1" t="s">
        <v>265</v>
      </c>
      <c r="H244" s="1" t="s">
        <v>182</v>
      </c>
      <c r="P244" s="1" t="s">
        <v>799</v>
      </c>
      <c r="Q244" s="1">
        <v>2025</v>
      </c>
      <c r="R244" s="1">
        <v>1</v>
      </c>
      <c r="S244" s="1">
        <v>0</v>
      </c>
      <c r="T244" s="1">
        <v>0</v>
      </c>
      <c r="U244" s="1" t="s">
        <v>269</v>
      </c>
      <c r="V244" s="1" t="s">
        <v>182</v>
      </c>
      <c r="Y244" t="s">
        <v>799</v>
      </c>
      <c r="Z244" t="s">
        <v>1205</v>
      </c>
      <c r="AA244">
        <v>-125799</v>
      </c>
      <c r="AB244">
        <v>0</v>
      </c>
      <c r="AC244" t="s">
        <v>182</v>
      </c>
      <c r="AD244" t="s">
        <v>269</v>
      </c>
    </row>
    <row r="245" spans="2:30" x14ac:dyDescent="0.25">
      <c r="B245" s="1" t="s">
        <v>266</v>
      </c>
      <c r="C245" s="1">
        <v>2026</v>
      </c>
      <c r="D245" s="1">
        <v>1</v>
      </c>
      <c r="E245" s="1">
        <v>0</v>
      </c>
      <c r="F245" s="1">
        <v>0</v>
      </c>
      <c r="G245" s="1" t="s">
        <v>267</v>
      </c>
      <c r="H245" s="1" t="s">
        <v>182</v>
      </c>
      <c r="P245" s="1" t="s">
        <v>270</v>
      </c>
      <c r="Q245" s="1">
        <v>2025</v>
      </c>
      <c r="R245" s="1">
        <v>1</v>
      </c>
      <c r="S245" s="1">
        <v>0</v>
      </c>
      <c r="T245" s="1">
        <v>0</v>
      </c>
      <c r="U245" s="1" t="s">
        <v>271</v>
      </c>
      <c r="V245" s="1" t="s">
        <v>182</v>
      </c>
      <c r="Y245" t="s">
        <v>270</v>
      </c>
      <c r="Z245" t="s">
        <v>1205</v>
      </c>
      <c r="AA245">
        <v>0</v>
      </c>
      <c r="AB245">
        <v>0</v>
      </c>
      <c r="AC245" t="s">
        <v>182</v>
      </c>
      <c r="AD245" t="s">
        <v>271</v>
      </c>
    </row>
    <row r="246" spans="2:30" x14ac:dyDescent="0.25">
      <c r="B246" s="1" t="s">
        <v>798</v>
      </c>
      <c r="C246" s="1">
        <v>2026</v>
      </c>
      <c r="D246" s="1">
        <v>1</v>
      </c>
      <c r="E246" s="1">
        <v>0</v>
      </c>
      <c r="F246" s="1">
        <v>0</v>
      </c>
      <c r="G246" s="1" t="s">
        <v>267</v>
      </c>
      <c r="H246" s="1" t="s">
        <v>182</v>
      </c>
      <c r="P246" s="1" t="s">
        <v>800</v>
      </c>
      <c r="Q246" s="1">
        <v>2025</v>
      </c>
      <c r="R246" s="1">
        <v>1</v>
      </c>
      <c r="S246" s="1">
        <v>0</v>
      </c>
      <c r="T246" s="1">
        <v>0</v>
      </c>
      <c r="U246" s="1" t="s">
        <v>271</v>
      </c>
      <c r="V246" s="1" t="s">
        <v>182</v>
      </c>
      <c r="Y246" t="s">
        <v>800</v>
      </c>
      <c r="Z246" t="s">
        <v>1205</v>
      </c>
      <c r="AA246">
        <v>0</v>
      </c>
      <c r="AB246">
        <v>0</v>
      </c>
      <c r="AC246" t="s">
        <v>182</v>
      </c>
      <c r="AD246" t="s">
        <v>271</v>
      </c>
    </row>
    <row r="247" spans="2:30" x14ac:dyDescent="0.25">
      <c r="B247" s="1" t="s">
        <v>268</v>
      </c>
      <c r="C247" s="1">
        <v>2026</v>
      </c>
      <c r="D247" s="1">
        <v>1</v>
      </c>
      <c r="E247" s="1">
        <v>0</v>
      </c>
      <c r="F247" s="1">
        <v>0</v>
      </c>
      <c r="G247" s="1" t="s">
        <v>269</v>
      </c>
      <c r="H247" s="1" t="s">
        <v>182</v>
      </c>
      <c r="P247" s="1" t="s">
        <v>272</v>
      </c>
      <c r="Q247" s="1">
        <v>2025</v>
      </c>
      <c r="R247" s="1">
        <v>1</v>
      </c>
      <c r="S247" s="1">
        <v>0</v>
      </c>
      <c r="T247" s="1">
        <v>0</v>
      </c>
      <c r="U247" s="1" t="s">
        <v>273</v>
      </c>
      <c r="V247" s="1" t="s">
        <v>182</v>
      </c>
      <c r="Y247" t="s">
        <v>272</v>
      </c>
      <c r="Z247" t="s">
        <v>1205</v>
      </c>
      <c r="AA247">
        <v>-247006.36</v>
      </c>
      <c r="AB247">
        <v>0</v>
      </c>
      <c r="AC247" t="s">
        <v>182</v>
      </c>
      <c r="AD247" t="s">
        <v>273</v>
      </c>
    </row>
    <row r="248" spans="2:30" x14ac:dyDescent="0.25">
      <c r="B248" s="1" t="s">
        <v>799</v>
      </c>
      <c r="C248" s="1">
        <v>2026</v>
      </c>
      <c r="D248" s="1">
        <v>1</v>
      </c>
      <c r="E248" s="1">
        <v>-9739</v>
      </c>
      <c r="F248" s="1">
        <v>-9739</v>
      </c>
      <c r="G248" s="1" t="s">
        <v>269</v>
      </c>
      <c r="H248" s="1" t="s">
        <v>182</v>
      </c>
      <c r="P248" s="1" t="s">
        <v>801</v>
      </c>
      <c r="Q248" s="1">
        <v>2025</v>
      </c>
      <c r="R248" s="1">
        <v>1</v>
      </c>
      <c r="S248" s="1">
        <v>0</v>
      </c>
      <c r="T248" s="1">
        <v>0</v>
      </c>
      <c r="U248" s="1" t="s">
        <v>273</v>
      </c>
      <c r="V248" s="1" t="s">
        <v>182</v>
      </c>
      <c r="Y248" t="s">
        <v>801</v>
      </c>
      <c r="Z248" t="s">
        <v>1205</v>
      </c>
      <c r="AA248">
        <v>-53900</v>
      </c>
      <c r="AB248">
        <v>0</v>
      </c>
      <c r="AC248" t="s">
        <v>182</v>
      </c>
      <c r="AD248" t="s">
        <v>273</v>
      </c>
    </row>
    <row r="249" spans="2:30" x14ac:dyDescent="0.25">
      <c r="B249" s="1" t="s">
        <v>270</v>
      </c>
      <c r="C249" s="1">
        <v>2026</v>
      </c>
      <c r="D249" s="1">
        <v>1</v>
      </c>
      <c r="E249" s="1">
        <v>0</v>
      </c>
      <c r="F249" s="1">
        <v>0</v>
      </c>
      <c r="G249" s="1" t="s">
        <v>271</v>
      </c>
      <c r="H249" s="1" t="s">
        <v>182</v>
      </c>
      <c r="P249" s="1" t="s">
        <v>274</v>
      </c>
      <c r="Q249" s="1">
        <v>2025</v>
      </c>
      <c r="R249" s="1">
        <v>1</v>
      </c>
      <c r="S249" s="1">
        <v>0</v>
      </c>
      <c r="T249" s="1">
        <v>0</v>
      </c>
      <c r="U249" s="1" t="s">
        <v>275</v>
      </c>
      <c r="V249" s="1" t="s">
        <v>182</v>
      </c>
      <c r="Y249" t="s">
        <v>274</v>
      </c>
      <c r="Z249" t="s">
        <v>1205</v>
      </c>
      <c r="AA249">
        <v>-77232.94</v>
      </c>
      <c r="AB249">
        <v>-1877.94</v>
      </c>
      <c r="AC249" t="s">
        <v>182</v>
      </c>
      <c r="AD249" t="s">
        <v>275</v>
      </c>
    </row>
    <row r="250" spans="2:30" x14ac:dyDescent="0.25">
      <c r="B250" s="1" t="s">
        <v>800</v>
      </c>
      <c r="C250" s="1">
        <v>2026</v>
      </c>
      <c r="D250" s="1">
        <v>1</v>
      </c>
      <c r="E250" s="1">
        <v>0</v>
      </c>
      <c r="F250" s="1">
        <v>0</v>
      </c>
      <c r="G250" s="1" t="s">
        <v>271</v>
      </c>
      <c r="H250" s="1" t="s">
        <v>182</v>
      </c>
      <c r="P250" s="1" t="s">
        <v>802</v>
      </c>
      <c r="Q250" s="1">
        <v>2025</v>
      </c>
      <c r="R250" s="1">
        <v>1</v>
      </c>
      <c r="S250" s="1">
        <v>0</v>
      </c>
      <c r="T250" s="1">
        <v>0</v>
      </c>
      <c r="U250" s="1" t="s">
        <v>275</v>
      </c>
      <c r="V250" s="1" t="s">
        <v>182</v>
      </c>
      <c r="Y250" t="s">
        <v>802</v>
      </c>
      <c r="Z250" t="s">
        <v>1205</v>
      </c>
      <c r="AA250">
        <v>0</v>
      </c>
      <c r="AB250">
        <v>0</v>
      </c>
      <c r="AC250" t="s">
        <v>182</v>
      </c>
      <c r="AD250" t="s">
        <v>275</v>
      </c>
    </row>
    <row r="251" spans="2:30" x14ac:dyDescent="0.25">
      <c r="B251" s="1" t="s">
        <v>272</v>
      </c>
      <c r="C251" s="1">
        <v>2026</v>
      </c>
      <c r="D251" s="1">
        <v>1</v>
      </c>
      <c r="E251" s="1">
        <v>-28739.73</v>
      </c>
      <c r="F251" s="1">
        <v>-28739.73</v>
      </c>
      <c r="G251" s="1" t="s">
        <v>273</v>
      </c>
      <c r="H251" s="1" t="s">
        <v>182</v>
      </c>
      <c r="P251" s="1" t="s">
        <v>1185</v>
      </c>
      <c r="Q251" s="1">
        <v>2025</v>
      </c>
      <c r="R251" s="1">
        <v>1</v>
      </c>
      <c r="S251" s="1">
        <v>0</v>
      </c>
      <c r="T251" s="1">
        <v>0</v>
      </c>
      <c r="U251" s="1" t="s">
        <v>1325</v>
      </c>
      <c r="V251" s="1" t="s">
        <v>182</v>
      </c>
      <c r="Y251" t="s">
        <v>1185</v>
      </c>
      <c r="Z251" t="s">
        <v>1205</v>
      </c>
      <c r="AA251">
        <v>-1422355.91</v>
      </c>
      <c r="AB251">
        <v>-423415.91</v>
      </c>
      <c r="AC251" t="s">
        <v>182</v>
      </c>
      <c r="AD251" t="s">
        <v>1325</v>
      </c>
    </row>
    <row r="252" spans="2:30" x14ac:dyDescent="0.25">
      <c r="B252" s="1" t="s">
        <v>801</v>
      </c>
      <c r="C252" s="1">
        <v>2026</v>
      </c>
      <c r="D252" s="1">
        <v>1</v>
      </c>
      <c r="E252" s="1">
        <v>0</v>
      </c>
      <c r="F252" s="1">
        <v>0</v>
      </c>
      <c r="G252" s="1" t="s">
        <v>273</v>
      </c>
      <c r="H252" s="1" t="s">
        <v>182</v>
      </c>
      <c r="P252" s="1" t="s">
        <v>276</v>
      </c>
      <c r="Q252" s="1">
        <v>2025</v>
      </c>
      <c r="R252" s="1">
        <v>1</v>
      </c>
      <c r="S252" s="1">
        <v>0</v>
      </c>
      <c r="T252" s="1">
        <v>0</v>
      </c>
      <c r="U252" s="1" t="s">
        <v>277</v>
      </c>
      <c r="V252" s="1" t="s">
        <v>182</v>
      </c>
      <c r="Y252" t="s">
        <v>276</v>
      </c>
      <c r="Z252" t="s">
        <v>1205</v>
      </c>
      <c r="AA252">
        <v>0</v>
      </c>
      <c r="AB252">
        <v>0</v>
      </c>
      <c r="AC252" t="s">
        <v>182</v>
      </c>
      <c r="AD252" t="s">
        <v>277</v>
      </c>
    </row>
    <row r="253" spans="2:30" x14ac:dyDescent="0.25">
      <c r="B253" s="1" t="s">
        <v>274</v>
      </c>
      <c r="C253" s="1">
        <v>2026</v>
      </c>
      <c r="D253" s="1">
        <v>1</v>
      </c>
      <c r="E253" s="1">
        <v>0</v>
      </c>
      <c r="F253" s="1">
        <v>0</v>
      </c>
      <c r="G253" s="1" t="s">
        <v>275</v>
      </c>
      <c r="H253" s="1" t="s">
        <v>182</v>
      </c>
      <c r="P253" s="1" t="s">
        <v>803</v>
      </c>
      <c r="Q253" s="1">
        <v>2025</v>
      </c>
      <c r="R253" s="1">
        <v>1</v>
      </c>
      <c r="S253" s="1">
        <v>0</v>
      </c>
      <c r="T253" s="1">
        <v>0</v>
      </c>
      <c r="U253" s="1" t="s">
        <v>277</v>
      </c>
      <c r="V253" s="1" t="s">
        <v>182</v>
      </c>
      <c r="Y253" t="s">
        <v>803</v>
      </c>
      <c r="Z253" t="s">
        <v>1205</v>
      </c>
      <c r="AA253">
        <v>0</v>
      </c>
      <c r="AB253">
        <v>0</v>
      </c>
      <c r="AC253" t="s">
        <v>182</v>
      </c>
      <c r="AD253" t="s">
        <v>277</v>
      </c>
    </row>
    <row r="254" spans="2:30" x14ac:dyDescent="0.25">
      <c r="B254" s="1" t="s">
        <v>802</v>
      </c>
      <c r="C254" s="1">
        <v>2026</v>
      </c>
      <c r="D254" s="1">
        <v>1</v>
      </c>
      <c r="E254" s="1">
        <v>0</v>
      </c>
      <c r="F254" s="1">
        <v>0</v>
      </c>
      <c r="G254" s="1" t="s">
        <v>275</v>
      </c>
      <c r="H254" s="1" t="s">
        <v>182</v>
      </c>
      <c r="P254" s="1" t="s">
        <v>278</v>
      </c>
      <c r="Q254" s="1">
        <v>2025</v>
      </c>
      <c r="R254" s="1">
        <v>1</v>
      </c>
      <c r="S254" s="1">
        <v>0</v>
      </c>
      <c r="T254" s="1">
        <v>0</v>
      </c>
      <c r="U254" s="1" t="s">
        <v>1255</v>
      </c>
      <c r="V254" s="1" t="s">
        <v>182</v>
      </c>
      <c r="Y254" t="s">
        <v>278</v>
      </c>
      <c r="Z254" t="s">
        <v>1205</v>
      </c>
      <c r="AA254">
        <v>0</v>
      </c>
      <c r="AB254">
        <v>0</v>
      </c>
      <c r="AC254" t="s">
        <v>182</v>
      </c>
      <c r="AD254" t="s">
        <v>1255</v>
      </c>
    </row>
    <row r="255" spans="2:30" x14ac:dyDescent="0.25">
      <c r="B255" s="1" t="s">
        <v>1185</v>
      </c>
      <c r="C255" s="1">
        <v>2026</v>
      </c>
      <c r="D255" s="1">
        <v>1</v>
      </c>
      <c r="E255" s="1">
        <v>-115000</v>
      </c>
      <c r="F255" s="1">
        <v>-115000</v>
      </c>
      <c r="G255" s="1" t="s">
        <v>1325</v>
      </c>
      <c r="H255" s="1" t="s">
        <v>182</v>
      </c>
      <c r="P255" s="1" t="s">
        <v>279</v>
      </c>
      <c r="Q255" s="1">
        <v>2025</v>
      </c>
      <c r="R255" s="1">
        <v>1</v>
      </c>
      <c r="S255" s="1">
        <v>0</v>
      </c>
      <c r="T255" s="1">
        <v>0</v>
      </c>
      <c r="U255" s="1" t="s">
        <v>280</v>
      </c>
      <c r="V255" s="1" t="s">
        <v>182</v>
      </c>
      <c r="Y255" t="s">
        <v>279</v>
      </c>
      <c r="Z255" t="s">
        <v>1205</v>
      </c>
      <c r="AA255">
        <v>0</v>
      </c>
      <c r="AB255">
        <v>0</v>
      </c>
      <c r="AC255" t="s">
        <v>182</v>
      </c>
      <c r="AD255" t="s">
        <v>280</v>
      </c>
    </row>
    <row r="256" spans="2:30" x14ac:dyDescent="0.25">
      <c r="B256" s="1" t="s">
        <v>276</v>
      </c>
      <c r="C256" s="1">
        <v>2026</v>
      </c>
      <c r="D256" s="1">
        <v>1</v>
      </c>
      <c r="E256" s="1">
        <v>0</v>
      </c>
      <c r="F256" s="1">
        <v>0</v>
      </c>
      <c r="G256" s="1" t="s">
        <v>277</v>
      </c>
      <c r="H256" s="1" t="s">
        <v>182</v>
      </c>
      <c r="P256" s="1" t="s">
        <v>1040</v>
      </c>
      <c r="Q256" s="1">
        <v>2025</v>
      </c>
      <c r="R256" s="1">
        <v>1</v>
      </c>
      <c r="S256" s="1">
        <v>0</v>
      </c>
      <c r="T256" s="1">
        <v>0</v>
      </c>
      <c r="U256" s="1" t="s">
        <v>280</v>
      </c>
      <c r="V256" s="1" t="s">
        <v>182</v>
      </c>
      <c r="Y256" t="s">
        <v>1040</v>
      </c>
      <c r="Z256" t="s">
        <v>1205</v>
      </c>
      <c r="AA256">
        <v>0</v>
      </c>
      <c r="AB256">
        <v>0</v>
      </c>
      <c r="AC256" t="s">
        <v>182</v>
      </c>
      <c r="AD256" t="s">
        <v>280</v>
      </c>
    </row>
    <row r="257" spans="2:30" x14ac:dyDescent="0.25">
      <c r="B257" s="1" t="s">
        <v>803</v>
      </c>
      <c r="C257" s="1">
        <v>2026</v>
      </c>
      <c r="D257" s="1">
        <v>1</v>
      </c>
      <c r="E257" s="1">
        <v>0</v>
      </c>
      <c r="F257" s="1">
        <v>0</v>
      </c>
      <c r="G257" s="1" t="s">
        <v>277</v>
      </c>
      <c r="H257" s="1" t="s">
        <v>182</v>
      </c>
      <c r="P257" s="1" t="s">
        <v>281</v>
      </c>
      <c r="Q257" s="1">
        <v>2025</v>
      </c>
      <c r="R257" s="1">
        <v>1</v>
      </c>
      <c r="S257" s="1">
        <v>0</v>
      </c>
      <c r="T257" s="1">
        <v>0</v>
      </c>
      <c r="U257" s="1" t="s">
        <v>282</v>
      </c>
      <c r="V257" s="1" t="s">
        <v>182</v>
      </c>
      <c r="Y257" t="s">
        <v>281</v>
      </c>
      <c r="Z257" t="s">
        <v>1205</v>
      </c>
      <c r="AA257">
        <v>0</v>
      </c>
      <c r="AB257">
        <v>0</v>
      </c>
      <c r="AC257" t="s">
        <v>182</v>
      </c>
      <c r="AD257" t="s">
        <v>282</v>
      </c>
    </row>
    <row r="258" spans="2:30" x14ac:dyDescent="0.25">
      <c r="B258" s="1" t="s">
        <v>278</v>
      </c>
      <c r="C258" s="1">
        <v>2026</v>
      </c>
      <c r="D258" s="1">
        <v>1</v>
      </c>
      <c r="E258" s="1">
        <v>0</v>
      </c>
      <c r="F258" s="1">
        <v>0</v>
      </c>
      <c r="G258" s="1" t="s">
        <v>1255</v>
      </c>
      <c r="H258" s="1" t="s">
        <v>182</v>
      </c>
      <c r="P258" s="1" t="s">
        <v>1041</v>
      </c>
      <c r="Q258" s="1">
        <v>2025</v>
      </c>
      <c r="R258" s="1">
        <v>1</v>
      </c>
      <c r="S258" s="1">
        <v>0</v>
      </c>
      <c r="T258" s="1">
        <v>0</v>
      </c>
      <c r="U258" s="1" t="s">
        <v>282</v>
      </c>
      <c r="V258" s="1" t="s">
        <v>182</v>
      </c>
      <c r="Y258" t="s">
        <v>1041</v>
      </c>
      <c r="Z258" t="s">
        <v>1205</v>
      </c>
      <c r="AA258">
        <v>0</v>
      </c>
      <c r="AB258">
        <v>0</v>
      </c>
      <c r="AC258" t="s">
        <v>182</v>
      </c>
      <c r="AD258" t="s">
        <v>282</v>
      </c>
    </row>
    <row r="259" spans="2:30" x14ac:dyDescent="0.25">
      <c r="B259" s="1" t="s">
        <v>279</v>
      </c>
      <c r="C259" s="1">
        <v>2026</v>
      </c>
      <c r="D259" s="1">
        <v>1</v>
      </c>
      <c r="E259" s="1">
        <v>0</v>
      </c>
      <c r="F259" s="1">
        <v>0</v>
      </c>
      <c r="G259" s="1" t="s">
        <v>280</v>
      </c>
      <c r="H259" s="1" t="s">
        <v>182</v>
      </c>
      <c r="P259" s="1" t="s">
        <v>1179</v>
      </c>
      <c r="Q259" s="1">
        <v>2025</v>
      </c>
      <c r="R259" s="1">
        <v>1</v>
      </c>
      <c r="S259" s="1">
        <v>0</v>
      </c>
      <c r="T259" s="1">
        <v>0</v>
      </c>
      <c r="U259" s="1" t="s">
        <v>1445</v>
      </c>
      <c r="V259" s="1" t="s">
        <v>182</v>
      </c>
      <c r="Y259" t="s">
        <v>1179</v>
      </c>
      <c r="Z259" t="s">
        <v>1205</v>
      </c>
      <c r="AA259">
        <v>0</v>
      </c>
      <c r="AB259">
        <v>0</v>
      </c>
      <c r="AC259" t="s">
        <v>182</v>
      </c>
      <c r="AD259" t="s">
        <v>1445</v>
      </c>
    </row>
    <row r="260" spans="2:30" x14ac:dyDescent="0.25">
      <c r="B260" s="1" t="s">
        <v>1040</v>
      </c>
      <c r="C260" s="1">
        <v>2026</v>
      </c>
      <c r="D260" s="1">
        <v>1</v>
      </c>
      <c r="E260" s="1">
        <v>0</v>
      </c>
      <c r="F260" s="1">
        <v>0</v>
      </c>
      <c r="G260" s="1" t="s">
        <v>280</v>
      </c>
      <c r="H260" s="1" t="s">
        <v>182</v>
      </c>
      <c r="P260" s="1" t="s">
        <v>1403</v>
      </c>
      <c r="Q260" s="1">
        <v>2025</v>
      </c>
      <c r="R260" s="1">
        <v>1</v>
      </c>
      <c r="S260" s="1">
        <v>0</v>
      </c>
      <c r="T260" s="1">
        <v>0</v>
      </c>
      <c r="U260" s="1" t="s">
        <v>1446</v>
      </c>
      <c r="V260" s="1" t="s">
        <v>182</v>
      </c>
      <c r="Y260" t="s">
        <v>1403</v>
      </c>
      <c r="Z260" t="s">
        <v>1205</v>
      </c>
      <c r="AA260">
        <v>0</v>
      </c>
      <c r="AB260">
        <v>0</v>
      </c>
      <c r="AC260" t="s">
        <v>182</v>
      </c>
      <c r="AD260" t="s">
        <v>1446</v>
      </c>
    </row>
    <row r="261" spans="2:30" x14ac:dyDescent="0.25">
      <c r="B261" s="1" t="s">
        <v>281</v>
      </c>
      <c r="C261" s="1">
        <v>2026</v>
      </c>
      <c r="D261" s="1">
        <v>1</v>
      </c>
      <c r="E261" s="1">
        <v>0</v>
      </c>
      <c r="F261" s="1">
        <v>0</v>
      </c>
      <c r="G261" s="1" t="s">
        <v>282</v>
      </c>
      <c r="H261" s="1" t="s">
        <v>182</v>
      </c>
      <c r="P261" s="1" t="s">
        <v>283</v>
      </c>
      <c r="Q261" s="1">
        <v>2025</v>
      </c>
      <c r="R261" s="1">
        <v>1</v>
      </c>
      <c r="S261" s="1">
        <v>-428.01</v>
      </c>
      <c r="T261" s="1">
        <v>-428.01</v>
      </c>
      <c r="U261" s="1" t="s">
        <v>284</v>
      </c>
      <c r="V261" s="1" t="s">
        <v>182</v>
      </c>
      <c r="Y261" t="s">
        <v>283</v>
      </c>
      <c r="Z261" t="s">
        <v>1205</v>
      </c>
      <c r="AA261">
        <v>-7658.62</v>
      </c>
      <c r="AB261">
        <v>-144.28</v>
      </c>
      <c r="AC261" t="s">
        <v>182</v>
      </c>
      <c r="AD261" t="s">
        <v>284</v>
      </c>
    </row>
    <row r="262" spans="2:30" x14ac:dyDescent="0.25">
      <c r="B262" s="1" t="s">
        <v>1041</v>
      </c>
      <c r="C262" s="1">
        <v>2026</v>
      </c>
      <c r="D262" s="1">
        <v>1</v>
      </c>
      <c r="E262" s="1">
        <v>0</v>
      </c>
      <c r="F262" s="1">
        <v>0</v>
      </c>
      <c r="G262" s="1" t="s">
        <v>282</v>
      </c>
      <c r="H262" s="1" t="s">
        <v>182</v>
      </c>
      <c r="P262" s="1" t="s">
        <v>804</v>
      </c>
      <c r="Q262" s="1">
        <v>2025</v>
      </c>
      <c r="R262" s="1">
        <v>1</v>
      </c>
      <c r="S262" s="1">
        <v>0</v>
      </c>
      <c r="T262" s="1">
        <v>0</v>
      </c>
      <c r="U262" s="1" t="s">
        <v>284</v>
      </c>
      <c r="V262" s="1" t="s">
        <v>182</v>
      </c>
      <c r="Y262" t="s">
        <v>804</v>
      </c>
      <c r="Z262" t="s">
        <v>1205</v>
      </c>
      <c r="AA262">
        <v>0</v>
      </c>
      <c r="AB262">
        <v>0</v>
      </c>
      <c r="AC262" t="s">
        <v>182</v>
      </c>
      <c r="AD262" t="s">
        <v>284</v>
      </c>
    </row>
    <row r="263" spans="2:30" x14ac:dyDescent="0.25">
      <c r="B263" s="1" t="s">
        <v>1179</v>
      </c>
      <c r="C263" s="1">
        <v>2026</v>
      </c>
      <c r="D263" s="1">
        <v>1</v>
      </c>
      <c r="E263" s="1">
        <v>0</v>
      </c>
      <c r="F263" s="1">
        <v>0</v>
      </c>
      <c r="G263" s="1" t="s">
        <v>1445</v>
      </c>
      <c r="H263" s="1" t="s">
        <v>182</v>
      </c>
      <c r="P263" s="1" t="s">
        <v>285</v>
      </c>
      <c r="Q263" s="1">
        <v>2025</v>
      </c>
      <c r="R263" s="1">
        <v>1</v>
      </c>
      <c r="S263" s="1">
        <v>0</v>
      </c>
      <c r="T263" s="1">
        <v>0</v>
      </c>
      <c r="U263" s="1" t="s">
        <v>286</v>
      </c>
      <c r="V263" s="1" t="s">
        <v>182</v>
      </c>
      <c r="Y263" t="s">
        <v>285</v>
      </c>
      <c r="Z263" t="s">
        <v>1205</v>
      </c>
      <c r="AA263">
        <v>0</v>
      </c>
      <c r="AB263">
        <v>0</v>
      </c>
      <c r="AC263" t="s">
        <v>182</v>
      </c>
      <c r="AD263" t="s">
        <v>286</v>
      </c>
    </row>
    <row r="264" spans="2:30" x14ac:dyDescent="0.25">
      <c r="B264" s="1" t="s">
        <v>1403</v>
      </c>
      <c r="C264" s="1">
        <v>2026</v>
      </c>
      <c r="D264" s="1">
        <v>1</v>
      </c>
      <c r="E264" s="1">
        <v>0</v>
      </c>
      <c r="F264" s="1">
        <v>0</v>
      </c>
      <c r="G264" s="1" t="s">
        <v>1446</v>
      </c>
      <c r="H264" s="1" t="s">
        <v>182</v>
      </c>
      <c r="P264" s="1" t="s">
        <v>1042</v>
      </c>
      <c r="Q264" s="1">
        <v>2025</v>
      </c>
      <c r="R264" s="1">
        <v>1</v>
      </c>
      <c r="S264" s="1">
        <v>0</v>
      </c>
      <c r="T264" s="1">
        <v>0</v>
      </c>
      <c r="U264" s="1" t="s">
        <v>286</v>
      </c>
      <c r="V264" s="1" t="s">
        <v>182</v>
      </c>
      <c r="Y264" t="s">
        <v>1042</v>
      </c>
      <c r="Z264" t="s">
        <v>1205</v>
      </c>
      <c r="AA264">
        <v>0</v>
      </c>
      <c r="AB264">
        <v>0</v>
      </c>
      <c r="AC264" t="s">
        <v>182</v>
      </c>
      <c r="AD264" t="s">
        <v>286</v>
      </c>
    </row>
    <row r="265" spans="2:30" x14ac:dyDescent="0.25">
      <c r="B265" s="1" t="s">
        <v>283</v>
      </c>
      <c r="C265" s="1">
        <v>2026</v>
      </c>
      <c r="D265" s="1">
        <v>1</v>
      </c>
      <c r="E265" s="1">
        <v>1372</v>
      </c>
      <c r="F265" s="1">
        <v>1372</v>
      </c>
      <c r="G265" s="1" t="s">
        <v>284</v>
      </c>
      <c r="H265" s="1" t="s">
        <v>182</v>
      </c>
      <c r="P265" s="1" t="s">
        <v>287</v>
      </c>
      <c r="Q265" s="1">
        <v>2025</v>
      </c>
      <c r="R265" s="1">
        <v>1</v>
      </c>
      <c r="S265" s="1">
        <v>0</v>
      </c>
      <c r="T265" s="1">
        <v>0</v>
      </c>
      <c r="U265" s="1" t="s">
        <v>288</v>
      </c>
      <c r="V265" s="1" t="s">
        <v>182</v>
      </c>
      <c r="Y265" t="s">
        <v>287</v>
      </c>
      <c r="Z265" t="s">
        <v>1205</v>
      </c>
      <c r="AA265">
        <v>0</v>
      </c>
      <c r="AB265">
        <v>0</v>
      </c>
      <c r="AC265" t="s">
        <v>182</v>
      </c>
      <c r="AD265" t="s">
        <v>288</v>
      </c>
    </row>
    <row r="266" spans="2:30" x14ac:dyDescent="0.25">
      <c r="B266" s="1" t="s">
        <v>804</v>
      </c>
      <c r="C266" s="1">
        <v>2026</v>
      </c>
      <c r="D266" s="1">
        <v>1</v>
      </c>
      <c r="E266" s="1">
        <v>0</v>
      </c>
      <c r="F266" s="1">
        <v>0</v>
      </c>
      <c r="G266" s="1" t="s">
        <v>284</v>
      </c>
      <c r="H266" s="1" t="s">
        <v>182</v>
      </c>
      <c r="P266" s="1" t="s">
        <v>1043</v>
      </c>
      <c r="Q266" s="1">
        <v>2025</v>
      </c>
      <c r="R266" s="1">
        <v>1</v>
      </c>
      <c r="S266" s="1">
        <v>0</v>
      </c>
      <c r="T266" s="1">
        <v>0</v>
      </c>
      <c r="U266" s="1" t="s">
        <v>288</v>
      </c>
      <c r="V266" s="1" t="s">
        <v>182</v>
      </c>
      <c r="Y266" t="s">
        <v>1043</v>
      </c>
      <c r="Z266" t="s">
        <v>1205</v>
      </c>
      <c r="AA266">
        <v>0</v>
      </c>
      <c r="AB266">
        <v>0</v>
      </c>
      <c r="AC266" t="s">
        <v>182</v>
      </c>
      <c r="AD266" t="s">
        <v>288</v>
      </c>
    </row>
    <row r="267" spans="2:30" x14ac:dyDescent="0.25">
      <c r="B267" s="1" t="s">
        <v>285</v>
      </c>
      <c r="C267" s="1">
        <v>2026</v>
      </c>
      <c r="D267" s="1">
        <v>1</v>
      </c>
      <c r="E267" s="1">
        <v>0</v>
      </c>
      <c r="F267" s="1">
        <v>0</v>
      </c>
      <c r="G267" s="1" t="s">
        <v>286</v>
      </c>
      <c r="H267" s="1" t="s">
        <v>182</v>
      </c>
      <c r="P267" s="1" t="s">
        <v>289</v>
      </c>
      <c r="Q267" s="1">
        <v>2025</v>
      </c>
      <c r="R267" s="1">
        <v>1</v>
      </c>
      <c r="S267" s="1">
        <v>0</v>
      </c>
      <c r="T267" s="1">
        <v>0</v>
      </c>
      <c r="U267" s="1" t="s">
        <v>290</v>
      </c>
      <c r="V267" s="1" t="s">
        <v>182</v>
      </c>
      <c r="Y267" t="s">
        <v>289</v>
      </c>
      <c r="Z267" t="s">
        <v>1205</v>
      </c>
      <c r="AA267">
        <v>0</v>
      </c>
      <c r="AB267">
        <v>0</v>
      </c>
      <c r="AC267" t="s">
        <v>182</v>
      </c>
      <c r="AD267" t="s">
        <v>290</v>
      </c>
    </row>
    <row r="268" spans="2:30" x14ac:dyDescent="0.25">
      <c r="B268" s="1" t="s">
        <v>1042</v>
      </c>
      <c r="C268" s="1">
        <v>2026</v>
      </c>
      <c r="D268" s="1">
        <v>1</v>
      </c>
      <c r="E268" s="1">
        <v>0</v>
      </c>
      <c r="F268" s="1">
        <v>0</v>
      </c>
      <c r="G268" s="1" t="s">
        <v>286</v>
      </c>
      <c r="H268" s="1" t="s">
        <v>182</v>
      </c>
      <c r="P268" s="1" t="s">
        <v>805</v>
      </c>
      <c r="Q268" s="1">
        <v>2025</v>
      </c>
      <c r="R268" s="1">
        <v>1</v>
      </c>
      <c r="S268" s="1">
        <v>0</v>
      </c>
      <c r="T268" s="1">
        <v>0</v>
      </c>
      <c r="U268" s="1" t="s">
        <v>290</v>
      </c>
      <c r="V268" s="1" t="s">
        <v>182</v>
      </c>
      <c r="Y268" t="s">
        <v>805</v>
      </c>
      <c r="Z268" t="s">
        <v>1205</v>
      </c>
      <c r="AA268">
        <v>0</v>
      </c>
      <c r="AB268">
        <v>0</v>
      </c>
      <c r="AC268" t="s">
        <v>182</v>
      </c>
      <c r="AD268" t="s">
        <v>290</v>
      </c>
    </row>
    <row r="269" spans="2:30" x14ac:dyDescent="0.25">
      <c r="B269" s="1" t="s">
        <v>287</v>
      </c>
      <c r="C269" s="1">
        <v>2026</v>
      </c>
      <c r="D269" s="1">
        <v>1</v>
      </c>
      <c r="E269" s="1">
        <v>0</v>
      </c>
      <c r="F269" s="1">
        <v>0</v>
      </c>
      <c r="G269" s="1" t="s">
        <v>288</v>
      </c>
      <c r="H269" s="1" t="s">
        <v>182</v>
      </c>
      <c r="P269" s="1" t="s">
        <v>1256</v>
      </c>
      <c r="Q269" s="1">
        <v>2025</v>
      </c>
      <c r="R269" s="1">
        <v>1</v>
      </c>
      <c r="S269" s="1">
        <v>0</v>
      </c>
      <c r="T269" s="1">
        <v>0</v>
      </c>
      <c r="U269" s="1" t="s">
        <v>1343</v>
      </c>
      <c r="V269" s="1" t="s">
        <v>182</v>
      </c>
      <c r="Y269" t="s">
        <v>1256</v>
      </c>
      <c r="Z269" t="s">
        <v>1205</v>
      </c>
      <c r="AA269">
        <v>0</v>
      </c>
      <c r="AB269">
        <v>0</v>
      </c>
      <c r="AC269" t="s">
        <v>182</v>
      </c>
      <c r="AD269" t="s">
        <v>1343</v>
      </c>
    </row>
    <row r="270" spans="2:30" x14ac:dyDescent="0.25">
      <c r="B270" s="1" t="s">
        <v>1043</v>
      </c>
      <c r="C270" s="1">
        <v>2026</v>
      </c>
      <c r="D270" s="1">
        <v>1</v>
      </c>
      <c r="E270" s="1">
        <v>0</v>
      </c>
      <c r="F270" s="1">
        <v>0</v>
      </c>
      <c r="G270" s="1" t="s">
        <v>288</v>
      </c>
      <c r="H270" s="1" t="s">
        <v>182</v>
      </c>
      <c r="P270" s="1" t="s">
        <v>291</v>
      </c>
      <c r="Q270" s="1">
        <v>2025</v>
      </c>
      <c r="R270" s="1">
        <v>1</v>
      </c>
      <c r="S270" s="1">
        <v>0</v>
      </c>
      <c r="T270" s="1">
        <v>0</v>
      </c>
      <c r="U270" s="1" t="s">
        <v>292</v>
      </c>
      <c r="V270" s="1" t="s">
        <v>182</v>
      </c>
      <c r="Y270" t="s">
        <v>291</v>
      </c>
      <c r="Z270" t="s">
        <v>1205</v>
      </c>
      <c r="AA270">
        <v>0</v>
      </c>
      <c r="AB270">
        <v>0</v>
      </c>
      <c r="AC270" t="s">
        <v>182</v>
      </c>
      <c r="AD270" t="s">
        <v>292</v>
      </c>
    </row>
    <row r="271" spans="2:30" x14ac:dyDescent="0.25">
      <c r="B271" s="1" t="s">
        <v>289</v>
      </c>
      <c r="C271" s="1">
        <v>2026</v>
      </c>
      <c r="D271" s="1">
        <v>1</v>
      </c>
      <c r="E271" s="1">
        <v>0</v>
      </c>
      <c r="F271" s="1">
        <v>0</v>
      </c>
      <c r="G271" s="1" t="s">
        <v>290</v>
      </c>
      <c r="H271" s="1" t="s">
        <v>182</v>
      </c>
      <c r="P271" s="1" t="s">
        <v>806</v>
      </c>
      <c r="Q271" s="1">
        <v>2025</v>
      </c>
      <c r="R271" s="1">
        <v>1</v>
      </c>
      <c r="S271" s="1">
        <v>0</v>
      </c>
      <c r="T271" s="1">
        <v>0</v>
      </c>
      <c r="U271" s="1" t="s">
        <v>292</v>
      </c>
      <c r="V271" s="1" t="s">
        <v>182</v>
      </c>
      <c r="Y271" t="s">
        <v>806</v>
      </c>
      <c r="Z271" t="s">
        <v>1205</v>
      </c>
      <c r="AA271">
        <v>0</v>
      </c>
      <c r="AB271">
        <v>0</v>
      </c>
      <c r="AC271" t="s">
        <v>182</v>
      </c>
      <c r="AD271" t="s">
        <v>292</v>
      </c>
    </row>
    <row r="272" spans="2:30" x14ac:dyDescent="0.25">
      <c r="B272" s="1" t="s">
        <v>805</v>
      </c>
      <c r="C272" s="1">
        <v>2026</v>
      </c>
      <c r="D272" s="1">
        <v>1</v>
      </c>
      <c r="E272" s="1">
        <v>0</v>
      </c>
      <c r="F272" s="1">
        <v>0</v>
      </c>
      <c r="G272" s="1" t="s">
        <v>290</v>
      </c>
      <c r="H272" s="1" t="s">
        <v>182</v>
      </c>
      <c r="P272" s="1" t="s">
        <v>293</v>
      </c>
      <c r="Q272" s="1">
        <v>2025</v>
      </c>
      <c r="R272" s="1">
        <v>1</v>
      </c>
      <c r="S272" s="1">
        <v>0</v>
      </c>
      <c r="T272" s="1">
        <v>0</v>
      </c>
      <c r="U272" s="1" t="s">
        <v>294</v>
      </c>
      <c r="V272" s="1" t="s">
        <v>182</v>
      </c>
      <c r="Y272" t="s">
        <v>293</v>
      </c>
      <c r="Z272" t="s">
        <v>1205</v>
      </c>
      <c r="AA272">
        <v>0</v>
      </c>
      <c r="AB272">
        <v>0</v>
      </c>
      <c r="AC272" t="s">
        <v>182</v>
      </c>
      <c r="AD272" t="s">
        <v>294</v>
      </c>
    </row>
    <row r="273" spans="2:30" x14ac:dyDescent="0.25">
      <c r="B273" s="1" t="s">
        <v>1256</v>
      </c>
      <c r="C273" s="1">
        <v>2026</v>
      </c>
      <c r="D273" s="1">
        <v>1</v>
      </c>
      <c r="E273" s="1">
        <v>0</v>
      </c>
      <c r="F273" s="1">
        <v>0</v>
      </c>
      <c r="G273" s="1" t="s">
        <v>1343</v>
      </c>
      <c r="H273" s="1" t="s">
        <v>182</v>
      </c>
      <c r="P273" s="1" t="s">
        <v>807</v>
      </c>
      <c r="Q273" s="1">
        <v>2025</v>
      </c>
      <c r="R273" s="1">
        <v>1</v>
      </c>
      <c r="S273" s="1">
        <v>0</v>
      </c>
      <c r="T273" s="1">
        <v>0</v>
      </c>
      <c r="U273" s="1" t="s">
        <v>294</v>
      </c>
      <c r="V273" s="1" t="s">
        <v>182</v>
      </c>
      <c r="Y273" t="s">
        <v>807</v>
      </c>
      <c r="Z273" t="s">
        <v>1205</v>
      </c>
      <c r="AA273">
        <v>0</v>
      </c>
      <c r="AB273">
        <v>0</v>
      </c>
      <c r="AC273" t="s">
        <v>182</v>
      </c>
      <c r="AD273" t="s">
        <v>294</v>
      </c>
    </row>
    <row r="274" spans="2:30" x14ac:dyDescent="0.25">
      <c r="B274" s="1" t="s">
        <v>291</v>
      </c>
      <c r="C274" s="1">
        <v>2026</v>
      </c>
      <c r="D274" s="1">
        <v>1</v>
      </c>
      <c r="E274" s="1">
        <v>0</v>
      </c>
      <c r="F274" s="1">
        <v>0</v>
      </c>
      <c r="G274" s="1" t="s">
        <v>292</v>
      </c>
      <c r="H274" s="1" t="s">
        <v>182</v>
      </c>
      <c r="P274" s="1" t="s">
        <v>295</v>
      </c>
      <c r="Q274" s="1">
        <v>2025</v>
      </c>
      <c r="R274" s="1">
        <v>1</v>
      </c>
      <c r="S274" s="1">
        <v>0</v>
      </c>
      <c r="T274" s="1">
        <v>0</v>
      </c>
      <c r="U274" s="1" t="s">
        <v>296</v>
      </c>
      <c r="V274" s="1" t="s">
        <v>182</v>
      </c>
      <c r="Y274" t="s">
        <v>295</v>
      </c>
      <c r="Z274" t="s">
        <v>1205</v>
      </c>
      <c r="AA274">
        <v>0</v>
      </c>
      <c r="AB274">
        <v>0</v>
      </c>
      <c r="AC274" t="s">
        <v>182</v>
      </c>
      <c r="AD274" t="s">
        <v>296</v>
      </c>
    </row>
    <row r="275" spans="2:30" x14ac:dyDescent="0.25">
      <c r="B275" s="1" t="s">
        <v>806</v>
      </c>
      <c r="C275" s="1">
        <v>2026</v>
      </c>
      <c r="D275" s="1">
        <v>1</v>
      </c>
      <c r="E275" s="1">
        <v>0</v>
      </c>
      <c r="F275" s="1">
        <v>0</v>
      </c>
      <c r="G275" s="1" t="s">
        <v>292</v>
      </c>
      <c r="H275" s="1" t="s">
        <v>182</v>
      </c>
      <c r="P275" s="1" t="s">
        <v>808</v>
      </c>
      <c r="Q275" s="1">
        <v>2025</v>
      </c>
      <c r="R275" s="1">
        <v>1</v>
      </c>
      <c r="S275" s="1">
        <v>0</v>
      </c>
      <c r="T275" s="1">
        <v>0</v>
      </c>
      <c r="U275" s="1" t="s">
        <v>296</v>
      </c>
      <c r="V275" s="1" t="s">
        <v>182</v>
      </c>
      <c r="Y275" t="s">
        <v>808</v>
      </c>
      <c r="Z275" t="s">
        <v>1205</v>
      </c>
      <c r="AA275">
        <v>0</v>
      </c>
      <c r="AB275">
        <v>0</v>
      </c>
      <c r="AC275" t="s">
        <v>182</v>
      </c>
      <c r="AD275" t="s">
        <v>296</v>
      </c>
    </row>
    <row r="276" spans="2:30" x14ac:dyDescent="0.25">
      <c r="B276" s="1" t="s">
        <v>293</v>
      </c>
      <c r="C276" s="1">
        <v>2026</v>
      </c>
      <c r="D276" s="1">
        <v>1</v>
      </c>
      <c r="E276" s="1">
        <v>0</v>
      </c>
      <c r="F276" s="1">
        <v>0</v>
      </c>
      <c r="G276" s="1" t="s">
        <v>294</v>
      </c>
      <c r="H276" s="1" t="s">
        <v>182</v>
      </c>
      <c r="P276" s="1" t="s">
        <v>297</v>
      </c>
      <c r="Q276" s="1">
        <v>2025</v>
      </c>
      <c r="R276" s="1">
        <v>1</v>
      </c>
      <c r="S276" s="1">
        <v>0</v>
      </c>
      <c r="T276" s="1">
        <v>0</v>
      </c>
      <c r="U276" s="1" t="s">
        <v>298</v>
      </c>
      <c r="V276" s="1" t="s">
        <v>182</v>
      </c>
      <c r="Y276" t="s">
        <v>297</v>
      </c>
      <c r="Z276" t="s">
        <v>1205</v>
      </c>
      <c r="AA276">
        <v>0</v>
      </c>
      <c r="AB276">
        <v>0</v>
      </c>
      <c r="AC276" t="s">
        <v>182</v>
      </c>
      <c r="AD276" t="s">
        <v>298</v>
      </c>
    </row>
    <row r="277" spans="2:30" x14ac:dyDescent="0.25">
      <c r="B277" s="1" t="s">
        <v>807</v>
      </c>
      <c r="C277" s="1">
        <v>2026</v>
      </c>
      <c r="D277" s="1">
        <v>1</v>
      </c>
      <c r="E277" s="1">
        <v>0</v>
      </c>
      <c r="F277" s="1">
        <v>0</v>
      </c>
      <c r="G277" s="1" t="s">
        <v>294</v>
      </c>
      <c r="H277" s="1" t="s">
        <v>182</v>
      </c>
      <c r="P277" s="1" t="s">
        <v>809</v>
      </c>
      <c r="Q277" s="1">
        <v>2025</v>
      </c>
      <c r="R277" s="1">
        <v>1</v>
      </c>
      <c r="S277" s="1">
        <v>0</v>
      </c>
      <c r="T277" s="1">
        <v>0</v>
      </c>
      <c r="U277" s="1" t="s">
        <v>298</v>
      </c>
      <c r="V277" s="1" t="s">
        <v>182</v>
      </c>
      <c r="Y277" t="s">
        <v>809</v>
      </c>
      <c r="Z277" t="s">
        <v>1205</v>
      </c>
      <c r="AA277">
        <v>0</v>
      </c>
      <c r="AB277">
        <v>0</v>
      </c>
      <c r="AC277" t="s">
        <v>182</v>
      </c>
      <c r="AD277" t="s">
        <v>298</v>
      </c>
    </row>
    <row r="278" spans="2:30" x14ac:dyDescent="0.25">
      <c r="B278" s="1" t="s">
        <v>295</v>
      </c>
      <c r="C278" s="1">
        <v>2026</v>
      </c>
      <c r="D278" s="1">
        <v>1</v>
      </c>
      <c r="E278" s="1">
        <v>0</v>
      </c>
      <c r="F278" s="1">
        <v>0</v>
      </c>
      <c r="G278" s="1" t="s">
        <v>296</v>
      </c>
      <c r="H278" s="1" t="s">
        <v>182</v>
      </c>
      <c r="P278" s="1" t="s">
        <v>299</v>
      </c>
      <c r="Q278" s="1">
        <v>2025</v>
      </c>
      <c r="R278" s="1">
        <v>1</v>
      </c>
      <c r="S278" s="1">
        <v>0</v>
      </c>
      <c r="T278" s="1">
        <v>0</v>
      </c>
      <c r="U278" s="1" t="s">
        <v>1250</v>
      </c>
      <c r="V278" s="1" t="s">
        <v>182</v>
      </c>
      <c r="Y278" t="s">
        <v>299</v>
      </c>
      <c r="Z278" t="s">
        <v>1205</v>
      </c>
      <c r="AA278">
        <v>0</v>
      </c>
      <c r="AB278">
        <v>0</v>
      </c>
      <c r="AC278" t="s">
        <v>182</v>
      </c>
      <c r="AD278" t="s">
        <v>1250</v>
      </c>
    </row>
    <row r="279" spans="2:30" x14ac:dyDescent="0.25">
      <c r="B279" s="1" t="s">
        <v>808</v>
      </c>
      <c r="C279" s="1">
        <v>2026</v>
      </c>
      <c r="D279" s="1">
        <v>1</v>
      </c>
      <c r="E279" s="1">
        <v>0</v>
      </c>
      <c r="F279" s="1">
        <v>0</v>
      </c>
      <c r="G279" s="1" t="s">
        <v>296</v>
      </c>
      <c r="H279" s="1" t="s">
        <v>182</v>
      </c>
      <c r="P279" s="1" t="s">
        <v>810</v>
      </c>
      <c r="Q279" s="1">
        <v>2025</v>
      </c>
      <c r="R279" s="1">
        <v>1</v>
      </c>
      <c r="S279" s="1">
        <v>0</v>
      </c>
      <c r="T279" s="1">
        <v>0</v>
      </c>
      <c r="U279" s="1" t="s">
        <v>1250</v>
      </c>
      <c r="V279" s="1" t="s">
        <v>182</v>
      </c>
      <c r="Y279" t="s">
        <v>810</v>
      </c>
      <c r="Z279" t="s">
        <v>1205</v>
      </c>
      <c r="AA279">
        <v>0</v>
      </c>
      <c r="AB279">
        <v>0</v>
      </c>
      <c r="AC279" t="s">
        <v>182</v>
      </c>
      <c r="AD279" t="s">
        <v>1250</v>
      </c>
    </row>
    <row r="280" spans="2:30" x14ac:dyDescent="0.25">
      <c r="B280" s="1" t="s">
        <v>297</v>
      </c>
      <c r="C280" s="1">
        <v>2026</v>
      </c>
      <c r="D280" s="1">
        <v>1</v>
      </c>
      <c r="E280" s="1">
        <v>0</v>
      </c>
      <c r="F280" s="1">
        <v>0</v>
      </c>
      <c r="G280" s="1" t="s">
        <v>298</v>
      </c>
      <c r="H280" s="1" t="s">
        <v>182</v>
      </c>
      <c r="P280" s="1" t="s">
        <v>300</v>
      </c>
      <c r="Q280" s="1">
        <v>2025</v>
      </c>
      <c r="R280" s="1">
        <v>1</v>
      </c>
      <c r="S280" s="1">
        <v>0</v>
      </c>
      <c r="T280" s="1">
        <v>0</v>
      </c>
      <c r="U280" s="1" t="s">
        <v>301</v>
      </c>
      <c r="V280" s="1" t="s">
        <v>182</v>
      </c>
      <c r="Y280" t="s">
        <v>300</v>
      </c>
      <c r="Z280" t="s">
        <v>1205</v>
      </c>
      <c r="AA280">
        <v>0</v>
      </c>
      <c r="AB280">
        <v>0</v>
      </c>
      <c r="AC280" t="s">
        <v>182</v>
      </c>
      <c r="AD280" t="s">
        <v>301</v>
      </c>
    </row>
    <row r="281" spans="2:30" x14ac:dyDescent="0.25">
      <c r="B281" s="1" t="s">
        <v>809</v>
      </c>
      <c r="C281" s="1">
        <v>2026</v>
      </c>
      <c r="D281" s="1">
        <v>1</v>
      </c>
      <c r="E281" s="1">
        <v>0</v>
      </c>
      <c r="F281" s="1">
        <v>0</v>
      </c>
      <c r="G281" s="1" t="s">
        <v>298</v>
      </c>
      <c r="H281" s="1" t="s">
        <v>182</v>
      </c>
      <c r="P281" s="1" t="s">
        <v>811</v>
      </c>
      <c r="Q281" s="1">
        <v>2025</v>
      </c>
      <c r="R281" s="1">
        <v>1</v>
      </c>
      <c r="S281" s="1">
        <v>0</v>
      </c>
      <c r="T281" s="1">
        <v>0</v>
      </c>
      <c r="U281" s="1" t="s">
        <v>301</v>
      </c>
      <c r="V281" s="1" t="s">
        <v>182</v>
      </c>
      <c r="Y281" t="s">
        <v>811</v>
      </c>
      <c r="Z281" t="s">
        <v>1205</v>
      </c>
      <c r="AA281">
        <v>0</v>
      </c>
      <c r="AB281">
        <v>0</v>
      </c>
      <c r="AC281" t="s">
        <v>182</v>
      </c>
      <c r="AD281" t="s">
        <v>301</v>
      </c>
    </row>
    <row r="282" spans="2:30" x14ac:dyDescent="0.25">
      <c r="B282" s="1" t="s">
        <v>299</v>
      </c>
      <c r="C282" s="1">
        <v>2026</v>
      </c>
      <c r="D282" s="1">
        <v>1</v>
      </c>
      <c r="E282" s="1">
        <v>0</v>
      </c>
      <c r="F282" s="1">
        <v>0</v>
      </c>
      <c r="G282" s="1" t="s">
        <v>1250</v>
      </c>
      <c r="H282" s="1" t="s">
        <v>182</v>
      </c>
      <c r="P282" s="1" t="s">
        <v>302</v>
      </c>
      <c r="Q282" s="1">
        <v>2025</v>
      </c>
      <c r="R282" s="1">
        <v>1</v>
      </c>
      <c r="S282" s="1">
        <v>0</v>
      </c>
      <c r="T282" s="1">
        <v>0</v>
      </c>
      <c r="U282" s="1" t="s">
        <v>303</v>
      </c>
      <c r="V282" s="1" t="s">
        <v>182</v>
      </c>
      <c r="Y282" t="s">
        <v>302</v>
      </c>
      <c r="Z282" t="s">
        <v>1205</v>
      </c>
      <c r="AA282">
        <v>0</v>
      </c>
      <c r="AB282">
        <v>0</v>
      </c>
      <c r="AC282" t="s">
        <v>182</v>
      </c>
      <c r="AD282" t="s">
        <v>303</v>
      </c>
    </row>
    <row r="283" spans="2:30" x14ac:dyDescent="0.25">
      <c r="B283" s="1" t="s">
        <v>810</v>
      </c>
      <c r="C283" s="1">
        <v>2026</v>
      </c>
      <c r="D283" s="1">
        <v>1</v>
      </c>
      <c r="E283" s="1">
        <v>0</v>
      </c>
      <c r="F283" s="1">
        <v>0</v>
      </c>
      <c r="G283" s="1" t="s">
        <v>1250</v>
      </c>
      <c r="H283" s="1" t="s">
        <v>182</v>
      </c>
      <c r="P283" s="1" t="s">
        <v>812</v>
      </c>
      <c r="Q283" s="1">
        <v>2025</v>
      </c>
      <c r="R283" s="1">
        <v>1</v>
      </c>
      <c r="S283" s="1">
        <v>0</v>
      </c>
      <c r="T283" s="1">
        <v>0</v>
      </c>
      <c r="U283" s="1" t="s">
        <v>303</v>
      </c>
      <c r="V283" s="1" t="s">
        <v>182</v>
      </c>
      <c r="Y283" t="s">
        <v>812</v>
      </c>
      <c r="Z283" t="s">
        <v>1205</v>
      </c>
      <c r="AA283">
        <v>0</v>
      </c>
      <c r="AB283">
        <v>0</v>
      </c>
      <c r="AC283" t="s">
        <v>182</v>
      </c>
      <c r="AD283" t="s">
        <v>303</v>
      </c>
    </row>
    <row r="284" spans="2:30" x14ac:dyDescent="0.25">
      <c r="B284" s="1" t="s">
        <v>300</v>
      </c>
      <c r="C284" s="1">
        <v>2026</v>
      </c>
      <c r="D284" s="1">
        <v>1</v>
      </c>
      <c r="E284" s="1">
        <v>0</v>
      </c>
      <c r="F284" s="1">
        <v>0</v>
      </c>
      <c r="G284" s="1" t="s">
        <v>301</v>
      </c>
      <c r="H284" s="1" t="s">
        <v>182</v>
      </c>
      <c r="P284" s="1" t="s">
        <v>304</v>
      </c>
      <c r="Q284" s="1">
        <v>2025</v>
      </c>
      <c r="R284" s="1">
        <v>1</v>
      </c>
      <c r="S284" s="1">
        <v>0</v>
      </c>
      <c r="T284" s="1">
        <v>0</v>
      </c>
      <c r="U284" s="1" t="s">
        <v>305</v>
      </c>
      <c r="V284" s="1" t="s">
        <v>182</v>
      </c>
      <c r="Y284" t="s">
        <v>304</v>
      </c>
      <c r="Z284" t="s">
        <v>1205</v>
      </c>
      <c r="AA284">
        <v>0</v>
      </c>
      <c r="AB284">
        <v>0</v>
      </c>
      <c r="AC284" t="s">
        <v>182</v>
      </c>
      <c r="AD284" t="s">
        <v>305</v>
      </c>
    </row>
    <row r="285" spans="2:30" x14ac:dyDescent="0.25">
      <c r="B285" s="1" t="s">
        <v>811</v>
      </c>
      <c r="C285" s="1">
        <v>2026</v>
      </c>
      <c r="D285" s="1">
        <v>1</v>
      </c>
      <c r="E285" s="1">
        <v>0</v>
      </c>
      <c r="F285" s="1">
        <v>0</v>
      </c>
      <c r="G285" s="1" t="s">
        <v>301</v>
      </c>
      <c r="H285" s="1" t="s">
        <v>182</v>
      </c>
      <c r="P285" s="1" t="s">
        <v>813</v>
      </c>
      <c r="Q285" s="1">
        <v>2025</v>
      </c>
      <c r="R285" s="1">
        <v>1</v>
      </c>
      <c r="S285" s="1">
        <v>0</v>
      </c>
      <c r="T285" s="1">
        <v>0</v>
      </c>
      <c r="U285" s="1" t="s">
        <v>305</v>
      </c>
      <c r="V285" s="1" t="s">
        <v>182</v>
      </c>
      <c r="Y285" t="s">
        <v>813</v>
      </c>
      <c r="Z285" t="s">
        <v>1205</v>
      </c>
      <c r="AA285">
        <v>0</v>
      </c>
      <c r="AB285">
        <v>0</v>
      </c>
      <c r="AC285" t="s">
        <v>182</v>
      </c>
      <c r="AD285" t="s">
        <v>305</v>
      </c>
    </row>
    <row r="286" spans="2:30" x14ac:dyDescent="0.25">
      <c r="B286" s="1" t="s">
        <v>302</v>
      </c>
      <c r="C286" s="1">
        <v>2026</v>
      </c>
      <c r="D286" s="1">
        <v>1</v>
      </c>
      <c r="E286" s="1">
        <v>0</v>
      </c>
      <c r="F286" s="1">
        <v>0</v>
      </c>
      <c r="G286" s="1" t="s">
        <v>303</v>
      </c>
      <c r="H286" s="1" t="s">
        <v>182</v>
      </c>
      <c r="P286" s="1" t="s">
        <v>306</v>
      </c>
      <c r="Q286" s="1">
        <v>2025</v>
      </c>
      <c r="R286" s="1">
        <v>1</v>
      </c>
      <c r="S286" s="1">
        <v>0</v>
      </c>
      <c r="T286" s="1">
        <v>0</v>
      </c>
      <c r="U286" s="1" t="s">
        <v>307</v>
      </c>
      <c r="V286" s="1" t="s">
        <v>182</v>
      </c>
      <c r="Y286" t="s">
        <v>306</v>
      </c>
      <c r="Z286" t="s">
        <v>1205</v>
      </c>
      <c r="AA286">
        <v>0</v>
      </c>
      <c r="AB286">
        <v>0</v>
      </c>
      <c r="AC286" t="s">
        <v>182</v>
      </c>
      <c r="AD286" t="s">
        <v>307</v>
      </c>
    </row>
    <row r="287" spans="2:30" x14ac:dyDescent="0.25">
      <c r="B287" s="1" t="s">
        <v>812</v>
      </c>
      <c r="C287" s="1">
        <v>2026</v>
      </c>
      <c r="D287" s="1">
        <v>1</v>
      </c>
      <c r="E287" s="1">
        <v>0</v>
      </c>
      <c r="F287" s="1">
        <v>0</v>
      </c>
      <c r="G287" s="1" t="s">
        <v>303</v>
      </c>
      <c r="H287" s="1" t="s">
        <v>182</v>
      </c>
      <c r="P287" s="1" t="s">
        <v>814</v>
      </c>
      <c r="Q287" s="1">
        <v>2025</v>
      </c>
      <c r="R287" s="1">
        <v>1</v>
      </c>
      <c r="S287" s="1">
        <v>0</v>
      </c>
      <c r="T287" s="1">
        <v>0</v>
      </c>
      <c r="U287" s="1" t="s">
        <v>307</v>
      </c>
      <c r="V287" s="1" t="s">
        <v>182</v>
      </c>
      <c r="Y287" t="s">
        <v>814</v>
      </c>
      <c r="Z287" t="s">
        <v>1205</v>
      </c>
      <c r="AA287">
        <v>0</v>
      </c>
      <c r="AB287">
        <v>0</v>
      </c>
      <c r="AC287" t="s">
        <v>182</v>
      </c>
      <c r="AD287" t="s">
        <v>307</v>
      </c>
    </row>
    <row r="288" spans="2:30" x14ac:dyDescent="0.25">
      <c r="B288" s="1" t="s">
        <v>304</v>
      </c>
      <c r="C288" s="1">
        <v>2026</v>
      </c>
      <c r="D288" s="1">
        <v>1</v>
      </c>
      <c r="E288" s="1">
        <v>0</v>
      </c>
      <c r="F288" s="1">
        <v>0</v>
      </c>
      <c r="G288" s="1" t="s">
        <v>305</v>
      </c>
      <c r="H288" s="1" t="s">
        <v>182</v>
      </c>
      <c r="P288" s="1" t="s">
        <v>309</v>
      </c>
      <c r="Q288" s="1">
        <v>2025</v>
      </c>
      <c r="R288" s="1">
        <v>1</v>
      </c>
      <c r="S288" s="1">
        <v>64123.68</v>
      </c>
      <c r="T288" s="1">
        <v>64123.68</v>
      </c>
      <c r="U288" s="1" t="s">
        <v>1296</v>
      </c>
      <c r="V288" s="1" t="s">
        <v>308</v>
      </c>
      <c r="Y288" t="s">
        <v>309</v>
      </c>
      <c r="Z288" t="s">
        <v>1205</v>
      </c>
      <c r="AA288">
        <v>2085185.42</v>
      </c>
      <c r="AB288">
        <v>101667.34</v>
      </c>
      <c r="AC288" t="s">
        <v>308</v>
      </c>
      <c r="AD288" t="s">
        <v>1296</v>
      </c>
    </row>
    <row r="289" spans="2:30" x14ac:dyDescent="0.25">
      <c r="B289" s="1" t="s">
        <v>813</v>
      </c>
      <c r="C289" s="1">
        <v>2026</v>
      </c>
      <c r="D289" s="1">
        <v>1</v>
      </c>
      <c r="E289" s="1">
        <v>0</v>
      </c>
      <c r="F289" s="1">
        <v>0</v>
      </c>
      <c r="G289" s="1" t="s">
        <v>305</v>
      </c>
      <c r="H289" s="1" t="s">
        <v>182</v>
      </c>
      <c r="P289" s="1" t="s">
        <v>815</v>
      </c>
      <c r="Q289" s="1">
        <v>2025</v>
      </c>
      <c r="R289" s="1">
        <v>1</v>
      </c>
      <c r="S289" s="1">
        <v>78711.41</v>
      </c>
      <c r="T289" s="1">
        <v>78711.41</v>
      </c>
      <c r="U289" s="1" t="s">
        <v>1296</v>
      </c>
      <c r="V289" s="1" t="s">
        <v>308</v>
      </c>
      <c r="Y289" t="s">
        <v>815</v>
      </c>
      <c r="Z289" t="s">
        <v>1205</v>
      </c>
      <c r="AA289">
        <v>419461.53</v>
      </c>
      <c r="AB289">
        <v>75017.33</v>
      </c>
      <c r="AC289" t="s">
        <v>308</v>
      </c>
      <c r="AD289" t="s">
        <v>1296</v>
      </c>
    </row>
    <row r="290" spans="2:30" x14ac:dyDescent="0.25">
      <c r="B290" s="1" t="s">
        <v>306</v>
      </c>
      <c r="C290" s="1">
        <v>2026</v>
      </c>
      <c r="D290" s="1">
        <v>1</v>
      </c>
      <c r="E290" s="1">
        <v>0</v>
      </c>
      <c r="F290" s="1">
        <v>0</v>
      </c>
      <c r="G290" s="1" t="s">
        <v>307</v>
      </c>
      <c r="H290" s="1" t="s">
        <v>182</v>
      </c>
      <c r="P290" s="1" t="s">
        <v>310</v>
      </c>
      <c r="Q290" s="1">
        <v>2025</v>
      </c>
      <c r="R290" s="1">
        <v>1</v>
      </c>
      <c r="S290" s="1">
        <v>0</v>
      </c>
      <c r="T290" s="1">
        <v>0</v>
      </c>
      <c r="U290" s="1" t="s">
        <v>1296</v>
      </c>
      <c r="V290" s="1" t="s">
        <v>308</v>
      </c>
      <c r="Y290" t="s">
        <v>310</v>
      </c>
      <c r="Z290" t="s">
        <v>1205</v>
      </c>
      <c r="AA290">
        <v>0</v>
      </c>
      <c r="AB290">
        <v>0</v>
      </c>
      <c r="AC290" t="s">
        <v>308</v>
      </c>
      <c r="AD290" t="s">
        <v>1296</v>
      </c>
    </row>
    <row r="291" spans="2:30" x14ac:dyDescent="0.25">
      <c r="B291" s="1" t="s">
        <v>814</v>
      </c>
      <c r="C291" s="1">
        <v>2026</v>
      </c>
      <c r="D291" s="1">
        <v>1</v>
      </c>
      <c r="E291" s="1">
        <v>0</v>
      </c>
      <c r="F291" s="1">
        <v>0</v>
      </c>
      <c r="G291" s="1" t="s">
        <v>307</v>
      </c>
      <c r="H291" s="1" t="s">
        <v>182</v>
      </c>
      <c r="P291" s="1" t="s">
        <v>1404</v>
      </c>
      <c r="Q291" s="1">
        <v>2025</v>
      </c>
      <c r="R291" s="1">
        <v>1</v>
      </c>
      <c r="S291" s="1">
        <v>0</v>
      </c>
      <c r="T291" s="1">
        <v>0</v>
      </c>
      <c r="U291" s="1" t="s">
        <v>1447</v>
      </c>
      <c r="V291" s="1" t="s">
        <v>308</v>
      </c>
      <c r="Y291" t="s">
        <v>1404</v>
      </c>
      <c r="Z291" t="s">
        <v>1205</v>
      </c>
      <c r="AA291">
        <v>0</v>
      </c>
      <c r="AB291">
        <v>0</v>
      </c>
      <c r="AC291" t="s">
        <v>308</v>
      </c>
      <c r="AD291" t="s">
        <v>1447</v>
      </c>
    </row>
    <row r="292" spans="2:30" x14ac:dyDescent="0.25">
      <c r="B292" s="1" t="s">
        <v>309</v>
      </c>
      <c r="C292" s="1">
        <v>2026</v>
      </c>
      <c r="D292" s="1">
        <v>1</v>
      </c>
      <c r="E292" s="1">
        <v>180524.11</v>
      </c>
      <c r="F292" s="1">
        <v>180524.11</v>
      </c>
      <c r="G292" s="1" t="s">
        <v>1296</v>
      </c>
      <c r="H292" s="1" t="s">
        <v>308</v>
      </c>
      <c r="P292" s="1" t="s">
        <v>312</v>
      </c>
      <c r="Q292" s="1">
        <v>2025</v>
      </c>
      <c r="R292" s="1">
        <v>1</v>
      </c>
      <c r="S292" s="1">
        <v>172669.05</v>
      </c>
      <c r="T292" s="1">
        <v>172669.05</v>
      </c>
      <c r="U292" s="1" t="s">
        <v>311</v>
      </c>
      <c r="V292" s="1" t="s">
        <v>308</v>
      </c>
      <c r="Y292" t="s">
        <v>312</v>
      </c>
      <c r="Z292" t="s">
        <v>1205</v>
      </c>
      <c r="AA292">
        <v>2655621.7599999998</v>
      </c>
      <c r="AB292">
        <v>155820</v>
      </c>
      <c r="AC292" t="s">
        <v>308</v>
      </c>
      <c r="AD292" t="s">
        <v>311</v>
      </c>
    </row>
    <row r="293" spans="2:30" x14ac:dyDescent="0.25">
      <c r="B293" s="1" t="s">
        <v>815</v>
      </c>
      <c r="C293" s="1">
        <v>2026</v>
      </c>
      <c r="D293" s="1">
        <v>1</v>
      </c>
      <c r="E293" s="1">
        <v>70119.88</v>
      </c>
      <c r="F293" s="1">
        <v>70119.88</v>
      </c>
      <c r="G293" s="1" t="s">
        <v>1296</v>
      </c>
      <c r="H293" s="1" t="s">
        <v>308</v>
      </c>
      <c r="P293" s="1" t="s">
        <v>816</v>
      </c>
      <c r="Q293" s="1">
        <v>2025</v>
      </c>
      <c r="R293" s="1">
        <v>1</v>
      </c>
      <c r="S293" s="1">
        <v>0</v>
      </c>
      <c r="T293" s="1">
        <v>0</v>
      </c>
      <c r="U293" s="1" t="s">
        <v>311</v>
      </c>
      <c r="V293" s="1" t="s">
        <v>308</v>
      </c>
      <c r="Y293" t="s">
        <v>816</v>
      </c>
      <c r="Z293" t="s">
        <v>1205</v>
      </c>
      <c r="AA293">
        <v>0</v>
      </c>
      <c r="AB293">
        <v>0</v>
      </c>
      <c r="AC293" t="s">
        <v>308</v>
      </c>
      <c r="AD293" t="s">
        <v>311</v>
      </c>
    </row>
    <row r="294" spans="2:30" x14ac:dyDescent="0.25">
      <c r="B294" s="1" t="s">
        <v>310</v>
      </c>
      <c r="C294" s="1">
        <v>2026</v>
      </c>
      <c r="D294" s="1">
        <v>1</v>
      </c>
      <c r="E294" s="1">
        <v>0</v>
      </c>
      <c r="F294" s="1">
        <v>0</v>
      </c>
      <c r="G294" s="1" t="s">
        <v>1296</v>
      </c>
      <c r="H294" s="1" t="s">
        <v>308</v>
      </c>
      <c r="P294" s="1" t="s">
        <v>313</v>
      </c>
      <c r="Q294" s="1">
        <v>2025</v>
      </c>
      <c r="R294" s="1">
        <v>1</v>
      </c>
      <c r="S294" s="1">
        <v>659733.31000000006</v>
      </c>
      <c r="T294" s="1">
        <v>659733.31000000006</v>
      </c>
      <c r="U294" s="1" t="s">
        <v>311</v>
      </c>
      <c r="V294" s="1" t="s">
        <v>308</v>
      </c>
      <c r="Y294" t="s">
        <v>313</v>
      </c>
      <c r="Z294" t="s">
        <v>1205</v>
      </c>
      <c r="AA294">
        <v>3338024.67</v>
      </c>
      <c r="AB294">
        <v>0</v>
      </c>
      <c r="AC294" t="s">
        <v>308</v>
      </c>
      <c r="AD294" t="s">
        <v>311</v>
      </c>
    </row>
    <row r="295" spans="2:30" x14ac:dyDescent="0.25">
      <c r="B295" s="1" t="s">
        <v>1404</v>
      </c>
      <c r="C295" s="1">
        <v>2026</v>
      </c>
      <c r="D295" s="1">
        <v>1</v>
      </c>
      <c r="E295" s="1">
        <v>0</v>
      </c>
      <c r="F295" s="1">
        <v>0</v>
      </c>
      <c r="G295" s="1" t="s">
        <v>1447</v>
      </c>
      <c r="H295" s="1" t="s">
        <v>308</v>
      </c>
      <c r="P295" s="1" t="s">
        <v>1405</v>
      </c>
      <c r="Q295" s="1">
        <v>2025</v>
      </c>
      <c r="R295" s="1">
        <v>1</v>
      </c>
      <c r="S295" s="1">
        <v>0</v>
      </c>
      <c r="T295" s="1">
        <v>0</v>
      </c>
      <c r="U295" s="1" t="s">
        <v>311</v>
      </c>
      <c r="V295" s="1" t="s">
        <v>308</v>
      </c>
      <c r="Y295" t="s">
        <v>1405</v>
      </c>
      <c r="Z295" t="s">
        <v>1205</v>
      </c>
      <c r="AA295">
        <v>0</v>
      </c>
      <c r="AB295">
        <v>0</v>
      </c>
      <c r="AC295" t="s">
        <v>308</v>
      </c>
      <c r="AD295" t="s">
        <v>311</v>
      </c>
    </row>
    <row r="296" spans="2:30" x14ac:dyDescent="0.25">
      <c r="B296" s="1" t="s">
        <v>312</v>
      </c>
      <c r="C296" s="1">
        <v>2026</v>
      </c>
      <c r="D296" s="1">
        <v>1</v>
      </c>
      <c r="E296" s="1">
        <v>180109.91</v>
      </c>
      <c r="F296" s="1">
        <v>180109.91</v>
      </c>
      <c r="G296" s="1" t="s">
        <v>311</v>
      </c>
      <c r="H296" s="1" t="s">
        <v>308</v>
      </c>
      <c r="P296" s="1" t="s">
        <v>1385</v>
      </c>
      <c r="Q296" s="1">
        <v>2025</v>
      </c>
      <c r="R296" s="1">
        <v>1</v>
      </c>
      <c r="S296" s="1">
        <v>0</v>
      </c>
      <c r="T296" s="1">
        <v>0</v>
      </c>
      <c r="U296" s="1" t="s">
        <v>1386</v>
      </c>
      <c r="V296" s="1" t="s">
        <v>308</v>
      </c>
      <c r="Y296" t="s">
        <v>1385</v>
      </c>
      <c r="Z296" t="s">
        <v>1205</v>
      </c>
      <c r="AA296">
        <v>0</v>
      </c>
      <c r="AB296">
        <v>0</v>
      </c>
      <c r="AC296" t="s">
        <v>308</v>
      </c>
      <c r="AD296" t="s">
        <v>1386</v>
      </c>
    </row>
    <row r="297" spans="2:30" x14ac:dyDescent="0.25">
      <c r="B297" s="1" t="s">
        <v>816</v>
      </c>
      <c r="C297" s="1">
        <v>2026</v>
      </c>
      <c r="D297" s="1">
        <v>1</v>
      </c>
      <c r="E297" s="1">
        <v>0</v>
      </c>
      <c r="F297" s="1">
        <v>0</v>
      </c>
      <c r="G297" s="1" t="s">
        <v>311</v>
      </c>
      <c r="H297" s="1" t="s">
        <v>308</v>
      </c>
      <c r="P297" s="1" t="s">
        <v>1499</v>
      </c>
      <c r="Q297" s="1">
        <v>2025</v>
      </c>
      <c r="R297" s="1">
        <v>1</v>
      </c>
      <c r="S297" s="1">
        <v>0</v>
      </c>
      <c r="T297" s="1">
        <v>0</v>
      </c>
      <c r="U297" s="1" t="s">
        <v>1500</v>
      </c>
      <c r="V297" s="1" t="s">
        <v>308</v>
      </c>
      <c r="Y297" t="s">
        <v>1499</v>
      </c>
      <c r="Z297" t="s">
        <v>1205</v>
      </c>
      <c r="AA297">
        <v>0</v>
      </c>
      <c r="AB297">
        <v>0</v>
      </c>
      <c r="AC297" t="s">
        <v>308</v>
      </c>
      <c r="AD297" t="s">
        <v>1500</v>
      </c>
    </row>
    <row r="298" spans="2:30" x14ac:dyDescent="0.25">
      <c r="B298" s="1" t="s">
        <v>313</v>
      </c>
      <c r="C298" s="1">
        <v>2026</v>
      </c>
      <c r="D298" s="1">
        <v>1</v>
      </c>
      <c r="E298" s="1">
        <v>0</v>
      </c>
      <c r="F298" s="1">
        <v>0</v>
      </c>
      <c r="G298" s="1" t="s">
        <v>311</v>
      </c>
      <c r="H298" s="1" t="s">
        <v>308</v>
      </c>
      <c r="P298" s="1" t="s">
        <v>1247</v>
      </c>
      <c r="Q298" s="1">
        <v>2025</v>
      </c>
      <c r="R298" s="1">
        <v>1</v>
      </c>
      <c r="S298" s="1">
        <v>0</v>
      </c>
      <c r="T298" s="1">
        <v>0</v>
      </c>
      <c r="U298" s="1" t="s">
        <v>1248</v>
      </c>
      <c r="V298" s="1" t="s">
        <v>308</v>
      </c>
      <c r="Y298" t="s">
        <v>1247</v>
      </c>
      <c r="Z298" t="s">
        <v>1205</v>
      </c>
      <c r="AA298">
        <v>408423.66</v>
      </c>
      <c r="AB298">
        <v>50368.33</v>
      </c>
      <c r="AC298" t="s">
        <v>308</v>
      </c>
      <c r="AD298" t="s">
        <v>1248</v>
      </c>
    </row>
    <row r="299" spans="2:30" x14ac:dyDescent="0.25">
      <c r="B299" s="1" t="s">
        <v>1405</v>
      </c>
      <c r="C299" s="1">
        <v>2026</v>
      </c>
      <c r="D299" s="1">
        <v>1</v>
      </c>
      <c r="E299" s="1">
        <v>0</v>
      </c>
      <c r="F299" s="1">
        <v>0</v>
      </c>
      <c r="G299" s="1" t="s">
        <v>311</v>
      </c>
      <c r="H299" s="1" t="s">
        <v>308</v>
      </c>
      <c r="P299" s="1" t="s">
        <v>1501</v>
      </c>
      <c r="Q299" s="1">
        <v>2025</v>
      </c>
      <c r="R299" s="1">
        <v>1</v>
      </c>
      <c r="S299" s="1">
        <v>20418</v>
      </c>
      <c r="T299" s="1">
        <v>20418</v>
      </c>
      <c r="U299" s="1" t="s">
        <v>1248</v>
      </c>
      <c r="V299" s="1" t="s">
        <v>308</v>
      </c>
      <c r="Y299" t="s">
        <v>1501</v>
      </c>
      <c r="Z299" t="s">
        <v>1205</v>
      </c>
      <c r="AA299">
        <v>35765.25</v>
      </c>
      <c r="AB299">
        <v>0</v>
      </c>
      <c r="AC299" t="s">
        <v>308</v>
      </c>
      <c r="AD299" t="s">
        <v>1248</v>
      </c>
    </row>
    <row r="300" spans="2:30" x14ac:dyDescent="0.25">
      <c r="B300" s="1" t="s">
        <v>1385</v>
      </c>
      <c r="C300" s="1">
        <v>2026</v>
      </c>
      <c r="D300" s="1">
        <v>1</v>
      </c>
      <c r="E300" s="1">
        <v>0</v>
      </c>
      <c r="F300" s="1">
        <v>0</v>
      </c>
      <c r="G300" s="1" t="s">
        <v>1386</v>
      </c>
      <c r="H300" s="1" t="s">
        <v>308</v>
      </c>
      <c r="P300" s="1" t="s">
        <v>314</v>
      </c>
      <c r="Q300" s="1">
        <v>2025</v>
      </c>
      <c r="R300" s="1">
        <v>1</v>
      </c>
      <c r="S300" s="1">
        <v>84969.87</v>
      </c>
      <c r="T300" s="1">
        <v>84969.87</v>
      </c>
      <c r="U300" s="1" t="s">
        <v>315</v>
      </c>
      <c r="V300" s="1" t="s">
        <v>308</v>
      </c>
      <c r="Y300" t="s">
        <v>314</v>
      </c>
      <c r="Z300" t="s">
        <v>1205</v>
      </c>
      <c r="AA300">
        <v>1074316.45</v>
      </c>
      <c r="AB300">
        <v>81801.75</v>
      </c>
      <c r="AC300" t="s">
        <v>308</v>
      </c>
      <c r="AD300" t="s">
        <v>315</v>
      </c>
    </row>
    <row r="301" spans="2:30" x14ac:dyDescent="0.25">
      <c r="B301" s="1" t="s">
        <v>1499</v>
      </c>
      <c r="C301" s="1">
        <v>2026</v>
      </c>
      <c r="D301" s="1">
        <v>1</v>
      </c>
      <c r="E301" s="1">
        <v>0</v>
      </c>
      <c r="F301" s="1">
        <v>0</v>
      </c>
      <c r="G301" s="1" t="s">
        <v>1500</v>
      </c>
      <c r="H301" s="1" t="s">
        <v>308</v>
      </c>
      <c r="P301" s="1" t="s">
        <v>817</v>
      </c>
      <c r="Q301" s="1">
        <v>2025</v>
      </c>
      <c r="R301" s="1">
        <v>1</v>
      </c>
      <c r="S301" s="1">
        <v>0</v>
      </c>
      <c r="T301" s="1">
        <v>0</v>
      </c>
      <c r="U301" s="1" t="s">
        <v>315</v>
      </c>
      <c r="V301" s="1" t="s">
        <v>308</v>
      </c>
      <c r="Y301" t="s">
        <v>817</v>
      </c>
      <c r="Z301" t="s">
        <v>1205</v>
      </c>
      <c r="AA301">
        <v>0</v>
      </c>
      <c r="AB301">
        <v>0</v>
      </c>
      <c r="AC301" t="s">
        <v>308</v>
      </c>
      <c r="AD301" t="s">
        <v>315</v>
      </c>
    </row>
    <row r="302" spans="2:30" x14ac:dyDescent="0.25">
      <c r="B302" s="1" t="s">
        <v>1247</v>
      </c>
      <c r="C302" s="1">
        <v>2026</v>
      </c>
      <c r="D302" s="1">
        <v>1</v>
      </c>
      <c r="E302" s="1">
        <v>29129</v>
      </c>
      <c r="F302" s="1">
        <v>29129</v>
      </c>
      <c r="G302" s="1" t="s">
        <v>1248</v>
      </c>
      <c r="H302" s="1" t="s">
        <v>308</v>
      </c>
      <c r="P302" s="1" t="s">
        <v>316</v>
      </c>
      <c r="Q302" s="1">
        <v>2025</v>
      </c>
      <c r="R302" s="1">
        <v>1</v>
      </c>
      <c r="S302" s="1">
        <v>32756.66</v>
      </c>
      <c r="T302" s="1">
        <v>32756.66</v>
      </c>
      <c r="U302" s="1" t="s">
        <v>317</v>
      </c>
      <c r="V302" s="1" t="s">
        <v>308</v>
      </c>
      <c r="Y302" t="s">
        <v>316</v>
      </c>
      <c r="Z302" t="s">
        <v>1205</v>
      </c>
      <c r="AA302">
        <v>355662.8</v>
      </c>
      <c r="AB302">
        <v>14064.46</v>
      </c>
      <c r="AC302" t="s">
        <v>308</v>
      </c>
      <c r="AD302" t="s">
        <v>317</v>
      </c>
    </row>
    <row r="303" spans="2:30" x14ac:dyDescent="0.25">
      <c r="B303" s="1" t="s">
        <v>1501</v>
      </c>
      <c r="C303" s="1">
        <v>2026</v>
      </c>
      <c r="D303" s="1">
        <v>1</v>
      </c>
      <c r="E303" s="1">
        <v>27206</v>
      </c>
      <c r="F303" s="1">
        <v>27206</v>
      </c>
      <c r="G303" s="1" t="s">
        <v>1248</v>
      </c>
      <c r="H303" s="1" t="s">
        <v>308</v>
      </c>
      <c r="P303" s="1" t="s">
        <v>818</v>
      </c>
      <c r="Q303" s="1">
        <v>2025</v>
      </c>
      <c r="R303" s="1">
        <v>1</v>
      </c>
      <c r="S303" s="1">
        <v>0</v>
      </c>
      <c r="T303" s="1">
        <v>0</v>
      </c>
      <c r="U303" s="1" t="s">
        <v>317</v>
      </c>
      <c r="V303" s="1" t="s">
        <v>308</v>
      </c>
      <c r="Y303" t="s">
        <v>818</v>
      </c>
      <c r="Z303" t="s">
        <v>1205</v>
      </c>
      <c r="AA303">
        <v>0</v>
      </c>
      <c r="AB303">
        <v>0</v>
      </c>
      <c r="AC303" t="s">
        <v>308</v>
      </c>
      <c r="AD303" t="s">
        <v>317</v>
      </c>
    </row>
    <row r="304" spans="2:30" x14ac:dyDescent="0.25">
      <c r="B304" s="1" t="s">
        <v>314</v>
      </c>
      <c r="C304" s="1">
        <v>2026</v>
      </c>
      <c r="D304" s="1">
        <v>1</v>
      </c>
      <c r="E304" s="1">
        <v>81638.13</v>
      </c>
      <c r="F304" s="1">
        <v>81638.13</v>
      </c>
      <c r="G304" s="1" t="s">
        <v>315</v>
      </c>
      <c r="H304" s="1" t="s">
        <v>308</v>
      </c>
      <c r="P304" s="1" t="s">
        <v>318</v>
      </c>
      <c r="Q304" s="1">
        <v>2025</v>
      </c>
      <c r="R304" s="1">
        <v>1</v>
      </c>
      <c r="S304" s="1">
        <v>787.62</v>
      </c>
      <c r="T304" s="1">
        <v>787.62</v>
      </c>
      <c r="U304" s="1" t="s">
        <v>319</v>
      </c>
      <c r="V304" s="1" t="s">
        <v>308</v>
      </c>
      <c r="Y304" t="s">
        <v>318</v>
      </c>
      <c r="Z304" t="s">
        <v>1205</v>
      </c>
      <c r="AA304">
        <v>1871.24</v>
      </c>
      <c r="AB304">
        <v>459.38</v>
      </c>
      <c r="AC304" t="s">
        <v>308</v>
      </c>
      <c r="AD304" t="s">
        <v>319</v>
      </c>
    </row>
    <row r="305" spans="2:30" x14ac:dyDescent="0.25">
      <c r="B305" s="1" t="s">
        <v>817</v>
      </c>
      <c r="C305" s="1">
        <v>2026</v>
      </c>
      <c r="D305" s="1">
        <v>1</v>
      </c>
      <c r="E305" s="1">
        <v>0</v>
      </c>
      <c r="F305" s="1">
        <v>0</v>
      </c>
      <c r="G305" s="1" t="s">
        <v>315</v>
      </c>
      <c r="H305" s="1" t="s">
        <v>308</v>
      </c>
      <c r="P305" s="1" t="s">
        <v>819</v>
      </c>
      <c r="Q305" s="1">
        <v>2025</v>
      </c>
      <c r="R305" s="1">
        <v>1</v>
      </c>
      <c r="S305" s="1">
        <v>0</v>
      </c>
      <c r="T305" s="1">
        <v>0</v>
      </c>
      <c r="U305" s="1" t="s">
        <v>319</v>
      </c>
      <c r="V305" s="1" t="s">
        <v>308</v>
      </c>
      <c r="Y305" t="s">
        <v>819</v>
      </c>
      <c r="Z305" t="s">
        <v>1205</v>
      </c>
      <c r="AA305">
        <v>0</v>
      </c>
      <c r="AB305">
        <v>0</v>
      </c>
      <c r="AC305" t="s">
        <v>308</v>
      </c>
      <c r="AD305" t="s">
        <v>319</v>
      </c>
    </row>
    <row r="306" spans="2:30" x14ac:dyDescent="0.25">
      <c r="B306" s="1" t="s">
        <v>316</v>
      </c>
      <c r="C306" s="1">
        <v>2026</v>
      </c>
      <c r="D306" s="1">
        <v>1</v>
      </c>
      <c r="E306" s="1">
        <v>28710.34</v>
      </c>
      <c r="F306" s="1">
        <v>28710.34</v>
      </c>
      <c r="G306" s="1" t="s">
        <v>317</v>
      </c>
      <c r="H306" s="1" t="s">
        <v>308</v>
      </c>
      <c r="P306" s="1" t="s">
        <v>320</v>
      </c>
      <c r="Q306" s="1">
        <v>2025</v>
      </c>
      <c r="R306" s="1">
        <v>1</v>
      </c>
      <c r="S306" s="1">
        <v>36308.550000000003</v>
      </c>
      <c r="T306" s="1">
        <v>36308.550000000003</v>
      </c>
      <c r="U306" s="1" t="s">
        <v>321</v>
      </c>
      <c r="V306" s="1" t="s">
        <v>308</v>
      </c>
      <c r="Y306" t="s">
        <v>320</v>
      </c>
      <c r="Z306" t="s">
        <v>1205</v>
      </c>
      <c r="AA306">
        <v>479378.61</v>
      </c>
      <c r="AB306">
        <v>44526.51</v>
      </c>
      <c r="AC306" t="s">
        <v>308</v>
      </c>
      <c r="AD306" t="s">
        <v>321</v>
      </c>
    </row>
    <row r="307" spans="2:30" x14ac:dyDescent="0.25">
      <c r="B307" s="1" t="s">
        <v>818</v>
      </c>
      <c r="C307" s="1">
        <v>2026</v>
      </c>
      <c r="D307" s="1">
        <v>1</v>
      </c>
      <c r="E307" s="1">
        <v>0</v>
      </c>
      <c r="F307" s="1">
        <v>0</v>
      </c>
      <c r="G307" s="1" t="s">
        <v>317</v>
      </c>
      <c r="H307" s="1" t="s">
        <v>308</v>
      </c>
      <c r="P307" s="1" t="s">
        <v>820</v>
      </c>
      <c r="Q307" s="1">
        <v>2025</v>
      </c>
      <c r="R307" s="1">
        <v>1</v>
      </c>
      <c r="S307" s="1">
        <v>0</v>
      </c>
      <c r="T307" s="1">
        <v>0</v>
      </c>
      <c r="U307" s="1" t="s">
        <v>321</v>
      </c>
      <c r="V307" s="1" t="s">
        <v>308</v>
      </c>
      <c r="Y307" t="s">
        <v>820</v>
      </c>
      <c r="Z307" t="s">
        <v>1205</v>
      </c>
      <c r="AA307">
        <v>0</v>
      </c>
      <c r="AB307">
        <v>0</v>
      </c>
      <c r="AC307" t="s">
        <v>308</v>
      </c>
      <c r="AD307" t="s">
        <v>321</v>
      </c>
    </row>
    <row r="308" spans="2:30" x14ac:dyDescent="0.25">
      <c r="B308" s="1" t="s">
        <v>318</v>
      </c>
      <c r="C308" s="1">
        <v>2026</v>
      </c>
      <c r="D308" s="1">
        <v>1</v>
      </c>
      <c r="E308" s="1">
        <v>0</v>
      </c>
      <c r="F308" s="1">
        <v>0</v>
      </c>
      <c r="G308" s="1" t="s">
        <v>319</v>
      </c>
      <c r="H308" s="1" t="s">
        <v>308</v>
      </c>
      <c r="P308" s="1" t="s">
        <v>322</v>
      </c>
      <c r="Q308" s="1">
        <v>2025</v>
      </c>
      <c r="R308" s="1">
        <v>1</v>
      </c>
      <c r="S308" s="1">
        <v>3096.43</v>
      </c>
      <c r="T308" s="1">
        <v>3096.43</v>
      </c>
      <c r="U308" s="1" t="s">
        <v>209</v>
      </c>
      <c r="V308" s="1" t="s">
        <v>308</v>
      </c>
      <c r="Y308" t="s">
        <v>322</v>
      </c>
      <c r="Z308" t="s">
        <v>1205</v>
      </c>
      <c r="AA308">
        <v>59140.2</v>
      </c>
      <c r="AB308">
        <v>5171.58</v>
      </c>
      <c r="AC308" t="s">
        <v>308</v>
      </c>
      <c r="AD308" t="s">
        <v>209</v>
      </c>
    </row>
    <row r="309" spans="2:30" x14ac:dyDescent="0.25">
      <c r="B309" s="1" t="s">
        <v>819</v>
      </c>
      <c r="C309" s="1">
        <v>2026</v>
      </c>
      <c r="D309" s="1">
        <v>1</v>
      </c>
      <c r="E309" s="1">
        <v>0</v>
      </c>
      <c r="F309" s="1">
        <v>0</v>
      </c>
      <c r="G309" s="1" t="s">
        <v>319</v>
      </c>
      <c r="H309" s="1" t="s">
        <v>308</v>
      </c>
      <c r="P309" s="1" t="s">
        <v>821</v>
      </c>
      <c r="Q309" s="1">
        <v>2025</v>
      </c>
      <c r="R309" s="1">
        <v>1</v>
      </c>
      <c r="S309" s="1">
        <v>0</v>
      </c>
      <c r="T309" s="1">
        <v>0</v>
      </c>
      <c r="U309" s="1" t="s">
        <v>209</v>
      </c>
      <c r="V309" s="1" t="s">
        <v>308</v>
      </c>
      <c r="Y309" t="s">
        <v>821</v>
      </c>
      <c r="Z309" t="s">
        <v>1205</v>
      </c>
      <c r="AA309">
        <v>0</v>
      </c>
      <c r="AB309">
        <v>0</v>
      </c>
      <c r="AC309" t="s">
        <v>308</v>
      </c>
      <c r="AD309" t="s">
        <v>209</v>
      </c>
    </row>
    <row r="310" spans="2:30" x14ac:dyDescent="0.25">
      <c r="B310" s="1" t="s">
        <v>320</v>
      </c>
      <c r="C310" s="1">
        <v>2026</v>
      </c>
      <c r="D310" s="1">
        <v>1</v>
      </c>
      <c r="E310" s="1">
        <v>27131.37</v>
      </c>
      <c r="F310" s="1">
        <v>27131.37</v>
      </c>
      <c r="G310" s="1" t="s">
        <v>321</v>
      </c>
      <c r="H310" s="1" t="s">
        <v>308</v>
      </c>
      <c r="P310" s="1" t="s">
        <v>323</v>
      </c>
      <c r="Q310" s="1">
        <v>2025</v>
      </c>
      <c r="R310" s="1">
        <v>1</v>
      </c>
      <c r="S310" s="1">
        <v>-98.57</v>
      </c>
      <c r="T310" s="1">
        <v>-98.57</v>
      </c>
      <c r="U310" s="1" t="s">
        <v>211</v>
      </c>
      <c r="V310" s="1" t="s">
        <v>308</v>
      </c>
      <c r="Y310" t="s">
        <v>323</v>
      </c>
      <c r="Z310" t="s">
        <v>1205</v>
      </c>
      <c r="AA310">
        <v>46004.1</v>
      </c>
      <c r="AB310">
        <v>1154.54</v>
      </c>
      <c r="AC310" t="s">
        <v>308</v>
      </c>
      <c r="AD310" t="s">
        <v>211</v>
      </c>
    </row>
    <row r="311" spans="2:30" x14ac:dyDescent="0.25">
      <c r="B311" s="1" t="s">
        <v>820</v>
      </c>
      <c r="C311" s="1">
        <v>2026</v>
      </c>
      <c r="D311" s="1">
        <v>1</v>
      </c>
      <c r="E311" s="1">
        <v>0</v>
      </c>
      <c r="F311" s="1">
        <v>0</v>
      </c>
      <c r="G311" s="1" t="s">
        <v>321</v>
      </c>
      <c r="H311" s="1" t="s">
        <v>308</v>
      </c>
      <c r="P311" s="1" t="s">
        <v>822</v>
      </c>
      <c r="Q311" s="1">
        <v>2025</v>
      </c>
      <c r="R311" s="1">
        <v>1</v>
      </c>
      <c r="S311" s="1">
        <v>0</v>
      </c>
      <c r="T311" s="1">
        <v>0</v>
      </c>
      <c r="U311" s="1" t="s">
        <v>211</v>
      </c>
      <c r="V311" s="1" t="s">
        <v>308</v>
      </c>
      <c r="Y311" t="s">
        <v>822</v>
      </c>
      <c r="Z311" t="s">
        <v>1205</v>
      </c>
      <c r="AA311">
        <v>0</v>
      </c>
      <c r="AB311">
        <v>0</v>
      </c>
      <c r="AC311" t="s">
        <v>308</v>
      </c>
      <c r="AD311" t="s">
        <v>211</v>
      </c>
    </row>
    <row r="312" spans="2:30" x14ac:dyDescent="0.25">
      <c r="B312" s="1" t="s">
        <v>322</v>
      </c>
      <c r="C312" s="1">
        <v>2026</v>
      </c>
      <c r="D312" s="1">
        <v>1</v>
      </c>
      <c r="E312" s="1">
        <v>8330.02</v>
      </c>
      <c r="F312" s="1">
        <v>8330.02</v>
      </c>
      <c r="G312" s="1" t="s">
        <v>209</v>
      </c>
      <c r="H312" s="1" t="s">
        <v>308</v>
      </c>
      <c r="P312" s="1" t="s">
        <v>324</v>
      </c>
      <c r="Q312" s="1">
        <v>2025</v>
      </c>
      <c r="R312" s="1">
        <v>1</v>
      </c>
      <c r="S312" s="1">
        <v>15327.18</v>
      </c>
      <c r="T312" s="1">
        <v>15327.18</v>
      </c>
      <c r="U312" s="1" t="s">
        <v>213</v>
      </c>
      <c r="V312" s="1" t="s">
        <v>308</v>
      </c>
      <c r="Y312" t="s">
        <v>324</v>
      </c>
      <c r="Z312" t="s">
        <v>1205</v>
      </c>
      <c r="AA312">
        <v>252216.06</v>
      </c>
      <c r="AB312">
        <v>28492.12</v>
      </c>
      <c r="AC312" t="s">
        <v>308</v>
      </c>
      <c r="AD312" t="s">
        <v>213</v>
      </c>
    </row>
    <row r="313" spans="2:30" x14ac:dyDescent="0.25">
      <c r="B313" s="1" t="s">
        <v>821</v>
      </c>
      <c r="C313" s="1">
        <v>2026</v>
      </c>
      <c r="D313" s="1">
        <v>1</v>
      </c>
      <c r="E313" s="1">
        <v>0</v>
      </c>
      <c r="F313" s="1">
        <v>0</v>
      </c>
      <c r="G313" s="1" t="s">
        <v>209</v>
      </c>
      <c r="H313" s="1" t="s">
        <v>308</v>
      </c>
      <c r="P313" s="1" t="s">
        <v>823</v>
      </c>
      <c r="Q313" s="1">
        <v>2025</v>
      </c>
      <c r="R313" s="1">
        <v>1</v>
      </c>
      <c r="S313" s="1">
        <v>0</v>
      </c>
      <c r="T313" s="1">
        <v>0</v>
      </c>
      <c r="U313" s="1" t="s">
        <v>213</v>
      </c>
      <c r="V313" s="1" t="s">
        <v>308</v>
      </c>
      <c r="Y313" t="s">
        <v>823</v>
      </c>
      <c r="Z313" t="s">
        <v>1205</v>
      </c>
      <c r="AA313">
        <v>1120.04</v>
      </c>
      <c r="AB313">
        <v>0</v>
      </c>
      <c r="AC313" t="s">
        <v>308</v>
      </c>
      <c r="AD313" t="s">
        <v>213</v>
      </c>
    </row>
    <row r="314" spans="2:30" x14ac:dyDescent="0.25">
      <c r="B314" s="1" t="s">
        <v>323</v>
      </c>
      <c r="C314" s="1">
        <v>2026</v>
      </c>
      <c r="D314" s="1">
        <v>1</v>
      </c>
      <c r="E314" s="1">
        <v>627.49</v>
      </c>
      <c r="F314" s="1">
        <v>627.49</v>
      </c>
      <c r="G314" s="1" t="s">
        <v>211</v>
      </c>
      <c r="H314" s="1" t="s">
        <v>308</v>
      </c>
      <c r="P314" s="1" t="s">
        <v>325</v>
      </c>
      <c r="Q314" s="1">
        <v>2025</v>
      </c>
      <c r="R314" s="1">
        <v>1</v>
      </c>
      <c r="S314" s="1">
        <v>20769.97</v>
      </c>
      <c r="T314" s="1">
        <v>20769.97</v>
      </c>
      <c r="U314" s="1" t="s">
        <v>215</v>
      </c>
      <c r="V314" s="1" t="s">
        <v>308</v>
      </c>
      <c r="Y314" t="s">
        <v>325</v>
      </c>
      <c r="Z314" t="s">
        <v>1205</v>
      </c>
      <c r="AA314">
        <v>280900.03000000003</v>
      </c>
      <c r="AB314">
        <v>31591.8</v>
      </c>
      <c r="AC314" t="s">
        <v>308</v>
      </c>
      <c r="AD314" t="s">
        <v>215</v>
      </c>
    </row>
    <row r="315" spans="2:30" x14ac:dyDescent="0.25">
      <c r="B315" s="1" t="s">
        <v>822</v>
      </c>
      <c r="C315" s="1">
        <v>2026</v>
      </c>
      <c r="D315" s="1">
        <v>1</v>
      </c>
      <c r="E315" s="1">
        <v>0</v>
      </c>
      <c r="F315" s="1">
        <v>0</v>
      </c>
      <c r="G315" s="1" t="s">
        <v>211</v>
      </c>
      <c r="H315" s="1" t="s">
        <v>308</v>
      </c>
      <c r="P315" s="1" t="s">
        <v>824</v>
      </c>
      <c r="Q315" s="1">
        <v>2025</v>
      </c>
      <c r="R315" s="1">
        <v>1</v>
      </c>
      <c r="S315" s="1">
        <v>0</v>
      </c>
      <c r="T315" s="1">
        <v>0</v>
      </c>
      <c r="U315" s="1" t="s">
        <v>215</v>
      </c>
      <c r="V315" s="1" t="s">
        <v>308</v>
      </c>
      <c r="Y315" t="s">
        <v>824</v>
      </c>
      <c r="Z315" t="s">
        <v>1205</v>
      </c>
      <c r="AA315">
        <v>0</v>
      </c>
      <c r="AB315">
        <v>0</v>
      </c>
      <c r="AC315" t="s">
        <v>308</v>
      </c>
      <c r="AD315" t="s">
        <v>215</v>
      </c>
    </row>
    <row r="316" spans="2:30" x14ac:dyDescent="0.25">
      <c r="B316" s="1" t="s">
        <v>324</v>
      </c>
      <c r="C316" s="1">
        <v>2026</v>
      </c>
      <c r="D316" s="1">
        <v>1</v>
      </c>
      <c r="E316" s="1">
        <v>7473.65</v>
      </c>
      <c r="F316" s="1">
        <v>7473.65</v>
      </c>
      <c r="G316" s="1" t="s">
        <v>213</v>
      </c>
      <c r="H316" s="1" t="s">
        <v>308</v>
      </c>
      <c r="P316" s="1" t="s">
        <v>326</v>
      </c>
      <c r="Q316" s="1">
        <v>2025</v>
      </c>
      <c r="R316" s="1">
        <v>1</v>
      </c>
      <c r="S316" s="1">
        <v>8849.76</v>
      </c>
      <c r="T316" s="1">
        <v>8849.76</v>
      </c>
      <c r="U316" s="1" t="s">
        <v>217</v>
      </c>
      <c r="V316" s="1" t="s">
        <v>308</v>
      </c>
      <c r="Y316" t="s">
        <v>326</v>
      </c>
      <c r="Z316" t="s">
        <v>1205</v>
      </c>
      <c r="AA316">
        <v>209730.72</v>
      </c>
      <c r="AB316">
        <v>39838.03</v>
      </c>
      <c r="AC316" t="s">
        <v>308</v>
      </c>
      <c r="AD316" t="s">
        <v>217</v>
      </c>
    </row>
    <row r="317" spans="2:30" x14ac:dyDescent="0.25">
      <c r="B317" s="1" t="s">
        <v>823</v>
      </c>
      <c r="C317" s="1">
        <v>2026</v>
      </c>
      <c r="D317" s="1">
        <v>1</v>
      </c>
      <c r="E317" s="1">
        <v>0</v>
      </c>
      <c r="F317" s="1">
        <v>0</v>
      </c>
      <c r="G317" s="1" t="s">
        <v>213</v>
      </c>
      <c r="H317" s="1" t="s">
        <v>308</v>
      </c>
      <c r="P317" s="1" t="s">
        <v>825</v>
      </c>
      <c r="Q317" s="1">
        <v>2025</v>
      </c>
      <c r="R317" s="1">
        <v>1</v>
      </c>
      <c r="S317" s="1">
        <v>0</v>
      </c>
      <c r="T317" s="1">
        <v>0</v>
      </c>
      <c r="U317" s="1" t="s">
        <v>217</v>
      </c>
      <c r="V317" s="1" t="s">
        <v>308</v>
      </c>
      <c r="Y317" t="s">
        <v>825</v>
      </c>
      <c r="Z317" t="s">
        <v>1205</v>
      </c>
      <c r="AA317">
        <v>0</v>
      </c>
      <c r="AB317">
        <v>0</v>
      </c>
      <c r="AC317" t="s">
        <v>308</v>
      </c>
      <c r="AD317" t="s">
        <v>217</v>
      </c>
    </row>
    <row r="318" spans="2:30" x14ac:dyDescent="0.25">
      <c r="B318" s="1" t="s">
        <v>325</v>
      </c>
      <c r="C318" s="1">
        <v>2026</v>
      </c>
      <c r="D318" s="1">
        <v>1</v>
      </c>
      <c r="E318" s="1">
        <v>16905.689999999999</v>
      </c>
      <c r="F318" s="1">
        <v>16905.689999999999</v>
      </c>
      <c r="G318" s="1" t="s">
        <v>215</v>
      </c>
      <c r="H318" s="1" t="s">
        <v>308</v>
      </c>
      <c r="P318" s="1" t="s">
        <v>327</v>
      </c>
      <c r="Q318" s="1">
        <v>2025</v>
      </c>
      <c r="R318" s="1">
        <v>1</v>
      </c>
      <c r="S318" s="1">
        <v>21058.75</v>
      </c>
      <c r="T318" s="1">
        <v>21058.75</v>
      </c>
      <c r="U318" s="1" t="s">
        <v>219</v>
      </c>
      <c r="V318" s="1" t="s">
        <v>308</v>
      </c>
      <c r="Y318" t="s">
        <v>327</v>
      </c>
      <c r="Z318" t="s">
        <v>1205</v>
      </c>
      <c r="AA318">
        <v>332758.5</v>
      </c>
      <c r="AB318">
        <v>23561.89</v>
      </c>
      <c r="AC318" t="s">
        <v>308</v>
      </c>
      <c r="AD318" t="s">
        <v>219</v>
      </c>
    </row>
    <row r="319" spans="2:30" x14ac:dyDescent="0.25">
      <c r="B319" s="1" t="s">
        <v>824</v>
      </c>
      <c r="C319" s="1">
        <v>2026</v>
      </c>
      <c r="D319" s="1">
        <v>1</v>
      </c>
      <c r="E319" s="1">
        <v>0</v>
      </c>
      <c r="F319" s="1">
        <v>0</v>
      </c>
      <c r="G319" s="1" t="s">
        <v>215</v>
      </c>
      <c r="H319" s="1" t="s">
        <v>308</v>
      </c>
      <c r="P319" s="1" t="s">
        <v>826</v>
      </c>
      <c r="Q319" s="1">
        <v>2025</v>
      </c>
      <c r="R319" s="1">
        <v>1</v>
      </c>
      <c r="S319" s="1">
        <v>2367.2800000000002</v>
      </c>
      <c r="T319" s="1">
        <v>2367.2800000000002</v>
      </c>
      <c r="U319" s="1" t="s">
        <v>219</v>
      </c>
      <c r="V319" s="1" t="s">
        <v>308</v>
      </c>
      <c r="Y319" t="s">
        <v>826</v>
      </c>
      <c r="Z319" t="s">
        <v>1205</v>
      </c>
      <c r="AA319">
        <v>57510.93</v>
      </c>
      <c r="AB319">
        <v>7158.43</v>
      </c>
      <c r="AC319" t="s">
        <v>308</v>
      </c>
      <c r="AD319" t="s">
        <v>219</v>
      </c>
    </row>
    <row r="320" spans="2:30" x14ac:dyDescent="0.25">
      <c r="B320" s="1" t="s">
        <v>326</v>
      </c>
      <c r="C320" s="1">
        <v>2026</v>
      </c>
      <c r="D320" s="1">
        <v>1</v>
      </c>
      <c r="E320" s="1">
        <v>10876.04</v>
      </c>
      <c r="F320" s="1">
        <v>10876.04</v>
      </c>
      <c r="G320" s="1" t="s">
        <v>217</v>
      </c>
      <c r="H320" s="1" t="s">
        <v>308</v>
      </c>
      <c r="P320" s="1" t="s">
        <v>328</v>
      </c>
      <c r="Q320" s="1">
        <v>2025</v>
      </c>
      <c r="R320" s="1">
        <v>1</v>
      </c>
      <c r="S320" s="1">
        <v>3791.53</v>
      </c>
      <c r="T320" s="1">
        <v>3791.53</v>
      </c>
      <c r="U320" s="1" t="s">
        <v>1310</v>
      </c>
      <c r="V320" s="1" t="s">
        <v>308</v>
      </c>
      <c r="Y320" t="s">
        <v>328</v>
      </c>
      <c r="Z320" t="s">
        <v>1205</v>
      </c>
      <c r="AA320">
        <v>59430.49</v>
      </c>
      <c r="AB320">
        <v>5458.98</v>
      </c>
      <c r="AC320" t="s">
        <v>308</v>
      </c>
      <c r="AD320" t="s">
        <v>1310</v>
      </c>
    </row>
    <row r="321" spans="2:30" x14ac:dyDescent="0.25">
      <c r="B321" s="1" t="s">
        <v>825</v>
      </c>
      <c r="C321" s="1">
        <v>2026</v>
      </c>
      <c r="D321" s="1">
        <v>1</v>
      </c>
      <c r="E321" s="1">
        <v>0</v>
      </c>
      <c r="F321" s="1">
        <v>0</v>
      </c>
      <c r="G321" s="1" t="s">
        <v>217</v>
      </c>
      <c r="H321" s="1" t="s">
        <v>308</v>
      </c>
      <c r="P321" s="1" t="s">
        <v>827</v>
      </c>
      <c r="Q321" s="1">
        <v>2025</v>
      </c>
      <c r="R321" s="1">
        <v>1</v>
      </c>
      <c r="S321" s="1">
        <v>0</v>
      </c>
      <c r="T321" s="1">
        <v>0</v>
      </c>
      <c r="U321" s="1" t="s">
        <v>221</v>
      </c>
      <c r="V321" s="1" t="s">
        <v>308</v>
      </c>
      <c r="Y321" t="s">
        <v>827</v>
      </c>
      <c r="Z321" t="s">
        <v>1205</v>
      </c>
      <c r="AA321">
        <v>0</v>
      </c>
      <c r="AB321">
        <v>0</v>
      </c>
      <c r="AC321" t="s">
        <v>308</v>
      </c>
      <c r="AD321" t="s">
        <v>221</v>
      </c>
    </row>
    <row r="322" spans="2:30" x14ac:dyDescent="0.25">
      <c r="B322" s="1" t="s">
        <v>327</v>
      </c>
      <c r="C322" s="1">
        <v>2026</v>
      </c>
      <c r="D322" s="1">
        <v>1</v>
      </c>
      <c r="E322" s="1">
        <v>27592.34</v>
      </c>
      <c r="F322" s="1">
        <v>27592.34</v>
      </c>
      <c r="G322" s="1" t="s">
        <v>219</v>
      </c>
      <c r="H322" s="1" t="s">
        <v>308</v>
      </c>
      <c r="P322" s="1" t="s">
        <v>329</v>
      </c>
      <c r="Q322" s="1">
        <v>2025</v>
      </c>
      <c r="R322" s="1">
        <v>1</v>
      </c>
      <c r="S322" s="1">
        <v>0</v>
      </c>
      <c r="T322" s="1">
        <v>0</v>
      </c>
      <c r="U322" s="1" t="s">
        <v>223</v>
      </c>
      <c r="V322" s="1" t="s">
        <v>308</v>
      </c>
      <c r="Y322" t="s">
        <v>329</v>
      </c>
      <c r="Z322" t="s">
        <v>1205</v>
      </c>
      <c r="AA322">
        <v>0</v>
      </c>
      <c r="AB322">
        <v>0</v>
      </c>
      <c r="AC322" t="s">
        <v>308</v>
      </c>
      <c r="AD322" t="s">
        <v>223</v>
      </c>
    </row>
    <row r="323" spans="2:30" x14ac:dyDescent="0.25">
      <c r="B323" s="1" t="s">
        <v>826</v>
      </c>
      <c r="C323" s="1">
        <v>2026</v>
      </c>
      <c r="D323" s="1">
        <v>1</v>
      </c>
      <c r="E323" s="1">
        <v>5029.0200000000004</v>
      </c>
      <c r="F323" s="1">
        <v>5029.0200000000004</v>
      </c>
      <c r="G323" s="1" t="s">
        <v>219</v>
      </c>
      <c r="H323" s="1" t="s">
        <v>308</v>
      </c>
      <c r="P323" s="1" t="s">
        <v>828</v>
      </c>
      <c r="Q323" s="1">
        <v>2025</v>
      </c>
      <c r="R323" s="1">
        <v>1</v>
      </c>
      <c r="S323" s="1">
        <v>0</v>
      </c>
      <c r="T323" s="1">
        <v>0</v>
      </c>
      <c r="U323" s="1" t="s">
        <v>223</v>
      </c>
      <c r="V323" s="1" t="s">
        <v>308</v>
      </c>
      <c r="Y323" t="s">
        <v>828</v>
      </c>
      <c r="Z323" t="s">
        <v>1205</v>
      </c>
      <c r="AA323">
        <v>0</v>
      </c>
      <c r="AB323">
        <v>0</v>
      </c>
      <c r="AC323" t="s">
        <v>308</v>
      </c>
      <c r="AD323" t="s">
        <v>223</v>
      </c>
    </row>
    <row r="324" spans="2:30" x14ac:dyDescent="0.25">
      <c r="B324" s="1" t="s">
        <v>328</v>
      </c>
      <c r="C324" s="1">
        <v>2026</v>
      </c>
      <c r="D324" s="1">
        <v>1</v>
      </c>
      <c r="E324" s="1">
        <v>7745.44</v>
      </c>
      <c r="F324" s="1">
        <v>7745.44</v>
      </c>
      <c r="G324" s="1" t="s">
        <v>1310</v>
      </c>
      <c r="H324" s="1" t="s">
        <v>308</v>
      </c>
      <c r="P324" s="1" t="s">
        <v>330</v>
      </c>
      <c r="Q324" s="1">
        <v>2025</v>
      </c>
      <c r="R324" s="1">
        <v>1</v>
      </c>
      <c r="S324" s="1">
        <v>774.5</v>
      </c>
      <c r="T324" s="1">
        <v>774.5</v>
      </c>
      <c r="U324" s="1" t="s">
        <v>1311</v>
      </c>
      <c r="V324" s="1" t="s">
        <v>308</v>
      </c>
      <c r="Y324" t="s">
        <v>330</v>
      </c>
      <c r="Z324" t="s">
        <v>1205</v>
      </c>
      <c r="AA324">
        <v>15690.38</v>
      </c>
      <c r="AB324">
        <v>1304.33</v>
      </c>
      <c r="AC324" t="s">
        <v>308</v>
      </c>
      <c r="AD324" t="s">
        <v>1311</v>
      </c>
    </row>
    <row r="325" spans="2:30" x14ac:dyDescent="0.25">
      <c r="B325" s="1" t="s">
        <v>827</v>
      </c>
      <c r="C325" s="1">
        <v>2026</v>
      </c>
      <c r="D325" s="1">
        <v>1</v>
      </c>
      <c r="E325" s="1">
        <v>0</v>
      </c>
      <c r="F325" s="1">
        <v>0</v>
      </c>
      <c r="G325" s="1" t="s">
        <v>221</v>
      </c>
      <c r="H325" s="1" t="s">
        <v>308</v>
      </c>
      <c r="P325" s="1" t="s">
        <v>829</v>
      </c>
      <c r="Q325" s="1">
        <v>2025</v>
      </c>
      <c r="R325" s="1">
        <v>1</v>
      </c>
      <c r="S325" s="1">
        <v>203.51</v>
      </c>
      <c r="T325" s="1">
        <v>203.51</v>
      </c>
      <c r="U325" s="1" t="s">
        <v>225</v>
      </c>
      <c r="V325" s="1" t="s">
        <v>308</v>
      </c>
      <c r="Y325" t="s">
        <v>829</v>
      </c>
      <c r="Z325" t="s">
        <v>1205</v>
      </c>
      <c r="AA325">
        <v>5660.4</v>
      </c>
      <c r="AB325">
        <v>1298.01</v>
      </c>
      <c r="AC325" t="s">
        <v>308</v>
      </c>
      <c r="AD325" t="s">
        <v>225</v>
      </c>
    </row>
    <row r="326" spans="2:30" x14ac:dyDescent="0.25">
      <c r="B326" s="1" t="s">
        <v>329</v>
      </c>
      <c r="C326" s="1">
        <v>2026</v>
      </c>
      <c r="D326" s="1">
        <v>1</v>
      </c>
      <c r="E326" s="1">
        <v>0</v>
      </c>
      <c r="F326" s="1">
        <v>0</v>
      </c>
      <c r="G326" s="1" t="s">
        <v>223</v>
      </c>
      <c r="H326" s="1" t="s">
        <v>308</v>
      </c>
      <c r="P326" s="1" t="s">
        <v>332</v>
      </c>
      <c r="Q326" s="1">
        <v>2025</v>
      </c>
      <c r="R326" s="1">
        <v>1</v>
      </c>
      <c r="S326" s="1">
        <v>15191.5</v>
      </c>
      <c r="T326" s="1">
        <v>15191.5</v>
      </c>
      <c r="U326" s="1" t="s">
        <v>331</v>
      </c>
      <c r="V326" s="1" t="s">
        <v>308</v>
      </c>
      <c r="Y326" t="s">
        <v>332</v>
      </c>
      <c r="Z326" t="s">
        <v>1205</v>
      </c>
      <c r="AA326">
        <v>296094.88</v>
      </c>
      <c r="AB326">
        <v>145137.85999999999</v>
      </c>
      <c r="AC326" t="s">
        <v>308</v>
      </c>
      <c r="AD326" t="s">
        <v>331</v>
      </c>
    </row>
    <row r="327" spans="2:30" x14ac:dyDescent="0.25">
      <c r="B327" s="1" t="s">
        <v>828</v>
      </c>
      <c r="C327" s="1">
        <v>2026</v>
      </c>
      <c r="D327" s="1">
        <v>1</v>
      </c>
      <c r="E327" s="1">
        <v>0</v>
      </c>
      <c r="F327" s="1">
        <v>0</v>
      </c>
      <c r="G327" s="1" t="s">
        <v>223</v>
      </c>
      <c r="H327" s="1" t="s">
        <v>308</v>
      </c>
      <c r="P327" s="1" t="s">
        <v>830</v>
      </c>
      <c r="Q327" s="1">
        <v>2025</v>
      </c>
      <c r="R327" s="1">
        <v>1</v>
      </c>
      <c r="S327" s="1">
        <v>2520</v>
      </c>
      <c r="T327" s="1">
        <v>2520</v>
      </c>
      <c r="U327" s="1" t="s">
        <v>331</v>
      </c>
      <c r="V327" s="1" t="s">
        <v>308</v>
      </c>
      <c r="Y327" t="s">
        <v>830</v>
      </c>
      <c r="Z327" t="s">
        <v>1205</v>
      </c>
      <c r="AA327">
        <v>99443.55</v>
      </c>
      <c r="AB327">
        <v>88081.91</v>
      </c>
      <c r="AC327" t="s">
        <v>308</v>
      </c>
      <c r="AD327" t="s">
        <v>331</v>
      </c>
    </row>
    <row r="328" spans="2:30" x14ac:dyDescent="0.25">
      <c r="B328" s="1" t="s">
        <v>330</v>
      </c>
      <c r="C328" s="1">
        <v>2026</v>
      </c>
      <c r="D328" s="1">
        <v>1</v>
      </c>
      <c r="E328" s="1">
        <v>1274.6099999999999</v>
      </c>
      <c r="F328" s="1">
        <v>1274.6099999999999</v>
      </c>
      <c r="G328" s="1" t="s">
        <v>1311</v>
      </c>
      <c r="H328" s="1" t="s">
        <v>308</v>
      </c>
      <c r="P328" s="1" t="s">
        <v>333</v>
      </c>
      <c r="Q328" s="1">
        <v>2025</v>
      </c>
      <c r="R328" s="1">
        <v>1</v>
      </c>
      <c r="S328" s="1">
        <v>213156.49</v>
      </c>
      <c r="T328" s="1">
        <v>213156.49</v>
      </c>
      <c r="U328" s="1" t="s">
        <v>331</v>
      </c>
      <c r="V328" s="1" t="s">
        <v>308</v>
      </c>
      <c r="Y328" t="s">
        <v>333</v>
      </c>
      <c r="Z328" t="s">
        <v>1205</v>
      </c>
      <c r="AA328">
        <v>3671359.94</v>
      </c>
      <c r="AB328">
        <v>145643.5</v>
      </c>
      <c r="AC328" t="s">
        <v>308</v>
      </c>
      <c r="AD328" t="s">
        <v>331</v>
      </c>
    </row>
    <row r="329" spans="2:30" x14ac:dyDescent="0.25">
      <c r="B329" s="1" t="s">
        <v>829</v>
      </c>
      <c r="C329" s="1">
        <v>2026</v>
      </c>
      <c r="D329" s="1">
        <v>1</v>
      </c>
      <c r="E329" s="1">
        <v>502.09</v>
      </c>
      <c r="F329" s="1">
        <v>502.09</v>
      </c>
      <c r="G329" s="1" t="s">
        <v>225</v>
      </c>
      <c r="H329" s="1" t="s">
        <v>308</v>
      </c>
      <c r="P329" s="1" t="s">
        <v>1412</v>
      </c>
      <c r="Q329" s="1">
        <v>2025</v>
      </c>
      <c r="R329" s="1">
        <v>1</v>
      </c>
      <c r="S329" s="1">
        <v>203048.65</v>
      </c>
      <c r="T329" s="1">
        <v>203048.65</v>
      </c>
      <c r="U329" s="1" t="s">
        <v>1448</v>
      </c>
      <c r="V329" s="1" t="s">
        <v>308</v>
      </c>
      <c r="Y329" t="s">
        <v>1412</v>
      </c>
      <c r="Z329" t="s">
        <v>1205</v>
      </c>
      <c r="AA329">
        <v>2912575.51</v>
      </c>
      <c r="AB329">
        <v>92759.39</v>
      </c>
      <c r="AC329" t="s">
        <v>308</v>
      </c>
      <c r="AD329" t="s">
        <v>1448</v>
      </c>
    </row>
    <row r="330" spans="2:30" x14ac:dyDescent="0.25">
      <c r="B330" s="1" t="s">
        <v>332</v>
      </c>
      <c r="C330" s="1">
        <v>2026</v>
      </c>
      <c r="D330" s="1">
        <v>1</v>
      </c>
      <c r="E330" s="1">
        <v>33485.769999999997</v>
      </c>
      <c r="F330" s="1">
        <v>33485.769999999997</v>
      </c>
      <c r="G330" s="1" t="s">
        <v>331</v>
      </c>
      <c r="H330" s="1" t="s">
        <v>308</v>
      </c>
      <c r="P330" s="1" t="s">
        <v>334</v>
      </c>
      <c r="Q330" s="1">
        <v>2025</v>
      </c>
      <c r="R330" s="1">
        <v>1</v>
      </c>
      <c r="S330" s="1">
        <v>45417.75</v>
      </c>
      <c r="T330" s="1">
        <v>45417.75</v>
      </c>
      <c r="U330" s="1" t="s">
        <v>335</v>
      </c>
      <c r="V330" s="1" t="s">
        <v>308</v>
      </c>
      <c r="Y330" t="s">
        <v>334</v>
      </c>
      <c r="Z330" t="s">
        <v>1205</v>
      </c>
      <c r="AA330">
        <v>702592.25</v>
      </c>
      <c r="AB330">
        <v>67027.25</v>
      </c>
      <c r="AC330" t="s">
        <v>308</v>
      </c>
      <c r="AD330" t="s">
        <v>335</v>
      </c>
    </row>
    <row r="331" spans="2:30" x14ac:dyDescent="0.25">
      <c r="B331" s="1" t="s">
        <v>830</v>
      </c>
      <c r="C331" s="1">
        <v>2026</v>
      </c>
      <c r="D331" s="1">
        <v>1</v>
      </c>
      <c r="E331" s="1">
        <v>0</v>
      </c>
      <c r="F331" s="1">
        <v>0</v>
      </c>
      <c r="G331" s="1" t="s">
        <v>331</v>
      </c>
      <c r="H331" s="1" t="s">
        <v>308</v>
      </c>
      <c r="P331" s="1" t="s">
        <v>831</v>
      </c>
      <c r="Q331" s="1">
        <v>2025</v>
      </c>
      <c r="R331" s="1">
        <v>1</v>
      </c>
      <c r="S331" s="1">
        <v>1338</v>
      </c>
      <c r="T331" s="1">
        <v>1338</v>
      </c>
      <c r="U331" s="1" t="s">
        <v>335</v>
      </c>
      <c r="V331" s="1" t="s">
        <v>308</v>
      </c>
      <c r="Y331" t="s">
        <v>831</v>
      </c>
      <c r="Z331" t="s">
        <v>1205</v>
      </c>
      <c r="AA331">
        <v>42478</v>
      </c>
      <c r="AB331">
        <v>5814</v>
      </c>
      <c r="AC331" t="s">
        <v>308</v>
      </c>
      <c r="AD331" t="s">
        <v>335</v>
      </c>
    </row>
    <row r="332" spans="2:30" x14ac:dyDescent="0.25">
      <c r="B332" s="1" t="s">
        <v>333</v>
      </c>
      <c r="C332" s="1">
        <v>2026</v>
      </c>
      <c r="D332" s="1">
        <v>1</v>
      </c>
      <c r="E332" s="1">
        <v>21686.31</v>
      </c>
      <c r="F332" s="1">
        <v>21686.31</v>
      </c>
      <c r="G332" s="1" t="s">
        <v>331</v>
      </c>
      <c r="H332" s="1" t="s">
        <v>308</v>
      </c>
      <c r="P332" s="1" t="s">
        <v>336</v>
      </c>
      <c r="Q332" s="1">
        <v>2025</v>
      </c>
      <c r="R332" s="1">
        <v>1</v>
      </c>
      <c r="S332" s="1">
        <v>0</v>
      </c>
      <c r="T332" s="1">
        <v>0</v>
      </c>
      <c r="U332" s="1" t="s">
        <v>337</v>
      </c>
      <c r="V332" s="1" t="s">
        <v>308</v>
      </c>
      <c r="Y332" t="s">
        <v>336</v>
      </c>
      <c r="Z332" t="s">
        <v>1205</v>
      </c>
      <c r="AA332">
        <v>0</v>
      </c>
      <c r="AB332">
        <v>0</v>
      </c>
      <c r="AC332" t="s">
        <v>308</v>
      </c>
      <c r="AD332" t="s">
        <v>337</v>
      </c>
    </row>
    <row r="333" spans="2:30" x14ac:dyDescent="0.25">
      <c r="B333" s="1" t="s">
        <v>1412</v>
      </c>
      <c r="C333" s="1">
        <v>2026</v>
      </c>
      <c r="D333" s="1">
        <v>1</v>
      </c>
      <c r="E333" s="1">
        <v>90635.54</v>
      </c>
      <c r="F333" s="1">
        <v>90635.54</v>
      </c>
      <c r="G333" s="1" t="s">
        <v>1448</v>
      </c>
      <c r="H333" s="1" t="s">
        <v>308</v>
      </c>
      <c r="P333" s="1" t="s">
        <v>338</v>
      </c>
      <c r="Q333" s="1">
        <v>2025</v>
      </c>
      <c r="R333" s="1">
        <v>1</v>
      </c>
      <c r="S333" s="1">
        <v>0</v>
      </c>
      <c r="T333" s="1">
        <v>0</v>
      </c>
      <c r="U333" s="1" t="s">
        <v>339</v>
      </c>
      <c r="V333" s="1" t="s">
        <v>308</v>
      </c>
      <c r="Y333" t="s">
        <v>338</v>
      </c>
      <c r="Z333" t="s">
        <v>1205</v>
      </c>
      <c r="AA333">
        <v>0</v>
      </c>
      <c r="AB333">
        <v>0</v>
      </c>
      <c r="AC333" t="s">
        <v>308</v>
      </c>
      <c r="AD333" t="s">
        <v>339</v>
      </c>
    </row>
    <row r="334" spans="2:30" x14ac:dyDescent="0.25">
      <c r="B334" s="1" t="s">
        <v>2082</v>
      </c>
      <c r="C334" s="1">
        <v>2026</v>
      </c>
      <c r="D334" s="1">
        <v>1</v>
      </c>
      <c r="E334" s="1">
        <v>211.65</v>
      </c>
      <c r="F334" s="1">
        <v>211.65</v>
      </c>
      <c r="G334" s="1" t="s">
        <v>2079</v>
      </c>
      <c r="H334" s="1" t="s">
        <v>308</v>
      </c>
      <c r="P334" s="1" t="s">
        <v>832</v>
      </c>
      <c r="Q334" s="1">
        <v>2025</v>
      </c>
      <c r="R334" s="1">
        <v>1</v>
      </c>
      <c r="S334" s="1">
        <v>0</v>
      </c>
      <c r="T334" s="1">
        <v>0</v>
      </c>
      <c r="U334" s="1" t="s">
        <v>339</v>
      </c>
      <c r="V334" s="1" t="s">
        <v>308</v>
      </c>
      <c r="Y334" t="s">
        <v>832</v>
      </c>
      <c r="Z334" t="s">
        <v>1205</v>
      </c>
      <c r="AA334">
        <v>0</v>
      </c>
      <c r="AB334">
        <v>0</v>
      </c>
      <c r="AC334" t="s">
        <v>308</v>
      </c>
      <c r="AD334" t="s">
        <v>339</v>
      </c>
    </row>
    <row r="335" spans="2:30" x14ac:dyDescent="0.25">
      <c r="B335" s="1" t="s">
        <v>2083</v>
      </c>
      <c r="C335" s="1">
        <v>2026</v>
      </c>
      <c r="D335" s="1">
        <v>1</v>
      </c>
      <c r="E335" s="1">
        <v>316</v>
      </c>
      <c r="F335" s="1">
        <v>316</v>
      </c>
      <c r="G335" s="1" t="s">
        <v>2076</v>
      </c>
      <c r="H335" s="1" t="s">
        <v>308</v>
      </c>
      <c r="P335" s="1" t="s">
        <v>340</v>
      </c>
      <c r="Q335" s="1">
        <v>2025</v>
      </c>
      <c r="R335" s="1">
        <v>1</v>
      </c>
      <c r="S335" s="1">
        <v>0</v>
      </c>
      <c r="T335" s="1">
        <v>0</v>
      </c>
      <c r="U335" s="1" t="s">
        <v>341</v>
      </c>
      <c r="V335" s="1" t="s">
        <v>308</v>
      </c>
      <c r="Y335" t="s">
        <v>340</v>
      </c>
      <c r="Z335" t="s">
        <v>1205</v>
      </c>
      <c r="AA335">
        <v>0</v>
      </c>
      <c r="AB335">
        <v>0</v>
      </c>
      <c r="AC335" t="s">
        <v>308</v>
      </c>
      <c r="AD335" t="s">
        <v>341</v>
      </c>
    </row>
    <row r="336" spans="2:30" x14ac:dyDescent="0.25">
      <c r="B336" s="1" t="s">
        <v>2080</v>
      </c>
      <c r="C336" s="1">
        <v>2026</v>
      </c>
      <c r="D336" s="1">
        <v>1</v>
      </c>
      <c r="E336" s="1">
        <v>1197.72</v>
      </c>
      <c r="F336" s="1">
        <v>1197.72</v>
      </c>
      <c r="G336" s="1" t="s">
        <v>2111</v>
      </c>
      <c r="H336" s="1" t="s">
        <v>308</v>
      </c>
      <c r="P336" s="1" t="s">
        <v>833</v>
      </c>
      <c r="Q336" s="1">
        <v>2025</v>
      </c>
      <c r="R336" s="1">
        <v>1</v>
      </c>
      <c r="S336" s="1">
        <v>0</v>
      </c>
      <c r="T336" s="1">
        <v>0</v>
      </c>
      <c r="U336" s="1" t="s">
        <v>834</v>
      </c>
      <c r="V336" s="1" t="s">
        <v>308</v>
      </c>
      <c r="Y336" t="s">
        <v>833</v>
      </c>
      <c r="Z336" t="s">
        <v>1205</v>
      </c>
      <c r="AA336">
        <v>0</v>
      </c>
      <c r="AB336">
        <v>0</v>
      </c>
      <c r="AC336" t="s">
        <v>308</v>
      </c>
      <c r="AD336" t="s">
        <v>834</v>
      </c>
    </row>
    <row r="337" spans="2:30" x14ac:dyDescent="0.25">
      <c r="B337" s="1" t="s">
        <v>2084</v>
      </c>
      <c r="C337" s="1">
        <v>2026</v>
      </c>
      <c r="D337" s="1">
        <v>1</v>
      </c>
      <c r="E337" s="1">
        <v>185.58</v>
      </c>
      <c r="F337" s="1">
        <v>185.58</v>
      </c>
      <c r="G337" s="1" t="s">
        <v>2110</v>
      </c>
      <c r="H337" s="1" t="s">
        <v>308</v>
      </c>
      <c r="P337" s="1" t="s">
        <v>342</v>
      </c>
      <c r="Q337" s="1">
        <v>2025</v>
      </c>
      <c r="R337" s="1">
        <v>1</v>
      </c>
      <c r="S337" s="1">
        <v>0</v>
      </c>
      <c r="T337" s="1">
        <v>0</v>
      </c>
      <c r="U337" s="1" t="s">
        <v>343</v>
      </c>
      <c r="V337" s="1" t="s">
        <v>308</v>
      </c>
      <c r="Y337" t="s">
        <v>342</v>
      </c>
      <c r="Z337" t="s">
        <v>1205</v>
      </c>
      <c r="AA337">
        <v>0</v>
      </c>
      <c r="AB337">
        <v>0</v>
      </c>
      <c r="AC337" t="s">
        <v>308</v>
      </c>
      <c r="AD337" t="s">
        <v>343</v>
      </c>
    </row>
    <row r="338" spans="2:30" x14ac:dyDescent="0.25">
      <c r="B338" s="1" t="s">
        <v>334</v>
      </c>
      <c r="C338" s="1">
        <v>2026</v>
      </c>
      <c r="D338" s="1">
        <v>1</v>
      </c>
      <c r="E338" s="1">
        <v>52951.75</v>
      </c>
      <c r="F338" s="1">
        <v>52951.75</v>
      </c>
      <c r="G338" s="1" t="s">
        <v>335</v>
      </c>
      <c r="H338" s="1" t="s">
        <v>308</v>
      </c>
      <c r="P338" s="1" t="s">
        <v>1411</v>
      </c>
      <c r="Q338" s="1">
        <v>2025</v>
      </c>
      <c r="R338" s="1">
        <v>1</v>
      </c>
      <c r="S338" s="1">
        <v>0</v>
      </c>
      <c r="T338" s="1">
        <v>0</v>
      </c>
      <c r="U338" s="1" t="s">
        <v>1449</v>
      </c>
      <c r="V338" s="1" t="s">
        <v>308</v>
      </c>
      <c r="Y338" t="s">
        <v>1411</v>
      </c>
      <c r="Z338" t="s">
        <v>1205</v>
      </c>
      <c r="AA338">
        <v>0</v>
      </c>
      <c r="AB338">
        <v>0</v>
      </c>
      <c r="AC338" t="s">
        <v>308</v>
      </c>
      <c r="AD338" t="s">
        <v>1449</v>
      </c>
    </row>
    <row r="339" spans="2:30" x14ac:dyDescent="0.25">
      <c r="B339" s="1" t="s">
        <v>831</v>
      </c>
      <c r="C339" s="1">
        <v>2026</v>
      </c>
      <c r="D339" s="1">
        <v>1</v>
      </c>
      <c r="E339" s="1">
        <v>4723.25</v>
      </c>
      <c r="F339" s="1">
        <v>4723.25</v>
      </c>
      <c r="G339" s="1" t="s">
        <v>335</v>
      </c>
      <c r="H339" s="1" t="s">
        <v>308</v>
      </c>
      <c r="P339" s="1" t="s">
        <v>344</v>
      </c>
      <c r="Q339" s="1">
        <v>2025</v>
      </c>
      <c r="R339" s="1">
        <v>1</v>
      </c>
      <c r="S339" s="1">
        <v>0</v>
      </c>
      <c r="T339" s="1">
        <v>0</v>
      </c>
      <c r="U339" s="1" t="s">
        <v>345</v>
      </c>
      <c r="V339" s="1" t="s">
        <v>308</v>
      </c>
      <c r="Y339" t="s">
        <v>344</v>
      </c>
      <c r="Z339" t="s">
        <v>1205</v>
      </c>
      <c r="AA339">
        <v>0</v>
      </c>
      <c r="AB339">
        <v>0</v>
      </c>
      <c r="AC339" t="s">
        <v>308</v>
      </c>
      <c r="AD339" t="s">
        <v>345</v>
      </c>
    </row>
    <row r="340" spans="2:30" x14ac:dyDescent="0.25">
      <c r="B340" s="1" t="s">
        <v>336</v>
      </c>
      <c r="C340" s="1">
        <v>2026</v>
      </c>
      <c r="D340" s="1">
        <v>1</v>
      </c>
      <c r="E340" s="1">
        <v>0</v>
      </c>
      <c r="F340" s="1">
        <v>0</v>
      </c>
      <c r="G340" s="1" t="s">
        <v>337</v>
      </c>
      <c r="H340" s="1" t="s">
        <v>308</v>
      </c>
      <c r="P340" s="1" t="s">
        <v>835</v>
      </c>
      <c r="Q340" s="1">
        <v>2025</v>
      </c>
      <c r="R340" s="1">
        <v>1</v>
      </c>
      <c r="S340" s="1">
        <v>0</v>
      </c>
      <c r="T340" s="1">
        <v>0</v>
      </c>
      <c r="U340" s="1" t="s">
        <v>345</v>
      </c>
      <c r="V340" s="1" t="s">
        <v>308</v>
      </c>
      <c r="Y340" t="s">
        <v>835</v>
      </c>
      <c r="Z340" t="s">
        <v>1205</v>
      </c>
      <c r="AA340">
        <v>0</v>
      </c>
      <c r="AB340">
        <v>0</v>
      </c>
      <c r="AC340" t="s">
        <v>308</v>
      </c>
      <c r="AD340" t="s">
        <v>345</v>
      </c>
    </row>
    <row r="341" spans="2:30" x14ac:dyDescent="0.25">
      <c r="B341" s="1" t="s">
        <v>338</v>
      </c>
      <c r="C341" s="1">
        <v>2026</v>
      </c>
      <c r="D341" s="1">
        <v>1</v>
      </c>
      <c r="E341" s="1">
        <v>0</v>
      </c>
      <c r="F341" s="1">
        <v>0</v>
      </c>
      <c r="G341" s="1" t="s">
        <v>339</v>
      </c>
      <c r="H341" s="1" t="s">
        <v>308</v>
      </c>
      <c r="P341" s="1" t="s">
        <v>346</v>
      </c>
      <c r="Q341" s="1">
        <v>2025</v>
      </c>
      <c r="R341" s="1">
        <v>1</v>
      </c>
      <c r="S341" s="1">
        <v>0</v>
      </c>
      <c r="T341" s="1">
        <v>0</v>
      </c>
      <c r="U341" s="1" t="s">
        <v>347</v>
      </c>
      <c r="V341" s="1" t="s">
        <v>308</v>
      </c>
      <c r="Y341" t="s">
        <v>346</v>
      </c>
      <c r="Z341" t="s">
        <v>1205</v>
      </c>
      <c r="AA341">
        <v>0</v>
      </c>
      <c r="AB341">
        <v>0</v>
      </c>
      <c r="AC341" t="s">
        <v>308</v>
      </c>
      <c r="AD341" t="s">
        <v>347</v>
      </c>
    </row>
    <row r="342" spans="2:30" x14ac:dyDescent="0.25">
      <c r="B342" s="1" t="s">
        <v>832</v>
      </c>
      <c r="C342" s="1">
        <v>2026</v>
      </c>
      <c r="D342" s="1">
        <v>1</v>
      </c>
      <c r="E342" s="1">
        <v>0</v>
      </c>
      <c r="F342" s="1">
        <v>0</v>
      </c>
      <c r="G342" s="1" t="s">
        <v>339</v>
      </c>
      <c r="H342" s="1" t="s">
        <v>308</v>
      </c>
      <c r="P342" s="1" t="s">
        <v>836</v>
      </c>
      <c r="Q342" s="1">
        <v>2025</v>
      </c>
      <c r="R342" s="1">
        <v>1</v>
      </c>
      <c r="S342" s="1">
        <v>0</v>
      </c>
      <c r="T342" s="1">
        <v>0</v>
      </c>
      <c r="U342" s="1" t="s">
        <v>347</v>
      </c>
      <c r="V342" s="1" t="s">
        <v>308</v>
      </c>
      <c r="Y342" t="s">
        <v>836</v>
      </c>
      <c r="Z342" t="s">
        <v>1205</v>
      </c>
      <c r="AA342">
        <v>0</v>
      </c>
      <c r="AB342">
        <v>0</v>
      </c>
      <c r="AC342" t="s">
        <v>308</v>
      </c>
      <c r="AD342" t="s">
        <v>347</v>
      </c>
    </row>
    <row r="343" spans="2:30" x14ac:dyDescent="0.25">
      <c r="B343" s="1" t="s">
        <v>340</v>
      </c>
      <c r="C343" s="1">
        <v>2026</v>
      </c>
      <c r="D343" s="1">
        <v>1</v>
      </c>
      <c r="E343" s="1">
        <v>0</v>
      </c>
      <c r="F343" s="1">
        <v>0</v>
      </c>
      <c r="G343" s="1" t="s">
        <v>341</v>
      </c>
      <c r="H343" s="1" t="s">
        <v>308</v>
      </c>
      <c r="P343" s="1" t="s">
        <v>348</v>
      </c>
      <c r="Q343" s="1">
        <v>2025</v>
      </c>
      <c r="R343" s="1">
        <v>1</v>
      </c>
      <c r="S343" s="1">
        <v>-1302.5</v>
      </c>
      <c r="T343" s="1">
        <v>-1302.5</v>
      </c>
      <c r="U343" s="1" t="s">
        <v>349</v>
      </c>
      <c r="V343" s="1" t="s">
        <v>308</v>
      </c>
      <c r="Y343" t="s">
        <v>348</v>
      </c>
      <c r="Z343" t="s">
        <v>1205</v>
      </c>
      <c r="AA343">
        <v>69924</v>
      </c>
      <c r="AB343">
        <v>7295.25</v>
      </c>
      <c r="AC343" t="s">
        <v>308</v>
      </c>
      <c r="AD343" t="s">
        <v>349</v>
      </c>
    </row>
    <row r="344" spans="2:30" x14ac:dyDescent="0.25">
      <c r="B344" s="1" t="s">
        <v>833</v>
      </c>
      <c r="C344" s="1">
        <v>2026</v>
      </c>
      <c r="D344" s="1">
        <v>1</v>
      </c>
      <c r="E344" s="1">
        <v>0</v>
      </c>
      <c r="F344" s="1">
        <v>0</v>
      </c>
      <c r="G344" s="1" t="s">
        <v>834</v>
      </c>
      <c r="H344" s="1" t="s">
        <v>308</v>
      </c>
      <c r="P344" s="1" t="s">
        <v>837</v>
      </c>
      <c r="Q344" s="1">
        <v>2025</v>
      </c>
      <c r="R344" s="1">
        <v>1</v>
      </c>
      <c r="S344" s="1">
        <v>0</v>
      </c>
      <c r="T344" s="1">
        <v>0</v>
      </c>
      <c r="U344" s="1" t="s">
        <v>349</v>
      </c>
      <c r="V344" s="1" t="s">
        <v>308</v>
      </c>
      <c r="Y344" t="s">
        <v>837</v>
      </c>
      <c r="Z344" t="s">
        <v>1205</v>
      </c>
      <c r="AA344">
        <v>0</v>
      </c>
      <c r="AB344">
        <v>0</v>
      </c>
      <c r="AC344" t="s">
        <v>308</v>
      </c>
      <c r="AD344" t="s">
        <v>349</v>
      </c>
    </row>
    <row r="345" spans="2:30" x14ac:dyDescent="0.25">
      <c r="B345" s="1" t="s">
        <v>342</v>
      </c>
      <c r="C345" s="1">
        <v>2026</v>
      </c>
      <c r="D345" s="1">
        <v>1</v>
      </c>
      <c r="E345" s="1">
        <v>0</v>
      </c>
      <c r="F345" s="1">
        <v>0</v>
      </c>
      <c r="G345" s="1" t="s">
        <v>343</v>
      </c>
      <c r="H345" s="1" t="s">
        <v>308</v>
      </c>
      <c r="P345" s="1" t="s">
        <v>350</v>
      </c>
      <c r="Q345" s="1">
        <v>2025</v>
      </c>
      <c r="R345" s="1">
        <v>1</v>
      </c>
      <c r="S345" s="1">
        <v>0</v>
      </c>
      <c r="T345" s="1">
        <v>0</v>
      </c>
      <c r="U345" s="1" t="s">
        <v>351</v>
      </c>
      <c r="V345" s="1" t="s">
        <v>308</v>
      </c>
      <c r="Y345" t="s">
        <v>350</v>
      </c>
      <c r="Z345" t="s">
        <v>1205</v>
      </c>
      <c r="AA345">
        <v>0</v>
      </c>
      <c r="AB345">
        <v>0</v>
      </c>
      <c r="AC345" t="s">
        <v>308</v>
      </c>
      <c r="AD345" t="s">
        <v>351</v>
      </c>
    </row>
    <row r="346" spans="2:30" x14ac:dyDescent="0.25">
      <c r="B346" s="1" t="s">
        <v>1411</v>
      </c>
      <c r="C346" s="1">
        <v>2026</v>
      </c>
      <c r="D346" s="1">
        <v>1</v>
      </c>
      <c r="E346" s="1">
        <v>0</v>
      </c>
      <c r="F346" s="1">
        <v>0</v>
      </c>
      <c r="G346" s="1" t="s">
        <v>1449</v>
      </c>
      <c r="H346" s="1" t="s">
        <v>308</v>
      </c>
      <c r="P346" s="1" t="s">
        <v>838</v>
      </c>
      <c r="Q346" s="1">
        <v>2025</v>
      </c>
      <c r="R346" s="1">
        <v>1</v>
      </c>
      <c r="S346" s="1">
        <v>0</v>
      </c>
      <c r="T346" s="1">
        <v>0</v>
      </c>
      <c r="U346" s="1" t="s">
        <v>351</v>
      </c>
      <c r="V346" s="1" t="s">
        <v>308</v>
      </c>
      <c r="Y346" t="s">
        <v>838</v>
      </c>
      <c r="Z346" t="s">
        <v>1205</v>
      </c>
      <c r="AA346">
        <v>0</v>
      </c>
      <c r="AB346">
        <v>0</v>
      </c>
      <c r="AC346" t="s">
        <v>308</v>
      </c>
      <c r="AD346" t="s">
        <v>351</v>
      </c>
    </row>
    <row r="347" spans="2:30" x14ac:dyDescent="0.25">
      <c r="B347" s="1" t="s">
        <v>344</v>
      </c>
      <c r="C347" s="1">
        <v>2026</v>
      </c>
      <c r="D347" s="1">
        <v>1</v>
      </c>
      <c r="E347" s="1">
        <v>0</v>
      </c>
      <c r="F347" s="1">
        <v>0</v>
      </c>
      <c r="G347" s="1" t="s">
        <v>345</v>
      </c>
      <c r="H347" s="1" t="s">
        <v>308</v>
      </c>
      <c r="P347" s="1" t="s">
        <v>352</v>
      </c>
      <c r="Q347" s="1">
        <v>2025</v>
      </c>
      <c r="R347" s="1">
        <v>1</v>
      </c>
      <c r="S347" s="1">
        <v>7870.5</v>
      </c>
      <c r="T347" s="1">
        <v>7870.5</v>
      </c>
      <c r="U347" s="1" t="s">
        <v>353</v>
      </c>
      <c r="V347" s="1" t="s">
        <v>308</v>
      </c>
      <c r="Y347" t="s">
        <v>352</v>
      </c>
      <c r="Z347" t="s">
        <v>1205</v>
      </c>
      <c r="AA347">
        <v>125374.75</v>
      </c>
      <c r="AB347">
        <v>11941</v>
      </c>
      <c r="AC347" t="s">
        <v>308</v>
      </c>
      <c r="AD347" t="s">
        <v>353</v>
      </c>
    </row>
    <row r="348" spans="2:30" x14ac:dyDescent="0.25">
      <c r="B348" s="1" t="s">
        <v>835</v>
      </c>
      <c r="C348" s="1">
        <v>2026</v>
      </c>
      <c r="D348" s="1">
        <v>1</v>
      </c>
      <c r="E348" s="1">
        <v>0</v>
      </c>
      <c r="F348" s="1">
        <v>0</v>
      </c>
      <c r="G348" s="1" t="s">
        <v>345</v>
      </c>
      <c r="H348" s="1" t="s">
        <v>308</v>
      </c>
      <c r="P348" s="1" t="s">
        <v>839</v>
      </c>
      <c r="Q348" s="1">
        <v>2025</v>
      </c>
      <c r="R348" s="1">
        <v>1</v>
      </c>
      <c r="S348" s="1">
        <v>366</v>
      </c>
      <c r="T348" s="1">
        <v>366</v>
      </c>
      <c r="U348" s="1" t="s">
        <v>353</v>
      </c>
      <c r="V348" s="1" t="s">
        <v>308</v>
      </c>
      <c r="Y348" t="s">
        <v>839</v>
      </c>
      <c r="Z348" t="s">
        <v>1205</v>
      </c>
      <c r="AA348">
        <v>18421.75</v>
      </c>
      <c r="AB348">
        <v>4924</v>
      </c>
      <c r="AC348" t="s">
        <v>308</v>
      </c>
      <c r="AD348" t="s">
        <v>353</v>
      </c>
    </row>
    <row r="349" spans="2:30" x14ac:dyDescent="0.25">
      <c r="B349" s="1" t="s">
        <v>346</v>
      </c>
      <c r="C349" s="1">
        <v>2026</v>
      </c>
      <c r="D349" s="1">
        <v>1</v>
      </c>
      <c r="E349" s="1">
        <v>0</v>
      </c>
      <c r="F349" s="1">
        <v>0</v>
      </c>
      <c r="G349" s="1" t="s">
        <v>347</v>
      </c>
      <c r="H349" s="1" t="s">
        <v>308</v>
      </c>
      <c r="P349" s="1" t="s">
        <v>354</v>
      </c>
      <c r="Q349" s="1">
        <v>2025</v>
      </c>
      <c r="R349" s="1">
        <v>1</v>
      </c>
      <c r="S349" s="1">
        <v>1932.15</v>
      </c>
      <c r="T349" s="1">
        <v>1932.15</v>
      </c>
      <c r="U349" s="1" t="s">
        <v>355</v>
      </c>
      <c r="V349" s="1" t="s">
        <v>308</v>
      </c>
      <c r="Y349" t="s">
        <v>354</v>
      </c>
      <c r="Z349" t="s">
        <v>1205</v>
      </c>
      <c r="AA349">
        <v>127723.18</v>
      </c>
      <c r="AB349">
        <v>12325.53</v>
      </c>
      <c r="AC349" t="s">
        <v>308</v>
      </c>
      <c r="AD349" t="s">
        <v>355</v>
      </c>
    </row>
    <row r="350" spans="2:30" x14ac:dyDescent="0.25">
      <c r="B350" s="1" t="s">
        <v>836</v>
      </c>
      <c r="C350" s="1">
        <v>2026</v>
      </c>
      <c r="D350" s="1">
        <v>1</v>
      </c>
      <c r="E350" s="1">
        <v>0</v>
      </c>
      <c r="F350" s="1">
        <v>0</v>
      </c>
      <c r="G350" s="1" t="s">
        <v>347</v>
      </c>
      <c r="H350" s="1" t="s">
        <v>308</v>
      </c>
      <c r="P350" s="1" t="s">
        <v>840</v>
      </c>
      <c r="Q350" s="1">
        <v>2025</v>
      </c>
      <c r="R350" s="1">
        <v>1</v>
      </c>
      <c r="S350" s="1">
        <v>0</v>
      </c>
      <c r="T350" s="1">
        <v>0</v>
      </c>
      <c r="U350" s="1" t="s">
        <v>355</v>
      </c>
      <c r="V350" s="1" t="s">
        <v>308</v>
      </c>
      <c r="Y350" t="s">
        <v>840</v>
      </c>
      <c r="Z350" t="s">
        <v>1205</v>
      </c>
      <c r="AA350">
        <v>8346.6</v>
      </c>
      <c r="AB350">
        <v>0</v>
      </c>
      <c r="AC350" t="s">
        <v>308</v>
      </c>
      <c r="AD350" t="s">
        <v>355</v>
      </c>
    </row>
    <row r="351" spans="2:30" x14ac:dyDescent="0.25">
      <c r="B351" s="1" t="s">
        <v>348</v>
      </c>
      <c r="C351" s="1">
        <v>2026</v>
      </c>
      <c r="D351" s="1">
        <v>1</v>
      </c>
      <c r="E351" s="1">
        <v>6964.75</v>
      </c>
      <c r="F351" s="1">
        <v>6964.75</v>
      </c>
      <c r="G351" s="1" t="s">
        <v>349</v>
      </c>
      <c r="H351" s="1" t="s">
        <v>308</v>
      </c>
      <c r="P351" s="1" t="s">
        <v>356</v>
      </c>
      <c r="Q351" s="1">
        <v>2025</v>
      </c>
      <c r="R351" s="1">
        <v>1</v>
      </c>
      <c r="S351" s="1">
        <v>5453.66</v>
      </c>
      <c r="T351" s="1">
        <v>5453.66</v>
      </c>
      <c r="U351" s="1" t="s">
        <v>357</v>
      </c>
      <c r="V351" s="1" t="s">
        <v>308</v>
      </c>
      <c r="Y351" t="s">
        <v>356</v>
      </c>
      <c r="Z351" t="s">
        <v>1205</v>
      </c>
      <c r="AA351">
        <v>168758.16</v>
      </c>
      <c r="AB351">
        <v>20314.29</v>
      </c>
      <c r="AC351" t="s">
        <v>308</v>
      </c>
      <c r="AD351" t="s">
        <v>357</v>
      </c>
    </row>
    <row r="352" spans="2:30" x14ac:dyDescent="0.25">
      <c r="B352" s="1" t="s">
        <v>837</v>
      </c>
      <c r="C352" s="1">
        <v>2026</v>
      </c>
      <c r="D352" s="1">
        <v>1</v>
      </c>
      <c r="E352" s="1">
        <v>0</v>
      </c>
      <c r="F352" s="1">
        <v>0</v>
      </c>
      <c r="G352" s="1" t="s">
        <v>349</v>
      </c>
      <c r="H352" s="1" t="s">
        <v>308</v>
      </c>
      <c r="P352" s="1" t="s">
        <v>841</v>
      </c>
      <c r="Q352" s="1">
        <v>2025</v>
      </c>
      <c r="R352" s="1">
        <v>1</v>
      </c>
      <c r="S352" s="1">
        <v>0</v>
      </c>
      <c r="T352" s="1">
        <v>0</v>
      </c>
      <c r="U352" s="1" t="s">
        <v>357</v>
      </c>
      <c r="V352" s="1" t="s">
        <v>308</v>
      </c>
      <c r="Y352" t="s">
        <v>841</v>
      </c>
      <c r="Z352" t="s">
        <v>1205</v>
      </c>
      <c r="AA352">
        <v>1788.48</v>
      </c>
      <c r="AB352">
        <v>0</v>
      </c>
      <c r="AC352" t="s">
        <v>308</v>
      </c>
      <c r="AD352" t="s">
        <v>357</v>
      </c>
    </row>
    <row r="353" spans="2:30" x14ac:dyDescent="0.25">
      <c r="B353" s="1" t="s">
        <v>350</v>
      </c>
      <c r="C353" s="1">
        <v>2026</v>
      </c>
      <c r="D353" s="1">
        <v>1</v>
      </c>
      <c r="E353" s="1">
        <v>0</v>
      </c>
      <c r="F353" s="1">
        <v>0</v>
      </c>
      <c r="G353" s="1" t="s">
        <v>351</v>
      </c>
      <c r="H353" s="1" t="s">
        <v>308</v>
      </c>
      <c r="P353" s="1" t="s">
        <v>358</v>
      </c>
      <c r="Q353" s="1">
        <v>2025</v>
      </c>
      <c r="R353" s="1">
        <v>1</v>
      </c>
      <c r="S353" s="1">
        <v>0</v>
      </c>
      <c r="T353" s="1">
        <v>0</v>
      </c>
      <c r="U353" s="1" t="s">
        <v>1172</v>
      </c>
      <c r="V353" s="1" t="s">
        <v>308</v>
      </c>
      <c r="Y353" t="s">
        <v>358</v>
      </c>
      <c r="Z353" t="s">
        <v>1205</v>
      </c>
      <c r="AA353">
        <v>0</v>
      </c>
      <c r="AB353">
        <v>0</v>
      </c>
      <c r="AC353" t="s">
        <v>308</v>
      </c>
      <c r="AD353" t="s">
        <v>1172</v>
      </c>
    </row>
    <row r="354" spans="2:30" x14ac:dyDescent="0.25">
      <c r="B354" s="1" t="s">
        <v>838</v>
      </c>
      <c r="C354" s="1">
        <v>2026</v>
      </c>
      <c r="D354" s="1">
        <v>1</v>
      </c>
      <c r="E354" s="1">
        <v>0</v>
      </c>
      <c r="F354" s="1">
        <v>0</v>
      </c>
      <c r="G354" s="1" t="s">
        <v>351</v>
      </c>
      <c r="H354" s="1" t="s">
        <v>308</v>
      </c>
      <c r="P354" s="1" t="s">
        <v>842</v>
      </c>
      <c r="Q354" s="1">
        <v>2025</v>
      </c>
      <c r="R354" s="1">
        <v>1</v>
      </c>
      <c r="S354" s="1">
        <v>0</v>
      </c>
      <c r="T354" s="1">
        <v>0</v>
      </c>
      <c r="U354" s="1" t="s">
        <v>843</v>
      </c>
      <c r="V354" s="1" t="s">
        <v>308</v>
      </c>
      <c r="Y354" t="s">
        <v>842</v>
      </c>
      <c r="Z354" t="s">
        <v>1205</v>
      </c>
      <c r="AA354">
        <v>0</v>
      </c>
      <c r="AB354">
        <v>0</v>
      </c>
      <c r="AC354" t="s">
        <v>308</v>
      </c>
      <c r="AD354" t="s">
        <v>843</v>
      </c>
    </row>
    <row r="355" spans="2:30" x14ac:dyDescent="0.25">
      <c r="B355" s="1" t="s">
        <v>352</v>
      </c>
      <c r="C355" s="1">
        <v>2026</v>
      </c>
      <c r="D355" s="1">
        <v>1</v>
      </c>
      <c r="E355" s="1">
        <v>9618.25</v>
      </c>
      <c r="F355" s="1">
        <v>9618.25</v>
      </c>
      <c r="G355" s="1" t="s">
        <v>353</v>
      </c>
      <c r="H355" s="1" t="s">
        <v>308</v>
      </c>
      <c r="P355" s="1" t="s">
        <v>844</v>
      </c>
      <c r="Q355" s="1">
        <v>2025</v>
      </c>
      <c r="R355" s="1">
        <v>1</v>
      </c>
      <c r="S355" s="1">
        <v>0</v>
      </c>
      <c r="T355" s="1">
        <v>0</v>
      </c>
      <c r="U355" s="1" t="s">
        <v>843</v>
      </c>
      <c r="V355" s="1" t="s">
        <v>308</v>
      </c>
      <c r="Y355" t="s">
        <v>844</v>
      </c>
      <c r="Z355" t="s">
        <v>1205</v>
      </c>
      <c r="AA355">
        <v>0</v>
      </c>
      <c r="AB355">
        <v>0</v>
      </c>
      <c r="AC355" t="s">
        <v>308</v>
      </c>
      <c r="AD355" t="s">
        <v>843</v>
      </c>
    </row>
    <row r="356" spans="2:30" x14ac:dyDescent="0.25">
      <c r="B356" s="1" t="s">
        <v>839</v>
      </c>
      <c r="C356" s="1">
        <v>2026</v>
      </c>
      <c r="D356" s="1">
        <v>1</v>
      </c>
      <c r="E356" s="1">
        <v>2802</v>
      </c>
      <c r="F356" s="1">
        <v>2802</v>
      </c>
      <c r="G356" s="1" t="s">
        <v>353</v>
      </c>
      <c r="H356" s="1" t="s">
        <v>308</v>
      </c>
      <c r="P356" s="1" t="s">
        <v>359</v>
      </c>
      <c r="Q356" s="1">
        <v>2025</v>
      </c>
      <c r="R356" s="1">
        <v>1</v>
      </c>
      <c r="S356" s="1">
        <v>0</v>
      </c>
      <c r="T356" s="1">
        <v>0</v>
      </c>
      <c r="U356" s="1" t="s">
        <v>360</v>
      </c>
      <c r="V356" s="1" t="s">
        <v>308</v>
      </c>
      <c r="Y356" t="s">
        <v>359</v>
      </c>
      <c r="Z356" t="s">
        <v>1205</v>
      </c>
      <c r="AA356">
        <v>0</v>
      </c>
      <c r="AB356">
        <v>0</v>
      </c>
      <c r="AC356" t="s">
        <v>308</v>
      </c>
      <c r="AD356" t="s">
        <v>360</v>
      </c>
    </row>
    <row r="357" spans="2:30" x14ac:dyDescent="0.25">
      <c r="B357" s="1" t="s">
        <v>354</v>
      </c>
      <c r="C357" s="1">
        <v>2026</v>
      </c>
      <c r="D357" s="1">
        <v>1</v>
      </c>
      <c r="E357" s="1">
        <v>1497.58</v>
      </c>
      <c r="F357" s="1">
        <v>1497.58</v>
      </c>
      <c r="G357" s="1" t="s">
        <v>355</v>
      </c>
      <c r="H357" s="1" t="s">
        <v>308</v>
      </c>
      <c r="P357" s="1" t="s">
        <v>845</v>
      </c>
      <c r="Q357" s="1">
        <v>2025</v>
      </c>
      <c r="R357" s="1">
        <v>1</v>
      </c>
      <c r="S357" s="1">
        <v>0</v>
      </c>
      <c r="T357" s="1">
        <v>0</v>
      </c>
      <c r="U357" s="1" t="s">
        <v>846</v>
      </c>
      <c r="V357" s="1" t="s">
        <v>308</v>
      </c>
      <c r="Y357" t="s">
        <v>845</v>
      </c>
      <c r="Z357" t="s">
        <v>1205</v>
      </c>
      <c r="AA357">
        <v>0</v>
      </c>
      <c r="AB357">
        <v>0</v>
      </c>
      <c r="AC357" t="s">
        <v>308</v>
      </c>
      <c r="AD357" t="s">
        <v>846</v>
      </c>
    </row>
    <row r="358" spans="2:30" x14ac:dyDescent="0.25">
      <c r="B358" s="1" t="s">
        <v>840</v>
      </c>
      <c r="C358" s="1">
        <v>2026</v>
      </c>
      <c r="D358" s="1">
        <v>1</v>
      </c>
      <c r="E358" s="1">
        <v>35</v>
      </c>
      <c r="F358" s="1">
        <v>35</v>
      </c>
      <c r="G358" s="1" t="s">
        <v>355</v>
      </c>
      <c r="H358" s="1" t="s">
        <v>308</v>
      </c>
      <c r="P358" s="1" t="s">
        <v>361</v>
      </c>
      <c r="Q358" s="1">
        <v>2025</v>
      </c>
      <c r="R358" s="1">
        <v>1</v>
      </c>
      <c r="S358" s="1">
        <v>0</v>
      </c>
      <c r="T358" s="1">
        <v>0</v>
      </c>
      <c r="U358" s="1" t="s">
        <v>362</v>
      </c>
      <c r="V358" s="1" t="s">
        <v>308</v>
      </c>
      <c r="Y358" t="s">
        <v>361</v>
      </c>
      <c r="Z358" t="s">
        <v>1205</v>
      </c>
      <c r="AA358">
        <v>0</v>
      </c>
      <c r="AB358">
        <v>0</v>
      </c>
      <c r="AC358" t="s">
        <v>308</v>
      </c>
      <c r="AD358" t="s">
        <v>362</v>
      </c>
    </row>
    <row r="359" spans="2:30" x14ac:dyDescent="0.25">
      <c r="B359" s="1" t="s">
        <v>356</v>
      </c>
      <c r="C359" s="1">
        <v>2026</v>
      </c>
      <c r="D359" s="1">
        <v>1</v>
      </c>
      <c r="E359" s="1">
        <v>8952.66</v>
      </c>
      <c r="F359" s="1">
        <v>8952.66</v>
      </c>
      <c r="G359" s="1" t="s">
        <v>357</v>
      </c>
      <c r="H359" s="1" t="s">
        <v>308</v>
      </c>
      <c r="P359" s="1" t="s">
        <v>1410</v>
      </c>
      <c r="Q359" s="1">
        <v>2025</v>
      </c>
      <c r="R359" s="1">
        <v>1</v>
      </c>
      <c r="S359" s="1">
        <v>0</v>
      </c>
      <c r="T359" s="1">
        <v>0</v>
      </c>
      <c r="U359" s="1" t="s">
        <v>1450</v>
      </c>
      <c r="V359" s="1" t="s">
        <v>308</v>
      </c>
      <c r="Y359" t="s">
        <v>1410</v>
      </c>
      <c r="Z359" t="s">
        <v>1205</v>
      </c>
      <c r="AA359">
        <v>0</v>
      </c>
      <c r="AB359">
        <v>0</v>
      </c>
      <c r="AC359" t="s">
        <v>308</v>
      </c>
      <c r="AD359" t="s">
        <v>1450</v>
      </c>
    </row>
    <row r="360" spans="2:30" x14ac:dyDescent="0.25">
      <c r="B360" s="1" t="s">
        <v>841</v>
      </c>
      <c r="C360" s="1">
        <v>2026</v>
      </c>
      <c r="D360" s="1">
        <v>1</v>
      </c>
      <c r="E360" s="1">
        <v>0</v>
      </c>
      <c r="F360" s="1">
        <v>0</v>
      </c>
      <c r="G360" s="1" t="s">
        <v>357</v>
      </c>
      <c r="H360" s="1" t="s">
        <v>308</v>
      </c>
      <c r="P360" s="1" t="s">
        <v>363</v>
      </c>
      <c r="Q360" s="1">
        <v>2025</v>
      </c>
      <c r="R360" s="1">
        <v>1</v>
      </c>
      <c r="S360" s="1">
        <v>0</v>
      </c>
      <c r="T360" s="1">
        <v>0</v>
      </c>
      <c r="U360" s="1" t="s">
        <v>364</v>
      </c>
      <c r="V360" s="1" t="s">
        <v>308</v>
      </c>
      <c r="Y360" t="s">
        <v>363</v>
      </c>
      <c r="Z360" t="s">
        <v>1205</v>
      </c>
      <c r="AA360">
        <v>0</v>
      </c>
      <c r="AB360">
        <v>0</v>
      </c>
      <c r="AC360" t="s">
        <v>308</v>
      </c>
      <c r="AD360" t="s">
        <v>364</v>
      </c>
    </row>
    <row r="361" spans="2:30" x14ac:dyDescent="0.25">
      <c r="B361" s="1" t="s">
        <v>358</v>
      </c>
      <c r="C361" s="1">
        <v>2026</v>
      </c>
      <c r="D361" s="1">
        <v>1</v>
      </c>
      <c r="E361" s="1">
        <v>0</v>
      </c>
      <c r="F361" s="1">
        <v>0</v>
      </c>
      <c r="G361" s="1" t="s">
        <v>1172</v>
      </c>
      <c r="H361" s="1" t="s">
        <v>308</v>
      </c>
      <c r="P361" s="1" t="s">
        <v>847</v>
      </c>
      <c r="Q361" s="1">
        <v>2025</v>
      </c>
      <c r="R361" s="1">
        <v>1</v>
      </c>
      <c r="S361" s="1">
        <v>0</v>
      </c>
      <c r="T361" s="1">
        <v>0</v>
      </c>
      <c r="U361" s="1" t="s">
        <v>364</v>
      </c>
      <c r="V361" s="1" t="s">
        <v>308</v>
      </c>
      <c r="Y361" t="s">
        <v>847</v>
      </c>
      <c r="Z361" t="s">
        <v>1205</v>
      </c>
      <c r="AA361">
        <v>0</v>
      </c>
      <c r="AB361">
        <v>0</v>
      </c>
      <c r="AC361" t="s">
        <v>308</v>
      </c>
      <c r="AD361" t="s">
        <v>364</v>
      </c>
    </row>
    <row r="362" spans="2:30" x14ac:dyDescent="0.25">
      <c r="B362" s="1" t="s">
        <v>842</v>
      </c>
      <c r="C362" s="1">
        <v>2026</v>
      </c>
      <c r="D362" s="1">
        <v>1</v>
      </c>
      <c r="E362" s="1">
        <v>0</v>
      </c>
      <c r="F362" s="1">
        <v>0</v>
      </c>
      <c r="G362" s="1" t="s">
        <v>843</v>
      </c>
      <c r="H362" s="1" t="s">
        <v>308</v>
      </c>
      <c r="P362" s="1" t="s">
        <v>365</v>
      </c>
      <c r="Q362" s="1">
        <v>2025</v>
      </c>
      <c r="R362" s="1">
        <v>1</v>
      </c>
      <c r="S362" s="1">
        <v>0</v>
      </c>
      <c r="T362" s="1">
        <v>0</v>
      </c>
      <c r="U362" s="1" t="s">
        <v>366</v>
      </c>
      <c r="V362" s="1" t="s">
        <v>308</v>
      </c>
      <c r="Y362" t="s">
        <v>365</v>
      </c>
      <c r="Z362" t="s">
        <v>1205</v>
      </c>
      <c r="AA362">
        <v>0</v>
      </c>
      <c r="AB362">
        <v>0</v>
      </c>
      <c r="AC362" t="s">
        <v>308</v>
      </c>
      <c r="AD362" t="s">
        <v>366</v>
      </c>
    </row>
    <row r="363" spans="2:30" x14ac:dyDescent="0.25">
      <c r="B363" s="1" t="s">
        <v>844</v>
      </c>
      <c r="C363" s="1">
        <v>2026</v>
      </c>
      <c r="D363" s="1">
        <v>1</v>
      </c>
      <c r="E363" s="1">
        <v>0</v>
      </c>
      <c r="F363" s="1">
        <v>0</v>
      </c>
      <c r="G363" s="1" t="s">
        <v>843</v>
      </c>
      <c r="H363" s="1" t="s">
        <v>308</v>
      </c>
      <c r="P363" s="1" t="s">
        <v>848</v>
      </c>
      <c r="Q363" s="1">
        <v>2025</v>
      </c>
      <c r="R363" s="1">
        <v>1</v>
      </c>
      <c r="S363" s="1">
        <v>0</v>
      </c>
      <c r="T363" s="1">
        <v>0</v>
      </c>
      <c r="U363" s="1" t="s">
        <v>366</v>
      </c>
      <c r="V363" s="1" t="s">
        <v>308</v>
      </c>
      <c r="Y363" t="s">
        <v>848</v>
      </c>
      <c r="Z363" t="s">
        <v>1205</v>
      </c>
      <c r="AA363">
        <v>0</v>
      </c>
      <c r="AB363">
        <v>0</v>
      </c>
      <c r="AC363" t="s">
        <v>308</v>
      </c>
      <c r="AD363" t="s">
        <v>366</v>
      </c>
    </row>
    <row r="364" spans="2:30" x14ac:dyDescent="0.25">
      <c r="B364" s="1" t="s">
        <v>359</v>
      </c>
      <c r="C364" s="1">
        <v>2026</v>
      </c>
      <c r="D364" s="1">
        <v>1</v>
      </c>
      <c r="E364" s="1">
        <v>0</v>
      </c>
      <c r="F364" s="1">
        <v>0</v>
      </c>
      <c r="G364" s="1" t="s">
        <v>360</v>
      </c>
      <c r="H364" s="1" t="s">
        <v>308</v>
      </c>
      <c r="P364" s="1" t="s">
        <v>367</v>
      </c>
      <c r="Q364" s="1">
        <v>2025</v>
      </c>
      <c r="R364" s="1">
        <v>1</v>
      </c>
      <c r="S364" s="1">
        <v>0</v>
      </c>
      <c r="T364" s="1">
        <v>0</v>
      </c>
      <c r="U364" s="1" t="s">
        <v>368</v>
      </c>
      <c r="V364" s="1" t="s">
        <v>308</v>
      </c>
      <c r="Y364" t="s">
        <v>367</v>
      </c>
      <c r="Z364" t="s">
        <v>1205</v>
      </c>
      <c r="AA364">
        <v>88457.5</v>
      </c>
      <c r="AB364">
        <v>11500</v>
      </c>
      <c r="AC364" t="s">
        <v>308</v>
      </c>
      <c r="AD364" t="s">
        <v>368</v>
      </c>
    </row>
    <row r="365" spans="2:30" x14ac:dyDescent="0.25">
      <c r="B365" s="1" t="s">
        <v>845</v>
      </c>
      <c r="C365" s="1">
        <v>2026</v>
      </c>
      <c r="D365" s="1">
        <v>1</v>
      </c>
      <c r="E365" s="1">
        <v>0</v>
      </c>
      <c r="F365" s="1">
        <v>0</v>
      </c>
      <c r="G365" s="1" t="s">
        <v>846</v>
      </c>
      <c r="H365" s="1" t="s">
        <v>308</v>
      </c>
      <c r="P365" s="1" t="s">
        <v>849</v>
      </c>
      <c r="Q365" s="1">
        <v>2025</v>
      </c>
      <c r="R365" s="1">
        <v>1</v>
      </c>
      <c r="S365" s="1">
        <v>0</v>
      </c>
      <c r="T365" s="1">
        <v>0</v>
      </c>
      <c r="U365" s="1" t="s">
        <v>368</v>
      </c>
      <c r="V365" s="1" t="s">
        <v>308</v>
      </c>
      <c r="Y365" t="s">
        <v>849</v>
      </c>
      <c r="Z365" t="s">
        <v>1205</v>
      </c>
      <c r="AA365">
        <v>82088</v>
      </c>
      <c r="AB365">
        <v>0</v>
      </c>
      <c r="AC365" t="s">
        <v>308</v>
      </c>
      <c r="AD365" t="s">
        <v>368</v>
      </c>
    </row>
    <row r="366" spans="2:30" x14ac:dyDescent="0.25">
      <c r="B366" s="1" t="s">
        <v>361</v>
      </c>
      <c r="C366" s="1">
        <v>2026</v>
      </c>
      <c r="D366" s="1">
        <v>1</v>
      </c>
      <c r="E366" s="1">
        <v>0</v>
      </c>
      <c r="F366" s="1">
        <v>0</v>
      </c>
      <c r="G366" s="1" t="s">
        <v>362</v>
      </c>
      <c r="H366" s="1" t="s">
        <v>308</v>
      </c>
      <c r="P366" s="1" t="s">
        <v>369</v>
      </c>
      <c r="Q366" s="1">
        <v>2025</v>
      </c>
      <c r="R366" s="1">
        <v>1</v>
      </c>
      <c r="S366" s="1">
        <v>0</v>
      </c>
      <c r="T366" s="1">
        <v>0</v>
      </c>
      <c r="U366" s="1" t="s">
        <v>370</v>
      </c>
      <c r="V366" s="1" t="s">
        <v>308</v>
      </c>
      <c r="Y366" t="s">
        <v>369</v>
      </c>
      <c r="Z366" t="s">
        <v>1205</v>
      </c>
      <c r="AA366">
        <v>22175</v>
      </c>
      <c r="AB366">
        <v>0</v>
      </c>
      <c r="AC366" t="s">
        <v>308</v>
      </c>
      <c r="AD366" t="s">
        <v>370</v>
      </c>
    </row>
    <row r="367" spans="2:30" x14ac:dyDescent="0.25">
      <c r="B367" s="1" t="s">
        <v>1410</v>
      </c>
      <c r="C367" s="1">
        <v>2026</v>
      </c>
      <c r="D367" s="1">
        <v>1</v>
      </c>
      <c r="E367" s="1">
        <v>0</v>
      </c>
      <c r="F367" s="1">
        <v>0</v>
      </c>
      <c r="G367" s="1" t="s">
        <v>1450</v>
      </c>
      <c r="H367" s="1" t="s">
        <v>308</v>
      </c>
      <c r="P367" s="1" t="s">
        <v>850</v>
      </c>
      <c r="Q367" s="1">
        <v>2025</v>
      </c>
      <c r="R367" s="1">
        <v>1</v>
      </c>
      <c r="S367" s="1">
        <v>0</v>
      </c>
      <c r="T367" s="1">
        <v>0</v>
      </c>
      <c r="U367" s="1" t="s">
        <v>370</v>
      </c>
      <c r="V367" s="1" t="s">
        <v>308</v>
      </c>
      <c r="Y367" t="s">
        <v>850</v>
      </c>
      <c r="Z367" t="s">
        <v>1205</v>
      </c>
      <c r="AA367">
        <v>86627</v>
      </c>
      <c r="AB367">
        <v>0</v>
      </c>
      <c r="AC367" t="s">
        <v>308</v>
      </c>
      <c r="AD367" t="s">
        <v>370</v>
      </c>
    </row>
    <row r="368" spans="2:30" x14ac:dyDescent="0.25">
      <c r="B368" s="1" t="s">
        <v>363</v>
      </c>
      <c r="C368" s="1">
        <v>2026</v>
      </c>
      <c r="D368" s="1">
        <v>1</v>
      </c>
      <c r="E368" s="1">
        <v>0</v>
      </c>
      <c r="F368" s="1">
        <v>0</v>
      </c>
      <c r="G368" s="1" t="s">
        <v>364</v>
      </c>
      <c r="H368" s="1" t="s">
        <v>308</v>
      </c>
      <c r="P368" s="1" t="s">
        <v>371</v>
      </c>
      <c r="Q368" s="1">
        <v>2025</v>
      </c>
      <c r="R368" s="1">
        <v>1</v>
      </c>
      <c r="S368" s="1">
        <v>0</v>
      </c>
      <c r="T368" s="1">
        <v>0</v>
      </c>
      <c r="U368" s="1" t="s">
        <v>372</v>
      </c>
      <c r="V368" s="1" t="s">
        <v>308</v>
      </c>
      <c r="Y368" t="s">
        <v>371</v>
      </c>
      <c r="Z368" t="s">
        <v>1205</v>
      </c>
      <c r="AA368">
        <v>0</v>
      </c>
      <c r="AB368">
        <v>0</v>
      </c>
      <c r="AC368" t="s">
        <v>308</v>
      </c>
      <c r="AD368" t="s">
        <v>372</v>
      </c>
    </row>
    <row r="369" spans="2:30" x14ac:dyDescent="0.25">
      <c r="B369" s="1" t="s">
        <v>847</v>
      </c>
      <c r="C369" s="1">
        <v>2026</v>
      </c>
      <c r="D369" s="1">
        <v>1</v>
      </c>
      <c r="E369" s="1">
        <v>0</v>
      </c>
      <c r="F369" s="1">
        <v>0</v>
      </c>
      <c r="G369" s="1" t="s">
        <v>364</v>
      </c>
      <c r="H369" s="1" t="s">
        <v>308</v>
      </c>
      <c r="P369" s="1" t="s">
        <v>851</v>
      </c>
      <c r="Q369" s="1">
        <v>2025</v>
      </c>
      <c r="R369" s="1">
        <v>1</v>
      </c>
      <c r="S369" s="1">
        <v>0</v>
      </c>
      <c r="T369" s="1">
        <v>0</v>
      </c>
      <c r="U369" s="1" t="s">
        <v>372</v>
      </c>
      <c r="V369" s="1" t="s">
        <v>308</v>
      </c>
      <c r="Y369" t="s">
        <v>851</v>
      </c>
      <c r="Z369" t="s">
        <v>1205</v>
      </c>
      <c r="AA369">
        <v>0</v>
      </c>
      <c r="AB369">
        <v>0</v>
      </c>
      <c r="AC369" t="s">
        <v>308</v>
      </c>
      <c r="AD369" t="s">
        <v>372</v>
      </c>
    </row>
    <row r="370" spans="2:30" x14ac:dyDescent="0.25">
      <c r="B370" s="1" t="s">
        <v>365</v>
      </c>
      <c r="C370" s="1">
        <v>2026</v>
      </c>
      <c r="D370" s="1">
        <v>1</v>
      </c>
      <c r="E370" s="1">
        <v>0</v>
      </c>
      <c r="F370" s="1">
        <v>0</v>
      </c>
      <c r="G370" s="1" t="s">
        <v>366</v>
      </c>
      <c r="H370" s="1" t="s">
        <v>308</v>
      </c>
      <c r="P370" s="1" t="s">
        <v>373</v>
      </c>
      <c r="Q370" s="1">
        <v>2025</v>
      </c>
      <c r="R370" s="1">
        <v>1</v>
      </c>
      <c r="S370" s="1">
        <v>0</v>
      </c>
      <c r="T370" s="1">
        <v>0</v>
      </c>
      <c r="U370" s="1" t="s">
        <v>374</v>
      </c>
      <c r="V370" s="1" t="s">
        <v>308</v>
      </c>
      <c r="Y370" t="s">
        <v>373</v>
      </c>
      <c r="Z370" t="s">
        <v>1205</v>
      </c>
      <c r="AA370">
        <v>95742.19</v>
      </c>
      <c r="AB370">
        <v>0</v>
      </c>
      <c r="AC370" t="s">
        <v>308</v>
      </c>
      <c r="AD370" t="s">
        <v>374</v>
      </c>
    </row>
    <row r="371" spans="2:30" x14ac:dyDescent="0.25">
      <c r="B371" s="1" t="s">
        <v>848</v>
      </c>
      <c r="C371" s="1">
        <v>2026</v>
      </c>
      <c r="D371" s="1">
        <v>1</v>
      </c>
      <c r="E371" s="1">
        <v>0</v>
      </c>
      <c r="F371" s="1">
        <v>0</v>
      </c>
      <c r="G371" s="1" t="s">
        <v>366</v>
      </c>
      <c r="H371" s="1" t="s">
        <v>308</v>
      </c>
      <c r="P371" s="1" t="s">
        <v>852</v>
      </c>
      <c r="Q371" s="1">
        <v>2025</v>
      </c>
      <c r="R371" s="1">
        <v>1</v>
      </c>
      <c r="S371" s="1">
        <v>0</v>
      </c>
      <c r="T371" s="1">
        <v>0</v>
      </c>
      <c r="U371" s="1" t="s">
        <v>374</v>
      </c>
      <c r="V371" s="1" t="s">
        <v>308</v>
      </c>
      <c r="Y371" t="s">
        <v>852</v>
      </c>
      <c r="Z371" t="s">
        <v>1205</v>
      </c>
      <c r="AA371">
        <v>22687.72</v>
      </c>
      <c r="AB371">
        <v>0</v>
      </c>
      <c r="AC371" t="s">
        <v>308</v>
      </c>
      <c r="AD371" t="s">
        <v>374</v>
      </c>
    </row>
    <row r="372" spans="2:30" x14ac:dyDescent="0.25">
      <c r="B372" s="1" t="s">
        <v>367</v>
      </c>
      <c r="C372" s="1">
        <v>2026</v>
      </c>
      <c r="D372" s="1">
        <v>1</v>
      </c>
      <c r="E372" s="1">
        <v>0</v>
      </c>
      <c r="F372" s="1">
        <v>0</v>
      </c>
      <c r="G372" s="1" t="s">
        <v>368</v>
      </c>
      <c r="H372" s="1" t="s">
        <v>308</v>
      </c>
      <c r="P372" s="1" t="s">
        <v>375</v>
      </c>
      <c r="Q372" s="1">
        <v>2025</v>
      </c>
      <c r="R372" s="1">
        <v>1</v>
      </c>
      <c r="S372" s="1">
        <v>0</v>
      </c>
      <c r="T372" s="1">
        <v>0</v>
      </c>
      <c r="U372" s="1" t="s">
        <v>376</v>
      </c>
      <c r="V372" s="1" t="s">
        <v>308</v>
      </c>
      <c r="Y372" t="s">
        <v>375</v>
      </c>
      <c r="Z372" t="s">
        <v>1205</v>
      </c>
      <c r="AA372">
        <v>47464.6</v>
      </c>
      <c r="AB372">
        <v>0</v>
      </c>
      <c r="AC372" t="s">
        <v>308</v>
      </c>
      <c r="AD372" t="s">
        <v>376</v>
      </c>
    </row>
    <row r="373" spans="2:30" x14ac:dyDescent="0.25">
      <c r="B373" s="1" t="s">
        <v>849</v>
      </c>
      <c r="C373" s="1">
        <v>2026</v>
      </c>
      <c r="D373" s="1">
        <v>1</v>
      </c>
      <c r="E373" s="1">
        <v>0</v>
      </c>
      <c r="F373" s="1">
        <v>0</v>
      </c>
      <c r="G373" s="1" t="s">
        <v>368</v>
      </c>
      <c r="H373" s="1" t="s">
        <v>308</v>
      </c>
      <c r="P373" s="1" t="s">
        <v>853</v>
      </c>
      <c r="Q373" s="1">
        <v>2025</v>
      </c>
      <c r="R373" s="1">
        <v>1</v>
      </c>
      <c r="S373" s="1">
        <v>0</v>
      </c>
      <c r="T373" s="1">
        <v>0</v>
      </c>
      <c r="U373" s="1" t="s">
        <v>376</v>
      </c>
      <c r="V373" s="1" t="s">
        <v>308</v>
      </c>
      <c r="Y373" t="s">
        <v>853</v>
      </c>
      <c r="Z373" t="s">
        <v>1205</v>
      </c>
      <c r="AA373">
        <v>0</v>
      </c>
      <c r="AB373">
        <v>0</v>
      </c>
      <c r="AC373" t="s">
        <v>308</v>
      </c>
      <c r="AD373" t="s">
        <v>376</v>
      </c>
    </row>
    <row r="374" spans="2:30" x14ac:dyDescent="0.25">
      <c r="B374" s="1" t="s">
        <v>369</v>
      </c>
      <c r="C374" s="1">
        <v>2026</v>
      </c>
      <c r="D374" s="1">
        <v>1</v>
      </c>
      <c r="E374" s="1">
        <v>0</v>
      </c>
      <c r="F374" s="1">
        <v>0</v>
      </c>
      <c r="G374" s="1" t="s">
        <v>370</v>
      </c>
      <c r="H374" s="1" t="s">
        <v>308</v>
      </c>
      <c r="P374" s="1" t="s">
        <v>1186</v>
      </c>
      <c r="Q374" s="1">
        <v>2025</v>
      </c>
      <c r="R374" s="1">
        <v>1</v>
      </c>
      <c r="S374" s="1">
        <v>0</v>
      </c>
      <c r="T374" s="1">
        <v>0</v>
      </c>
      <c r="U374" s="1" t="s">
        <v>1326</v>
      </c>
      <c r="V374" s="1" t="s">
        <v>308</v>
      </c>
      <c r="Y374" t="s">
        <v>1186</v>
      </c>
      <c r="Z374" t="s">
        <v>1205</v>
      </c>
      <c r="AA374">
        <v>130975.84</v>
      </c>
      <c r="AB374">
        <v>90527.8</v>
      </c>
      <c r="AC374" t="s">
        <v>308</v>
      </c>
      <c r="AD374" t="s">
        <v>1326</v>
      </c>
    </row>
    <row r="375" spans="2:30" x14ac:dyDescent="0.25">
      <c r="B375" s="1" t="s">
        <v>850</v>
      </c>
      <c r="C375" s="1">
        <v>2026</v>
      </c>
      <c r="D375" s="1">
        <v>1</v>
      </c>
      <c r="E375" s="1">
        <v>7300</v>
      </c>
      <c r="F375" s="1">
        <v>7300</v>
      </c>
      <c r="G375" s="1" t="s">
        <v>370</v>
      </c>
      <c r="H375" s="1" t="s">
        <v>308</v>
      </c>
      <c r="P375" s="1" t="s">
        <v>377</v>
      </c>
      <c r="Q375" s="1">
        <v>2025</v>
      </c>
      <c r="R375" s="1">
        <v>1</v>
      </c>
      <c r="S375" s="1">
        <v>0</v>
      </c>
      <c r="T375" s="1">
        <v>0</v>
      </c>
      <c r="U375" s="1" t="s">
        <v>378</v>
      </c>
      <c r="V375" s="1" t="s">
        <v>308</v>
      </c>
      <c r="Y375" t="s">
        <v>377</v>
      </c>
      <c r="Z375" t="s">
        <v>1205</v>
      </c>
      <c r="AA375">
        <v>0</v>
      </c>
      <c r="AB375">
        <v>0</v>
      </c>
      <c r="AC375" t="s">
        <v>308</v>
      </c>
      <c r="AD375" t="s">
        <v>378</v>
      </c>
    </row>
    <row r="376" spans="2:30" x14ac:dyDescent="0.25">
      <c r="B376" s="1" t="s">
        <v>371</v>
      </c>
      <c r="C376" s="1">
        <v>2026</v>
      </c>
      <c r="D376" s="1">
        <v>1</v>
      </c>
      <c r="E376" s="1">
        <v>0</v>
      </c>
      <c r="F376" s="1">
        <v>0</v>
      </c>
      <c r="G376" s="1" t="s">
        <v>372</v>
      </c>
      <c r="H376" s="1" t="s">
        <v>308</v>
      </c>
      <c r="P376" s="1" t="s">
        <v>854</v>
      </c>
      <c r="Q376" s="1">
        <v>2025</v>
      </c>
      <c r="R376" s="1">
        <v>1</v>
      </c>
      <c r="S376" s="1">
        <v>0</v>
      </c>
      <c r="T376" s="1">
        <v>0</v>
      </c>
      <c r="U376" s="1" t="s">
        <v>378</v>
      </c>
      <c r="V376" s="1" t="s">
        <v>308</v>
      </c>
      <c r="Y376" t="s">
        <v>854</v>
      </c>
      <c r="Z376" t="s">
        <v>1205</v>
      </c>
      <c r="AA376">
        <v>0</v>
      </c>
      <c r="AB376">
        <v>0</v>
      </c>
      <c r="AC376" t="s">
        <v>308</v>
      </c>
      <c r="AD376" t="s">
        <v>378</v>
      </c>
    </row>
    <row r="377" spans="2:30" x14ac:dyDescent="0.25">
      <c r="B377" s="1" t="s">
        <v>851</v>
      </c>
      <c r="C377" s="1">
        <v>2026</v>
      </c>
      <c r="D377" s="1">
        <v>1</v>
      </c>
      <c r="E377" s="1">
        <v>0</v>
      </c>
      <c r="F377" s="1">
        <v>0</v>
      </c>
      <c r="G377" s="1" t="s">
        <v>372</v>
      </c>
      <c r="H377" s="1" t="s">
        <v>308</v>
      </c>
      <c r="P377" s="1" t="s">
        <v>379</v>
      </c>
      <c r="Q377" s="1">
        <v>2025</v>
      </c>
      <c r="R377" s="1">
        <v>1</v>
      </c>
      <c r="S377" s="1">
        <v>450.52</v>
      </c>
      <c r="T377" s="1">
        <v>450.52</v>
      </c>
      <c r="U377" s="1" t="s">
        <v>380</v>
      </c>
      <c r="V377" s="1" t="s">
        <v>308</v>
      </c>
      <c r="Y377" t="s">
        <v>379</v>
      </c>
      <c r="Z377" t="s">
        <v>1205</v>
      </c>
      <c r="AA377">
        <v>6707.81</v>
      </c>
      <c r="AB377">
        <v>295.99</v>
      </c>
      <c r="AC377" t="s">
        <v>308</v>
      </c>
      <c r="AD377" t="s">
        <v>380</v>
      </c>
    </row>
    <row r="378" spans="2:30" x14ac:dyDescent="0.25">
      <c r="B378" s="1" t="s">
        <v>373</v>
      </c>
      <c r="C378" s="1">
        <v>2026</v>
      </c>
      <c r="D378" s="1">
        <v>1</v>
      </c>
      <c r="E378" s="1">
        <v>21007.8</v>
      </c>
      <c r="F378" s="1">
        <v>21007.8</v>
      </c>
      <c r="G378" s="1" t="s">
        <v>374</v>
      </c>
      <c r="H378" s="1" t="s">
        <v>308</v>
      </c>
      <c r="P378" s="1" t="s">
        <v>855</v>
      </c>
      <c r="Q378" s="1">
        <v>2025</v>
      </c>
      <c r="R378" s="1">
        <v>1</v>
      </c>
      <c r="S378" s="1">
        <v>0</v>
      </c>
      <c r="T378" s="1">
        <v>0</v>
      </c>
      <c r="U378" s="1" t="s">
        <v>380</v>
      </c>
      <c r="V378" s="1" t="s">
        <v>308</v>
      </c>
      <c r="Y378" t="s">
        <v>855</v>
      </c>
      <c r="Z378" t="s">
        <v>1205</v>
      </c>
      <c r="AA378">
        <v>0</v>
      </c>
      <c r="AB378">
        <v>0</v>
      </c>
      <c r="AC378" t="s">
        <v>308</v>
      </c>
      <c r="AD378" t="s">
        <v>380</v>
      </c>
    </row>
    <row r="379" spans="2:30" x14ac:dyDescent="0.25">
      <c r="B379" s="1" t="s">
        <v>852</v>
      </c>
      <c r="C379" s="1">
        <v>2026</v>
      </c>
      <c r="D379" s="1">
        <v>1</v>
      </c>
      <c r="E379" s="1">
        <v>0</v>
      </c>
      <c r="F379" s="1">
        <v>0</v>
      </c>
      <c r="G379" s="1" t="s">
        <v>374</v>
      </c>
      <c r="H379" s="1" t="s">
        <v>308</v>
      </c>
      <c r="P379" s="1" t="s">
        <v>381</v>
      </c>
      <c r="Q379" s="1">
        <v>2025</v>
      </c>
      <c r="R379" s="1">
        <v>1</v>
      </c>
      <c r="S379" s="1">
        <v>421.74</v>
      </c>
      <c r="T379" s="1">
        <v>421.74</v>
      </c>
      <c r="U379" s="1" t="s">
        <v>382</v>
      </c>
      <c r="V379" s="1" t="s">
        <v>308</v>
      </c>
      <c r="Y379" t="s">
        <v>381</v>
      </c>
      <c r="Z379" t="s">
        <v>1205</v>
      </c>
      <c r="AA379">
        <v>9050.2099999999991</v>
      </c>
      <c r="AB379">
        <v>0</v>
      </c>
      <c r="AC379" t="s">
        <v>308</v>
      </c>
      <c r="AD379" t="s">
        <v>382</v>
      </c>
    </row>
    <row r="380" spans="2:30" x14ac:dyDescent="0.25">
      <c r="B380" s="1" t="s">
        <v>375</v>
      </c>
      <c r="C380" s="1">
        <v>2026</v>
      </c>
      <c r="D380" s="1">
        <v>1</v>
      </c>
      <c r="E380" s="1">
        <v>0</v>
      </c>
      <c r="F380" s="1">
        <v>0</v>
      </c>
      <c r="G380" s="1" t="s">
        <v>376</v>
      </c>
      <c r="H380" s="1" t="s">
        <v>308</v>
      </c>
      <c r="P380" s="1" t="s">
        <v>856</v>
      </c>
      <c r="Q380" s="1">
        <v>2025</v>
      </c>
      <c r="R380" s="1">
        <v>1</v>
      </c>
      <c r="S380" s="1">
        <v>0</v>
      </c>
      <c r="T380" s="1">
        <v>0</v>
      </c>
      <c r="U380" s="1" t="s">
        <v>382</v>
      </c>
      <c r="V380" s="1" t="s">
        <v>308</v>
      </c>
      <c r="Y380" t="s">
        <v>856</v>
      </c>
      <c r="Z380" t="s">
        <v>1205</v>
      </c>
      <c r="AA380">
        <v>0</v>
      </c>
      <c r="AB380">
        <v>0</v>
      </c>
      <c r="AC380" t="s">
        <v>308</v>
      </c>
      <c r="AD380" t="s">
        <v>382</v>
      </c>
    </row>
    <row r="381" spans="2:30" x14ac:dyDescent="0.25">
      <c r="B381" s="1" t="s">
        <v>853</v>
      </c>
      <c r="C381" s="1">
        <v>2026</v>
      </c>
      <c r="D381" s="1">
        <v>1</v>
      </c>
      <c r="E381" s="1">
        <v>0</v>
      </c>
      <c r="F381" s="1">
        <v>0</v>
      </c>
      <c r="G381" s="1" t="s">
        <v>376</v>
      </c>
      <c r="H381" s="1" t="s">
        <v>308</v>
      </c>
      <c r="P381" s="1" t="s">
        <v>383</v>
      </c>
      <c r="Q381" s="1">
        <v>2025</v>
      </c>
      <c r="R381" s="1">
        <v>1</v>
      </c>
      <c r="S381" s="1">
        <v>12935.75</v>
      </c>
      <c r="T381" s="1">
        <v>12935.75</v>
      </c>
      <c r="U381" s="1" t="s">
        <v>290</v>
      </c>
      <c r="V381" s="1" t="s">
        <v>308</v>
      </c>
      <c r="Y381" t="s">
        <v>383</v>
      </c>
      <c r="Z381" t="s">
        <v>1205</v>
      </c>
      <c r="AA381">
        <v>119637.56</v>
      </c>
      <c r="AB381">
        <v>9932</v>
      </c>
      <c r="AC381" t="s">
        <v>308</v>
      </c>
      <c r="AD381" t="s">
        <v>290</v>
      </c>
    </row>
    <row r="382" spans="2:30" x14ac:dyDescent="0.25">
      <c r="B382" s="1" t="s">
        <v>1186</v>
      </c>
      <c r="C382" s="1">
        <v>2026</v>
      </c>
      <c r="D382" s="1">
        <v>1</v>
      </c>
      <c r="E382" s="1">
        <v>-35903.22</v>
      </c>
      <c r="F382" s="1">
        <v>-35903.22</v>
      </c>
      <c r="G382" s="1" t="s">
        <v>1326</v>
      </c>
      <c r="H382" s="1" t="s">
        <v>308</v>
      </c>
      <c r="P382" s="1" t="s">
        <v>857</v>
      </c>
      <c r="Q382" s="1">
        <v>2025</v>
      </c>
      <c r="R382" s="1">
        <v>1</v>
      </c>
      <c r="S382" s="1">
        <v>0</v>
      </c>
      <c r="T382" s="1">
        <v>0</v>
      </c>
      <c r="U382" s="1" t="s">
        <v>290</v>
      </c>
      <c r="V382" s="1" t="s">
        <v>308</v>
      </c>
      <c r="Y382" t="s">
        <v>857</v>
      </c>
      <c r="Z382" t="s">
        <v>1205</v>
      </c>
      <c r="AA382">
        <v>1118</v>
      </c>
      <c r="AB382">
        <v>0</v>
      </c>
      <c r="AC382" t="s">
        <v>308</v>
      </c>
      <c r="AD382" t="s">
        <v>290</v>
      </c>
    </row>
    <row r="383" spans="2:30" x14ac:dyDescent="0.25">
      <c r="B383" s="1" t="s">
        <v>377</v>
      </c>
      <c r="C383" s="1">
        <v>2026</v>
      </c>
      <c r="D383" s="1">
        <v>1</v>
      </c>
      <c r="E383" s="1">
        <v>0</v>
      </c>
      <c r="F383" s="1">
        <v>0</v>
      </c>
      <c r="G383" s="1" t="s">
        <v>378</v>
      </c>
      <c r="H383" s="1" t="s">
        <v>308</v>
      </c>
      <c r="P383" s="1" t="s">
        <v>384</v>
      </c>
      <c r="Q383" s="1">
        <v>2025</v>
      </c>
      <c r="R383" s="1">
        <v>1</v>
      </c>
      <c r="S383" s="1">
        <v>10271</v>
      </c>
      <c r="T383" s="1">
        <v>10271</v>
      </c>
      <c r="U383" s="1" t="s">
        <v>292</v>
      </c>
      <c r="V383" s="1" t="s">
        <v>308</v>
      </c>
      <c r="Y383" t="s">
        <v>384</v>
      </c>
      <c r="Z383" t="s">
        <v>1205</v>
      </c>
      <c r="AA383">
        <v>134441.75</v>
      </c>
      <c r="AB383">
        <v>4940</v>
      </c>
      <c r="AC383" t="s">
        <v>308</v>
      </c>
      <c r="AD383" t="s">
        <v>292</v>
      </c>
    </row>
    <row r="384" spans="2:30" x14ac:dyDescent="0.25">
      <c r="B384" s="1" t="s">
        <v>854</v>
      </c>
      <c r="C384" s="1">
        <v>2026</v>
      </c>
      <c r="D384" s="1">
        <v>1</v>
      </c>
      <c r="E384" s="1">
        <v>0</v>
      </c>
      <c r="F384" s="1">
        <v>0</v>
      </c>
      <c r="G384" s="1" t="s">
        <v>378</v>
      </c>
      <c r="H384" s="1" t="s">
        <v>308</v>
      </c>
      <c r="P384" s="1" t="s">
        <v>858</v>
      </c>
      <c r="Q384" s="1">
        <v>2025</v>
      </c>
      <c r="R384" s="1">
        <v>1</v>
      </c>
      <c r="S384" s="1">
        <v>0</v>
      </c>
      <c r="T384" s="1">
        <v>0</v>
      </c>
      <c r="U384" s="1" t="s">
        <v>292</v>
      </c>
      <c r="V384" s="1" t="s">
        <v>308</v>
      </c>
      <c r="Y384" t="s">
        <v>858</v>
      </c>
      <c r="Z384" t="s">
        <v>1205</v>
      </c>
      <c r="AA384">
        <v>0</v>
      </c>
      <c r="AB384">
        <v>0</v>
      </c>
      <c r="AC384" t="s">
        <v>308</v>
      </c>
      <c r="AD384" t="s">
        <v>292</v>
      </c>
    </row>
    <row r="385" spans="2:30" x14ac:dyDescent="0.25">
      <c r="B385" s="1" t="s">
        <v>379</v>
      </c>
      <c r="C385" s="1">
        <v>2026</v>
      </c>
      <c r="D385" s="1">
        <v>1</v>
      </c>
      <c r="E385" s="1">
        <v>-1374.23</v>
      </c>
      <c r="F385" s="1">
        <v>-1374.23</v>
      </c>
      <c r="G385" s="1" t="s">
        <v>380</v>
      </c>
      <c r="H385" s="1" t="s">
        <v>308</v>
      </c>
      <c r="P385" s="1" t="s">
        <v>385</v>
      </c>
      <c r="Q385" s="1">
        <v>2025</v>
      </c>
      <c r="R385" s="1">
        <v>1</v>
      </c>
      <c r="S385" s="1">
        <v>9374</v>
      </c>
      <c r="T385" s="1">
        <v>9374</v>
      </c>
      <c r="U385" s="1" t="s">
        <v>386</v>
      </c>
      <c r="V385" s="1" t="s">
        <v>308</v>
      </c>
      <c r="Y385" t="s">
        <v>385</v>
      </c>
      <c r="Z385" t="s">
        <v>1205</v>
      </c>
      <c r="AA385">
        <v>100099.75</v>
      </c>
      <c r="AB385">
        <v>4520</v>
      </c>
      <c r="AC385" t="s">
        <v>308</v>
      </c>
      <c r="AD385" t="s">
        <v>386</v>
      </c>
    </row>
    <row r="386" spans="2:30" x14ac:dyDescent="0.25">
      <c r="B386" s="1" t="s">
        <v>855</v>
      </c>
      <c r="C386" s="1">
        <v>2026</v>
      </c>
      <c r="D386" s="1">
        <v>1</v>
      </c>
      <c r="E386" s="1">
        <v>0</v>
      </c>
      <c r="F386" s="1">
        <v>0</v>
      </c>
      <c r="G386" s="1" t="s">
        <v>380</v>
      </c>
      <c r="H386" s="1" t="s">
        <v>308</v>
      </c>
      <c r="P386" s="1" t="s">
        <v>859</v>
      </c>
      <c r="Q386" s="1">
        <v>2025</v>
      </c>
      <c r="R386" s="1">
        <v>1</v>
      </c>
      <c r="S386" s="1">
        <v>0</v>
      </c>
      <c r="T386" s="1">
        <v>0</v>
      </c>
      <c r="U386" s="1" t="s">
        <v>386</v>
      </c>
      <c r="V386" s="1" t="s">
        <v>308</v>
      </c>
      <c r="Y386" t="s">
        <v>859</v>
      </c>
      <c r="Z386" t="s">
        <v>1205</v>
      </c>
      <c r="AA386">
        <v>0</v>
      </c>
      <c r="AB386">
        <v>0</v>
      </c>
      <c r="AC386" t="s">
        <v>308</v>
      </c>
      <c r="AD386" t="s">
        <v>386</v>
      </c>
    </row>
    <row r="387" spans="2:30" x14ac:dyDescent="0.25">
      <c r="B387" s="1" t="s">
        <v>381</v>
      </c>
      <c r="C387" s="1">
        <v>2026</v>
      </c>
      <c r="D387" s="1">
        <v>1</v>
      </c>
      <c r="E387" s="1">
        <v>-1264.71</v>
      </c>
      <c r="F387" s="1">
        <v>-1264.71</v>
      </c>
      <c r="G387" s="1" t="s">
        <v>382</v>
      </c>
      <c r="H387" s="1" t="s">
        <v>308</v>
      </c>
      <c r="P387" s="1" t="s">
        <v>387</v>
      </c>
      <c r="Q387" s="1">
        <v>2025</v>
      </c>
      <c r="R387" s="1">
        <v>1</v>
      </c>
      <c r="S387" s="1">
        <v>0</v>
      </c>
      <c r="T387" s="1">
        <v>0</v>
      </c>
      <c r="U387" s="1" t="s">
        <v>1194</v>
      </c>
      <c r="V387" s="1" t="s">
        <v>308</v>
      </c>
      <c r="Y387" t="s">
        <v>387</v>
      </c>
      <c r="Z387" t="s">
        <v>1205</v>
      </c>
      <c r="AA387">
        <v>-72.73</v>
      </c>
      <c r="AB387">
        <v>0</v>
      </c>
      <c r="AC387" t="s">
        <v>308</v>
      </c>
      <c r="AD387" t="s">
        <v>1194</v>
      </c>
    </row>
    <row r="388" spans="2:30" x14ac:dyDescent="0.25">
      <c r="B388" s="1" t="s">
        <v>856</v>
      </c>
      <c r="C388" s="1">
        <v>2026</v>
      </c>
      <c r="D388" s="1">
        <v>1</v>
      </c>
      <c r="E388" s="1">
        <v>0</v>
      </c>
      <c r="F388" s="1">
        <v>0</v>
      </c>
      <c r="G388" s="1" t="s">
        <v>382</v>
      </c>
      <c r="H388" s="1" t="s">
        <v>308</v>
      </c>
      <c r="P388" s="1" t="s">
        <v>860</v>
      </c>
      <c r="Q388" s="1">
        <v>2025</v>
      </c>
      <c r="R388" s="1">
        <v>1</v>
      </c>
      <c r="S388" s="1">
        <v>0</v>
      </c>
      <c r="T388" s="1">
        <v>0</v>
      </c>
      <c r="U388" s="1" t="s">
        <v>1195</v>
      </c>
      <c r="V388" s="1" t="s">
        <v>308</v>
      </c>
      <c r="Y388" t="s">
        <v>860</v>
      </c>
      <c r="Z388" t="s">
        <v>1205</v>
      </c>
      <c r="AA388">
        <v>0</v>
      </c>
      <c r="AB388">
        <v>0</v>
      </c>
      <c r="AC388" t="s">
        <v>308</v>
      </c>
      <c r="AD388" t="s">
        <v>1195</v>
      </c>
    </row>
    <row r="389" spans="2:30" x14ac:dyDescent="0.25">
      <c r="B389" s="1" t="s">
        <v>383</v>
      </c>
      <c r="C389" s="1">
        <v>2026</v>
      </c>
      <c r="D389" s="1">
        <v>1</v>
      </c>
      <c r="E389" s="1">
        <v>8764.75</v>
      </c>
      <c r="F389" s="1">
        <v>8764.75</v>
      </c>
      <c r="G389" s="1" t="s">
        <v>290</v>
      </c>
      <c r="H389" s="1" t="s">
        <v>308</v>
      </c>
      <c r="P389" s="1" t="s">
        <v>389</v>
      </c>
      <c r="Q389" s="1">
        <v>2025</v>
      </c>
      <c r="R389" s="1">
        <v>1</v>
      </c>
      <c r="S389" s="1">
        <v>0</v>
      </c>
      <c r="T389" s="1">
        <v>0</v>
      </c>
      <c r="U389" s="1" t="s">
        <v>390</v>
      </c>
      <c r="V389" s="1" t="s">
        <v>308</v>
      </c>
      <c r="Y389" t="s">
        <v>389</v>
      </c>
      <c r="Z389" t="s">
        <v>1205</v>
      </c>
      <c r="AA389">
        <v>19072.98</v>
      </c>
      <c r="AB389">
        <v>1739.48</v>
      </c>
      <c r="AC389" t="s">
        <v>308</v>
      </c>
      <c r="AD389" t="s">
        <v>390</v>
      </c>
    </row>
    <row r="390" spans="2:30" x14ac:dyDescent="0.25">
      <c r="B390" s="1" t="s">
        <v>857</v>
      </c>
      <c r="C390" s="1">
        <v>2026</v>
      </c>
      <c r="D390" s="1">
        <v>1</v>
      </c>
      <c r="E390" s="1">
        <v>987.84</v>
      </c>
      <c r="F390" s="1">
        <v>987.84</v>
      </c>
      <c r="G390" s="1" t="s">
        <v>290</v>
      </c>
      <c r="H390" s="1" t="s">
        <v>308</v>
      </c>
      <c r="P390" s="1" t="s">
        <v>861</v>
      </c>
      <c r="Q390" s="1">
        <v>2025</v>
      </c>
      <c r="R390" s="1">
        <v>1</v>
      </c>
      <c r="S390" s="1">
        <v>0</v>
      </c>
      <c r="T390" s="1">
        <v>0</v>
      </c>
      <c r="U390" s="1" t="s">
        <v>390</v>
      </c>
      <c r="V390" s="1" t="s">
        <v>308</v>
      </c>
      <c r="Y390" t="s">
        <v>861</v>
      </c>
      <c r="Z390" t="s">
        <v>1205</v>
      </c>
      <c r="AA390">
        <v>0</v>
      </c>
      <c r="AB390">
        <v>0</v>
      </c>
      <c r="AC390" t="s">
        <v>308</v>
      </c>
      <c r="AD390" t="s">
        <v>390</v>
      </c>
    </row>
    <row r="391" spans="2:30" x14ac:dyDescent="0.25">
      <c r="B391" s="1" t="s">
        <v>384</v>
      </c>
      <c r="C391" s="1">
        <v>2026</v>
      </c>
      <c r="D391" s="1">
        <v>1</v>
      </c>
      <c r="E391" s="1">
        <v>4558.25</v>
      </c>
      <c r="F391" s="1">
        <v>4558.25</v>
      </c>
      <c r="G391" s="1" t="s">
        <v>292</v>
      </c>
      <c r="H391" s="1" t="s">
        <v>308</v>
      </c>
      <c r="P391" s="1" t="s">
        <v>391</v>
      </c>
      <c r="Q391" s="1">
        <v>2025</v>
      </c>
      <c r="R391" s="1">
        <v>1</v>
      </c>
      <c r="S391" s="1">
        <v>0</v>
      </c>
      <c r="T391" s="1">
        <v>0</v>
      </c>
      <c r="U391" s="1" t="s">
        <v>392</v>
      </c>
      <c r="V391" s="1" t="s">
        <v>308</v>
      </c>
      <c r="Y391" t="s">
        <v>391</v>
      </c>
      <c r="Z391" t="s">
        <v>1205</v>
      </c>
      <c r="AA391">
        <v>0</v>
      </c>
      <c r="AB391">
        <v>0</v>
      </c>
      <c r="AC391" t="s">
        <v>308</v>
      </c>
      <c r="AD391" t="s">
        <v>392</v>
      </c>
    </row>
    <row r="392" spans="2:30" x14ac:dyDescent="0.25">
      <c r="B392" s="1" t="s">
        <v>858</v>
      </c>
      <c r="C392" s="1">
        <v>2026</v>
      </c>
      <c r="D392" s="1">
        <v>1</v>
      </c>
      <c r="E392" s="1">
        <v>0</v>
      </c>
      <c r="F392" s="1">
        <v>0</v>
      </c>
      <c r="G392" s="1" t="s">
        <v>292</v>
      </c>
      <c r="H392" s="1" t="s">
        <v>308</v>
      </c>
      <c r="P392" s="1" t="s">
        <v>393</v>
      </c>
      <c r="Q392" s="1">
        <v>2025</v>
      </c>
      <c r="R392" s="1">
        <v>1</v>
      </c>
      <c r="S392" s="1">
        <v>3418.2</v>
      </c>
      <c r="T392" s="1">
        <v>3418.2</v>
      </c>
      <c r="U392" s="1" t="s">
        <v>394</v>
      </c>
      <c r="V392" s="1" t="s">
        <v>308</v>
      </c>
      <c r="Y392" t="s">
        <v>393</v>
      </c>
      <c r="Z392" t="s">
        <v>1205</v>
      </c>
      <c r="AA392">
        <v>145896.92000000001</v>
      </c>
      <c r="AB392">
        <v>31857.52</v>
      </c>
      <c r="AC392" t="s">
        <v>308</v>
      </c>
      <c r="AD392" t="s">
        <v>394</v>
      </c>
    </row>
    <row r="393" spans="2:30" x14ac:dyDescent="0.25">
      <c r="B393" s="1" t="s">
        <v>385</v>
      </c>
      <c r="C393" s="1">
        <v>2026</v>
      </c>
      <c r="D393" s="1">
        <v>1</v>
      </c>
      <c r="E393" s="1">
        <v>7600</v>
      </c>
      <c r="F393" s="1">
        <v>7600</v>
      </c>
      <c r="G393" s="1" t="s">
        <v>386</v>
      </c>
      <c r="H393" s="1" t="s">
        <v>308</v>
      </c>
      <c r="P393" s="1" t="s">
        <v>862</v>
      </c>
      <c r="Q393" s="1">
        <v>2025</v>
      </c>
      <c r="R393" s="1">
        <v>1</v>
      </c>
      <c r="S393" s="1">
        <v>0</v>
      </c>
      <c r="T393" s="1">
        <v>0</v>
      </c>
      <c r="U393" s="1" t="s">
        <v>394</v>
      </c>
      <c r="V393" s="1" t="s">
        <v>308</v>
      </c>
      <c r="Y393" t="s">
        <v>862</v>
      </c>
      <c r="Z393" t="s">
        <v>1205</v>
      </c>
      <c r="AA393">
        <v>0</v>
      </c>
      <c r="AB393">
        <v>0</v>
      </c>
      <c r="AC393" t="s">
        <v>308</v>
      </c>
      <c r="AD393" t="s">
        <v>394</v>
      </c>
    </row>
    <row r="394" spans="2:30" x14ac:dyDescent="0.25">
      <c r="B394" s="1" t="s">
        <v>859</v>
      </c>
      <c r="C394" s="1">
        <v>2026</v>
      </c>
      <c r="D394" s="1">
        <v>1</v>
      </c>
      <c r="E394" s="1">
        <v>0</v>
      </c>
      <c r="F394" s="1">
        <v>0</v>
      </c>
      <c r="G394" s="1" t="s">
        <v>386</v>
      </c>
      <c r="H394" s="1" t="s">
        <v>308</v>
      </c>
      <c r="P394" s="1" t="s">
        <v>863</v>
      </c>
      <c r="Q394" s="1">
        <v>2025</v>
      </c>
      <c r="R394" s="1">
        <v>1</v>
      </c>
      <c r="S394" s="1">
        <v>2415.2199999999998</v>
      </c>
      <c r="T394" s="1">
        <v>2415.2199999999998</v>
      </c>
      <c r="U394" s="1" t="s">
        <v>1233</v>
      </c>
      <c r="V394" s="1" t="s">
        <v>308</v>
      </c>
      <c r="Y394" t="s">
        <v>863</v>
      </c>
      <c r="Z394" t="s">
        <v>1205</v>
      </c>
      <c r="AA394">
        <v>19826.53</v>
      </c>
      <c r="AB394">
        <v>26</v>
      </c>
      <c r="AC394" t="s">
        <v>308</v>
      </c>
      <c r="AD394" t="s">
        <v>1233</v>
      </c>
    </row>
    <row r="395" spans="2:30" x14ac:dyDescent="0.25">
      <c r="B395" s="1" t="s">
        <v>387</v>
      </c>
      <c r="C395" s="1">
        <v>2026</v>
      </c>
      <c r="D395" s="1">
        <v>1</v>
      </c>
      <c r="E395" s="1">
        <v>0</v>
      </c>
      <c r="F395" s="1">
        <v>0</v>
      </c>
      <c r="G395" s="1" t="s">
        <v>1194</v>
      </c>
      <c r="H395" s="1" t="s">
        <v>308</v>
      </c>
      <c r="P395" s="1" t="s">
        <v>1242</v>
      </c>
      <c r="Q395" s="1">
        <v>2025</v>
      </c>
      <c r="R395" s="1">
        <v>1</v>
      </c>
      <c r="S395" s="1">
        <v>25127.84</v>
      </c>
      <c r="T395" s="1">
        <v>25127.84</v>
      </c>
      <c r="U395" s="1" t="s">
        <v>1327</v>
      </c>
      <c r="V395" s="1" t="s">
        <v>308</v>
      </c>
      <c r="Y395" t="s">
        <v>1242</v>
      </c>
      <c r="Z395" t="s">
        <v>1205</v>
      </c>
      <c r="AA395">
        <v>190456.36</v>
      </c>
      <c r="AB395">
        <v>27476.51</v>
      </c>
      <c r="AC395" t="s">
        <v>308</v>
      </c>
      <c r="AD395" t="s">
        <v>1327</v>
      </c>
    </row>
    <row r="396" spans="2:30" x14ac:dyDescent="0.25">
      <c r="B396" s="1" t="s">
        <v>860</v>
      </c>
      <c r="C396" s="1">
        <v>2026</v>
      </c>
      <c r="D396" s="1">
        <v>1</v>
      </c>
      <c r="E396" s="1">
        <v>0</v>
      </c>
      <c r="F396" s="1">
        <v>0</v>
      </c>
      <c r="G396" s="1" t="s">
        <v>1195</v>
      </c>
      <c r="H396" s="1" t="s">
        <v>308</v>
      </c>
      <c r="P396" s="1" t="s">
        <v>395</v>
      </c>
      <c r="Q396" s="1">
        <v>2025</v>
      </c>
      <c r="R396" s="1">
        <v>1</v>
      </c>
      <c r="S396" s="1">
        <v>5532.76</v>
      </c>
      <c r="T396" s="1">
        <v>5532.76</v>
      </c>
      <c r="U396" s="1" t="s">
        <v>396</v>
      </c>
      <c r="V396" s="1" t="s">
        <v>308</v>
      </c>
      <c r="Y396" t="s">
        <v>395</v>
      </c>
      <c r="Z396" t="s">
        <v>1205</v>
      </c>
      <c r="AA396">
        <v>162511.39000000001</v>
      </c>
      <c r="AB396">
        <v>30140.560000000001</v>
      </c>
      <c r="AC396" t="s">
        <v>308</v>
      </c>
      <c r="AD396" t="s">
        <v>396</v>
      </c>
    </row>
    <row r="397" spans="2:30" x14ac:dyDescent="0.25">
      <c r="B397" s="1" t="s">
        <v>389</v>
      </c>
      <c r="C397" s="1">
        <v>2026</v>
      </c>
      <c r="D397" s="1">
        <v>1</v>
      </c>
      <c r="E397" s="1">
        <v>0</v>
      </c>
      <c r="F397" s="1">
        <v>0</v>
      </c>
      <c r="G397" s="1" t="s">
        <v>390</v>
      </c>
      <c r="H397" s="1" t="s">
        <v>308</v>
      </c>
      <c r="P397" s="1" t="s">
        <v>864</v>
      </c>
      <c r="Q397" s="1">
        <v>2025</v>
      </c>
      <c r="R397" s="1">
        <v>1</v>
      </c>
      <c r="S397" s="1">
        <v>0</v>
      </c>
      <c r="T397" s="1">
        <v>0</v>
      </c>
      <c r="U397" s="1" t="s">
        <v>865</v>
      </c>
      <c r="V397" s="1" t="s">
        <v>308</v>
      </c>
      <c r="Y397" t="s">
        <v>864</v>
      </c>
      <c r="Z397" t="s">
        <v>1205</v>
      </c>
      <c r="AA397">
        <v>3283.89</v>
      </c>
      <c r="AB397">
        <v>0</v>
      </c>
      <c r="AC397" t="s">
        <v>308</v>
      </c>
      <c r="AD397" t="s">
        <v>865</v>
      </c>
    </row>
    <row r="398" spans="2:30" x14ac:dyDescent="0.25">
      <c r="B398" s="1" t="s">
        <v>861</v>
      </c>
      <c r="C398" s="1">
        <v>2026</v>
      </c>
      <c r="D398" s="1">
        <v>1</v>
      </c>
      <c r="E398" s="1">
        <v>0</v>
      </c>
      <c r="F398" s="1">
        <v>0</v>
      </c>
      <c r="G398" s="1" t="s">
        <v>390</v>
      </c>
      <c r="H398" s="1" t="s">
        <v>308</v>
      </c>
      <c r="P398" s="1" t="s">
        <v>397</v>
      </c>
      <c r="Q398" s="1">
        <v>2025</v>
      </c>
      <c r="R398" s="1">
        <v>1</v>
      </c>
      <c r="S398" s="1">
        <v>604.25</v>
      </c>
      <c r="T398" s="1">
        <v>604.25</v>
      </c>
      <c r="U398" s="1" t="s">
        <v>398</v>
      </c>
      <c r="V398" s="1" t="s">
        <v>308</v>
      </c>
      <c r="Y398" t="s">
        <v>397</v>
      </c>
      <c r="Z398" t="s">
        <v>1205</v>
      </c>
      <c r="AA398">
        <v>604.25</v>
      </c>
      <c r="AB398">
        <v>0</v>
      </c>
      <c r="AC398" t="s">
        <v>308</v>
      </c>
      <c r="AD398" t="s">
        <v>398</v>
      </c>
    </row>
    <row r="399" spans="2:30" x14ac:dyDescent="0.25">
      <c r="B399" s="1" t="s">
        <v>391</v>
      </c>
      <c r="C399" s="1">
        <v>2026</v>
      </c>
      <c r="D399" s="1">
        <v>1</v>
      </c>
      <c r="E399" s="1">
        <v>0</v>
      </c>
      <c r="F399" s="1">
        <v>0</v>
      </c>
      <c r="G399" s="1" t="s">
        <v>392</v>
      </c>
      <c r="H399" s="1" t="s">
        <v>308</v>
      </c>
      <c r="P399" s="1" t="s">
        <v>1406</v>
      </c>
      <c r="Q399" s="1">
        <v>2025</v>
      </c>
      <c r="R399" s="1">
        <v>1</v>
      </c>
      <c r="S399" s="1">
        <v>0</v>
      </c>
      <c r="T399" s="1">
        <v>0</v>
      </c>
      <c r="U399" s="1" t="s">
        <v>1451</v>
      </c>
      <c r="V399" s="1" t="s">
        <v>308</v>
      </c>
      <c r="Y399" t="s">
        <v>1406</v>
      </c>
      <c r="Z399" t="s">
        <v>1205</v>
      </c>
      <c r="AA399">
        <v>0</v>
      </c>
      <c r="AB399">
        <v>0</v>
      </c>
      <c r="AC399" t="s">
        <v>308</v>
      </c>
      <c r="AD399" t="s">
        <v>1451</v>
      </c>
    </row>
    <row r="400" spans="2:30" x14ac:dyDescent="0.25">
      <c r="B400" s="1" t="s">
        <v>393</v>
      </c>
      <c r="C400" s="1">
        <v>2026</v>
      </c>
      <c r="D400" s="1">
        <v>1</v>
      </c>
      <c r="E400" s="1">
        <v>11441.65</v>
      </c>
      <c r="F400" s="1">
        <v>11441.65</v>
      </c>
      <c r="G400" s="1" t="s">
        <v>394</v>
      </c>
      <c r="H400" s="1" t="s">
        <v>308</v>
      </c>
      <c r="P400" s="1" t="s">
        <v>399</v>
      </c>
      <c r="Q400" s="1">
        <v>2025</v>
      </c>
      <c r="R400" s="1">
        <v>1</v>
      </c>
      <c r="S400" s="1">
        <v>0</v>
      </c>
      <c r="T400" s="1">
        <v>0</v>
      </c>
      <c r="U400" s="1" t="s">
        <v>1252</v>
      </c>
      <c r="V400" s="1" t="s">
        <v>308</v>
      </c>
      <c r="Y400" t="s">
        <v>399</v>
      </c>
      <c r="Z400" t="s">
        <v>1205</v>
      </c>
      <c r="AA400">
        <v>1114.8</v>
      </c>
      <c r="AB400">
        <v>0</v>
      </c>
      <c r="AC400" t="s">
        <v>308</v>
      </c>
      <c r="AD400" t="s">
        <v>1252</v>
      </c>
    </row>
    <row r="401" spans="2:30" x14ac:dyDescent="0.25">
      <c r="B401" s="1" t="s">
        <v>862</v>
      </c>
      <c r="C401" s="1">
        <v>2026</v>
      </c>
      <c r="D401" s="1">
        <v>1</v>
      </c>
      <c r="E401" s="1">
        <v>0</v>
      </c>
      <c r="F401" s="1">
        <v>0</v>
      </c>
      <c r="G401" s="1" t="s">
        <v>394</v>
      </c>
      <c r="H401" s="1" t="s">
        <v>308</v>
      </c>
      <c r="P401" s="1" t="s">
        <v>400</v>
      </c>
      <c r="Q401" s="1">
        <v>2025</v>
      </c>
      <c r="R401" s="1">
        <v>1</v>
      </c>
      <c r="S401" s="1">
        <v>447.97</v>
      </c>
      <c r="T401" s="1">
        <v>447.97</v>
      </c>
      <c r="U401" s="1" t="s">
        <v>1299</v>
      </c>
      <c r="V401" s="1" t="s">
        <v>308</v>
      </c>
      <c r="Y401" t="s">
        <v>400</v>
      </c>
      <c r="Z401" t="s">
        <v>1205</v>
      </c>
      <c r="AA401">
        <v>16769.919999999998</v>
      </c>
      <c r="AB401">
        <v>1115.4100000000001</v>
      </c>
      <c r="AC401" t="s">
        <v>308</v>
      </c>
      <c r="AD401" t="s">
        <v>1299</v>
      </c>
    </row>
    <row r="402" spans="2:30" x14ac:dyDescent="0.25">
      <c r="B402" s="1" t="s">
        <v>863</v>
      </c>
      <c r="C402" s="1">
        <v>2026</v>
      </c>
      <c r="D402" s="1">
        <v>1</v>
      </c>
      <c r="E402" s="1">
        <v>1516.47</v>
      </c>
      <c r="F402" s="1">
        <v>1516.47</v>
      </c>
      <c r="G402" s="1" t="s">
        <v>1233</v>
      </c>
      <c r="H402" s="1" t="s">
        <v>308</v>
      </c>
      <c r="P402" s="1" t="s">
        <v>866</v>
      </c>
      <c r="Q402" s="1">
        <v>2025</v>
      </c>
      <c r="R402" s="1">
        <v>1</v>
      </c>
      <c r="S402" s="1">
        <v>0</v>
      </c>
      <c r="T402" s="1">
        <v>0</v>
      </c>
      <c r="U402" s="1" t="s">
        <v>1252</v>
      </c>
      <c r="V402" s="1" t="s">
        <v>308</v>
      </c>
      <c r="Y402" t="s">
        <v>866</v>
      </c>
      <c r="Z402" t="s">
        <v>1205</v>
      </c>
      <c r="AA402">
        <v>0</v>
      </c>
      <c r="AB402">
        <v>0</v>
      </c>
      <c r="AC402" t="s">
        <v>308</v>
      </c>
      <c r="AD402" t="s">
        <v>1252</v>
      </c>
    </row>
    <row r="403" spans="2:30" x14ac:dyDescent="0.25">
      <c r="B403" s="1" t="s">
        <v>1242</v>
      </c>
      <c r="C403" s="1">
        <v>2026</v>
      </c>
      <c r="D403" s="1">
        <v>1</v>
      </c>
      <c r="E403" s="1">
        <v>20198.29</v>
      </c>
      <c r="F403" s="1">
        <v>20198.29</v>
      </c>
      <c r="G403" s="1" t="s">
        <v>1327</v>
      </c>
      <c r="H403" s="1" t="s">
        <v>308</v>
      </c>
      <c r="P403" s="1" t="s">
        <v>401</v>
      </c>
      <c r="Q403" s="1">
        <v>2025</v>
      </c>
      <c r="R403" s="1">
        <v>1</v>
      </c>
      <c r="S403" s="1">
        <v>0</v>
      </c>
      <c r="T403" s="1">
        <v>0</v>
      </c>
      <c r="U403" s="1" t="s">
        <v>1253</v>
      </c>
      <c r="V403" s="1" t="s">
        <v>308</v>
      </c>
      <c r="Y403" t="s">
        <v>401</v>
      </c>
      <c r="Z403" t="s">
        <v>1205</v>
      </c>
      <c r="AA403">
        <v>0</v>
      </c>
      <c r="AB403">
        <v>0</v>
      </c>
      <c r="AC403" t="s">
        <v>308</v>
      </c>
      <c r="AD403" t="s">
        <v>1253</v>
      </c>
    </row>
    <row r="404" spans="2:30" x14ac:dyDescent="0.25">
      <c r="B404" s="1" t="s">
        <v>395</v>
      </c>
      <c r="C404" s="1">
        <v>2026</v>
      </c>
      <c r="D404" s="1">
        <v>1</v>
      </c>
      <c r="E404" s="1">
        <v>7920.08</v>
      </c>
      <c r="F404" s="1">
        <v>7920.08</v>
      </c>
      <c r="G404" s="1" t="s">
        <v>396</v>
      </c>
      <c r="H404" s="1" t="s">
        <v>308</v>
      </c>
      <c r="P404" s="1" t="s">
        <v>1408</v>
      </c>
      <c r="Q404" s="1">
        <v>2025</v>
      </c>
      <c r="R404" s="1">
        <v>1</v>
      </c>
      <c r="S404" s="1">
        <v>0</v>
      </c>
      <c r="T404" s="1">
        <v>0</v>
      </c>
      <c r="U404" s="1" t="s">
        <v>1452</v>
      </c>
      <c r="V404" s="1" t="s">
        <v>308</v>
      </c>
      <c r="Y404" t="s">
        <v>1408</v>
      </c>
      <c r="Z404" t="s">
        <v>1205</v>
      </c>
      <c r="AA404">
        <v>0</v>
      </c>
      <c r="AB404">
        <v>0</v>
      </c>
      <c r="AC404" t="s">
        <v>308</v>
      </c>
      <c r="AD404" t="s">
        <v>1452</v>
      </c>
    </row>
    <row r="405" spans="2:30" x14ac:dyDescent="0.25">
      <c r="B405" s="1" t="s">
        <v>864</v>
      </c>
      <c r="C405" s="1">
        <v>2026</v>
      </c>
      <c r="D405" s="1">
        <v>1</v>
      </c>
      <c r="E405" s="1">
        <v>0</v>
      </c>
      <c r="F405" s="1">
        <v>0</v>
      </c>
      <c r="G405" s="1" t="s">
        <v>865</v>
      </c>
      <c r="H405" s="1" t="s">
        <v>308</v>
      </c>
      <c r="P405" s="1" t="s">
        <v>402</v>
      </c>
      <c r="Q405" s="1">
        <v>2025</v>
      </c>
      <c r="R405" s="1">
        <v>1</v>
      </c>
      <c r="S405" s="1">
        <v>0</v>
      </c>
      <c r="T405" s="1">
        <v>0</v>
      </c>
      <c r="U405" s="1" t="s">
        <v>403</v>
      </c>
      <c r="V405" s="1" t="s">
        <v>308</v>
      </c>
      <c r="Y405" t="s">
        <v>402</v>
      </c>
      <c r="Z405" t="s">
        <v>1205</v>
      </c>
      <c r="AA405">
        <v>0</v>
      </c>
      <c r="AB405">
        <v>0</v>
      </c>
      <c r="AC405" t="s">
        <v>308</v>
      </c>
      <c r="AD405" t="s">
        <v>403</v>
      </c>
    </row>
    <row r="406" spans="2:30" x14ac:dyDescent="0.25">
      <c r="B406" s="1" t="s">
        <v>397</v>
      </c>
      <c r="C406" s="1">
        <v>2026</v>
      </c>
      <c r="D406" s="1">
        <v>1</v>
      </c>
      <c r="E406" s="1">
        <v>0</v>
      </c>
      <c r="F406" s="1">
        <v>0</v>
      </c>
      <c r="G406" s="1" t="s">
        <v>398</v>
      </c>
      <c r="H406" s="1" t="s">
        <v>308</v>
      </c>
      <c r="P406" s="1" t="s">
        <v>867</v>
      </c>
      <c r="Q406" s="1">
        <v>2025</v>
      </c>
      <c r="R406" s="1">
        <v>1</v>
      </c>
      <c r="S406" s="1">
        <v>0</v>
      </c>
      <c r="T406" s="1">
        <v>0</v>
      </c>
      <c r="U406" s="1" t="s">
        <v>868</v>
      </c>
      <c r="V406" s="1" t="s">
        <v>308</v>
      </c>
      <c r="Y406" t="s">
        <v>867</v>
      </c>
      <c r="Z406" t="s">
        <v>1205</v>
      </c>
      <c r="AA406">
        <v>0</v>
      </c>
      <c r="AB406">
        <v>0</v>
      </c>
      <c r="AC406" t="s">
        <v>308</v>
      </c>
      <c r="AD406" t="s">
        <v>868</v>
      </c>
    </row>
    <row r="407" spans="2:30" x14ac:dyDescent="0.25">
      <c r="B407" s="1" t="s">
        <v>1406</v>
      </c>
      <c r="C407" s="1">
        <v>2026</v>
      </c>
      <c r="D407" s="1">
        <v>1</v>
      </c>
      <c r="E407" s="1">
        <v>0</v>
      </c>
      <c r="F407" s="1">
        <v>0</v>
      </c>
      <c r="G407" s="1" t="s">
        <v>1451</v>
      </c>
      <c r="H407" s="1" t="s">
        <v>308</v>
      </c>
      <c r="P407" s="1" t="s">
        <v>404</v>
      </c>
      <c r="Q407" s="1">
        <v>2025</v>
      </c>
      <c r="R407" s="1">
        <v>1</v>
      </c>
      <c r="S407" s="1">
        <v>0</v>
      </c>
      <c r="T407" s="1">
        <v>0</v>
      </c>
      <c r="U407" s="1" t="s">
        <v>405</v>
      </c>
      <c r="V407" s="1" t="s">
        <v>308</v>
      </c>
      <c r="Y407" t="s">
        <v>404</v>
      </c>
      <c r="Z407" t="s">
        <v>1205</v>
      </c>
      <c r="AA407">
        <v>0</v>
      </c>
      <c r="AB407">
        <v>0</v>
      </c>
      <c r="AC407" t="s">
        <v>308</v>
      </c>
      <c r="AD407" t="s">
        <v>405</v>
      </c>
    </row>
    <row r="408" spans="2:30" x14ac:dyDescent="0.25">
      <c r="B408" s="1" t="s">
        <v>399</v>
      </c>
      <c r="C408" s="1">
        <v>2026</v>
      </c>
      <c r="D408" s="1">
        <v>1</v>
      </c>
      <c r="E408" s="1">
        <v>16615.88</v>
      </c>
      <c r="F408" s="1">
        <v>16615.88</v>
      </c>
      <c r="G408" s="1" t="s">
        <v>1252</v>
      </c>
      <c r="H408" s="1" t="s">
        <v>308</v>
      </c>
      <c r="P408" s="1" t="s">
        <v>1409</v>
      </c>
      <c r="Q408" s="1">
        <v>2025</v>
      </c>
      <c r="R408" s="1">
        <v>1</v>
      </c>
      <c r="S408" s="1">
        <v>0</v>
      </c>
      <c r="T408" s="1">
        <v>0</v>
      </c>
      <c r="U408" s="1" t="s">
        <v>1453</v>
      </c>
      <c r="V408" s="1" t="s">
        <v>308</v>
      </c>
      <c r="Y408" t="s">
        <v>1409</v>
      </c>
      <c r="Z408" t="s">
        <v>1205</v>
      </c>
      <c r="AA408">
        <v>0</v>
      </c>
      <c r="AB408">
        <v>0</v>
      </c>
      <c r="AC408" t="s">
        <v>308</v>
      </c>
      <c r="AD408" t="s">
        <v>1453</v>
      </c>
    </row>
    <row r="409" spans="2:30" x14ac:dyDescent="0.25">
      <c r="B409" s="1" t="s">
        <v>400</v>
      </c>
      <c r="C409" s="1">
        <v>2026</v>
      </c>
      <c r="D409" s="1">
        <v>1</v>
      </c>
      <c r="E409" s="1">
        <v>1515.64</v>
      </c>
      <c r="F409" s="1">
        <v>1515.64</v>
      </c>
      <c r="G409" s="1" t="s">
        <v>1299</v>
      </c>
      <c r="H409" s="1" t="s">
        <v>308</v>
      </c>
      <c r="P409" s="1" t="s">
        <v>406</v>
      </c>
      <c r="Q409" s="1">
        <v>2025</v>
      </c>
      <c r="R409" s="1">
        <v>1</v>
      </c>
      <c r="S409" s="1">
        <v>0</v>
      </c>
      <c r="T409" s="1">
        <v>0</v>
      </c>
      <c r="U409" s="1" t="s">
        <v>407</v>
      </c>
      <c r="V409" s="1" t="s">
        <v>308</v>
      </c>
      <c r="Y409" t="s">
        <v>406</v>
      </c>
      <c r="Z409" t="s">
        <v>1205</v>
      </c>
      <c r="AA409">
        <v>0</v>
      </c>
      <c r="AB409">
        <v>0</v>
      </c>
      <c r="AC409" t="s">
        <v>308</v>
      </c>
      <c r="AD409" t="s">
        <v>407</v>
      </c>
    </row>
    <row r="410" spans="2:30" x14ac:dyDescent="0.25">
      <c r="B410" s="1" t="s">
        <v>866</v>
      </c>
      <c r="C410" s="1">
        <v>2026</v>
      </c>
      <c r="D410" s="1">
        <v>1</v>
      </c>
      <c r="E410" s="1">
        <v>0</v>
      </c>
      <c r="F410" s="1">
        <v>0</v>
      </c>
      <c r="G410" s="1" t="s">
        <v>1252</v>
      </c>
      <c r="H410" s="1" t="s">
        <v>308</v>
      </c>
      <c r="P410" s="1" t="s">
        <v>1180</v>
      </c>
      <c r="Q410" s="1">
        <v>2025</v>
      </c>
      <c r="R410" s="1">
        <v>1</v>
      </c>
      <c r="S410" s="1">
        <v>0</v>
      </c>
      <c r="T410" s="1">
        <v>0</v>
      </c>
      <c r="U410" s="1" t="s">
        <v>1181</v>
      </c>
      <c r="V410" s="1" t="s">
        <v>308</v>
      </c>
      <c r="Y410" t="s">
        <v>1180</v>
      </c>
      <c r="Z410" t="s">
        <v>1205</v>
      </c>
      <c r="AA410">
        <v>13774.18</v>
      </c>
      <c r="AB410">
        <v>503.8</v>
      </c>
      <c r="AC410" t="s">
        <v>308</v>
      </c>
      <c r="AD410" t="s">
        <v>1181</v>
      </c>
    </row>
    <row r="411" spans="2:30" x14ac:dyDescent="0.25">
      <c r="B411" s="1" t="s">
        <v>401</v>
      </c>
      <c r="C411" s="1">
        <v>2026</v>
      </c>
      <c r="D411" s="1">
        <v>1</v>
      </c>
      <c r="E411" s="1">
        <v>0</v>
      </c>
      <c r="F411" s="1">
        <v>0</v>
      </c>
      <c r="G411" s="1" t="s">
        <v>1253</v>
      </c>
      <c r="H411" s="1" t="s">
        <v>308</v>
      </c>
      <c r="P411" s="1" t="s">
        <v>1502</v>
      </c>
      <c r="Q411" s="1">
        <v>2025</v>
      </c>
      <c r="R411" s="1">
        <v>1</v>
      </c>
      <c r="S411" s="1">
        <v>0</v>
      </c>
      <c r="T411" s="1">
        <v>0</v>
      </c>
      <c r="U411" s="1" t="s">
        <v>1181</v>
      </c>
      <c r="V411" s="1" t="s">
        <v>308</v>
      </c>
      <c r="Y411" t="s">
        <v>1502</v>
      </c>
      <c r="Z411" t="s">
        <v>1205</v>
      </c>
      <c r="AA411">
        <v>0</v>
      </c>
      <c r="AB411">
        <v>0</v>
      </c>
      <c r="AC411" t="s">
        <v>308</v>
      </c>
      <c r="AD411" t="s">
        <v>1181</v>
      </c>
    </row>
    <row r="412" spans="2:30" x14ac:dyDescent="0.25">
      <c r="B412" s="1" t="s">
        <v>1408</v>
      </c>
      <c r="C412" s="1">
        <v>2026</v>
      </c>
      <c r="D412" s="1">
        <v>1</v>
      </c>
      <c r="E412" s="1">
        <v>0</v>
      </c>
      <c r="F412" s="1">
        <v>0</v>
      </c>
      <c r="G412" s="1" t="s">
        <v>1452</v>
      </c>
      <c r="H412" s="1" t="s">
        <v>308</v>
      </c>
      <c r="P412" s="1" t="s">
        <v>408</v>
      </c>
      <c r="Q412" s="1">
        <v>2025</v>
      </c>
      <c r="R412" s="1">
        <v>1</v>
      </c>
      <c r="S412" s="1">
        <v>702</v>
      </c>
      <c r="T412" s="1">
        <v>702</v>
      </c>
      <c r="U412" s="1" t="s">
        <v>407</v>
      </c>
      <c r="V412" s="1" t="s">
        <v>308</v>
      </c>
      <c r="Y412" t="s">
        <v>408</v>
      </c>
      <c r="Z412" t="s">
        <v>1205</v>
      </c>
      <c r="AA412">
        <v>15968.78</v>
      </c>
      <c r="AB412">
        <v>26</v>
      </c>
      <c r="AC412" t="s">
        <v>308</v>
      </c>
      <c r="AD412" t="s">
        <v>407</v>
      </c>
    </row>
    <row r="413" spans="2:30" x14ac:dyDescent="0.25">
      <c r="B413" s="1" t="s">
        <v>402</v>
      </c>
      <c r="C413" s="1">
        <v>2026</v>
      </c>
      <c r="D413" s="1">
        <v>1</v>
      </c>
      <c r="E413" s="1">
        <v>0</v>
      </c>
      <c r="F413" s="1">
        <v>0</v>
      </c>
      <c r="G413" s="1" t="s">
        <v>403</v>
      </c>
      <c r="H413" s="1" t="s">
        <v>308</v>
      </c>
      <c r="P413" s="1" t="s">
        <v>869</v>
      </c>
      <c r="Q413" s="1">
        <v>2025</v>
      </c>
      <c r="R413" s="1">
        <v>1</v>
      </c>
      <c r="S413" s="1">
        <v>0</v>
      </c>
      <c r="T413" s="1">
        <v>0</v>
      </c>
      <c r="U413" s="1" t="s">
        <v>407</v>
      </c>
      <c r="V413" s="1" t="s">
        <v>308</v>
      </c>
      <c r="Y413" t="s">
        <v>869</v>
      </c>
      <c r="Z413" t="s">
        <v>1205</v>
      </c>
      <c r="AA413">
        <v>0</v>
      </c>
      <c r="AB413">
        <v>0</v>
      </c>
      <c r="AC413" t="s">
        <v>308</v>
      </c>
      <c r="AD413" t="s">
        <v>407</v>
      </c>
    </row>
    <row r="414" spans="2:30" x14ac:dyDescent="0.25">
      <c r="B414" s="1" t="s">
        <v>867</v>
      </c>
      <c r="C414" s="1">
        <v>2026</v>
      </c>
      <c r="D414" s="1">
        <v>1</v>
      </c>
      <c r="E414" s="1">
        <v>0</v>
      </c>
      <c r="F414" s="1">
        <v>0</v>
      </c>
      <c r="G414" s="1" t="s">
        <v>868</v>
      </c>
      <c r="H414" s="1" t="s">
        <v>308</v>
      </c>
      <c r="P414" s="1" t="s">
        <v>409</v>
      </c>
      <c r="Q414" s="1">
        <v>2025</v>
      </c>
      <c r="R414" s="1">
        <v>1</v>
      </c>
      <c r="S414" s="1">
        <v>0</v>
      </c>
      <c r="T414" s="1">
        <v>0</v>
      </c>
      <c r="U414" s="1" t="s">
        <v>407</v>
      </c>
      <c r="V414" s="1" t="s">
        <v>308</v>
      </c>
      <c r="Y414" t="s">
        <v>409</v>
      </c>
      <c r="Z414" t="s">
        <v>1205</v>
      </c>
      <c r="AA414">
        <v>0</v>
      </c>
      <c r="AB414">
        <v>0</v>
      </c>
      <c r="AC414" t="s">
        <v>308</v>
      </c>
      <c r="AD414" t="s">
        <v>407</v>
      </c>
    </row>
    <row r="415" spans="2:30" x14ac:dyDescent="0.25">
      <c r="B415" s="1" t="s">
        <v>404</v>
      </c>
      <c r="C415" s="1">
        <v>2026</v>
      </c>
      <c r="D415" s="1">
        <v>1</v>
      </c>
      <c r="E415" s="1">
        <v>0</v>
      </c>
      <c r="F415" s="1">
        <v>0</v>
      </c>
      <c r="G415" s="1" t="s">
        <v>405</v>
      </c>
      <c r="H415" s="1" t="s">
        <v>308</v>
      </c>
      <c r="P415" s="1" t="s">
        <v>1407</v>
      </c>
      <c r="Q415" s="1">
        <v>2025</v>
      </c>
      <c r="R415" s="1">
        <v>1</v>
      </c>
      <c r="S415" s="1">
        <v>0</v>
      </c>
      <c r="T415" s="1">
        <v>0</v>
      </c>
      <c r="U415" s="1" t="s">
        <v>407</v>
      </c>
      <c r="V415" s="1" t="s">
        <v>308</v>
      </c>
      <c r="Y415" t="s">
        <v>1407</v>
      </c>
      <c r="Z415" t="s">
        <v>1205</v>
      </c>
      <c r="AA415">
        <v>0</v>
      </c>
      <c r="AB415">
        <v>0</v>
      </c>
      <c r="AC415" t="s">
        <v>308</v>
      </c>
      <c r="AD415" t="s">
        <v>407</v>
      </c>
    </row>
    <row r="416" spans="2:30" x14ac:dyDescent="0.25">
      <c r="B416" s="1" t="s">
        <v>1409</v>
      </c>
      <c r="C416" s="1">
        <v>2026</v>
      </c>
      <c r="D416" s="1">
        <v>1</v>
      </c>
      <c r="E416" s="1">
        <v>0</v>
      </c>
      <c r="F416" s="1">
        <v>0</v>
      </c>
      <c r="G416" s="1" t="s">
        <v>1453</v>
      </c>
      <c r="H416" s="1" t="s">
        <v>308</v>
      </c>
      <c r="P416" s="1" t="s">
        <v>410</v>
      </c>
      <c r="Q416" s="1">
        <v>2025</v>
      </c>
      <c r="R416" s="1">
        <v>1</v>
      </c>
      <c r="S416" s="1">
        <v>0</v>
      </c>
      <c r="T416" s="1">
        <v>0</v>
      </c>
      <c r="U416" s="1" t="s">
        <v>411</v>
      </c>
      <c r="V416" s="1" t="s">
        <v>308</v>
      </c>
      <c r="Y416" t="s">
        <v>410</v>
      </c>
      <c r="Z416" t="s">
        <v>1205</v>
      </c>
      <c r="AA416">
        <v>468</v>
      </c>
      <c r="AB416">
        <v>0</v>
      </c>
      <c r="AC416" t="s">
        <v>308</v>
      </c>
      <c r="AD416" t="s">
        <v>411</v>
      </c>
    </row>
    <row r="417" spans="2:30" x14ac:dyDescent="0.25">
      <c r="B417" s="1" t="s">
        <v>406</v>
      </c>
      <c r="C417" s="1">
        <v>2026</v>
      </c>
      <c r="D417" s="1">
        <v>1</v>
      </c>
      <c r="E417" s="1">
        <v>0</v>
      </c>
      <c r="F417" s="1">
        <v>0</v>
      </c>
      <c r="G417" s="1" t="s">
        <v>407</v>
      </c>
      <c r="H417" s="1" t="s">
        <v>308</v>
      </c>
      <c r="P417" s="1" t="s">
        <v>870</v>
      </c>
      <c r="Q417" s="1">
        <v>2025</v>
      </c>
      <c r="R417" s="1">
        <v>1</v>
      </c>
      <c r="S417" s="1">
        <v>0</v>
      </c>
      <c r="T417" s="1">
        <v>0</v>
      </c>
      <c r="U417" s="1" t="s">
        <v>411</v>
      </c>
      <c r="V417" s="1" t="s">
        <v>308</v>
      </c>
      <c r="Y417" t="s">
        <v>870</v>
      </c>
      <c r="Z417" t="s">
        <v>1205</v>
      </c>
      <c r="AA417">
        <v>0</v>
      </c>
      <c r="AB417">
        <v>0</v>
      </c>
      <c r="AC417" t="s">
        <v>308</v>
      </c>
      <c r="AD417" t="s">
        <v>411</v>
      </c>
    </row>
    <row r="418" spans="2:30" x14ac:dyDescent="0.25">
      <c r="B418" s="1" t="s">
        <v>1180</v>
      </c>
      <c r="C418" s="1">
        <v>2026</v>
      </c>
      <c r="D418" s="1">
        <v>1</v>
      </c>
      <c r="E418" s="1">
        <v>0</v>
      </c>
      <c r="F418" s="1">
        <v>0</v>
      </c>
      <c r="G418" s="1" t="s">
        <v>1181</v>
      </c>
      <c r="H418" s="1" t="s">
        <v>308</v>
      </c>
      <c r="P418" s="1" t="s">
        <v>412</v>
      </c>
      <c r="Q418" s="1">
        <v>2025</v>
      </c>
      <c r="R418" s="1">
        <v>1</v>
      </c>
      <c r="S418" s="1">
        <v>67787.759999999995</v>
      </c>
      <c r="T418" s="1">
        <v>67787.759999999995</v>
      </c>
      <c r="U418" s="1" t="s">
        <v>413</v>
      </c>
      <c r="V418" s="1" t="s">
        <v>308</v>
      </c>
      <c r="Y418" t="s">
        <v>412</v>
      </c>
      <c r="Z418" t="s">
        <v>1205</v>
      </c>
      <c r="AA418">
        <v>692927.14</v>
      </c>
      <c r="AB418">
        <v>94449.64</v>
      </c>
      <c r="AC418" t="s">
        <v>308</v>
      </c>
      <c r="AD418" t="s">
        <v>413</v>
      </c>
    </row>
    <row r="419" spans="2:30" x14ac:dyDescent="0.25">
      <c r="B419" s="1" t="s">
        <v>1502</v>
      </c>
      <c r="C419" s="1">
        <v>2026</v>
      </c>
      <c r="D419" s="1">
        <v>1</v>
      </c>
      <c r="E419" s="1">
        <v>0</v>
      </c>
      <c r="F419" s="1">
        <v>0</v>
      </c>
      <c r="G419" s="1" t="s">
        <v>1181</v>
      </c>
      <c r="H419" s="1" t="s">
        <v>308</v>
      </c>
      <c r="P419" s="1" t="s">
        <v>871</v>
      </c>
      <c r="Q419" s="1">
        <v>2025</v>
      </c>
      <c r="R419" s="1">
        <v>1</v>
      </c>
      <c r="S419" s="1">
        <v>0</v>
      </c>
      <c r="T419" s="1">
        <v>0</v>
      </c>
      <c r="U419" s="1" t="s">
        <v>413</v>
      </c>
      <c r="V419" s="1" t="s">
        <v>308</v>
      </c>
      <c r="Y419" t="s">
        <v>871</v>
      </c>
      <c r="Z419" t="s">
        <v>1205</v>
      </c>
      <c r="AA419">
        <v>1299.58</v>
      </c>
      <c r="AB419">
        <v>0</v>
      </c>
      <c r="AC419" t="s">
        <v>308</v>
      </c>
      <c r="AD419" t="s">
        <v>413</v>
      </c>
    </row>
    <row r="420" spans="2:30" x14ac:dyDescent="0.25">
      <c r="B420" s="1" t="s">
        <v>408</v>
      </c>
      <c r="C420" s="1">
        <v>2026</v>
      </c>
      <c r="D420" s="1">
        <v>1</v>
      </c>
      <c r="E420" s="1">
        <v>0</v>
      </c>
      <c r="F420" s="1">
        <v>0</v>
      </c>
      <c r="G420" s="1" t="s">
        <v>407</v>
      </c>
      <c r="H420" s="1" t="s">
        <v>308</v>
      </c>
      <c r="P420" s="1" t="s">
        <v>414</v>
      </c>
      <c r="Q420" s="1">
        <v>2025</v>
      </c>
      <c r="R420" s="1">
        <v>1</v>
      </c>
      <c r="S420" s="1">
        <v>16431.53</v>
      </c>
      <c r="T420" s="1">
        <v>16431.53</v>
      </c>
      <c r="U420" s="1" t="s">
        <v>415</v>
      </c>
      <c r="V420" s="1" t="s">
        <v>308</v>
      </c>
      <c r="Y420" t="s">
        <v>414</v>
      </c>
      <c r="Z420" t="s">
        <v>1205</v>
      </c>
      <c r="AA420">
        <v>161376.79</v>
      </c>
      <c r="AB420">
        <v>2470</v>
      </c>
      <c r="AC420" t="s">
        <v>308</v>
      </c>
      <c r="AD420" t="s">
        <v>415</v>
      </c>
    </row>
    <row r="421" spans="2:30" x14ac:dyDescent="0.25">
      <c r="B421" s="1" t="s">
        <v>869</v>
      </c>
      <c r="C421" s="1">
        <v>2026</v>
      </c>
      <c r="D421" s="1">
        <v>1</v>
      </c>
      <c r="E421" s="1">
        <v>0</v>
      </c>
      <c r="F421" s="1">
        <v>0</v>
      </c>
      <c r="G421" s="1" t="s">
        <v>407</v>
      </c>
      <c r="H421" s="1" t="s">
        <v>308</v>
      </c>
      <c r="P421" s="1" t="s">
        <v>872</v>
      </c>
      <c r="Q421" s="1">
        <v>2025</v>
      </c>
      <c r="R421" s="1">
        <v>1</v>
      </c>
      <c r="S421" s="1">
        <v>0</v>
      </c>
      <c r="T421" s="1">
        <v>0</v>
      </c>
      <c r="U421" s="1" t="s">
        <v>415</v>
      </c>
      <c r="V421" s="1" t="s">
        <v>308</v>
      </c>
      <c r="Y421" t="s">
        <v>872</v>
      </c>
      <c r="Z421" t="s">
        <v>1205</v>
      </c>
      <c r="AA421">
        <v>0</v>
      </c>
      <c r="AB421">
        <v>0</v>
      </c>
      <c r="AC421" t="s">
        <v>308</v>
      </c>
      <c r="AD421" t="s">
        <v>415</v>
      </c>
    </row>
    <row r="422" spans="2:30" x14ac:dyDescent="0.25">
      <c r="B422" s="1" t="s">
        <v>409</v>
      </c>
      <c r="C422" s="1">
        <v>2026</v>
      </c>
      <c r="D422" s="1">
        <v>1</v>
      </c>
      <c r="E422" s="1">
        <v>0</v>
      </c>
      <c r="F422" s="1">
        <v>0</v>
      </c>
      <c r="G422" s="1" t="s">
        <v>407</v>
      </c>
      <c r="H422" s="1" t="s">
        <v>308</v>
      </c>
      <c r="P422" s="1" t="s">
        <v>416</v>
      </c>
      <c r="Q422" s="1">
        <v>2025</v>
      </c>
      <c r="R422" s="1">
        <v>1</v>
      </c>
      <c r="S422" s="1">
        <v>26362.720000000001</v>
      </c>
      <c r="T422" s="1">
        <v>26362.720000000001</v>
      </c>
      <c r="U422" s="1" t="s">
        <v>417</v>
      </c>
      <c r="V422" s="1" t="s">
        <v>308</v>
      </c>
      <c r="Y422" t="s">
        <v>416</v>
      </c>
      <c r="Z422" t="s">
        <v>1205</v>
      </c>
      <c r="AA422">
        <v>466219.57</v>
      </c>
      <c r="AB422">
        <v>69525.789999999994</v>
      </c>
      <c r="AC422" t="s">
        <v>308</v>
      </c>
      <c r="AD422" t="s">
        <v>417</v>
      </c>
    </row>
    <row r="423" spans="2:30" x14ac:dyDescent="0.25">
      <c r="B423" s="1" t="s">
        <v>1407</v>
      </c>
      <c r="C423" s="1">
        <v>2026</v>
      </c>
      <c r="D423" s="1">
        <v>1</v>
      </c>
      <c r="E423" s="1">
        <v>0</v>
      </c>
      <c r="F423" s="1">
        <v>0</v>
      </c>
      <c r="G423" s="1" t="s">
        <v>407</v>
      </c>
      <c r="H423" s="1" t="s">
        <v>308</v>
      </c>
      <c r="P423" s="1" t="s">
        <v>873</v>
      </c>
      <c r="Q423" s="1">
        <v>2025</v>
      </c>
      <c r="R423" s="1">
        <v>1</v>
      </c>
      <c r="S423" s="1">
        <v>12518.34</v>
      </c>
      <c r="T423" s="1">
        <v>12518.34</v>
      </c>
      <c r="U423" s="1" t="s">
        <v>417</v>
      </c>
      <c r="V423" s="1" t="s">
        <v>308</v>
      </c>
      <c r="Y423" t="s">
        <v>873</v>
      </c>
      <c r="Z423" t="s">
        <v>1205</v>
      </c>
      <c r="AA423">
        <v>13871.82</v>
      </c>
      <c r="AB423">
        <v>0</v>
      </c>
      <c r="AC423" t="s">
        <v>308</v>
      </c>
      <c r="AD423" t="s">
        <v>417</v>
      </c>
    </row>
    <row r="424" spans="2:30" x14ac:dyDescent="0.25">
      <c r="B424" s="1" t="s">
        <v>410</v>
      </c>
      <c r="C424" s="1">
        <v>2026</v>
      </c>
      <c r="D424" s="1">
        <v>1</v>
      </c>
      <c r="E424" s="1">
        <v>0</v>
      </c>
      <c r="F424" s="1">
        <v>0</v>
      </c>
      <c r="G424" s="1" t="s">
        <v>411</v>
      </c>
      <c r="H424" s="1" t="s">
        <v>308</v>
      </c>
      <c r="P424" s="1" t="s">
        <v>418</v>
      </c>
      <c r="Q424" s="1">
        <v>2025</v>
      </c>
      <c r="R424" s="1">
        <v>1</v>
      </c>
      <c r="S424" s="1">
        <v>0</v>
      </c>
      <c r="T424" s="1">
        <v>0</v>
      </c>
      <c r="U424" s="1" t="s">
        <v>1103</v>
      </c>
      <c r="V424" s="1" t="s">
        <v>420</v>
      </c>
      <c r="Y424" t="s">
        <v>418</v>
      </c>
      <c r="Z424" t="s">
        <v>1205</v>
      </c>
      <c r="AA424">
        <v>0</v>
      </c>
      <c r="AB424">
        <v>0</v>
      </c>
      <c r="AC424" t="s">
        <v>420</v>
      </c>
      <c r="AD424" t="s">
        <v>1103</v>
      </c>
    </row>
    <row r="425" spans="2:30" x14ac:dyDescent="0.25">
      <c r="B425" s="1" t="s">
        <v>870</v>
      </c>
      <c r="C425" s="1">
        <v>2026</v>
      </c>
      <c r="D425" s="1">
        <v>1</v>
      </c>
      <c r="E425" s="1">
        <v>0</v>
      </c>
      <c r="F425" s="1">
        <v>0</v>
      </c>
      <c r="G425" s="1" t="s">
        <v>411</v>
      </c>
      <c r="H425" s="1" t="s">
        <v>308</v>
      </c>
      <c r="P425" s="1" t="s">
        <v>421</v>
      </c>
      <c r="Q425" s="1">
        <v>2025</v>
      </c>
      <c r="R425" s="1">
        <v>1</v>
      </c>
      <c r="S425" s="1">
        <v>0</v>
      </c>
      <c r="T425" s="1">
        <v>0</v>
      </c>
      <c r="U425" s="1" t="s">
        <v>422</v>
      </c>
      <c r="V425" s="1" t="s">
        <v>420</v>
      </c>
      <c r="Y425" t="s">
        <v>421</v>
      </c>
      <c r="Z425" t="s">
        <v>1205</v>
      </c>
      <c r="AA425">
        <v>0</v>
      </c>
      <c r="AB425">
        <v>0</v>
      </c>
      <c r="AC425" t="s">
        <v>420</v>
      </c>
      <c r="AD425" t="s">
        <v>422</v>
      </c>
    </row>
    <row r="426" spans="2:30" x14ac:dyDescent="0.25">
      <c r="B426" s="1" t="s">
        <v>412</v>
      </c>
      <c r="C426" s="1">
        <v>2026</v>
      </c>
      <c r="D426" s="1">
        <v>1</v>
      </c>
      <c r="E426" s="1">
        <v>40203.47</v>
      </c>
      <c r="F426" s="1">
        <v>40203.47</v>
      </c>
      <c r="G426" s="1" t="s">
        <v>413</v>
      </c>
      <c r="H426" s="1" t="s">
        <v>308</v>
      </c>
      <c r="P426" s="1" t="s">
        <v>874</v>
      </c>
      <c r="Q426" s="1">
        <v>2025</v>
      </c>
      <c r="R426" s="1">
        <v>1</v>
      </c>
      <c r="S426" s="1">
        <v>0</v>
      </c>
      <c r="T426" s="1">
        <v>0</v>
      </c>
      <c r="U426" s="1" t="s">
        <v>422</v>
      </c>
      <c r="V426" s="1" t="s">
        <v>420</v>
      </c>
      <c r="Y426" t="s">
        <v>874</v>
      </c>
      <c r="Z426" t="s">
        <v>1205</v>
      </c>
      <c r="AA426">
        <v>0</v>
      </c>
      <c r="AB426">
        <v>0</v>
      </c>
      <c r="AC426" t="s">
        <v>420</v>
      </c>
      <c r="AD426" t="s">
        <v>422</v>
      </c>
    </row>
    <row r="427" spans="2:30" x14ac:dyDescent="0.25">
      <c r="B427" s="1" t="s">
        <v>871</v>
      </c>
      <c r="C427" s="1">
        <v>2026</v>
      </c>
      <c r="D427" s="1">
        <v>1</v>
      </c>
      <c r="E427" s="1">
        <v>0</v>
      </c>
      <c r="F427" s="1">
        <v>0</v>
      </c>
      <c r="G427" s="1" t="s">
        <v>413</v>
      </c>
      <c r="H427" s="1" t="s">
        <v>308</v>
      </c>
      <c r="P427" s="1" t="s">
        <v>423</v>
      </c>
      <c r="Q427" s="1">
        <v>2025</v>
      </c>
      <c r="R427" s="1">
        <v>1</v>
      </c>
      <c r="S427" s="1">
        <v>0</v>
      </c>
      <c r="T427" s="1">
        <v>0</v>
      </c>
      <c r="U427" s="1" t="s">
        <v>424</v>
      </c>
      <c r="V427" s="1" t="s">
        <v>420</v>
      </c>
      <c r="Y427" t="s">
        <v>423</v>
      </c>
      <c r="Z427" t="s">
        <v>1205</v>
      </c>
      <c r="AA427">
        <v>0</v>
      </c>
      <c r="AB427">
        <v>0</v>
      </c>
      <c r="AC427" t="s">
        <v>420</v>
      </c>
      <c r="AD427" t="s">
        <v>424</v>
      </c>
    </row>
    <row r="428" spans="2:30" x14ac:dyDescent="0.25">
      <c r="B428" s="1" t="s">
        <v>414</v>
      </c>
      <c r="C428" s="1">
        <v>2026</v>
      </c>
      <c r="D428" s="1">
        <v>1</v>
      </c>
      <c r="E428" s="1">
        <v>1846</v>
      </c>
      <c r="F428" s="1">
        <v>1846</v>
      </c>
      <c r="G428" s="1" t="s">
        <v>415</v>
      </c>
      <c r="H428" s="1" t="s">
        <v>308</v>
      </c>
      <c r="P428" s="1" t="s">
        <v>875</v>
      </c>
      <c r="Q428" s="1">
        <v>2025</v>
      </c>
      <c r="R428" s="1">
        <v>1</v>
      </c>
      <c r="S428" s="1">
        <v>0</v>
      </c>
      <c r="T428" s="1">
        <v>0</v>
      </c>
      <c r="U428" s="1" t="s">
        <v>876</v>
      </c>
      <c r="V428" s="1" t="s">
        <v>420</v>
      </c>
      <c r="Y428" t="s">
        <v>875</v>
      </c>
      <c r="Z428" t="s">
        <v>1205</v>
      </c>
      <c r="AA428">
        <v>0</v>
      </c>
      <c r="AB428">
        <v>0</v>
      </c>
      <c r="AC428" t="s">
        <v>420</v>
      </c>
      <c r="AD428" t="s">
        <v>876</v>
      </c>
    </row>
    <row r="429" spans="2:30" x14ac:dyDescent="0.25">
      <c r="B429" s="1" t="s">
        <v>872</v>
      </c>
      <c r="C429" s="1">
        <v>2026</v>
      </c>
      <c r="D429" s="1">
        <v>1</v>
      </c>
      <c r="E429" s="1">
        <v>0</v>
      </c>
      <c r="F429" s="1">
        <v>0</v>
      </c>
      <c r="G429" s="1" t="s">
        <v>415</v>
      </c>
      <c r="H429" s="1" t="s">
        <v>308</v>
      </c>
      <c r="P429" s="1" t="s">
        <v>425</v>
      </c>
      <c r="Q429" s="1">
        <v>2025</v>
      </c>
      <c r="R429" s="1">
        <v>1</v>
      </c>
      <c r="S429" s="1">
        <v>0</v>
      </c>
      <c r="T429" s="1">
        <v>0</v>
      </c>
      <c r="U429" s="1" t="s">
        <v>426</v>
      </c>
      <c r="V429" s="1" t="s">
        <v>420</v>
      </c>
      <c r="Y429" t="s">
        <v>425</v>
      </c>
      <c r="Z429" t="s">
        <v>1205</v>
      </c>
      <c r="AA429">
        <v>0</v>
      </c>
      <c r="AB429">
        <v>0</v>
      </c>
      <c r="AC429" t="s">
        <v>420</v>
      </c>
      <c r="AD429" t="s">
        <v>426</v>
      </c>
    </row>
    <row r="430" spans="2:30" x14ac:dyDescent="0.25">
      <c r="B430" s="1" t="s">
        <v>416</v>
      </c>
      <c r="C430" s="1">
        <v>2026</v>
      </c>
      <c r="D430" s="1">
        <v>1</v>
      </c>
      <c r="E430" s="1">
        <v>22625.759999999998</v>
      </c>
      <c r="F430" s="1">
        <v>22625.759999999998</v>
      </c>
      <c r="G430" s="1" t="s">
        <v>417</v>
      </c>
      <c r="H430" s="1" t="s">
        <v>308</v>
      </c>
      <c r="P430" s="1" t="s">
        <v>1414</v>
      </c>
      <c r="Q430" s="1">
        <v>2025</v>
      </c>
      <c r="R430" s="1">
        <v>1</v>
      </c>
      <c r="S430" s="1">
        <v>0</v>
      </c>
      <c r="T430" s="1">
        <v>0</v>
      </c>
      <c r="U430" s="1" t="s">
        <v>1454</v>
      </c>
      <c r="V430" s="1" t="s">
        <v>420</v>
      </c>
      <c r="Y430" t="s">
        <v>1414</v>
      </c>
      <c r="Z430" t="s">
        <v>1205</v>
      </c>
      <c r="AA430">
        <v>0</v>
      </c>
      <c r="AB430">
        <v>0</v>
      </c>
      <c r="AC430" t="s">
        <v>420</v>
      </c>
      <c r="AD430" t="s">
        <v>1454</v>
      </c>
    </row>
    <row r="431" spans="2:30" x14ac:dyDescent="0.25">
      <c r="B431" s="1" t="s">
        <v>873</v>
      </c>
      <c r="C431" s="1">
        <v>2026</v>
      </c>
      <c r="D431" s="1">
        <v>1</v>
      </c>
      <c r="E431" s="1">
        <v>0</v>
      </c>
      <c r="F431" s="1">
        <v>0</v>
      </c>
      <c r="G431" s="1" t="s">
        <v>417</v>
      </c>
      <c r="H431" s="1" t="s">
        <v>308</v>
      </c>
      <c r="P431" s="1" t="s">
        <v>427</v>
      </c>
      <c r="Q431" s="1">
        <v>2025</v>
      </c>
      <c r="R431" s="1">
        <v>1</v>
      </c>
      <c r="S431" s="1">
        <v>0</v>
      </c>
      <c r="T431" s="1">
        <v>0</v>
      </c>
      <c r="U431" s="1" t="s">
        <v>428</v>
      </c>
      <c r="V431" s="1" t="s">
        <v>420</v>
      </c>
      <c r="Y431" t="s">
        <v>427</v>
      </c>
      <c r="Z431" t="s">
        <v>1205</v>
      </c>
      <c r="AA431">
        <v>0</v>
      </c>
      <c r="AB431">
        <v>0</v>
      </c>
      <c r="AC431" t="s">
        <v>420</v>
      </c>
      <c r="AD431" t="s">
        <v>428</v>
      </c>
    </row>
    <row r="432" spans="2:30" x14ac:dyDescent="0.25">
      <c r="B432" s="1" t="s">
        <v>418</v>
      </c>
      <c r="C432" s="1">
        <v>2026</v>
      </c>
      <c r="D432" s="1">
        <v>1</v>
      </c>
      <c r="E432" s="1">
        <v>0</v>
      </c>
      <c r="F432" s="1">
        <v>0</v>
      </c>
      <c r="G432" s="1" t="s">
        <v>1103</v>
      </c>
      <c r="H432" s="1" t="s">
        <v>420</v>
      </c>
      <c r="P432" s="1" t="s">
        <v>877</v>
      </c>
      <c r="Q432" s="1">
        <v>2025</v>
      </c>
      <c r="R432" s="1">
        <v>1</v>
      </c>
      <c r="S432" s="1">
        <v>0</v>
      </c>
      <c r="T432" s="1">
        <v>0</v>
      </c>
      <c r="U432" s="1" t="s">
        <v>428</v>
      </c>
      <c r="V432" s="1" t="s">
        <v>420</v>
      </c>
      <c r="Y432" t="s">
        <v>877</v>
      </c>
      <c r="Z432" t="s">
        <v>1205</v>
      </c>
      <c r="AA432">
        <v>0</v>
      </c>
      <c r="AB432">
        <v>0</v>
      </c>
      <c r="AC432" t="s">
        <v>420</v>
      </c>
      <c r="AD432" t="s">
        <v>428</v>
      </c>
    </row>
    <row r="433" spans="2:30" x14ac:dyDescent="0.25">
      <c r="B433" s="1" t="s">
        <v>421</v>
      </c>
      <c r="C433" s="1">
        <v>2026</v>
      </c>
      <c r="D433" s="1">
        <v>1</v>
      </c>
      <c r="E433" s="1">
        <v>0</v>
      </c>
      <c r="F433" s="1">
        <v>0</v>
      </c>
      <c r="G433" s="1" t="s">
        <v>422</v>
      </c>
      <c r="H433" s="1" t="s">
        <v>420</v>
      </c>
      <c r="P433" s="1" t="s">
        <v>429</v>
      </c>
      <c r="Q433" s="1">
        <v>2025</v>
      </c>
      <c r="R433" s="1">
        <v>1</v>
      </c>
      <c r="S433" s="1">
        <v>9960</v>
      </c>
      <c r="T433" s="1">
        <v>9960</v>
      </c>
      <c r="U433" s="1" t="s">
        <v>430</v>
      </c>
      <c r="V433" s="1" t="s">
        <v>420</v>
      </c>
      <c r="Y433" t="s">
        <v>429</v>
      </c>
      <c r="Z433" t="s">
        <v>1205</v>
      </c>
      <c r="AA433">
        <v>89230.18</v>
      </c>
      <c r="AB433">
        <v>8448.31</v>
      </c>
      <c r="AC433" t="s">
        <v>420</v>
      </c>
      <c r="AD433" t="s">
        <v>430</v>
      </c>
    </row>
    <row r="434" spans="2:30" x14ac:dyDescent="0.25">
      <c r="B434" s="1" t="s">
        <v>874</v>
      </c>
      <c r="C434" s="1">
        <v>2026</v>
      </c>
      <c r="D434" s="1">
        <v>1</v>
      </c>
      <c r="E434" s="1">
        <v>0</v>
      </c>
      <c r="F434" s="1">
        <v>0</v>
      </c>
      <c r="G434" s="1" t="s">
        <v>422</v>
      </c>
      <c r="H434" s="1" t="s">
        <v>420</v>
      </c>
      <c r="P434" s="1" t="s">
        <v>878</v>
      </c>
      <c r="Q434" s="1">
        <v>2025</v>
      </c>
      <c r="R434" s="1">
        <v>1</v>
      </c>
      <c r="S434" s="1">
        <v>0</v>
      </c>
      <c r="T434" s="1">
        <v>0</v>
      </c>
      <c r="U434" s="1" t="s">
        <v>430</v>
      </c>
      <c r="V434" s="1" t="s">
        <v>420</v>
      </c>
      <c r="Y434" t="s">
        <v>878</v>
      </c>
      <c r="Z434" t="s">
        <v>1205</v>
      </c>
      <c r="AA434">
        <v>0</v>
      </c>
      <c r="AB434">
        <v>0</v>
      </c>
      <c r="AC434" t="s">
        <v>420</v>
      </c>
      <c r="AD434" t="s">
        <v>430</v>
      </c>
    </row>
    <row r="435" spans="2:30" x14ac:dyDescent="0.25">
      <c r="B435" s="1" t="s">
        <v>423</v>
      </c>
      <c r="C435" s="1">
        <v>2026</v>
      </c>
      <c r="D435" s="1">
        <v>1</v>
      </c>
      <c r="E435" s="1">
        <v>0</v>
      </c>
      <c r="F435" s="1">
        <v>0</v>
      </c>
      <c r="G435" s="1" t="s">
        <v>424</v>
      </c>
      <c r="H435" s="1" t="s">
        <v>420</v>
      </c>
      <c r="P435" s="1" t="s">
        <v>431</v>
      </c>
      <c r="Q435" s="1">
        <v>2025</v>
      </c>
      <c r="R435" s="1">
        <v>1</v>
      </c>
      <c r="S435" s="1">
        <v>18000</v>
      </c>
      <c r="T435" s="1">
        <v>18000</v>
      </c>
      <c r="U435" s="1" t="s">
        <v>1309</v>
      </c>
      <c r="V435" s="1" t="s">
        <v>420</v>
      </c>
      <c r="Y435" t="s">
        <v>431</v>
      </c>
      <c r="Z435" t="s">
        <v>1205</v>
      </c>
      <c r="AA435">
        <v>661102.4</v>
      </c>
      <c r="AB435">
        <v>100000</v>
      </c>
      <c r="AC435" t="s">
        <v>420</v>
      </c>
      <c r="AD435" t="s">
        <v>1309</v>
      </c>
    </row>
    <row r="436" spans="2:30" x14ac:dyDescent="0.25">
      <c r="B436" s="1" t="s">
        <v>875</v>
      </c>
      <c r="C436" s="1">
        <v>2026</v>
      </c>
      <c r="D436" s="1">
        <v>1</v>
      </c>
      <c r="E436" s="1">
        <v>0</v>
      </c>
      <c r="F436" s="1">
        <v>0</v>
      </c>
      <c r="G436" s="1" t="s">
        <v>876</v>
      </c>
      <c r="H436" s="1" t="s">
        <v>420</v>
      </c>
      <c r="P436" s="1" t="s">
        <v>432</v>
      </c>
      <c r="Q436" s="1">
        <v>2025</v>
      </c>
      <c r="R436" s="1">
        <v>1</v>
      </c>
      <c r="S436" s="1">
        <v>0</v>
      </c>
      <c r="T436" s="1">
        <v>0</v>
      </c>
      <c r="U436" s="1" t="s">
        <v>433</v>
      </c>
      <c r="V436" s="1" t="s">
        <v>420</v>
      </c>
      <c r="Y436" t="s">
        <v>432</v>
      </c>
      <c r="Z436" t="s">
        <v>1205</v>
      </c>
      <c r="AA436">
        <v>0</v>
      </c>
      <c r="AB436">
        <v>0</v>
      </c>
      <c r="AC436" t="s">
        <v>420</v>
      </c>
      <c r="AD436" t="s">
        <v>433</v>
      </c>
    </row>
    <row r="437" spans="2:30" x14ac:dyDescent="0.25">
      <c r="B437" s="1" t="s">
        <v>425</v>
      </c>
      <c r="C437" s="1">
        <v>2026</v>
      </c>
      <c r="D437" s="1">
        <v>1</v>
      </c>
      <c r="E437" s="1">
        <v>0</v>
      </c>
      <c r="F437" s="1">
        <v>0</v>
      </c>
      <c r="G437" s="1" t="s">
        <v>426</v>
      </c>
      <c r="H437" s="1" t="s">
        <v>420</v>
      </c>
      <c r="P437" s="1" t="s">
        <v>879</v>
      </c>
      <c r="Q437" s="1">
        <v>2025</v>
      </c>
      <c r="R437" s="1">
        <v>1</v>
      </c>
      <c r="S437" s="1">
        <v>0</v>
      </c>
      <c r="T437" s="1">
        <v>0</v>
      </c>
      <c r="U437" s="1" t="s">
        <v>433</v>
      </c>
      <c r="V437" s="1" t="s">
        <v>420</v>
      </c>
      <c r="Y437" t="s">
        <v>879</v>
      </c>
      <c r="Z437" t="s">
        <v>1205</v>
      </c>
      <c r="AA437">
        <v>0</v>
      </c>
      <c r="AB437">
        <v>0</v>
      </c>
      <c r="AC437" t="s">
        <v>420</v>
      </c>
      <c r="AD437" t="s">
        <v>433</v>
      </c>
    </row>
    <row r="438" spans="2:30" x14ac:dyDescent="0.25">
      <c r="B438" s="1" t="s">
        <v>1414</v>
      </c>
      <c r="C438" s="1">
        <v>2026</v>
      </c>
      <c r="D438" s="1">
        <v>1</v>
      </c>
      <c r="E438" s="1">
        <v>0</v>
      </c>
      <c r="F438" s="1">
        <v>0</v>
      </c>
      <c r="G438" s="1" t="s">
        <v>1454</v>
      </c>
      <c r="H438" s="1" t="s">
        <v>420</v>
      </c>
      <c r="P438" s="1" t="s">
        <v>434</v>
      </c>
      <c r="Q438" s="1">
        <v>2025</v>
      </c>
      <c r="R438" s="1">
        <v>1</v>
      </c>
      <c r="S438" s="1">
        <v>0</v>
      </c>
      <c r="T438" s="1">
        <v>0</v>
      </c>
      <c r="U438" s="1" t="s">
        <v>2091</v>
      </c>
      <c r="V438" s="1" t="s">
        <v>420</v>
      </c>
      <c r="Y438" t="s">
        <v>434</v>
      </c>
      <c r="Z438" t="s">
        <v>1205</v>
      </c>
      <c r="AA438">
        <v>0</v>
      </c>
      <c r="AB438">
        <v>0</v>
      </c>
      <c r="AC438" t="s">
        <v>420</v>
      </c>
      <c r="AD438" t="s">
        <v>2091</v>
      </c>
    </row>
    <row r="439" spans="2:30" x14ac:dyDescent="0.25">
      <c r="B439" s="1" t="s">
        <v>427</v>
      </c>
      <c r="C439" s="1">
        <v>2026</v>
      </c>
      <c r="D439" s="1">
        <v>1</v>
      </c>
      <c r="E439" s="1">
        <v>0</v>
      </c>
      <c r="F439" s="1">
        <v>0</v>
      </c>
      <c r="G439" s="1" t="s">
        <v>428</v>
      </c>
      <c r="H439" s="1" t="s">
        <v>420</v>
      </c>
      <c r="P439" s="1" t="s">
        <v>436</v>
      </c>
      <c r="Q439" s="1">
        <v>2025</v>
      </c>
      <c r="R439" s="1">
        <v>1</v>
      </c>
      <c r="S439" s="1">
        <v>46104.61</v>
      </c>
      <c r="T439" s="1">
        <v>46104.61</v>
      </c>
      <c r="U439" s="1" t="s">
        <v>437</v>
      </c>
      <c r="V439" s="1" t="s">
        <v>420</v>
      </c>
      <c r="Y439" t="s">
        <v>436</v>
      </c>
      <c r="Z439" t="s">
        <v>1205</v>
      </c>
      <c r="AA439">
        <v>476095.61</v>
      </c>
      <c r="AB439">
        <v>41899</v>
      </c>
      <c r="AC439" t="s">
        <v>420</v>
      </c>
      <c r="AD439" t="s">
        <v>437</v>
      </c>
    </row>
    <row r="440" spans="2:30" x14ac:dyDescent="0.25">
      <c r="B440" s="1" t="s">
        <v>877</v>
      </c>
      <c r="C440" s="1">
        <v>2026</v>
      </c>
      <c r="D440" s="1">
        <v>1</v>
      </c>
      <c r="E440" s="1">
        <v>0</v>
      </c>
      <c r="F440" s="1">
        <v>0</v>
      </c>
      <c r="G440" s="1" t="s">
        <v>428</v>
      </c>
      <c r="H440" s="1" t="s">
        <v>420</v>
      </c>
      <c r="P440" s="1" t="s">
        <v>880</v>
      </c>
      <c r="Q440" s="1">
        <v>2025</v>
      </c>
      <c r="R440" s="1">
        <v>1</v>
      </c>
      <c r="S440" s="1">
        <v>18800</v>
      </c>
      <c r="T440" s="1">
        <v>18800</v>
      </c>
      <c r="U440" s="1" t="s">
        <v>881</v>
      </c>
      <c r="V440" s="1" t="s">
        <v>420</v>
      </c>
      <c r="Y440" t="s">
        <v>880</v>
      </c>
      <c r="Z440" t="s">
        <v>1205</v>
      </c>
      <c r="AA440">
        <v>167521.66</v>
      </c>
      <c r="AB440">
        <v>14321.66</v>
      </c>
      <c r="AC440" t="s">
        <v>420</v>
      </c>
      <c r="AD440" t="s">
        <v>881</v>
      </c>
    </row>
    <row r="441" spans="2:30" x14ac:dyDescent="0.25">
      <c r="B441" s="1" t="s">
        <v>429</v>
      </c>
      <c r="C441" s="1">
        <v>2026</v>
      </c>
      <c r="D441" s="1">
        <v>1</v>
      </c>
      <c r="E441" s="1">
        <v>10870.02</v>
      </c>
      <c r="F441" s="1">
        <v>10870.02</v>
      </c>
      <c r="G441" s="1" t="s">
        <v>430</v>
      </c>
      <c r="H441" s="1" t="s">
        <v>420</v>
      </c>
      <c r="P441" s="1" t="s">
        <v>438</v>
      </c>
      <c r="Q441" s="1">
        <v>2025</v>
      </c>
      <c r="R441" s="1">
        <v>1</v>
      </c>
      <c r="S441" s="1">
        <v>8076</v>
      </c>
      <c r="T441" s="1">
        <v>8076</v>
      </c>
      <c r="U441" s="1" t="s">
        <v>1455</v>
      </c>
      <c r="V441" s="1" t="s">
        <v>420</v>
      </c>
      <c r="Y441" t="s">
        <v>438</v>
      </c>
      <c r="Z441" t="s">
        <v>1205</v>
      </c>
      <c r="AA441">
        <v>70555.240000000005</v>
      </c>
      <c r="AB441">
        <v>5947.24</v>
      </c>
      <c r="AC441" t="s">
        <v>420</v>
      </c>
      <c r="AD441" t="s">
        <v>1455</v>
      </c>
    </row>
    <row r="442" spans="2:30" x14ac:dyDescent="0.25">
      <c r="B442" s="1" t="s">
        <v>878</v>
      </c>
      <c r="C442" s="1">
        <v>2026</v>
      </c>
      <c r="D442" s="1">
        <v>1</v>
      </c>
      <c r="E442" s="1">
        <v>0</v>
      </c>
      <c r="F442" s="1">
        <v>0</v>
      </c>
      <c r="G442" s="1" t="s">
        <v>430</v>
      </c>
      <c r="H442" s="1" t="s">
        <v>420</v>
      </c>
      <c r="P442" s="1" t="s">
        <v>1415</v>
      </c>
      <c r="Q442" s="1">
        <v>2025</v>
      </c>
      <c r="R442" s="1">
        <v>1</v>
      </c>
      <c r="S442" s="1">
        <v>11539.2</v>
      </c>
      <c r="T442" s="1">
        <v>11539.2</v>
      </c>
      <c r="U442" s="1" t="s">
        <v>1456</v>
      </c>
      <c r="V442" s="1" t="s">
        <v>420</v>
      </c>
      <c r="Y442" t="s">
        <v>1415</v>
      </c>
      <c r="Z442" t="s">
        <v>1205</v>
      </c>
      <c r="AA442">
        <v>100401.54</v>
      </c>
      <c r="AB442">
        <v>8087.94</v>
      </c>
      <c r="AC442" t="s">
        <v>420</v>
      </c>
      <c r="AD442" t="s">
        <v>1456</v>
      </c>
    </row>
    <row r="443" spans="2:30" x14ac:dyDescent="0.25">
      <c r="B443" s="1" t="s">
        <v>431</v>
      </c>
      <c r="C443" s="1">
        <v>2026</v>
      </c>
      <c r="D443" s="1">
        <v>1</v>
      </c>
      <c r="E443" s="1">
        <v>46153.86</v>
      </c>
      <c r="F443" s="1">
        <v>46153.86</v>
      </c>
      <c r="G443" s="1" t="s">
        <v>1309</v>
      </c>
      <c r="H443" s="1" t="s">
        <v>420</v>
      </c>
      <c r="P443" s="1" t="s">
        <v>439</v>
      </c>
      <c r="Q443" s="1">
        <v>2025</v>
      </c>
      <c r="R443" s="1">
        <v>1</v>
      </c>
      <c r="S443" s="1">
        <v>35160</v>
      </c>
      <c r="T443" s="1">
        <v>35160</v>
      </c>
      <c r="U443" s="1" t="s">
        <v>440</v>
      </c>
      <c r="V443" s="1" t="s">
        <v>420</v>
      </c>
      <c r="Y443" t="s">
        <v>439</v>
      </c>
      <c r="Z443" t="s">
        <v>1205</v>
      </c>
      <c r="AA443">
        <v>319457.02</v>
      </c>
      <c r="AB443">
        <v>28486.02</v>
      </c>
      <c r="AC443" t="s">
        <v>420</v>
      </c>
      <c r="AD443" t="s">
        <v>440</v>
      </c>
    </row>
    <row r="444" spans="2:30" x14ac:dyDescent="0.25">
      <c r="B444" s="1" t="s">
        <v>432</v>
      </c>
      <c r="C444" s="1">
        <v>2026</v>
      </c>
      <c r="D444" s="1">
        <v>1</v>
      </c>
      <c r="E444" s="1">
        <v>0</v>
      </c>
      <c r="F444" s="1">
        <v>0</v>
      </c>
      <c r="G444" s="1" t="s">
        <v>433</v>
      </c>
      <c r="H444" s="1" t="s">
        <v>420</v>
      </c>
      <c r="P444" s="1" t="s">
        <v>882</v>
      </c>
      <c r="Q444" s="1">
        <v>2025</v>
      </c>
      <c r="R444" s="1">
        <v>1</v>
      </c>
      <c r="S444" s="1">
        <v>0</v>
      </c>
      <c r="T444" s="1">
        <v>0</v>
      </c>
      <c r="U444" s="1" t="s">
        <v>440</v>
      </c>
      <c r="V444" s="1" t="s">
        <v>420</v>
      </c>
      <c r="Y444" t="s">
        <v>882</v>
      </c>
      <c r="Z444" t="s">
        <v>1205</v>
      </c>
      <c r="AA444">
        <v>0</v>
      </c>
      <c r="AB444">
        <v>0</v>
      </c>
      <c r="AC444" t="s">
        <v>420</v>
      </c>
      <c r="AD444" t="s">
        <v>440</v>
      </c>
    </row>
    <row r="445" spans="2:30" x14ac:dyDescent="0.25">
      <c r="B445" s="1" t="s">
        <v>879</v>
      </c>
      <c r="C445" s="1">
        <v>2026</v>
      </c>
      <c r="D445" s="1">
        <v>1</v>
      </c>
      <c r="E445" s="1">
        <v>0</v>
      </c>
      <c r="F445" s="1">
        <v>0</v>
      </c>
      <c r="G445" s="1" t="s">
        <v>433</v>
      </c>
      <c r="H445" s="1" t="s">
        <v>420</v>
      </c>
      <c r="P445" s="1" t="s">
        <v>441</v>
      </c>
      <c r="Q445" s="1">
        <v>2025</v>
      </c>
      <c r="R445" s="1">
        <v>1</v>
      </c>
      <c r="S445" s="1">
        <v>6216.35</v>
      </c>
      <c r="T445" s="1">
        <v>6216.35</v>
      </c>
      <c r="U445" s="1" t="s">
        <v>442</v>
      </c>
      <c r="V445" s="1" t="s">
        <v>308</v>
      </c>
      <c r="Y445" t="s">
        <v>441</v>
      </c>
      <c r="Z445" t="s">
        <v>1205</v>
      </c>
      <c r="AA445">
        <v>59275.51</v>
      </c>
      <c r="AB445">
        <v>4701.22</v>
      </c>
      <c r="AC445" t="s">
        <v>308</v>
      </c>
      <c r="AD445" t="s">
        <v>442</v>
      </c>
    </row>
    <row r="446" spans="2:30" x14ac:dyDescent="0.25">
      <c r="B446" s="1" t="s">
        <v>434</v>
      </c>
      <c r="C446" s="1">
        <v>2026</v>
      </c>
      <c r="D446" s="1">
        <v>1</v>
      </c>
      <c r="E446" s="1">
        <v>0</v>
      </c>
      <c r="F446" s="1">
        <v>0</v>
      </c>
      <c r="G446" s="1" t="s">
        <v>2091</v>
      </c>
      <c r="H446" s="1" t="s">
        <v>420</v>
      </c>
      <c r="P446" s="1" t="s">
        <v>883</v>
      </c>
      <c r="Q446" s="1">
        <v>2025</v>
      </c>
      <c r="R446" s="1">
        <v>1</v>
      </c>
      <c r="S446" s="1">
        <v>0</v>
      </c>
      <c r="T446" s="1">
        <v>0</v>
      </c>
      <c r="U446" s="1" t="s">
        <v>442</v>
      </c>
      <c r="V446" s="1" t="s">
        <v>308</v>
      </c>
      <c r="Y446" t="s">
        <v>883</v>
      </c>
      <c r="Z446" t="s">
        <v>1205</v>
      </c>
      <c r="AA446">
        <v>0</v>
      </c>
      <c r="AB446">
        <v>0</v>
      </c>
      <c r="AC446" t="s">
        <v>308</v>
      </c>
      <c r="AD446" t="s">
        <v>442</v>
      </c>
    </row>
    <row r="447" spans="2:30" x14ac:dyDescent="0.25">
      <c r="B447" s="1" t="s">
        <v>436</v>
      </c>
      <c r="C447" s="1">
        <v>2026</v>
      </c>
      <c r="D447" s="1">
        <v>1</v>
      </c>
      <c r="E447" s="1">
        <v>58879.199999999997</v>
      </c>
      <c r="F447" s="1">
        <v>58879.199999999997</v>
      </c>
      <c r="G447" s="1" t="s">
        <v>437</v>
      </c>
      <c r="H447" s="1" t="s">
        <v>420</v>
      </c>
      <c r="P447" s="1" t="s">
        <v>443</v>
      </c>
      <c r="Q447" s="1">
        <v>2025</v>
      </c>
      <c r="R447" s="1">
        <v>1</v>
      </c>
      <c r="S447" s="1">
        <v>10240</v>
      </c>
      <c r="T447" s="1">
        <v>10240</v>
      </c>
      <c r="U447" s="1" t="s">
        <v>1104</v>
      </c>
      <c r="V447" s="1" t="s">
        <v>420</v>
      </c>
      <c r="Y447" t="s">
        <v>443</v>
      </c>
      <c r="Z447" t="s">
        <v>1205</v>
      </c>
      <c r="AA447">
        <v>98093.39</v>
      </c>
      <c r="AB447">
        <v>10573.39</v>
      </c>
      <c r="AC447" t="s">
        <v>420</v>
      </c>
      <c r="AD447" t="s">
        <v>1104</v>
      </c>
    </row>
    <row r="448" spans="2:30" x14ac:dyDescent="0.25">
      <c r="B448" s="1" t="s">
        <v>880</v>
      </c>
      <c r="C448" s="1">
        <v>2026</v>
      </c>
      <c r="D448" s="1">
        <v>1</v>
      </c>
      <c r="E448" s="1">
        <v>19200</v>
      </c>
      <c r="F448" s="1">
        <v>19200</v>
      </c>
      <c r="G448" s="1" t="s">
        <v>881</v>
      </c>
      <c r="H448" s="1" t="s">
        <v>420</v>
      </c>
      <c r="P448" s="1" t="s">
        <v>445</v>
      </c>
      <c r="Q448" s="1">
        <v>2025</v>
      </c>
      <c r="R448" s="1">
        <v>1</v>
      </c>
      <c r="S448" s="1">
        <v>0</v>
      </c>
      <c r="T448" s="1">
        <v>0</v>
      </c>
      <c r="U448" s="1" t="s">
        <v>446</v>
      </c>
      <c r="V448" s="1" t="s">
        <v>420</v>
      </c>
      <c r="Y448" t="s">
        <v>445</v>
      </c>
      <c r="Z448" t="s">
        <v>1205</v>
      </c>
      <c r="AA448">
        <v>0</v>
      </c>
      <c r="AB448">
        <v>0</v>
      </c>
      <c r="AC448" t="s">
        <v>420</v>
      </c>
      <c r="AD448" t="s">
        <v>446</v>
      </c>
    </row>
    <row r="449" spans="2:30" x14ac:dyDescent="0.25">
      <c r="B449" s="1" t="s">
        <v>438</v>
      </c>
      <c r="C449" s="1">
        <v>2026</v>
      </c>
      <c r="D449" s="1">
        <v>1</v>
      </c>
      <c r="E449" s="1">
        <v>8076</v>
      </c>
      <c r="F449" s="1">
        <v>8076</v>
      </c>
      <c r="G449" s="1" t="s">
        <v>1455</v>
      </c>
      <c r="H449" s="1" t="s">
        <v>420</v>
      </c>
      <c r="P449" s="1" t="s">
        <v>884</v>
      </c>
      <c r="Q449" s="1">
        <v>2025</v>
      </c>
      <c r="R449" s="1">
        <v>1</v>
      </c>
      <c r="S449" s="1">
        <v>0</v>
      </c>
      <c r="T449" s="1">
        <v>0</v>
      </c>
      <c r="U449" s="1" t="s">
        <v>446</v>
      </c>
      <c r="V449" s="1" t="s">
        <v>420</v>
      </c>
      <c r="Y449" t="s">
        <v>884</v>
      </c>
      <c r="Z449" t="s">
        <v>1205</v>
      </c>
      <c r="AA449">
        <v>0</v>
      </c>
      <c r="AB449">
        <v>0</v>
      </c>
      <c r="AC449" t="s">
        <v>420</v>
      </c>
      <c r="AD449" t="s">
        <v>446</v>
      </c>
    </row>
    <row r="450" spans="2:30" x14ac:dyDescent="0.25">
      <c r="B450" s="1" t="s">
        <v>1415</v>
      </c>
      <c r="C450" s="1">
        <v>2026</v>
      </c>
      <c r="D450" s="1">
        <v>1</v>
      </c>
      <c r="E450" s="1">
        <v>11539.2</v>
      </c>
      <c r="F450" s="1">
        <v>11539.2</v>
      </c>
      <c r="G450" s="1" t="s">
        <v>1456</v>
      </c>
      <c r="H450" s="1" t="s">
        <v>420</v>
      </c>
      <c r="P450" s="1" t="s">
        <v>447</v>
      </c>
      <c r="Q450" s="1">
        <v>2025</v>
      </c>
      <c r="R450" s="1">
        <v>1</v>
      </c>
      <c r="S450" s="1">
        <v>0</v>
      </c>
      <c r="T450" s="1">
        <v>0</v>
      </c>
      <c r="U450" s="1" t="s">
        <v>448</v>
      </c>
      <c r="V450" s="1" t="s">
        <v>420</v>
      </c>
      <c r="Y450" t="s">
        <v>447</v>
      </c>
      <c r="Z450" t="s">
        <v>1205</v>
      </c>
      <c r="AA450">
        <v>0</v>
      </c>
      <c r="AB450">
        <v>0</v>
      </c>
      <c r="AC450" t="s">
        <v>420</v>
      </c>
      <c r="AD450" t="s">
        <v>448</v>
      </c>
    </row>
    <row r="451" spans="2:30" x14ac:dyDescent="0.25">
      <c r="B451" s="1" t="s">
        <v>439</v>
      </c>
      <c r="C451" s="1">
        <v>2026</v>
      </c>
      <c r="D451" s="1">
        <v>1</v>
      </c>
      <c r="E451" s="1">
        <v>38117.5</v>
      </c>
      <c r="F451" s="1">
        <v>38117.5</v>
      </c>
      <c r="G451" s="1" t="s">
        <v>440</v>
      </c>
      <c r="H451" s="1" t="s">
        <v>420</v>
      </c>
      <c r="P451" s="1" t="s">
        <v>885</v>
      </c>
      <c r="Q451" s="1">
        <v>2025</v>
      </c>
      <c r="R451" s="1">
        <v>1</v>
      </c>
      <c r="S451" s="1">
        <v>0</v>
      </c>
      <c r="T451" s="1">
        <v>0</v>
      </c>
      <c r="U451" s="1" t="s">
        <v>886</v>
      </c>
      <c r="V451" s="1" t="s">
        <v>420</v>
      </c>
      <c r="Y451" t="s">
        <v>885</v>
      </c>
      <c r="Z451" t="s">
        <v>1205</v>
      </c>
      <c r="AA451">
        <v>0</v>
      </c>
      <c r="AB451">
        <v>0</v>
      </c>
      <c r="AC451" t="s">
        <v>420</v>
      </c>
      <c r="AD451" t="s">
        <v>886</v>
      </c>
    </row>
    <row r="452" spans="2:30" x14ac:dyDescent="0.25">
      <c r="B452" s="1" t="s">
        <v>882</v>
      </c>
      <c r="C452" s="1">
        <v>2026</v>
      </c>
      <c r="D452" s="1">
        <v>1</v>
      </c>
      <c r="E452" s="1">
        <v>0</v>
      </c>
      <c r="F452" s="1">
        <v>0</v>
      </c>
      <c r="G452" s="1" t="s">
        <v>440</v>
      </c>
      <c r="H452" s="1" t="s">
        <v>420</v>
      </c>
      <c r="P452" s="1" t="s">
        <v>449</v>
      </c>
      <c r="Q452" s="1">
        <v>2025</v>
      </c>
      <c r="R452" s="1">
        <v>1</v>
      </c>
      <c r="S452" s="1">
        <v>0</v>
      </c>
      <c r="T452" s="1">
        <v>0</v>
      </c>
      <c r="U452" s="1" t="s">
        <v>450</v>
      </c>
      <c r="V452" s="1" t="s">
        <v>420</v>
      </c>
      <c r="Y452" t="s">
        <v>449</v>
      </c>
      <c r="Z452" t="s">
        <v>1205</v>
      </c>
      <c r="AA452">
        <v>0</v>
      </c>
      <c r="AB452">
        <v>0</v>
      </c>
      <c r="AC452" t="s">
        <v>420</v>
      </c>
      <c r="AD452" t="s">
        <v>450</v>
      </c>
    </row>
    <row r="453" spans="2:30" x14ac:dyDescent="0.25">
      <c r="B453" s="1" t="s">
        <v>441</v>
      </c>
      <c r="C453" s="1">
        <v>2026</v>
      </c>
      <c r="D453" s="1">
        <v>1</v>
      </c>
      <c r="E453" s="1">
        <v>7044.8</v>
      </c>
      <c r="F453" s="1">
        <v>7044.8</v>
      </c>
      <c r="G453" s="1" t="s">
        <v>442</v>
      </c>
      <c r="H453" s="1" t="s">
        <v>308</v>
      </c>
      <c r="P453" s="1" t="s">
        <v>1416</v>
      </c>
      <c r="Q453" s="1">
        <v>2025</v>
      </c>
      <c r="R453" s="1">
        <v>1</v>
      </c>
      <c r="S453" s="1">
        <v>0</v>
      </c>
      <c r="T453" s="1">
        <v>0</v>
      </c>
      <c r="U453" s="1" t="s">
        <v>1457</v>
      </c>
      <c r="V453" s="1" t="s">
        <v>420</v>
      </c>
      <c r="Y453" t="s">
        <v>1416</v>
      </c>
      <c r="Z453" t="s">
        <v>1205</v>
      </c>
      <c r="AA453">
        <v>0</v>
      </c>
      <c r="AB453">
        <v>0</v>
      </c>
      <c r="AC453" t="s">
        <v>420</v>
      </c>
      <c r="AD453" t="s">
        <v>1457</v>
      </c>
    </row>
    <row r="454" spans="2:30" x14ac:dyDescent="0.25">
      <c r="B454" s="1" t="s">
        <v>883</v>
      </c>
      <c r="C454" s="1">
        <v>2026</v>
      </c>
      <c r="D454" s="1">
        <v>1</v>
      </c>
      <c r="E454" s="1">
        <v>0</v>
      </c>
      <c r="F454" s="1">
        <v>0</v>
      </c>
      <c r="G454" s="1" t="s">
        <v>442</v>
      </c>
      <c r="H454" s="1" t="s">
        <v>308</v>
      </c>
      <c r="P454" s="1" t="s">
        <v>451</v>
      </c>
      <c r="Q454" s="1">
        <v>2025</v>
      </c>
      <c r="R454" s="1">
        <v>1</v>
      </c>
      <c r="S454" s="1">
        <v>0</v>
      </c>
      <c r="T454" s="1">
        <v>0</v>
      </c>
      <c r="U454" s="1" t="s">
        <v>452</v>
      </c>
      <c r="V454" s="1" t="s">
        <v>420</v>
      </c>
      <c r="Y454" t="s">
        <v>451</v>
      </c>
      <c r="Z454" t="s">
        <v>1205</v>
      </c>
      <c r="AA454">
        <v>0</v>
      </c>
      <c r="AB454">
        <v>0</v>
      </c>
      <c r="AC454" t="s">
        <v>420</v>
      </c>
      <c r="AD454" t="s">
        <v>452</v>
      </c>
    </row>
    <row r="455" spans="2:30" x14ac:dyDescent="0.25">
      <c r="B455" s="1" t="s">
        <v>443</v>
      </c>
      <c r="C455" s="1">
        <v>2026</v>
      </c>
      <c r="D455" s="1">
        <v>1</v>
      </c>
      <c r="E455" s="1">
        <v>11040</v>
      </c>
      <c r="F455" s="1">
        <v>11040</v>
      </c>
      <c r="G455" s="1" t="s">
        <v>1104</v>
      </c>
      <c r="H455" s="1" t="s">
        <v>420</v>
      </c>
      <c r="P455" s="1" t="s">
        <v>887</v>
      </c>
      <c r="Q455" s="1">
        <v>2025</v>
      </c>
      <c r="R455" s="1">
        <v>1</v>
      </c>
      <c r="S455" s="1">
        <v>0</v>
      </c>
      <c r="T455" s="1">
        <v>0</v>
      </c>
      <c r="U455" s="1" t="s">
        <v>452</v>
      </c>
      <c r="V455" s="1" t="s">
        <v>420</v>
      </c>
      <c r="Y455" t="s">
        <v>887</v>
      </c>
      <c r="Z455" t="s">
        <v>1205</v>
      </c>
      <c r="AA455">
        <v>0</v>
      </c>
      <c r="AB455">
        <v>0</v>
      </c>
      <c r="AC455" t="s">
        <v>420</v>
      </c>
      <c r="AD455" t="s">
        <v>452</v>
      </c>
    </row>
    <row r="456" spans="2:30" x14ac:dyDescent="0.25">
      <c r="B456" s="1" t="s">
        <v>445</v>
      </c>
      <c r="C456" s="1">
        <v>2026</v>
      </c>
      <c r="D456" s="1">
        <v>1</v>
      </c>
      <c r="E456" s="1">
        <v>0</v>
      </c>
      <c r="F456" s="1">
        <v>0</v>
      </c>
      <c r="G456" s="1" t="s">
        <v>446</v>
      </c>
      <c r="H456" s="1" t="s">
        <v>420</v>
      </c>
      <c r="P456" s="1" t="s">
        <v>453</v>
      </c>
      <c r="Q456" s="1">
        <v>2025</v>
      </c>
      <c r="R456" s="1">
        <v>1</v>
      </c>
      <c r="S456" s="1">
        <v>16805.400000000001</v>
      </c>
      <c r="T456" s="1">
        <v>16805.400000000001</v>
      </c>
      <c r="U456" s="1" t="s">
        <v>454</v>
      </c>
      <c r="V456" s="1" t="s">
        <v>420</v>
      </c>
      <c r="Y456" t="s">
        <v>453</v>
      </c>
      <c r="Z456" t="s">
        <v>1205</v>
      </c>
      <c r="AA456">
        <v>157894.45000000001</v>
      </c>
      <c r="AB456">
        <v>11800.02</v>
      </c>
      <c r="AC456" t="s">
        <v>420</v>
      </c>
      <c r="AD456" t="s">
        <v>454</v>
      </c>
    </row>
    <row r="457" spans="2:30" x14ac:dyDescent="0.25">
      <c r="B457" s="1" t="s">
        <v>884</v>
      </c>
      <c r="C457" s="1">
        <v>2026</v>
      </c>
      <c r="D457" s="1">
        <v>1</v>
      </c>
      <c r="E457" s="1">
        <v>0</v>
      </c>
      <c r="F457" s="1">
        <v>0</v>
      </c>
      <c r="G457" s="1" t="s">
        <v>446</v>
      </c>
      <c r="H457" s="1" t="s">
        <v>420</v>
      </c>
      <c r="P457" s="1" t="s">
        <v>888</v>
      </c>
      <c r="Q457" s="1">
        <v>2025</v>
      </c>
      <c r="R457" s="1">
        <v>1</v>
      </c>
      <c r="S457" s="1">
        <v>0</v>
      </c>
      <c r="T457" s="1">
        <v>0</v>
      </c>
      <c r="U457" s="1" t="s">
        <v>454</v>
      </c>
      <c r="V457" s="1" t="s">
        <v>420</v>
      </c>
      <c r="Y457" t="s">
        <v>888</v>
      </c>
      <c r="Z457" t="s">
        <v>1205</v>
      </c>
      <c r="AA457">
        <v>0</v>
      </c>
      <c r="AB457">
        <v>0</v>
      </c>
      <c r="AC457" t="s">
        <v>420</v>
      </c>
      <c r="AD457" t="s">
        <v>454</v>
      </c>
    </row>
    <row r="458" spans="2:30" x14ac:dyDescent="0.25">
      <c r="B458" s="1" t="s">
        <v>447</v>
      </c>
      <c r="C458" s="1">
        <v>2026</v>
      </c>
      <c r="D458" s="1">
        <v>1</v>
      </c>
      <c r="E458" s="1">
        <v>0</v>
      </c>
      <c r="F458" s="1">
        <v>0</v>
      </c>
      <c r="G458" s="1" t="s">
        <v>448</v>
      </c>
      <c r="H458" s="1" t="s">
        <v>420</v>
      </c>
      <c r="P458" s="1" t="s">
        <v>455</v>
      </c>
      <c r="Q458" s="1">
        <v>2025</v>
      </c>
      <c r="R458" s="1">
        <v>1</v>
      </c>
      <c r="S458" s="1">
        <v>19892.25</v>
      </c>
      <c r="T458" s="1">
        <v>19892.25</v>
      </c>
      <c r="U458" s="1" t="s">
        <v>456</v>
      </c>
      <c r="V458" s="1" t="s">
        <v>420</v>
      </c>
      <c r="Y458" t="s">
        <v>455</v>
      </c>
      <c r="Z458" t="s">
        <v>1205</v>
      </c>
      <c r="AA458">
        <v>200028.11</v>
      </c>
      <c r="AB458">
        <v>20270.61</v>
      </c>
      <c r="AC458" t="s">
        <v>420</v>
      </c>
      <c r="AD458" t="s">
        <v>456</v>
      </c>
    </row>
    <row r="459" spans="2:30" x14ac:dyDescent="0.25">
      <c r="B459" s="1" t="s">
        <v>885</v>
      </c>
      <c r="C459" s="1">
        <v>2026</v>
      </c>
      <c r="D459" s="1">
        <v>1</v>
      </c>
      <c r="E459" s="1">
        <v>0</v>
      </c>
      <c r="F459" s="1">
        <v>0</v>
      </c>
      <c r="G459" s="1" t="s">
        <v>886</v>
      </c>
      <c r="H459" s="1" t="s">
        <v>420</v>
      </c>
      <c r="P459" s="1" t="s">
        <v>457</v>
      </c>
      <c r="Q459" s="1">
        <v>2025</v>
      </c>
      <c r="R459" s="1">
        <v>1</v>
      </c>
      <c r="S459" s="1">
        <v>0</v>
      </c>
      <c r="T459" s="1">
        <v>0</v>
      </c>
      <c r="U459" s="1" t="s">
        <v>458</v>
      </c>
      <c r="V459" s="1" t="s">
        <v>420</v>
      </c>
      <c r="Y459" t="s">
        <v>457</v>
      </c>
      <c r="Z459" t="s">
        <v>1205</v>
      </c>
      <c r="AA459">
        <v>0</v>
      </c>
      <c r="AB459">
        <v>0</v>
      </c>
      <c r="AC459" t="s">
        <v>420</v>
      </c>
      <c r="AD459" t="s">
        <v>458</v>
      </c>
    </row>
    <row r="460" spans="2:30" x14ac:dyDescent="0.25">
      <c r="B460" s="1" t="s">
        <v>449</v>
      </c>
      <c r="C460" s="1">
        <v>2026</v>
      </c>
      <c r="D460" s="1">
        <v>1</v>
      </c>
      <c r="E460" s="1">
        <v>0</v>
      </c>
      <c r="F460" s="1">
        <v>0</v>
      </c>
      <c r="G460" s="1" t="s">
        <v>450</v>
      </c>
      <c r="H460" s="1" t="s">
        <v>420</v>
      </c>
      <c r="P460" s="1" t="s">
        <v>889</v>
      </c>
      <c r="Q460" s="1">
        <v>2025</v>
      </c>
      <c r="R460" s="1">
        <v>1</v>
      </c>
      <c r="S460" s="1">
        <v>0</v>
      </c>
      <c r="T460" s="1">
        <v>0</v>
      </c>
      <c r="U460" s="1" t="s">
        <v>458</v>
      </c>
      <c r="V460" s="1" t="s">
        <v>420</v>
      </c>
      <c r="Y460" t="s">
        <v>889</v>
      </c>
      <c r="Z460" t="s">
        <v>1205</v>
      </c>
      <c r="AA460">
        <v>0</v>
      </c>
      <c r="AB460">
        <v>0</v>
      </c>
      <c r="AC460" t="s">
        <v>420</v>
      </c>
      <c r="AD460" t="s">
        <v>458</v>
      </c>
    </row>
    <row r="461" spans="2:30" x14ac:dyDescent="0.25">
      <c r="B461" s="1" t="s">
        <v>1416</v>
      </c>
      <c r="C461" s="1">
        <v>2026</v>
      </c>
      <c r="D461" s="1">
        <v>1</v>
      </c>
      <c r="E461" s="1">
        <v>0</v>
      </c>
      <c r="F461" s="1">
        <v>0</v>
      </c>
      <c r="G461" s="1" t="s">
        <v>1457</v>
      </c>
      <c r="H461" s="1" t="s">
        <v>420</v>
      </c>
      <c r="P461" s="1" t="s">
        <v>459</v>
      </c>
      <c r="Q461" s="1">
        <v>2025</v>
      </c>
      <c r="R461" s="1">
        <v>1</v>
      </c>
      <c r="S461" s="1">
        <v>7386.62</v>
      </c>
      <c r="T461" s="1">
        <v>7386.62</v>
      </c>
      <c r="U461" s="1" t="s">
        <v>890</v>
      </c>
      <c r="V461" s="1" t="s">
        <v>420</v>
      </c>
      <c r="Y461" t="s">
        <v>459</v>
      </c>
      <c r="Z461" t="s">
        <v>1205</v>
      </c>
      <c r="AA461">
        <v>7386.62</v>
      </c>
      <c r="AB461">
        <v>0</v>
      </c>
      <c r="AC461" t="s">
        <v>420</v>
      </c>
      <c r="AD461" t="s">
        <v>890</v>
      </c>
    </row>
    <row r="462" spans="2:30" x14ac:dyDescent="0.25">
      <c r="B462" s="1" t="s">
        <v>451</v>
      </c>
      <c r="C462" s="1">
        <v>2026</v>
      </c>
      <c r="D462" s="1">
        <v>1</v>
      </c>
      <c r="E462" s="1">
        <v>0</v>
      </c>
      <c r="F462" s="1">
        <v>0</v>
      </c>
      <c r="G462" s="1" t="s">
        <v>452</v>
      </c>
      <c r="H462" s="1" t="s">
        <v>420</v>
      </c>
      <c r="P462" s="1" t="s">
        <v>1503</v>
      </c>
      <c r="Q462" s="1">
        <v>2025</v>
      </c>
      <c r="R462" s="1">
        <v>1</v>
      </c>
      <c r="S462" s="1">
        <v>0</v>
      </c>
      <c r="T462" s="1">
        <v>0</v>
      </c>
      <c r="U462" s="1" t="s">
        <v>890</v>
      </c>
      <c r="V462" s="1" t="s">
        <v>420</v>
      </c>
      <c r="Y462" t="s">
        <v>1503</v>
      </c>
      <c r="Z462" t="s">
        <v>1205</v>
      </c>
      <c r="AA462">
        <v>0</v>
      </c>
      <c r="AB462">
        <v>0</v>
      </c>
      <c r="AC462" t="s">
        <v>420</v>
      </c>
      <c r="AD462" t="s">
        <v>890</v>
      </c>
    </row>
    <row r="463" spans="2:30" x14ac:dyDescent="0.25">
      <c r="B463" s="1" t="s">
        <v>887</v>
      </c>
      <c r="C463" s="1">
        <v>2026</v>
      </c>
      <c r="D463" s="1">
        <v>1</v>
      </c>
      <c r="E463" s="1">
        <v>0</v>
      </c>
      <c r="F463" s="1">
        <v>0</v>
      </c>
      <c r="G463" s="1" t="s">
        <v>452</v>
      </c>
      <c r="H463" s="1" t="s">
        <v>420</v>
      </c>
      <c r="P463" s="1" t="s">
        <v>460</v>
      </c>
      <c r="Q463" s="1">
        <v>2025</v>
      </c>
      <c r="R463" s="1">
        <v>1</v>
      </c>
      <c r="S463" s="1">
        <v>11843.06</v>
      </c>
      <c r="T463" s="1">
        <v>11843.06</v>
      </c>
      <c r="U463" s="1" t="s">
        <v>461</v>
      </c>
      <c r="V463" s="1" t="s">
        <v>420</v>
      </c>
      <c r="Y463" t="s">
        <v>460</v>
      </c>
      <c r="Z463" t="s">
        <v>1205</v>
      </c>
      <c r="AA463">
        <v>11843.06</v>
      </c>
      <c r="AB463">
        <v>0</v>
      </c>
      <c r="AC463" t="s">
        <v>420</v>
      </c>
      <c r="AD463" t="s">
        <v>461</v>
      </c>
    </row>
    <row r="464" spans="2:30" x14ac:dyDescent="0.25">
      <c r="B464" s="1" t="s">
        <v>453</v>
      </c>
      <c r="C464" s="1">
        <v>2026</v>
      </c>
      <c r="D464" s="1">
        <v>1</v>
      </c>
      <c r="E464" s="1">
        <v>16717.38</v>
      </c>
      <c r="F464" s="1">
        <v>16717.38</v>
      </c>
      <c r="G464" s="1" t="s">
        <v>454</v>
      </c>
      <c r="H464" s="1" t="s">
        <v>420</v>
      </c>
      <c r="P464" s="1" t="s">
        <v>1417</v>
      </c>
      <c r="Q464" s="1">
        <v>2025</v>
      </c>
      <c r="R464" s="1">
        <v>1</v>
      </c>
      <c r="S464" s="1">
        <v>0</v>
      </c>
      <c r="T464" s="1">
        <v>0</v>
      </c>
      <c r="U464" s="1" t="s">
        <v>1458</v>
      </c>
      <c r="V464" s="1" t="s">
        <v>420</v>
      </c>
      <c r="Y464" t="s">
        <v>1417</v>
      </c>
      <c r="Z464" t="s">
        <v>1205</v>
      </c>
      <c r="AA464">
        <v>0</v>
      </c>
      <c r="AB464">
        <v>0</v>
      </c>
      <c r="AC464" t="s">
        <v>420</v>
      </c>
      <c r="AD464" t="s">
        <v>1458</v>
      </c>
    </row>
    <row r="465" spans="2:30" x14ac:dyDescent="0.25">
      <c r="B465" s="1" t="s">
        <v>888</v>
      </c>
      <c r="C465" s="1">
        <v>2026</v>
      </c>
      <c r="D465" s="1">
        <v>1</v>
      </c>
      <c r="E465" s="1">
        <v>0</v>
      </c>
      <c r="F465" s="1">
        <v>0</v>
      </c>
      <c r="G465" s="1" t="s">
        <v>454</v>
      </c>
      <c r="H465" s="1" t="s">
        <v>420</v>
      </c>
      <c r="P465" s="1" t="s">
        <v>463</v>
      </c>
      <c r="Q465" s="1">
        <v>2025</v>
      </c>
      <c r="R465" s="1">
        <v>1</v>
      </c>
      <c r="S465" s="1">
        <v>0</v>
      </c>
      <c r="T465" s="1">
        <v>0</v>
      </c>
      <c r="U465" s="1" t="s">
        <v>1105</v>
      </c>
      <c r="V465" s="1" t="s">
        <v>420</v>
      </c>
      <c r="Y465" t="s">
        <v>463</v>
      </c>
      <c r="Z465" t="s">
        <v>1205</v>
      </c>
      <c r="AA465">
        <v>0</v>
      </c>
      <c r="AB465">
        <v>0</v>
      </c>
      <c r="AC465" t="s">
        <v>420</v>
      </c>
      <c r="AD465" t="s">
        <v>1105</v>
      </c>
    </row>
    <row r="466" spans="2:30" x14ac:dyDescent="0.25">
      <c r="B466" s="1" t="s">
        <v>455</v>
      </c>
      <c r="C466" s="1">
        <v>2026</v>
      </c>
      <c r="D466" s="1">
        <v>1</v>
      </c>
      <c r="E466" s="1">
        <v>23972.25</v>
      </c>
      <c r="F466" s="1">
        <v>23972.25</v>
      </c>
      <c r="G466" s="1" t="s">
        <v>456</v>
      </c>
      <c r="H466" s="1" t="s">
        <v>420</v>
      </c>
      <c r="P466" s="1" t="s">
        <v>465</v>
      </c>
      <c r="Q466" s="1">
        <v>2025</v>
      </c>
      <c r="R466" s="1">
        <v>1</v>
      </c>
      <c r="S466" s="1">
        <v>0</v>
      </c>
      <c r="T466" s="1">
        <v>0</v>
      </c>
      <c r="U466" s="1" t="s">
        <v>466</v>
      </c>
      <c r="V466" s="1" t="s">
        <v>420</v>
      </c>
      <c r="Y466" t="s">
        <v>465</v>
      </c>
      <c r="Z466" t="s">
        <v>1205</v>
      </c>
      <c r="AA466">
        <v>0</v>
      </c>
      <c r="AB466">
        <v>0</v>
      </c>
      <c r="AC466" t="s">
        <v>420</v>
      </c>
      <c r="AD466" t="s">
        <v>466</v>
      </c>
    </row>
    <row r="467" spans="2:30" x14ac:dyDescent="0.25">
      <c r="B467" s="1" t="s">
        <v>457</v>
      </c>
      <c r="C467" s="1">
        <v>2026</v>
      </c>
      <c r="D467" s="1">
        <v>1</v>
      </c>
      <c r="E467" s="1">
        <v>0</v>
      </c>
      <c r="F467" s="1">
        <v>0</v>
      </c>
      <c r="G467" s="1" t="s">
        <v>458</v>
      </c>
      <c r="H467" s="1" t="s">
        <v>420</v>
      </c>
      <c r="P467" s="1" t="s">
        <v>891</v>
      </c>
      <c r="Q467" s="1">
        <v>2025</v>
      </c>
      <c r="R467" s="1">
        <v>1</v>
      </c>
      <c r="S467" s="1">
        <v>0</v>
      </c>
      <c r="T467" s="1">
        <v>0</v>
      </c>
      <c r="U467" s="1" t="s">
        <v>466</v>
      </c>
      <c r="V467" s="1" t="s">
        <v>420</v>
      </c>
      <c r="Y467" t="s">
        <v>891</v>
      </c>
      <c r="Z467" t="s">
        <v>1205</v>
      </c>
      <c r="AA467">
        <v>0</v>
      </c>
      <c r="AB467">
        <v>0</v>
      </c>
      <c r="AC467" t="s">
        <v>420</v>
      </c>
      <c r="AD467" t="s">
        <v>466</v>
      </c>
    </row>
    <row r="468" spans="2:30" x14ac:dyDescent="0.25">
      <c r="B468" s="1" t="s">
        <v>889</v>
      </c>
      <c r="C468" s="1">
        <v>2026</v>
      </c>
      <c r="D468" s="1">
        <v>1</v>
      </c>
      <c r="E468" s="1">
        <v>0</v>
      </c>
      <c r="F468" s="1">
        <v>0</v>
      </c>
      <c r="G468" s="1" t="s">
        <v>458</v>
      </c>
      <c r="H468" s="1" t="s">
        <v>420</v>
      </c>
      <c r="P468" s="1" t="s">
        <v>1044</v>
      </c>
      <c r="Q468" s="1">
        <v>2025</v>
      </c>
      <c r="R468" s="1">
        <v>1</v>
      </c>
      <c r="S468" s="1">
        <v>1380.98</v>
      </c>
      <c r="T468" s="1">
        <v>1380.98</v>
      </c>
      <c r="U468" s="1" t="s">
        <v>1389</v>
      </c>
      <c r="V468" s="1" t="s">
        <v>420</v>
      </c>
      <c r="Y468" t="s">
        <v>1044</v>
      </c>
      <c r="Z468" t="s">
        <v>1205</v>
      </c>
      <c r="AA468">
        <v>12339.81</v>
      </c>
      <c r="AB468">
        <v>1040.5899999999999</v>
      </c>
      <c r="AC468" t="s">
        <v>420</v>
      </c>
      <c r="AD468" t="s">
        <v>1389</v>
      </c>
    </row>
    <row r="469" spans="2:30" x14ac:dyDescent="0.25">
      <c r="B469" s="1" t="s">
        <v>459</v>
      </c>
      <c r="C469" s="1">
        <v>2026</v>
      </c>
      <c r="D469" s="1">
        <v>1</v>
      </c>
      <c r="E469" s="1">
        <v>0</v>
      </c>
      <c r="F469" s="1">
        <v>0</v>
      </c>
      <c r="G469" s="1" t="s">
        <v>890</v>
      </c>
      <c r="H469" s="1" t="s">
        <v>420</v>
      </c>
      <c r="P469" s="1" t="s">
        <v>1045</v>
      </c>
      <c r="Q469" s="1">
        <v>2025</v>
      </c>
      <c r="R469" s="1">
        <v>1</v>
      </c>
      <c r="S469" s="1">
        <v>0</v>
      </c>
      <c r="T469" s="1">
        <v>0</v>
      </c>
      <c r="U469" s="1" t="s">
        <v>462</v>
      </c>
      <c r="V469" s="1" t="s">
        <v>420</v>
      </c>
      <c r="Y469" t="s">
        <v>1045</v>
      </c>
      <c r="Z469" t="s">
        <v>1205</v>
      </c>
      <c r="AA469">
        <v>0</v>
      </c>
      <c r="AB469">
        <v>0</v>
      </c>
      <c r="AC469" t="s">
        <v>420</v>
      </c>
      <c r="AD469" t="s">
        <v>462</v>
      </c>
    </row>
    <row r="470" spans="2:30" x14ac:dyDescent="0.25">
      <c r="B470" s="1" t="s">
        <v>1503</v>
      </c>
      <c r="C470" s="1">
        <v>2026</v>
      </c>
      <c r="D470" s="1">
        <v>1</v>
      </c>
      <c r="E470" s="1">
        <v>0</v>
      </c>
      <c r="F470" s="1">
        <v>0</v>
      </c>
      <c r="G470" s="1" t="s">
        <v>890</v>
      </c>
      <c r="H470" s="1" t="s">
        <v>420</v>
      </c>
      <c r="P470" s="1" t="s">
        <v>467</v>
      </c>
      <c r="Q470" s="1">
        <v>2025</v>
      </c>
      <c r="R470" s="1">
        <v>1</v>
      </c>
      <c r="S470" s="1">
        <v>0</v>
      </c>
      <c r="T470" s="1">
        <v>0</v>
      </c>
      <c r="U470" s="1" t="s">
        <v>468</v>
      </c>
      <c r="V470" s="1" t="s">
        <v>420</v>
      </c>
      <c r="Y470" t="s">
        <v>467</v>
      </c>
      <c r="Z470" t="s">
        <v>1205</v>
      </c>
      <c r="AA470">
        <v>0</v>
      </c>
      <c r="AB470">
        <v>0</v>
      </c>
      <c r="AC470" t="s">
        <v>420</v>
      </c>
      <c r="AD470" t="s">
        <v>468</v>
      </c>
    </row>
    <row r="471" spans="2:30" x14ac:dyDescent="0.25">
      <c r="B471" s="1" t="s">
        <v>460</v>
      </c>
      <c r="C471" s="1">
        <v>2026</v>
      </c>
      <c r="D471" s="1">
        <v>1</v>
      </c>
      <c r="E471" s="1">
        <v>0</v>
      </c>
      <c r="F471" s="1">
        <v>0</v>
      </c>
      <c r="G471" s="1" t="s">
        <v>461</v>
      </c>
      <c r="H471" s="1" t="s">
        <v>420</v>
      </c>
      <c r="P471" s="1" t="s">
        <v>892</v>
      </c>
      <c r="Q471" s="1">
        <v>2025</v>
      </c>
      <c r="R471" s="1">
        <v>1</v>
      </c>
      <c r="S471" s="1">
        <v>0</v>
      </c>
      <c r="T471" s="1">
        <v>0</v>
      </c>
      <c r="U471" s="1" t="s">
        <v>468</v>
      </c>
      <c r="V471" s="1" t="s">
        <v>420</v>
      </c>
      <c r="Y471" t="s">
        <v>892</v>
      </c>
      <c r="Z471" t="s">
        <v>1205</v>
      </c>
      <c r="AA471">
        <v>0</v>
      </c>
      <c r="AB471">
        <v>0</v>
      </c>
      <c r="AC471" t="s">
        <v>420</v>
      </c>
      <c r="AD471" t="s">
        <v>468</v>
      </c>
    </row>
    <row r="472" spans="2:30" x14ac:dyDescent="0.25">
      <c r="B472" s="1" t="s">
        <v>1417</v>
      </c>
      <c r="C472" s="1">
        <v>2026</v>
      </c>
      <c r="D472" s="1">
        <v>1</v>
      </c>
      <c r="E472" s="1">
        <v>0</v>
      </c>
      <c r="F472" s="1">
        <v>0</v>
      </c>
      <c r="G472" s="1" t="s">
        <v>1458</v>
      </c>
      <c r="H472" s="1" t="s">
        <v>420</v>
      </c>
      <c r="P472" s="1" t="s">
        <v>469</v>
      </c>
      <c r="Q472" s="1">
        <v>2025</v>
      </c>
      <c r="R472" s="1">
        <v>1</v>
      </c>
      <c r="S472" s="1">
        <v>0</v>
      </c>
      <c r="T472" s="1">
        <v>0</v>
      </c>
      <c r="U472" s="1" t="s">
        <v>470</v>
      </c>
      <c r="V472" s="1" t="s">
        <v>420</v>
      </c>
      <c r="Y472" t="s">
        <v>469</v>
      </c>
      <c r="Z472" t="s">
        <v>1205</v>
      </c>
      <c r="AA472">
        <v>0</v>
      </c>
      <c r="AB472">
        <v>0</v>
      </c>
      <c r="AC472" t="s">
        <v>420</v>
      </c>
      <c r="AD472" t="s">
        <v>470</v>
      </c>
    </row>
    <row r="473" spans="2:30" x14ac:dyDescent="0.25">
      <c r="B473" s="1" t="s">
        <v>463</v>
      </c>
      <c r="C473" s="1">
        <v>2026</v>
      </c>
      <c r="D473" s="1">
        <v>1</v>
      </c>
      <c r="E473" s="1">
        <v>0</v>
      </c>
      <c r="F473" s="1">
        <v>0</v>
      </c>
      <c r="G473" s="1" t="s">
        <v>1105</v>
      </c>
      <c r="H473" s="1" t="s">
        <v>420</v>
      </c>
      <c r="P473" s="1" t="s">
        <v>893</v>
      </c>
      <c r="Q473" s="1">
        <v>2025</v>
      </c>
      <c r="R473" s="1">
        <v>1</v>
      </c>
      <c r="S473" s="1">
        <v>0</v>
      </c>
      <c r="T473" s="1">
        <v>0</v>
      </c>
      <c r="U473" s="1" t="s">
        <v>470</v>
      </c>
      <c r="V473" s="1" t="s">
        <v>420</v>
      </c>
      <c r="Y473" t="s">
        <v>893</v>
      </c>
      <c r="Z473" t="s">
        <v>1205</v>
      </c>
      <c r="AA473">
        <v>0</v>
      </c>
      <c r="AB473">
        <v>0</v>
      </c>
      <c r="AC473" t="s">
        <v>420</v>
      </c>
      <c r="AD473" t="s">
        <v>470</v>
      </c>
    </row>
    <row r="474" spans="2:30" x14ac:dyDescent="0.25">
      <c r="B474" s="1" t="s">
        <v>465</v>
      </c>
      <c r="C474" s="1">
        <v>2026</v>
      </c>
      <c r="D474" s="1">
        <v>1</v>
      </c>
      <c r="E474" s="1">
        <v>0</v>
      </c>
      <c r="F474" s="1">
        <v>0</v>
      </c>
      <c r="G474" s="1" t="s">
        <v>466</v>
      </c>
      <c r="H474" s="1" t="s">
        <v>420</v>
      </c>
      <c r="P474" s="1" t="s">
        <v>471</v>
      </c>
      <c r="Q474" s="1">
        <v>2025</v>
      </c>
      <c r="R474" s="1">
        <v>1</v>
      </c>
      <c r="S474" s="1">
        <v>869.82</v>
      </c>
      <c r="T474" s="1">
        <v>869.82</v>
      </c>
      <c r="U474" s="1" t="s">
        <v>1106</v>
      </c>
      <c r="V474" s="1" t="s">
        <v>420</v>
      </c>
      <c r="Y474" t="s">
        <v>471</v>
      </c>
      <c r="Z474" t="s">
        <v>1205</v>
      </c>
      <c r="AA474">
        <v>7379.46</v>
      </c>
      <c r="AB474">
        <v>790.5</v>
      </c>
      <c r="AC474" t="s">
        <v>420</v>
      </c>
      <c r="AD474" t="s">
        <v>1106</v>
      </c>
    </row>
    <row r="475" spans="2:30" x14ac:dyDescent="0.25">
      <c r="B475" s="1" t="s">
        <v>891</v>
      </c>
      <c r="C475" s="1">
        <v>2026</v>
      </c>
      <c r="D475" s="1">
        <v>1</v>
      </c>
      <c r="E475" s="1">
        <v>0</v>
      </c>
      <c r="F475" s="1">
        <v>0</v>
      </c>
      <c r="G475" s="1" t="s">
        <v>466</v>
      </c>
      <c r="H475" s="1" t="s">
        <v>420</v>
      </c>
      <c r="P475" s="1" t="s">
        <v>473</v>
      </c>
      <c r="Q475" s="1">
        <v>2025</v>
      </c>
      <c r="R475" s="1">
        <v>1</v>
      </c>
      <c r="S475" s="1">
        <v>0</v>
      </c>
      <c r="T475" s="1">
        <v>0</v>
      </c>
      <c r="U475" s="1" t="s">
        <v>474</v>
      </c>
      <c r="V475" s="1" t="s">
        <v>420</v>
      </c>
      <c r="Y475" t="s">
        <v>473</v>
      </c>
      <c r="Z475" t="s">
        <v>1205</v>
      </c>
      <c r="AA475">
        <v>0</v>
      </c>
      <c r="AB475">
        <v>0</v>
      </c>
      <c r="AC475" t="s">
        <v>420</v>
      </c>
      <c r="AD475" t="s">
        <v>474</v>
      </c>
    </row>
    <row r="476" spans="2:30" x14ac:dyDescent="0.25">
      <c r="B476" s="1" t="s">
        <v>1044</v>
      </c>
      <c r="C476" s="1">
        <v>2026</v>
      </c>
      <c r="D476" s="1">
        <v>1</v>
      </c>
      <c r="E476" s="1">
        <v>1047.78</v>
      </c>
      <c r="F476" s="1">
        <v>1047.78</v>
      </c>
      <c r="G476" s="1" t="s">
        <v>1389</v>
      </c>
      <c r="H476" s="1" t="s">
        <v>420</v>
      </c>
      <c r="P476" s="1" t="s">
        <v>894</v>
      </c>
      <c r="Q476" s="1">
        <v>2025</v>
      </c>
      <c r="R476" s="1">
        <v>1</v>
      </c>
      <c r="S476" s="1">
        <v>0</v>
      </c>
      <c r="T476" s="1">
        <v>0</v>
      </c>
      <c r="U476" s="1" t="s">
        <v>474</v>
      </c>
      <c r="V476" s="1" t="s">
        <v>420</v>
      </c>
      <c r="Y476" t="s">
        <v>894</v>
      </c>
      <c r="Z476" t="s">
        <v>1205</v>
      </c>
      <c r="AA476">
        <v>0</v>
      </c>
      <c r="AB476">
        <v>0</v>
      </c>
      <c r="AC476" t="s">
        <v>420</v>
      </c>
      <c r="AD476" t="s">
        <v>474</v>
      </c>
    </row>
    <row r="477" spans="2:30" x14ac:dyDescent="0.25">
      <c r="B477" s="1" t="s">
        <v>1045</v>
      </c>
      <c r="C477" s="1">
        <v>2026</v>
      </c>
      <c r="D477" s="1">
        <v>1</v>
      </c>
      <c r="E477" s="1">
        <v>0</v>
      </c>
      <c r="F477" s="1">
        <v>0</v>
      </c>
      <c r="G477" s="1" t="s">
        <v>462</v>
      </c>
      <c r="H477" s="1" t="s">
        <v>420</v>
      </c>
      <c r="P477" s="1" t="s">
        <v>475</v>
      </c>
      <c r="Q477" s="1">
        <v>2025</v>
      </c>
      <c r="R477" s="1">
        <v>1</v>
      </c>
      <c r="S477" s="1">
        <v>5130.59</v>
      </c>
      <c r="T477" s="1">
        <v>5130.59</v>
      </c>
      <c r="U477" s="1" t="s">
        <v>476</v>
      </c>
      <c r="V477" s="1" t="s">
        <v>420</v>
      </c>
      <c r="Y477" t="s">
        <v>475</v>
      </c>
      <c r="Z477" t="s">
        <v>1205</v>
      </c>
      <c r="AA477">
        <v>45871.37</v>
      </c>
      <c r="AB477">
        <v>1775.16</v>
      </c>
      <c r="AC477" t="s">
        <v>420</v>
      </c>
      <c r="AD477" t="s">
        <v>476</v>
      </c>
    </row>
    <row r="478" spans="2:30" x14ac:dyDescent="0.25">
      <c r="B478" s="1" t="s">
        <v>467</v>
      </c>
      <c r="C478" s="1">
        <v>2026</v>
      </c>
      <c r="D478" s="1">
        <v>1</v>
      </c>
      <c r="E478" s="1">
        <v>0</v>
      </c>
      <c r="F478" s="1">
        <v>0</v>
      </c>
      <c r="G478" s="1" t="s">
        <v>468</v>
      </c>
      <c r="H478" s="1" t="s">
        <v>420</v>
      </c>
      <c r="P478" s="1" t="s">
        <v>895</v>
      </c>
      <c r="Q478" s="1">
        <v>2025</v>
      </c>
      <c r="R478" s="1">
        <v>1</v>
      </c>
      <c r="S478" s="1">
        <v>1534.06</v>
      </c>
      <c r="T478" s="1">
        <v>1534.06</v>
      </c>
      <c r="U478" s="1" t="s">
        <v>896</v>
      </c>
      <c r="V478" s="1" t="s">
        <v>420</v>
      </c>
      <c r="Y478" t="s">
        <v>895</v>
      </c>
      <c r="Z478" t="s">
        <v>1205</v>
      </c>
      <c r="AA478">
        <v>12009.12</v>
      </c>
      <c r="AB478">
        <v>1016.04</v>
      </c>
      <c r="AC478" t="s">
        <v>420</v>
      </c>
      <c r="AD478" t="s">
        <v>896</v>
      </c>
    </row>
    <row r="479" spans="2:30" x14ac:dyDescent="0.25">
      <c r="B479" s="1" t="s">
        <v>892</v>
      </c>
      <c r="C479" s="1">
        <v>2026</v>
      </c>
      <c r="D479" s="1">
        <v>1</v>
      </c>
      <c r="E479" s="1">
        <v>0</v>
      </c>
      <c r="F479" s="1">
        <v>0</v>
      </c>
      <c r="G479" s="1" t="s">
        <v>468</v>
      </c>
      <c r="H479" s="1" t="s">
        <v>420</v>
      </c>
      <c r="P479" s="1" t="s">
        <v>477</v>
      </c>
      <c r="Q479" s="1">
        <v>2025</v>
      </c>
      <c r="R479" s="1">
        <v>1</v>
      </c>
      <c r="S479" s="1">
        <v>14928.07</v>
      </c>
      <c r="T479" s="1">
        <v>14928.07</v>
      </c>
      <c r="U479" s="1" t="s">
        <v>478</v>
      </c>
      <c r="V479" s="1" t="s">
        <v>420</v>
      </c>
      <c r="Y479" t="s">
        <v>477</v>
      </c>
      <c r="Z479" t="s">
        <v>1205</v>
      </c>
      <c r="AA479">
        <v>23206.28</v>
      </c>
      <c r="AB479">
        <v>2978.69</v>
      </c>
      <c r="AC479" t="s">
        <v>420</v>
      </c>
      <c r="AD479" t="s">
        <v>478</v>
      </c>
    </row>
    <row r="480" spans="2:30" x14ac:dyDescent="0.25">
      <c r="B480" s="1" t="s">
        <v>469</v>
      </c>
      <c r="C480" s="1">
        <v>2026</v>
      </c>
      <c r="D480" s="1">
        <v>1</v>
      </c>
      <c r="E480" s="1">
        <v>0</v>
      </c>
      <c r="F480" s="1">
        <v>0</v>
      </c>
      <c r="G480" s="1" t="s">
        <v>470</v>
      </c>
      <c r="H480" s="1" t="s">
        <v>420</v>
      </c>
      <c r="P480" s="1" t="s">
        <v>1421</v>
      </c>
      <c r="Q480" s="1">
        <v>2025</v>
      </c>
      <c r="R480" s="1">
        <v>1</v>
      </c>
      <c r="S480" s="1">
        <v>969.21</v>
      </c>
      <c r="T480" s="1">
        <v>969.21</v>
      </c>
      <c r="U480" s="1" t="s">
        <v>1459</v>
      </c>
      <c r="V480" s="1" t="s">
        <v>420</v>
      </c>
      <c r="Y480" t="s">
        <v>1421</v>
      </c>
      <c r="Z480" t="s">
        <v>1205</v>
      </c>
      <c r="AA480">
        <v>13476.64</v>
      </c>
      <c r="AB480">
        <v>600.37</v>
      </c>
      <c r="AC480" t="s">
        <v>420</v>
      </c>
      <c r="AD480" t="s">
        <v>1459</v>
      </c>
    </row>
    <row r="481" spans="2:30" x14ac:dyDescent="0.25">
      <c r="B481" s="1" t="s">
        <v>893</v>
      </c>
      <c r="C481" s="1">
        <v>2026</v>
      </c>
      <c r="D481" s="1">
        <v>1</v>
      </c>
      <c r="E481" s="1">
        <v>0</v>
      </c>
      <c r="F481" s="1">
        <v>0</v>
      </c>
      <c r="G481" s="1" t="s">
        <v>470</v>
      </c>
      <c r="H481" s="1" t="s">
        <v>420</v>
      </c>
      <c r="P481" s="1" t="s">
        <v>479</v>
      </c>
      <c r="Q481" s="1">
        <v>2025</v>
      </c>
      <c r="R481" s="1">
        <v>1</v>
      </c>
      <c r="S481" s="1">
        <v>3079.62</v>
      </c>
      <c r="T481" s="1">
        <v>3079.62</v>
      </c>
      <c r="U481" s="1" t="s">
        <v>480</v>
      </c>
      <c r="V481" s="1" t="s">
        <v>420</v>
      </c>
      <c r="Y481" t="s">
        <v>479</v>
      </c>
      <c r="Z481" t="s">
        <v>1205</v>
      </c>
      <c r="AA481">
        <v>24249.57</v>
      </c>
      <c r="AB481">
        <v>2111.92</v>
      </c>
      <c r="AC481" t="s">
        <v>420</v>
      </c>
      <c r="AD481" t="s">
        <v>480</v>
      </c>
    </row>
    <row r="482" spans="2:30" x14ac:dyDescent="0.25">
      <c r="B482" s="1" t="s">
        <v>471</v>
      </c>
      <c r="C482" s="1">
        <v>2026</v>
      </c>
      <c r="D482" s="1">
        <v>1</v>
      </c>
      <c r="E482" s="1">
        <v>1043.52</v>
      </c>
      <c r="F482" s="1">
        <v>1043.52</v>
      </c>
      <c r="G482" s="1" t="s">
        <v>1106</v>
      </c>
      <c r="H482" s="1" t="s">
        <v>420</v>
      </c>
      <c r="P482" s="1" t="s">
        <v>897</v>
      </c>
      <c r="Q482" s="1">
        <v>2025</v>
      </c>
      <c r="R482" s="1">
        <v>1</v>
      </c>
      <c r="S482" s="1">
        <v>0</v>
      </c>
      <c r="T482" s="1">
        <v>0</v>
      </c>
      <c r="U482" s="1" t="s">
        <v>480</v>
      </c>
      <c r="V482" s="1" t="s">
        <v>420</v>
      </c>
      <c r="Y482" t="s">
        <v>897</v>
      </c>
      <c r="Z482" t="s">
        <v>1205</v>
      </c>
      <c r="AA482">
        <v>0</v>
      </c>
      <c r="AB482">
        <v>0</v>
      </c>
      <c r="AC482" t="s">
        <v>420</v>
      </c>
      <c r="AD482" t="s">
        <v>480</v>
      </c>
    </row>
    <row r="483" spans="2:30" x14ac:dyDescent="0.25">
      <c r="B483" s="1" t="s">
        <v>473</v>
      </c>
      <c r="C483" s="1">
        <v>2026</v>
      </c>
      <c r="D483" s="1">
        <v>1</v>
      </c>
      <c r="E483" s="1">
        <v>0</v>
      </c>
      <c r="F483" s="1">
        <v>0</v>
      </c>
      <c r="G483" s="1" t="s">
        <v>474</v>
      </c>
      <c r="H483" s="1" t="s">
        <v>420</v>
      </c>
      <c r="P483" s="1" t="s">
        <v>481</v>
      </c>
      <c r="Q483" s="1">
        <v>2025</v>
      </c>
      <c r="R483" s="1">
        <v>1</v>
      </c>
      <c r="S483" s="1">
        <v>16263.21</v>
      </c>
      <c r="T483" s="1">
        <v>16263.21</v>
      </c>
      <c r="U483" s="1" t="s">
        <v>482</v>
      </c>
      <c r="V483" s="1" t="s">
        <v>420</v>
      </c>
      <c r="Y483" t="s">
        <v>481</v>
      </c>
      <c r="Z483" t="s">
        <v>1205</v>
      </c>
      <c r="AA483">
        <v>132767.82</v>
      </c>
      <c r="AB483">
        <v>10950.04</v>
      </c>
      <c r="AC483" t="s">
        <v>420</v>
      </c>
      <c r="AD483" t="s">
        <v>482</v>
      </c>
    </row>
    <row r="484" spans="2:30" x14ac:dyDescent="0.25">
      <c r="B484" s="1" t="s">
        <v>894</v>
      </c>
      <c r="C484" s="1">
        <v>2026</v>
      </c>
      <c r="D484" s="1">
        <v>1</v>
      </c>
      <c r="E484" s="1">
        <v>0</v>
      </c>
      <c r="F484" s="1">
        <v>0</v>
      </c>
      <c r="G484" s="1" t="s">
        <v>474</v>
      </c>
      <c r="H484" s="1" t="s">
        <v>420</v>
      </c>
      <c r="P484" s="1" t="s">
        <v>898</v>
      </c>
      <c r="Q484" s="1">
        <v>2025</v>
      </c>
      <c r="R484" s="1">
        <v>1</v>
      </c>
      <c r="S484" s="1">
        <v>0</v>
      </c>
      <c r="T484" s="1">
        <v>0</v>
      </c>
      <c r="U484" s="1" t="s">
        <v>482</v>
      </c>
      <c r="V484" s="1" t="s">
        <v>420</v>
      </c>
      <c r="Y484" t="s">
        <v>898</v>
      </c>
      <c r="Z484" t="s">
        <v>1205</v>
      </c>
      <c r="AA484">
        <v>0</v>
      </c>
      <c r="AB484">
        <v>0</v>
      </c>
      <c r="AC484" t="s">
        <v>420</v>
      </c>
      <c r="AD484" t="s">
        <v>482</v>
      </c>
    </row>
    <row r="485" spans="2:30" x14ac:dyDescent="0.25">
      <c r="B485" s="1" t="s">
        <v>475</v>
      </c>
      <c r="C485" s="1">
        <v>2026</v>
      </c>
      <c r="D485" s="1">
        <v>1</v>
      </c>
      <c r="E485" s="1">
        <v>6020.88</v>
      </c>
      <c r="F485" s="1">
        <v>6020.88</v>
      </c>
      <c r="G485" s="1" t="s">
        <v>476</v>
      </c>
      <c r="H485" s="1" t="s">
        <v>420</v>
      </c>
      <c r="P485" s="1" t="s">
        <v>483</v>
      </c>
      <c r="Q485" s="1">
        <v>2025</v>
      </c>
      <c r="R485" s="1">
        <v>1</v>
      </c>
      <c r="S485" s="1">
        <v>3130.9</v>
      </c>
      <c r="T485" s="1">
        <v>3130.9</v>
      </c>
      <c r="U485" s="1" t="s">
        <v>484</v>
      </c>
      <c r="V485" s="1" t="s">
        <v>420</v>
      </c>
      <c r="Y485" t="s">
        <v>483</v>
      </c>
      <c r="Z485" t="s">
        <v>1205</v>
      </c>
      <c r="AA485">
        <v>35834.33</v>
      </c>
      <c r="AB485">
        <v>2951.32</v>
      </c>
      <c r="AC485" t="s">
        <v>420</v>
      </c>
      <c r="AD485" t="s">
        <v>484</v>
      </c>
    </row>
    <row r="486" spans="2:30" x14ac:dyDescent="0.25">
      <c r="B486" s="1" t="s">
        <v>895</v>
      </c>
      <c r="C486" s="1">
        <v>2026</v>
      </c>
      <c r="D486" s="1">
        <v>1</v>
      </c>
      <c r="E486" s="1">
        <v>1812.78</v>
      </c>
      <c r="F486" s="1">
        <v>1812.78</v>
      </c>
      <c r="G486" s="1" t="s">
        <v>896</v>
      </c>
      <c r="H486" s="1" t="s">
        <v>420</v>
      </c>
      <c r="P486" s="1" t="s">
        <v>485</v>
      </c>
      <c r="Q486" s="1">
        <v>2025</v>
      </c>
      <c r="R486" s="1">
        <v>1</v>
      </c>
      <c r="S486" s="1">
        <v>0</v>
      </c>
      <c r="T486" s="1">
        <v>0</v>
      </c>
      <c r="U486" s="1" t="s">
        <v>486</v>
      </c>
      <c r="V486" s="1" t="s">
        <v>420</v>
      </c>
      <c r="Y486" t="s">
        <v>485</v>
      </c>
      <c r="Z486" t="s">
        <v>1205</v>
      </c>
      <c r="AA486">
        <v>0</v>
      </c>
      <c r="AB486">
        <v>0</v>
      </c>
      <c r="AC486" t="s">
        <v>420</v>
      </c>
      <c r="AD486" t="s">
        <v>486</v>
      </c>
    </row>
    <row r="487" spans="2:30" x14ac:dyDescent="0.25">
      <c r="B487" s="1" t="s">
        <v>477</v>
      </c>
      <c r="C487" s="1">
        <v>2026</v>
      </c>
      <c r="D487" s="1">
        <v>1</v>
      </c>
      <c r="E487" s="1">
        <v>15218.78</v>
      </c>
      <c r="F487" s="1">
        <v>15218.78</v>
      </c>
      <c r="G487" s="1" t="s">
        <v>478</v>
      </c>
      <c r="H487" s="1" t="s">
        <v>420</v>
      </c>
      <c r="P487" s="1" t="s">
        <v>899</v>
      </c>
      <c r="Q487" s="1">
        <v>2025</v>
      </c>
      <c r="R487" s="1">
        <v>1</v>
      </c>
      <c r="S487" s="1">
        <v>0</v>
      </c>
      <c r="T487" s="1">
        <v>0</v>
      </c>
      <c r="U487" s="1" t="s">
        <v>486</v>
      </c>
      <c r="V487" s="1" t="s">
        <v>420</v>
      </c>
      <c r="Y487" t="s">
        <v>899</v>
      </c>
      <c r="Z487" t="s">
        <v>1205</v>
      </c>
      <c r="AA487">
        <v>0</v>
      </c>
      <c r="AB487">
        <v>0</v>
      </c>
      <c r="AC487" t="s">
        <v>420</v>
      </c>
      <c r="AD487" t="s">
        <v>486</v>
      </c>
    </row>
    <row r="488" spans="2:30" x14ac:dyDescent="0.25">
      <c r="B488" s="1" t="s">
        <v>1421</v>
      </c>
      <c r="C488" s="1">
        <v>2026</v>
      </c>
      <c r="D488" s="1">
        <v>1</v>
      </c>
      <c r="E488" s="1">
        <v>1081.71</v>
      </c>
      <c r="F488" s="1">
        <v>1081.71</v>
      </c>
      <c r="G488" s="1" t="s">
        <v>1459</v>
      </c>
      <c r="H488" s="1" t="s">
        <v>420</v>
      </c>
      <c r="P488" s="1" t="s">
        <v>487</v>
      </c>
      <c r="Q488" s="1">
        <v>2025</v>
      </c>
      <c r="R488" s="1">
        <v>1</v>
      </c>
      <c r="S488" s="1">
        <v>0</v>
      </c>
      <c r="T488" s="1">
        <v>0</v>
      </c>
      <c r="U488" s="1" t="s">
        <v>2092</v>
      </c>
      <c r="V488" s="1" t="s">
        <v>420</v>
      </c>
      <c r="Y488" t="s">
        <v>487</v>
      </c>
      <c r="Z488" t="s">
        <v>1205</v>
      </c>
      <c r="AA488">
        <v>0</v>
      </c>
      <c r="AB488">
        <v>0</v>
      </c>
      <c r="AC488" t="s">
        <v>420</v>
      </c>
      <c r="AD488" t="s">
        <v>2092</v>
      </c>
    </row>
    <row r="489" spans="2:30" x14ac:dyDescent="0.25">
      <c r="B489" s="1" t="s">
        <v>479</v>
      </c>
      <c r="C489" s="1">
        <v>2026</v>
      </c>
      <c r="D489" s="1">
        <v>1</v>
      </c>
      <c r="E489" s="1">
        <v>3727.41</v>
      </c>
      <c r="F489" s="1">
        <v>3727.41</v>
      </c>
      <c r="G489" s="1" t="s">
        <v>480</v>
      </c>
      <c r="H489" s="1" t="s">
        <v>420</v>
      </c>
      <c r="P489" s="1" t="s">
        <v>489</v>
      </c>
      <c r="Q489" s="1">
        <v>2025</v>
      </c>
      <c r="R489" s="1">
        <v>1</v>
      </c>
      <c r="S489" s="1">
        <v>0</v>
      </c>
      <c r="T489" s="1">
        <v>0</v>
      </c>
      <c r="U489" s="1" t="s">
        <v>490</v>
      </c>
      <c r="V489" s="1" t="s">
        <v>420</v>
      </c>
      <c r="Y489" t="s">
        <v>489</v>
      </c>
      <c r="Z489" t="s">
        <v>1205</v>
      </c>
      <c r="AA489">
        <v>10457.700000000001</v>
      </c>
      <c r="AB489">
        <v>89.68</v>
      </c>
      <c r="AC489" t="s">
        <v>420</v>
      </c>
      <c r="AD489" t="s">
        <v>490</v>
      </c>
    </row>
    <row r="490" spans="2:30" x14ac:dyDescent="0.25">
      <c r="B490" s="1" t="s">
        <v>897</v>
      </c>
      <c r="C490" s="1">
        <v>2026</v>
      </c>
      <c r="D490" s="1">
        <v>1</v>
      </c>
      <c r="E490" s="1">
        <v>0</v>
      </c>
      <c r="F490" s="1">
        <v>0</v>
      </c>
      <c r="G490" s="1" t="s">
        <v>480</v>
      </c>
      <c r="H490" s="1" t="s">
        <v>420</v>
      </c>
      <c r="P490" s="1" t="s">
        <v>900</v>
      </c>
      <c r="Q490" s="1">
        <v>2025</v>
      </c>
      <c r="R490" s="1">
        <v>1</v>
      </c>
      <c r="S490" s="1">
        <v>0</v>
      </c>
      <c r="T490" s="1">
        <v>0</v>
      </c>
      <c r="U490" s="1" t="s">
        <v>901</v>
      </c>
      <c r="V490" s="1" t="s">
        <v>420</v>
      </c>
      <c r="Y490" t="s">
        <v>900</v>
      </c>
      <c r="Z490" t="s">
        <v>1205</v>
      </c>
      <c r="AA490">
        <v>0</v>
      </c>
      <c r="AB490">
        <v>0</v>
      </c>
      <c r="AC490" t="s">
        <v>420</v>
      </c>
      <c r="AD490" t="s">
        <v>901</v>
      </c>
    </row>
    <row r="491" spans="2:30" x14ac:dyDescent="0.25">
      <c r="B491" s="1" t="s">
        <v>481</v>
      </c>
      <c r="C491" s="1">
        <v>2026</v>
      </c>
      <c r="D491" s="1">
        <v>1</v>
      </c>
      <c r="E491" s="1">
        <v>19489.78</v>
      </c>
      <c r="F491" s="1">
        <v>19489.78</v>
      </c>
      <c r="G491" s="1" t="s">
        <v>482</v>
      </c>
      <c r="H491" s="1" t="s">
        <v>420</v>
      </c>
      <c r="P491" s="1" t="s">
        <v>491</v>
      </c>
      <c r="Q491" s="1">
        <v>2025</v>
      </c>
      <c r="R491" s="1">
        <v>1</v>
      </c>
      <c r="S491" s="1">
        <v>0</v>
      </c>
      <c r="T491" s="1">
        <v>0</v>
      </c>
      <c r="U491" s="1" t="s">
        <v>492</v>
      </c>
      <c r="V491" s="1" t="s">
        <v>420</v>
      </c>
      <c r="Y491" t="s">
        <v>491</v>
      </c>
      <c r="Z491" t="s">
        <v>1205</v>
      </c>
      <c r="AA491">
        <v>19299.900000000001</v>
      </c>
      <c r="AB491">
        <v>0</v>
      </c>
      <c r="AC491" t="s">
        <v>420</v>
      </c>
      <c r="AD491" t="s">
        <v>492</v>
      </c>
    </row>
    <row r="492" spans="2:30" x14ac:dyDescent="0.25">
      <c r="B492" s="1" t="s">
        <v>898</v>
      </c>
      <c r="C492" s="1">
        <v>2026</v>
      </c>
      <c r="D492" s="1">
        <v>1</v>
      </c>
      <c r="E492" s="1">
        <v>0</v>
      </c>
      <c r="F492" s="1">
        <v>0</v>
      </c>
      <c r="G492" s="1" t="s">
        <v>482</v>
      </c>
      <c r="H492" s="1" t="s">
        <v>420</v>
      </c>
      <c r="P492" s="1" t="s">
        <v>1424</v>
      </c>
      <c r="Q492" s="1">
        <v>2025</v>
      </c>
      <c r="R492" s="1">
        <v>1</v>
      </c>
      <c r="S492" s="1">
        <v>0</v>
      </c>
      <c r="T492" s="1">
        <v>0</v>
      </c>
      <c r="U492" s="1" t="s">
        <v>1460</v>
      </c>
      <c r="V492" s="1" t="s">
        <v>420</v>
      </c>
      <c r="Y492" t="s">
        <v>1424</v>
      </c>
      <c r="Z492" t="s">
        <v>1205</v>
      </c>
      <c r="AA492">
        <v>3216.77</v>
      </c>
      <c r="AB492">
        <v>0</v>
      </c>
      <c r="AC492" t="s">
        <v>420</v>
      </c>
      <c r="AD492" t="s">
        <v>1460</v>
      </c>
    </row>
    <row r="493" spans="2:30" x14ac:dyDescent="0.25">
      <c r="B493" s="1" t="s">
        <v>483</v>
      </c>
      <c r="C493" s="1">
        <v>2026</v>
      </c>
      <c r="D493" s="1">
        <v>1</v>
      </c>
      <c r="E493" s="1">
        <v>5997.9</v>
      </c>
      <c r="F493" s="1">
        <v>5997.9</v>
      </c>
      <c r="G493" s="1" t="s">
        <v>484</v>
      </c>
      <c r="H493" s="1" t="s">
        <v>420</v>
      </c>
      <c r="P493" s="1" t="s">
        <v>493</v>
      </c>
      <c r="Q493" s="1">
        <v>2025</v>
      </c>
      <c r="R493" s="1">
        <v>1</v>
      </c>
      <c r="S493" s="1">
        <v>0</v>
      </c>
      <c r="T493" s="1">
        <v>0</v>
      </c>
      <c r="U493" s="1" t="s">
        <v>494</v>
      </c>
      <c r="V493" s="1" t="s">
        <v>420</v>
      </c>
      <c r="Y493" t="s">
        <v>493</v>
      </c>
      <c r="Z493" t="s">
        <v>1205</v>
      </c>
      <c r="AA493">
        <v>0</v>
      </c>
      <c r="AB493">
        <v>0</v>
      </c>
      <c r="AC493" t="s">
        <v>420</v>
      </c>
      <c r="AD493" t="s">
        <v>494</v>
      </c>
    </row>
    <row r="494" spans="2:30" x14ac:dyDescent="0.25">
      <c r="B494" s="1" t="s">
        <v>485</v>
      </c>
      <c r="C494" s="1">
        <v>2026</v>
      </c>
      <c r="D494" s="1">
        <v>1</v>
      </c>
      <c r="E494" s="1">
        <v>0</v>
      </c>
      <c r="F494" s="1">
        <v>0</v>
      </c>
      <c r="G494" s="1" t="s">
        <v>486</v>
      </c>
      <c r="H494" s="1" t="s">
        <v>420</v>
      </c>
      <c r="P494" s="1" t="s">
        <v>902</v>
      </c>
      <c r="Q494" s="1">
        <v>2025</v>
      </c>
      <c r="R494" s="1">
        <v>1</v>
      </c>
      <c r="S494" s="1">
        <v>0</v>
      </c>
      <c r="T494" s="1">
        <v>0</v>
      </c>
      <c r="U494" s="1" t="s">
        <v>494</v>
      </c>
      <c r="V494" s="1" t="s">
        <v>420</v>
      </c>
      <c r="Y494" t="s">
        <v>902</v>
      </c>
      <c r="Z494" t="s">
        <v>1205</v>
      </c>
      <c r="AA494">
        <v>0</v>
      </c>
      <c r="AB494">
        <v>0</v>
      </c>
      <c r="AC494" t="s">
        <v>420</v>
      </c>
      <c r="AD494" t="s">
        <v>494</v>
      </c>
    </row>
    <row r="495" spans="2:30" x14ac:dyDescent="0.25">
      <c r="B495" s="1" t="s">
        <v>899</v>
      </c>
      <c r="C495" s="1">
        <v>2026</v>
      </c>
      <c r="D495" s="1">
        <v>1</v>
      </c>
      <c r="E495" s="1">
        <v>0</v>
      </c>
      <c r="F495" s="1">
        <v>0</v>
      </c>
      <c r="G495" s="1" t="s">
        <v>486</v>
      </c>
      <c r="H495" s="1" t="s">
        <v>420</v>
      </c>
      <c r="P495" s="1" t="s">
        <v>495</v>
      </c>
      <c r="Q495" s="1">
        <v>2025</v>
      </c>
      <c r="R495" s="1">
        <v>1</v>
      </c>
      <c r="S495" s="1">
        <v>0</v>
      </c>
      <c r="T495" s="1">
        <v>0</v>
      </c>
      <c r="U495" s="1" t="s">
        <v>496</v>
      </c>
      <c r="V495" s="1" t="s">
        <v>420</v>
      </c>
      <c r="Y495" t="s">
        <v>495</v>
      </c>
      <c r="Z495" t="s">
        <v>1205</v>
      </c>
      <c r="AA495">
        <v>2465.6</v>
      </c>
      <c r="AB495">
        <v>0</v>
      </c>
      <c r="AC495" t="s">
        <v>420</v>
      </c>
      <c r="AD495" t="s">
        <v>496</v>
      </c>
    </row>
    <row r="496" spans="2:30" x14ac:dyDescent="0.25">
      <c r="B496" s="1" t="s">
        <v>487</v>
      </c>
      <c r="C496" s="1">
        <v>2026</v>
      </c>
      <c r="D496" s="1">
        <v>1</v>
      </c>
      <c r="E496" s="1">
        <v>0</v>
      </c>
      <c r="F496" s="1">
        <v>0</v>
      </c>
      <c r="G496" s="1" t="s">
        <v>2092</v>
      </c>
      <c r="H496" s="1" t="s">
        <v>420</v>
      </c>
      <c r="P496" s="1" t="s">
        <v>903</v>
      </c>
      <c r="Q496" s="1">
        <v>2025</v>
      </c>
      <c r="R496" s="1">
        <v>1</v>
      </c>
      <c r="S496" s="1">
        <v>0</v>
      </c>
      <c r="T496" s="1">
        <v>0</v>
      </c>
      <c r="U496" s="1" t="s">
        <v>496</v>
      </c>
      <c r="V496" s="1" t="s">
        <v>420</v>
      </c>
      <c r="Y496" t="s">
        <v>903</v>
      </c>
      <c r="Z496" t="s">
        <v>1205</v>
      </c>
      <c r="AA496">
        <v>0</v>
      </c>
      <c r="AB496">
        <v>0</v>
      </c>
      <c r="AC496" t="s">
        <v>420</v>
      </c>
      <c r="AD496" t="s">
        <v>496</v>
      </c>
    </row>
    <row r="497" spans="2:30" x14ac:dyDescent="0.25">
      <c r="B497" s="1" t="s">
        <v>489</v>
      </c>
      <c r="C497" s="1">
        <v>2026</v>
      </c>
      <c r="D497" s="1">
        <v>1</v>
      </c>
      <c r="E497" s="1">
        <v>2278.13</v>
      </c>
      <c r="F497" s="1">
        <v>2278.13</v>
      </c>
      <c r="G497" s="1" t="s">
        <v>490</v>
      </c>
      <c r="H497" s="1" t="s">
        <v>420</v>
      </c>
      <c r="P497" s="1" t="s">
        <v>497</v>
      </c>
      <c r="Q497" s="1">
        <v>2025</v>
      </c>
      <c r="R497" s="1">
        <v>1</v>
      </c>
      <c r="S497" s="1">
        <v>577.5</v>
      </c>
      <c r="T497" s="1">
        <v>577.5</v>
      </c>
      <c r="U497" s="1" t="s">
        <v>498</v>
      </c>
      <c r="V497" s="1" t="s">
        <v>420</v>
      </c>
      <c r="Y497" t="s">
        <v>497</v>
      </c>
      <c r="Z497" t="s">
        <v>1205</v>
      </c>
      <c r="AA497">
        <v>7325.28</v>
      </c>
      <c r="AB497">
        <v>577.5</v>
      </c>
      <c r="AC497" t="s">
        <v>420</v>
      </c>
      <c r="AD497" t="s">
        <v>498</v>
      </c>
    </row>
    <row r="498" spans="2:30" x14ac:dyDescent="0.25">
      <c r="B498" s="1" t="s">
        <v>900</v>
      </c>
      <c r="C498" s="1">
        <v>2026</v>
      </c>
      <c r="D498" s="1">
        <v>1</v>
      </c>
      <c r="E498" s="1">
        <v>0</v>
      </c>
      <c r="F498" s="1">
        <v>0</v>
      </c>
      <c r="G498" s="1" t="s">
        <v>901</v>
      </c>
      <c r="H498" s="1" t="s">
        <v>420</v>
      </c>
      <c r="P498" s="1" t="s">
        <v>499</v>
      </c>
      <c r="Q498" s="1">
        <v>2025</v>
      </c>
      <c r="R498" s="1">
        <v>1</v>
      </c>
      <c r="S498" s="1">
        <v>0</v>
      </c>
      <c r="T498" s="1">
        <v>0</v>
      </c>
      <c r="U498" s="1" t="s">
        <v>2093</v>
      </c>
      <c r="V498" s="1" t="s">
        <v>420</v>
      </c>
      <c r="Y498" t="s">
        <v>499</v>
      </c>
      <c r="Z498" t="s">
        <v>1205</v>
      </c>
      <c r="AA498">
        <v>0</v>
      </c>
      <c r="AB498">
        <v>0</v>
      </c>
      <c r="AC498" t="s">
        <v>420</v>
      </c>
      <c r="AD498" t="s">
        <v>2093</v>
      </c>
    </row>
    <row r="499" spans="2:30" x14ac:dyDescent="0.25">
      <c r="B499" s="1" t="s">
        <v>491</v>
      </c>
      <c r="C499" s="1">
        <v>2026</v>
      </c>
      <c r="D499" s="1">
        <v>1</v>
      </c>
      <c r="E499" s="1">
        <v>0</v>
      </c>
      <c r="F499" s="1">
        <v>0</v>
      </c>
      <c r="G499" s="1" t="s">
        <v>492</v>
      </c>
      <c r="H499" s="1" t="s">
        <v>420</v>
      </c>
      <c r="P499" s="1" t="s">
        <v>501</v>
      </c>
      <c r="Q499" s="1">
        <v>2025</v>
      </c>
      <c r="R499" s="1">
        <v>1</v>
      </c>
      <c r="S499" s="1">
        <v>893.65</v>
      </c>
      <c r="T499" s="1">
        <v>893.65</v>
      </c>
      <c r="U499" s="1" t="s">
        <v>502</v>
      </c>
      <c r="V499" s="1" t="s">
        <v>420</v>
      </c>
      <c r="Y499" t="s">
        <v>501</v>
      </c>
      <c r="Z499" t="s">
        <v>1205</v>
      </c>
      <c r="AA499">
        <v>7605.21</v>
      </c>
      <c r="AB499">
        <v>800.41</v>
      </c>
      <c r="AC499" t="s">
        <v>420</v>
      </c>
      <c r="AD499" t="s">
        <v>502</v>
      </c>
    </row>
    <row r="500" spans="2:30" x14ac:dyDescent="0.25">
      <c r="B500" s="1" t="s">
        <v>1424</v>
      </c>
      <c r="C500" s="1">
        <v>2026</v>
      </c>
      <c r="D500" s="1">
        <v>1</v>
      </c>
      <c r="E500" s="1">
        <v>34.229999999999997</v>
      </c>
      <c r="F500" s="1">
        <v>34.229999999999997</v>
      </c>
      <c r="G500" s="1" t="s">
        <v>1460</v>
      </c>
      <c r="H500" s="1" t="s">
        <v>420</v>
      </c>
      <c r="P500" s="1" t="s">
        <v>904</v>
      </c>
      <c r="Q500" s="1">
        <v>2025</v>
      </c>
      <c r="R500" s="1">
        <v>1</v>
      </c>
      <c r="S500" s="1">
        <v>0</v>
      </c>
      <c r="T500" s="1">
        <v>0</v>
      </c>
      <c r="U500" s="1" t="s">
        <v>905</v>
      </c>
      <c r="V500" s="1" t="s">
        <v>420</v>
      </c>
      <c r="Y500" t="s">
        <v>904</v>
      </c>
      <c r="Z500" t="s">
        <v>1205</v>
      </c>
      <c r="AA500">
        <v>656.52</v>
      </c>
      <c r="AB500">
        <v>14.24</v>
      </c>
      <c r="AC500" t="s">
        <v>420</v>
      </c>
      <c r="AD500" t="s">
        <v>905</v>
      </c>
    </row>
    <row r="501" spans="2:30" x14ac:dyDescent="0.25">
      <c r="B501" s="1" t="s">
        <v>493</v>
      </c>
      <c r="C501" s="1">
        <v>2026</v>
      </c>
      <c r="D501" s="1">
        <v>1</v>
      </c>
      <c r="E501" s="1">
        <v>0</v>
      </c>
      <c r="F501" s="1">
        <v>0</v>
      </c>
      <c r="G501" s="1" t="s">
        <v>494</v>
      </c>
      <c r="H501" s="1" t="s">
        <v>420</v>
      </c>
      <c r="P501" s="1" t="s">
        <v>503</v>
      </c>
      <c r="Q501" s="1">
        <v>2025</v>
      </c>
      <c r="R501" s="1">
        <v>1</v>
      </c>
      <c r="S501" s="1">
        <v>0</v>
      </c>
      <c r="T501" s="1">
        <v>0</v>
      </c>
      <c r="U501" s="1" t="s">
        <v>504</v>
      </c>
      <c r="V501" s="1" t="s">
        <v>420</v>
      </c>
      <c r="Y501" t="s">
        <v>503</v>
      </c>
      <c r="Z501" t="s">
        <v>1205</v>
      </c>
      <c r="AA501">
        <v>0</v>
      </c>
      <c r="AB501">
        <v>0</v>
      </c>
      <c r="AC501" t="s">
        <v>420</v>
      </c>
      <c r="AD501" t="s">
        <v>504</v>
      </c>
    </row>
    <row r="502" spans="2:30" x14ac:dyDescent="0.25">
      <c r="B502" s="1" t="s">
        <v>902</v>
      </c>
      <c r="C502" s="1">
        <v>2026</v>
      </c>
      <c r="D502" s="1">
        <v>1</v>
      </c>
      <c r="E502" s="1">
        <v>0</v>
      </c>
      <c r="F502" s="1">
        <v>0</v>
      </c>
      <c r="G502" s="1" t="s">
        <v>494</v>
      </c>
      <c r="H502" s="1" t="s">
        <v>420</v>
      </c>
      <c r="P502" s="1" t="s">
        <v>1425</v>
      </c>
      <c r="Q502" s="1">
        <v>2025</v>
      </c>
      <c r="R502" s="1">
        <v>1</v>
      </c>
      <c r="S502" s="1">
        <v>0</v>
      </c>
      <c r="T502" s="1">
        <v>0</v>
      </c>
      <c r="U502" s="1" t="s">
        <v>1461</v>
      </c>
      <c r="V502" s="1" t="s">
        <v>420</v>
      </c>
      <c r="Y502" t="s">
        <v>1425</v>
      </c>
      <c r="Z502" t="s">
        <v>1205</v>
      </c>
      <c r="AA502">
        <v>0</v>
      </c>
      <c r="AB502">
        <v>0</v>
      </c>
      <c r="AC502" t="s">
        <v>420</v>
      </c>
      <c r="AD502" t="s">
        <v>1461</v>
      </c>
    </row>
    <row r="503" spans="2:30" x14ac:dyDescent="0.25">
      <c r="B503" s="1" t="s">
        <v>495</v>
      </c>
      <c r="C503" s="1">
        <v>2026</v>
      </c>
      <c r="D503" s="1">
        <v>1</v>
      </c>
      <c r="E503" s="1">
        <v>0</v>
      </c>
      <c r="F503" s="1">
        <v>0</v>
      </c>
      <c r="G503" s="1" t="s">
        <v>496</v>
      </c>
      <c r="H503" s="1" t="s">
        <v>420</v>
      </c>
      <c r="P503" s="1" t="s">
        <v>505</v>
      </c>
      <c r="Q503" s="1">
        <v>2025</v>
      </c>
      <c r="R503" s="1">
        <v>1</v>
      </c>
      <c r="S503" s="1">
        <v>0</v>
      </c>
      <c r="T503" s="1">
        <v>0</v>
      </c>
      <c r="U503" s="1" t="s">
        <v>506</v>
      </c>
      <c r="V503" s="1" t="s">
        <v>420</v>
      </c>
      <c r="Y503" t="s">
        <v>505</v>
      </c>
      <c r="Z503" t="s">
        <v>1205</v>
      </c>
      <c r="AA503">
        <v>353.88</v>
      </c>
      <c r="AB503">
        <v>0</v>
      </c>
      <c r="AC503" t="s">
        <v>420</v>
      </c>
      <c r="AD503" t="s">
        <v>506</v>
      </c>
    </row>
    <row r="504" spans="2:30" x14ac:dyDescent="0.25">
      <c r="B504" s="1" t="s">
        <v>903</v>
      </c>
      <c r="C504" s="1">
        <v>2026</v>
      </c>
      <c r="D504" s="1">
        <v>1</v>
      </c>
      <c r="E504" s="1">
        <v>0</v>
      </c>
      <c r="F504" s="1">
        <v>0</v>
      </c>
      <c r="G504" s="1" t="s">
        <v>496</v>
      </c>
      <c r="H504" s="1" t="s">
        <v>420</v>
      </c>
      <c r="P504" s="1" t="s">
        <v>906</v>
      </c>
      <c r="Q504" s="1">
        <v>2025</v>
      </c>
      <c r="R504" s="1">
        <v>1</v>
      </c>
      <c r="S504" s="1">
        <v>0</v>
      </c>
      <c r="T504" s="1">
        <v>0</v>
      </c>
      <c r="U504" s="1" t="s">
        <v>506</v>
      </c>
      <c r="V504" s="1" t="s">
        <v>420</v>
      </c>
      <c r="Y504" t="s">
        <v>906</v>
      </c>
      <c r="Z504" t="s">
        <v>1205</v>
      </c>
      <c r="AA504">
        <v>0</v>
      </c>
      <c r="AB504">
        <v>0</v>
      </c>
      <c r="AC504" t="s">
        <v>420</v>
      </c>
      <c r="AD504" t="s">
        <v>506</v>
      </c>
    </row>
    <row r="505" spans="2:30" x14ac:dyDescent="0.25">
      <c r="B505" s="1" t="s">
        <v>497</v>
      </c>
      <c r="C505" s="1">
        <v>2026</v>
      </c>
      <c r="D505" s="1">
        <v>1</v>
      </c>
      <c r="E505" s="1">
        <v>0</v>
      </c>
      <c r="F505" s="1">
        <v>0</v>
      </c>
      <c r="G505" s="1" t="s">
        <v>498</v>
      </c>
      <c r="H505" s="1" t="s">
        <v>420</v>
      </c>
      <c r="P505" s="1" t="s">
        <v>507</v>
      </c>
      <c r="Q505" s="1">
        <v>2025</v>
      </c>
      <c r="R505" s="1">
        <v>1</v>
      </c>
      <c r="S505" s="1">
        <v>0</v>
      </c>
      <c r="T505" s="1">
        <v>0</v>
      </c>
      <c r="U505" s="1" t="s">
        <v>2094</v>
      </c>
      <c r="V505" s="1" t="s">
        <v>420</v>
      </c>
      <c r="Y505" t="s">
        <v>507</v>
      </c>
      <c r="Z505" t="s">
        <v>1205</v>
      </c>
      <c r="AA505">
        <v>203.19</v>
      </c>
      <c r="AB505">
        <v>72.959999999999994</v>
      </c>
      <c r="AC505" t="s">
        <v>420</v>
      </c>
      <c r="AD505" t="s">
        <v>2094</v>
      </c>
    </row>
    <row r="506" spans="2:30" x14ac:dyDescent="0.25">
      <c r="B506" s="1" t="s">
        <v>499</v>
      </c>
      <c r="C506" s="1">
        <v>2026</v>
      </c>
      <c r="D506" s="1">
        <v>1</v>
      </c>
      <c r="E506" s="1">
        <v>0</v>
      </c>
      <c r="F506" s="1">
        <v>0</v>
      </c>
      <c r="G506" s="1" t="s">
        <v>2093</v>
      </c>
      <c r="H506" s="1" t="s">
        <v>420</v>
      </c>
      <c r="P506" s="1" t="s">
        <v>907</v>
      </c>
      <c r="Q506" s="1">
        <v>2025</v>
      </c>
      <c r="R506" s="1">
        <v>1</v>
      </c>
      <c r="S506" s="1">
        <v>0</v>
      </c>
      <c r="T506" s="1">
        <v>0</v>
      </c>
      <c r="U506" s="1" t="s">
        <v>2094</v>
      </c>
      <c r="V506" s="1" t="s">
        <v>420</v>
      </c>
      <c r="Y506" t="s">
        <v>907</v>
      </c>
      <c r="Z506" t="s">
        <v>1205</v>
      </c>
      <c r="AA506">
        <v>0</v>
      </c>
      <c r="AB506">
        <v>0</v>
      </c>
      <c r="AC506" t="s">
        <v>420</v>
      </c>
      <c r="AD506" t="s">
        <v>2094</v>
      </c>
    </row>
    <row r="507" spans="2:30" x14ac:dyDescent="0.25">
      <c r="B507" s="1" t="s">
        <v>501</v>
      </c>
      <c r="C507" s="1">
        <v>2026</v>
      </c>
      <c r="D507" s="1">
        <v>1</v>
      </c>
      <c r="E507" s="1">
        <v>783.91</v>
      </c>
      <c r="F507" s="1">
        <v>783.91</v>
      </c>
      <c r="G507" s="1" t="s">
        <v>502</v>
      </c>
      <c r="H507" s="1" t="s">
        <v>420</v>
      </c>
      <c r="P507" s="1" t="s">
        <v>508</v>
      </c>
      <c r="Q507" s="1">
        <v>2025</v>
      </c>
      <c r="R507" s="1">
        <v>1</v>
      </c>
      <c r="S507" s="1">
        <v>0</v>
      </c>
      <c r="T507" s="1">
        <v>0</v>
      </c>
      <c r="U507" s="1" t="s">
        <v>509</v>
      </c>
      <c r="V507" s="1" t="s">
        <v>420</v>
      </c>
      <c r="Y507" t="s">
        <v>508</v>
      </c>
      <c r="Z507" t="s">
        <v>1205</v>
      </c>
      <c r="AA507">
        <v>608.76</v>
      </c>
      <c r="AB507">
        <v>413.21</v>
      </c>
      <c r="AC507" t="s">
        <v>420</v>
      </c>
      <c r="AD507" t="s">
        <v>509</v>
      </c>
    </row>
    <row r="508" spans="2:30" x14ac:dyDescent="0.25">
      <c r="B508" s="1" t="s">
        <v>904</v>
      </c>
      <c r="C508" s="1">
        <v>2026</v>
      </c>
      <c r="D508" s="1">
        <v>1</v>
      </c>
      <c r="E508" s="1">
        <v>0</v>
      </c>
      <c r="F508" s="1">
        <v>0</v>
      </c>
      <c r="G508" s="1" t="s">
        <v>905</v>
      </c>
      <c r="H508" s="1" t="s">
        <v>420</v>
      </c>
      <c r="P508" s="1" t="s">
        <v>1281</v>
      </c>
      <c r="Q508" s="1">
        <v>2025</v>
      </c>
      <c r="R508" s="1">
        <v>1</v>
      </c>
      <c r="S508" s="1">
        <v>-13319.9</v>
      </c>
      <c r="T508" s="1">
        <v>-13319.9</v>
      </c>
      <c r="U508" s="1" t="s">
        <v>1282</v>
      </c>
      <c r="V508" s="1" t="s">
        <v>420</v>
      </c>
      <c r="Y508" t="s">
        <v>1281</v>
      </c>
      <c r="Z508" t="s">
        <v>1205</v>
      </c>
      <c r="AA508">
        <v>22233.119999999999</v>
      </c>
      <c r="AB508">
        <v>-2740.14</v>
      </c>
      <c r="AC508" t="s">
        <v>420</v>
      </c>
      <c r="AD508" t="s">
        <v>1282</v>
      </c>
    </row>
    <row r="509" spans="2:30" x14ac:dyDescent="0.25">
      <c r="B509" s="1" t="s">
        <v>503</v>
      </c>
      <c r="C509" s="1">
        <v>2026</v>
      </c>
      <c r="D509" s="1">
        <v>1</v>
      </c>
      <c r="E509" s="1">
        <v>0</v>
      </c>
      <c r="F509" s="1">
        <v>0</v>
      </c>
      <c r="G509" s="1" t="s">
        <v>504</v>
      </c>
      <c r="H509" s="1" t="s">
        <v>420</v>
      </c>
      <c r="P509" s="1" t="s">
        <v>1504</v>
      </c>
      <c r="Q509" s="1">
        <v>2025</v>
      </c>
      <c r="R509" s="1">
        <v>1</v>
      </c>
      <c r="S509" s="1">
        <v>-1257.4000000000001</v>
      </c>
      <c r="T509" s="1">
        <v>-1257.4000000000001</v>
      </c>
      <c r="U509" s="1" t="s">
        <v>1282</v>
      </c>
      <c r="V509" s="1" t="s">
        <v>420</v>
      </c>
      <c r="Y509" t="s">
        <v>1504</v>
      </c>
      <c r="Z509" t="s">
        <v>1205</v>
      </c>
      <c r="AA509">
        <v>-3471.06</v>
      </c>
      <c r="AB509">
        <v>-1725.13</v>
      </c>
      <c r="AC509" t="s">
        <v>420</v>
      </c>
      <c r="AD509" t="s">
        <v>1282</v>
      </c>
    </row>
    <row r="510" spans="2:30" x14ac:dyDescent="0.25">
      <c r="B510" s="1" t="s">
        <v>1425</v>
      </c>
      <c r="C510" s="1">
        <v>2026</v>
      </c>
      <c r="D510" s="1">
        <v>1</v>
      </c>
      <c r="E510" s="1">
        <v>0</v>
      </c>
      <c r="F510" s="1">
        <v>0</v>
      </c>
      <c r="G510" s="1" t="s">
        <v>1461</v>
      </c>
      <c r="H510" s="1" t="s">
        <v>420</v>
      </c>
      <c r="P510" s="1" t="s">
        <v>1283</v>
      </c>
      <c r="Q510" s="1">
        <v>2025</v>
      </c>
      <c r="R510" s="1">
        <v>1</v>
      </c>
      <c r="S510" s="1">
        <v>0</v>
      </c>
      <c r="T510" s="1">
        <v>0</v>
      </c>
      <c r="U510" s="1" t="s">
        <v>1282</v>
      </c>
      <c r="V510" s="1" t="s">
        <v>420</v>
      </c>
      <c r="Y510" t="s">
        <v>1283</v>
      </c>
      <c r="Z510" t="s">
        <v>1205</v>
      </c>
      <c r="AA510">
        <v>0</v>
      </c>
      <c r="AB510">
        <v>0</v>
      </c>
      <c r="AC510" t="s">
        <v>420</v>
      </c>
      <c r="AD510" t="s">
        <v>1282</v>
      </c>
    </row>
    <row r="511" spans="2:30" x14ac:dyDescent="0.25">
      <c r="B511" s="1" t="s">
        <v>505</v>
      </c>
      <c r="C511" s="1">
        <v>2026</v>
      </c>
      <c r="D511" s="1">
        <v>1</v>
      </c>
      <c r="E511" s="1">
        <v>1069.5</v>
      </c>
      <c r="F511" s="1">
        <v>1069.5</v>
      </c>
      <c r="G511" s="1" t="s">
        <v>506</v>
      </c>
      <c r="H511" s="1" t="s">
        <v>420</v>
      </c>
      <c r="P511" s="1" t="s">
        <v>1418</v>
      </c>
      <c r="Q511" s="1">
        <v>2025</v>
      </c>
      <c r="R511" s="1">
        <v>1</v>
      </c>
      <c r="S511" s="1">
        <v>0</v>
      </c>
      <c r="T511" s="1">
        <v>0</v>
      </c>
      <c r="U511" s="1" t="s">
        <v>1462</v>
      </c>
      <c r="V511" s="1" t="s">
        <v>420</v>
      </c>
      <c r="Y511" t="s">
        <v>1418</v>
      </c>
      <c r="Z511" t="s">
        <v>1205</v>
      </c>
      <c r="AA511">
        <v>0</v>
      </c>
      <c r="AB511">
        <v>0</v>
      </c>
      <c r="AC511" t="s">
        <v>420</v>
      </c>
      <c r="AD511" t="s">
        <v>1462</v>
      </c>
    </row>
    <row r="512" spans="2:30" x14ac:dyDescent="0.25">
      <c r="B512" s="1" t="s">
        <v>906</v>
      </c>
      <c r="C512" s="1">
        <v>2026</v>
      </c>
      <c r="D512" s="1">
        <v>1</v>
      </c>
      <c r="E512" s="1">
        <v>0</v>
      </c>
      <c r="F512" s="1">
        <v>0</v>
      </c>
      <c r="G512" s="1" t="s">
        <v>506</v>
      </c>
      <c r="H512" s="1" t="s">
        <v>420</v>
      </c>
      <c r="P512" s="1" t="s">
        <v>1284</v>
      </c>
      <c r="Q512" s="1">
        <v>2025</v>
      </c>
      <c r="R512" s="1">
        <v>1</v>
      </c>
      <c r="S512" s="1">
        <v>-11307.87</v>
      </c>
      <c r="T512" s="1">
        <v>-11307.87</v>
      </c>
      <c r="U512" s="1" t="s">
        <v>1285</v>
      </c>
      <c r="V512" s="1" t="s">
        <v>420</v>
      </c>
      <c r="Y512" t="s">
        <v>1284</v>
      </c>
      <c r="Z512" t="s">
        <v>1205</v>
      </c>
      <c r="AA512">
        <v>-80836.66</v>
      </c>
      <c r="AB512">
        <v>-16136.23</v>
      </c>
      <c r="AC512" t="s">
        <v>420</v>
      </c>
      <c r="AD512" t="s">
        <v>1285</v>
      </c>
    </row>
    <row r="513" spans="2:30" x14ac:dyDescent="0.25">
      <c r="B513" s="1" t="s">
        <v>507</v>
      </c>
      <c r="C513" s="1">
        <v>2026</v>
      </c>
      <c r="D513" s="1">
        <v>1</v>
      </c>
      <c r="E513" s="1">
        <v>145.91999999999999</v>
      </c>
      <c r="F513" s="1">
        <v>145.91999999999999</v>
      </c>
      <c r="G513" s="1" t="s">
        <v>2094</v>
      </c>
      <c r="H513" s="1" t="s">
        <v>420</v>
      </c>
      <c r="P513" s="1" t="s">
        <v>1505</v>
      </c>
      <c r="Q513" s="1">
        <v>2025</v>
      </c>
      <c r="R513" s="1">
        <v>1</v>
      </c>
      <c r="S513" s="1">
        <v>-4255.01</v>
      </c>
      <c r="T513" s="1">
        <v>-4255.01</v>
      </c>
      <c r="U513" s="1" t="s">
        <v>1285</v>
      </c>
      <c r="V513" s="1" t="s">
        <v>420</v>
      </c>
      <c r="Y513" t="s">
        <v>1505</v>
      </c>
      <c r="Z513" t="s">
        <v>1205</v>
      </c>
      <c r="AA513">
        <v>-4554.24</v>
      </c>
      <c r="AB513">
        <v>-4860.38</v>
      </c>
      <c r="AC513" t="s">
        <v>420</v>
      </c>
      <c r="AD513" t="s">
        <v>1285</v>
      </c>
    </row>
    <row r="514" spans="2:30" x14ac:dyDescent="0.25">
      <c r="B514" s="1" t="s">
        <v>907</v>
      </c>
      <c r="C514" s="1">
        <v>2026</v>
      </c>
      <c r="D514" s="1">
        <v>1</v>
      </c>
      <c r="E514" s="1">
        <v>0</v>
      </c>
      <c r="F514" s="1">
        <v>0</v>
      </c>
      <c r="G514" s="1" t="s">
        <v>2094</v>
      </c>
      <c r="H514" s="1" t="s">
        <v>420</v>
      </c>
      <c r="P514" s="1" t="s">
        <v>1286</v>
      </c>
      <c r="Q514" s="1">
        <v>2025</v>
      </c>
      <c r="R514" s="1">
        <v>1</v>
      </c>
      <c r="S514" s="1">
        <v>-27442.51</v>
      </c>
      <c r="T514" s="1">
        <v>-27442.51</v>
      </c>
      <c r="U514" s="1" t="s">
        <v>1285</v>
      </c>
      <c r="V514" s="1" t="s">
        <v>420</v>
      </c>
      <c r="Y514" t="s">
        <v>1286</v>
      </c>
      <c r="Z514" t="s">
        <v>1205</v>
      </c>
      <c r="AA514">
        <v>54463.89</v>
      </c>
      <c r="AB514">
        <v>-1729.83</v>
      </c>
      <c r="AC514" t="s">
        <v>420</v>
      </c>
      <c r="AD514" t="s">
        <v>1285</v>
      </c>
    </row>
    <row r="515" spans="2:30" x14ac:dyDescent="0.25">
      <c r="B515" s="1" t="s">
        <v>508</v>
      </c>
      <c r="C515" s="1">
        <v>2026</v>
      </c>
      <c r="D515" s="1">
        <v>1</v>
      </c>
      <c r="E515" s="1">
        <v>0</v>
      </c>
      <c r="F515" s="1">
        <v>0</v>
      </c>
      <c r="G515" s="1" t="s">
        <v>509</v>
      </c>
      <c r="H515" s="1" t="s">
        <v>420</v>
      </c>
      <c r="P515" s="1" t="s">
        <v>1419</v>
      </c>
      <c r="Q515" s="1">
        <v>2025</v>
      </c>
      <c r="R515" s="1">
        <v>1</v>
      </c>
      <c r="S515" s="1">
        <v>0</v>
      </c>
      <c r="T515" s="1">
        <v>0</v>
      </c>
      <c r="U515" s="1" t="s">
        <v>1463</v>
      </c>
      <c r="V515" s="1" t="s">
        <v>420</v>
      </c>
      <c r="Y515" t="s">
        <v>1419</v>
      </c>
      <c r="Z515" t="s">
        <v>1205</v>
      </c>
      <c r="AA515">
        <v>0</v>
      </c>
      <c r="AB515">
        <v>0</v>
      </c>
      <c r="AC515" t="s">
        <v>420</v>
      </c>
      <c r="AD515" t="s">
        <v>1463</v>
      </c>
    </row>
    <row r="516" spans="2:30" x14ac:dyDescent="0.25">
      <c r="B516" s="1" t="s">
        <v>1281</v>
      </c>
      <c r="C516" s="1">
        <v>2026</v>
      </c>
      <c r="D516" s="1">
        <v>1</v>
      </c>
      <c r="E516" s="1">
        <v>0</v>
      </c>
      <c r="F516" s="1">
        <v>0</v>
      </c>
      <c r="G516" s="1" t="s">
        <v>1282</v>
      </c>
      <c r="H516" s="1" t="s">
        <v>420</v>
      </c>
      <c r="P516" s="1" t="s">
        <v>1287</v>
      </c>
      <c r="Q516" s="1">
        <v>2025</v>
      </c>
      <c r="R516" s="1">
        <v>1</v>
      </c>
      <c r="S516" s="1">
        <v>19564.72</v>
      </c>
      <c r="T516" s="1">
        <v>19564.72</v>
      </c>
      <c r="U516" s="1" t="s">
        <v>1288</v>
      </c>
      <c r="V516" s="1" t="s">
        <v>420</v>
      </c>
      <c r="Y516" t="s">
        <v>1287</v>
      </c>
      <c r="Z516" t="s">
        <v>1205</v>
      </c>
      <c r="AA516">
        <v>-10599.33</v>
      </c>
      <c r="AB516">
        <v>-2277.23</v>
      </c>
      <c r="AC516" t="s">
        <v>420</v>
      </c>
      <c r="AD516" t="s">
        <v>1288</v>
      </c>
    </row>
    <row r="517" spans="2:30" x14ac:dyDescent="0.25">
      <c r="B517" s="1" t="s">
        <v>1504</v>
      </c>
      <c r="C517" s="1">
        <v>2026</v>
      </c>
      <c r="D517" s="1">
        <v>1</v>
      </c>
      <c r="E517" s="1">
        <v>0</v>
      </c>
      <c r="F517" s="1">
        <v>0</v>
      </c>
      <c r="G517" s="1" t="s">
        <v>1282</v>
      </c>
      <c r="H517" s="1" t="s">
        <v>420</v>
      </c>
      <c r="P517" s="1" t="s">
        <v>1506</v>
      </c>
      <c r="Q517" s="1">
        <v>2025</v>
      </c>
      <c r="R517" s="1">
        <v>1</v>
      </c>
      <c r="S517" s="1">
        <v>8793.67</v>
      </c>
      <c r="T517" s="1">
        <v>8793.67</v>
      </c>
      <c r="U517" s="1" t="s">
        <v>1288</v>
      </c>
      <c r="V517" s="1" t="s">
        <v>420</v>
      </c>
      <c r="Y517" t="s">
        <v>1506</v>
      </c>
      <c r="Z517" t="s">
        <v>1205</v>
      </c>
      <c r="AA517">
        <v>4895.6000000000004</v>
      </c>
      <c r="AB517">
        <v>-774.49</v>
      </c>
      <c r="AC517" t="s">
        <v>420</v>
      </c>
      <c r="AD517" t="s">
        <v>1288</v>
      </c>
    </row>
    <row r="518" spans="2:30" x14ac:dyDescent="0.25">
      <c r="B518" s="1" t="s">
        <v>1283</v>
      </c>
      <c r="C518" s="1">
        <v>2026</v>
      </c>
      <c r="D518" s="1">
        <v>1</v>
      </c>
      <c r="E518" s="1">
        <v>0</v>
      </c>
      <c r="F518" s="1">
        <v>0</v>
      </c>
      <c r="G518" s="1" t="s">
        <v>1282</v>
      </c>
      <c r="H518" s="1" t="s">
        <v>420</v>
      </c>
      <c r="P518" s="1" t="s">
        <v>1289</v>
      </c>
      <c r="Q518" s="1">
        <v>2025</v>
      </c>
      <c r="R518" s="1">
        <v>1</v>
      </c>
      <c r="S518" s="1">
        <v>114280.7</v>
      </c>
      <c r="T518" s="1">
        <v>114280.7</v>
      </c>
      <c r="U518" s="1" t="s">
        <v>1288</v>
      </c>
      <c r="V518" s="1" t="s">
        <v>420</v>
      </c>
      <c r="Y518" t="s">
        <v>1289</v>
      </c>
      <c r="Z518" t="s">
        <v>1205</v>
      </c>
      <c r="AA518">
        <v>402946.06</v>
      </c>
      <c r="AB518">
        <v>-3654.17</v>
      </c>
      <c r="AC518" t="s">
        <v>420</v>
      </c>
      <c r="AD518" t="s">
        <v>1288</v>
      </c>
    </row>
    <row r="519" spans="2:30" x14ac:dyDescent="0.25">
      <c r="B519" s="1" t="s">
        <v>1418</v>
      </c>
      <c r="C519" s="1">
        <v>2026</v>
      </c>
      <c r="D519" s="1">
        <v>1</v>
      </c>
      <c r="E519" s="1">
        <v>0</v>
      </c>
      <c r="F519" s="1">
        <v>0</v>
      </c>
      <c r="G519" s="1" t="s">
        <v>1462</v>
      </c>
      <c r="H519" s="1" t="s">
        <v>420</v>
      </c>
      <c r="P519" s="1" t="s">
        <v>1420</v>
      </c>
      <c r="Q519" s="1">
        <v>2025</v>
      </c>
      <c r="R519" s="1">
        <v>1</v>
      </c>
      <c r="S519" s="1">
        <v>-4062.24</v>
      </c>
      <c r="T519" s="1">
        <v>-4062.24</v>
      </c>
      <c r="U519" s="1" t="s">
        <v>1464</v>
      </c>
      <c r="V519" s="1" t="s">
        <v>420</v>
      </c>
      <c r="Y519" t="s">
        <v>1420</v>
      </c>
      <c r="Z519" t="s">
        <v>1205</v>
      </c>
      <c r="AA519">
        <v>218422.98</v>
      </c>
      <c r="AB519">
        <v>-7692.8</v>
      </c>
      <c r="AC519" t="s">
        <v>420</v>
      </c>
      <c r="AD519" t="s">
        <v>1464</v>
      </c>
    </row>
    <row r="520" spans="2:30" x14ac:dyDescent="0.25">
      <c r="B520" s="1" t="s">
        <v>1284</v>
      </c>
      <c r="C520" s="1">
        <v>2026</v>
      </c>
      <c r="D520" s="1">
        <v>1</v>
      </c>
      <c r="E520" s="1">
        <v>0</v>
      </c>
      <c r="F520" s="1">
        <v>0</v>
      </c>
      <c r="G520" s="1" t="s">
        <v>1285</v>
      </c>
      <c r="H520" s="1" t="s">
        <v>420</v>
      </c>
      <c r="P520" s="1" t="s">
        <v>510</v>
      </c>
      <c r="Q520" s="1">
        <v>2025</v>
      </c>
      <c r="R520" s="1">
        <v>1</v>
      </c>
      <c r="S520" s="1">
        <v>0</v>
      </c>
      <c r="T520" s="1">
        <v>0</v>
      </c>
      <c r="U520" s="1" t="s">
        <v>2070</v>
      </c>
      <c r="V520" s="1" t="s">
        <v>420</v>
      </c>
      <c r="Y520" t="s">
        <v>510</v>
      </c>
      <c r="Z520" t="s">
        <v>1205</v>
      </c>
      <c r="AA520">
        <v>87.33</v>
      </c>
      <c r="AB520">
        <v>0</v>
      </c>
      <c r="AC520" t="s">
        <v>420</v>
      </c>
      <c r="AD520" t="s">
        <v>2070</v>
      </c>
    </row>
    <row r="521" spans="2:30" x14ac:dyDescent="0.25">
      <c r="B521" s="1" t="s">
        <v>1505</v>
      </c>
      <c r="C521" s="1">
        <v>2026</v>
      </c>
      <c r="D521" s="1">
        <v>1</v>
      </c>
      <c r="E521" s="1">
        <v>0</v>
      </c>
      <c r="F521" s="1">
        <v>0</v>
      </c>
      <c r="G521" s="1" t="s">
        <v>1285</v>
      </c>
      <c r="H521" s="1" t="s">
        <v>420</v>
      </c>
      <c r="P521" s="1" t="s">
        <v>512</v>
      </c>
      <c r="Q521" s="1">
        <v>2025</v>
      </c>
      <c r="R521" s="1">
        <v>1</v>
      </c>
      <c r="S521" s="1">
        <v>3686.79</v>
      </c>
      <c r="T521" s="1">
        <v>3686.79</v>
      </c>
      <c r="U521" s="1" t="s">
        <v>2071</v>
      </c>
      <c r="V521" s="1" t="s">
        <v>420</v>
      </c>
      <c r="Y521" t="s">
        <v>512</v>
      </c>
      <c r="Z521" t="s">
        <v>1205</v>
      </c>
      <c r="AA521">
        <v>41586.93</v>
      </c>
      <c r="AB521">
        <v>4306.12</v>
      </c>
      <c r="AC521" t="s">
        <v>420</v>
      </c>
      <c r="AD521" t="s">
        <v>2071</v>
      </c>
    </row>
    <row r="522" spans="2:30" x14ac:dyDescent="0.25">
      <c r="B522" s="1" t="s">
        <v>1286</v>
      </c>
      <c r="C522" s="1">
        <v>2026</v>
      </c>
      <c r="D522" s="1">
        <v>1</v>
      </c>
      <c r="E522" s="1">
        <v>0</v>
      </c>
      <c r="F522" s="1">
        <v>0</v>
      </c>
      <c r="G522" s="1" t="s">
        <v>1285</v>
      </c>
      <c r="H522" s="1" t="s">
        <v>420</v>
      </c>
      <c r="P522" s="1" t="s">
        <v>908</v>
      </c>
      <c r="Q522" s="1">
        <v>2025</v>
      </c>
      <c r="R522" s="1">
        <v>1</v>
      </c>
      <c r="S522" s="1">
        <v>569.86</v>
      </c>
      <c r="T522" s="1">
        <v>569.86</v>
      </c>
      <c r="U522" s="1" t="s">
        <v>1622</v>
      </c>
      <c r="V522" s="1" t="s">
        <v>420</v>
      </c>
      <c r="Y522" t="s">
        <v>908</v>
      </c>
      <c r="Z522" t="s">
        <v>1205</v>
      </c>
      <c r="AA522">
        <v>12174.78</v>
      </c>
      <c r="AB522">
        <v>647.66999999999996</v>
      </c>
      <c r="AC522" t="s">
        <v>420</v>
      </c>
      <c r="AD522" t="s">
        <v>1622</v>
      </c>
    </row>
    <row r="523" spans="2:30" x14ac:dyDescent="0.25">
      <c r="B523" s="1" t="s">
        <v>1419</v>
      </c>
      <c r="C523" s="1">
        <v>2026</v>
      </c>
      <c r="D523" s="1">
        <v>1</v>
      </c>
      <c r="E523" s="1">
        <v>0</v>
      </c>
      <c r="F523" s="1">
        <v>0</v>
      </c>
      <c r="G523" s="1" t="s">
        <v>1463</v>
      </c>
      <c r="H523" s="1" t="s">
        <v>420</v>
      </c>
      <c r="P523" s="1" t="s">
        <v>513</v>
      </c>
      <c r="Q523" s="1">
        <v>2025</v>
      </c>
      <c r="R523" s="1">
        <v>1</v>
      </c>
      <c r="S523" s="1">
        <v>564.35</v>
      </c>
      <c r="T523" s="1">
        <v>564.35</v>
      </c>
      <c r="U523" s="1" t="s">
        <v>514</v>
      </c>
      <c r="V523" s="1" t="s">
        <v>420</v>
      </c>
      <c r="Y523" t="s">
        <v>513</v>
      </c>
      <c r="Z523" t="s">
        <v>1205</v>
      </c>
      <c r="AA523">
        <v>5068.49</v>
      </c>
      <c r="AB523">
        <v>186.33</v>
      </c>
      <c r="AC523" t="s">
        <v>420</v>
      </c>
      <c r="AD523" t="s">
        <v>514</v>
      </c>
    </row>
    <row r="524" spans="2:30" x14ac:dyDescent="0.25">
      <c r="B524" s="1" t="s">
        <v>1287</v>
      </c>
      <c r="C524" s="1">
        <v>2026</v>
      </c>
      <c r="D524" s="1">
        <v>1</v>
      </c>
      <c r="E524" s="1">
        <v>0</v>
      </c>
      <c r="F524" s="1">
        <v>0</v>
      </c>
      <c r="G524" s="1" t="s">
        <v>1288</v>
      </c>
      <c r="H524" s="1" t="s">
        <v>420</v>
      </c>
      <c r="P524" s="1" t="s">
        <v>1426</v>
      </c>
      <c r="Q524" s="1">
        <v>2025</v>
      </c>
      <c r="R524" s="1">
        <v>1</v>
      </c>
      <c r="S524" s="1">
        <v>193.48</v>
      </c>
      <c r="T524" s="1">
        <v>193.48</v>
      </c>
      <c r="U524" s="1" t="s">
        <v>1465</v>
      </c>
      <c r="V524" s="1" t="s">
        <v>420</v>
      </c>
      <c r="Y524" t="s">
        <v>1426</v>
      </c>
      <c r="Z524" t="s">
        <v>1205</v>
      </c>
      <c r="AA524">
        <v>2196.39</v>
      </c>
      <c r="AB524">
        <v>0</v>
      </c>
      <c r="AC524" t="s">
        <v>420</v>
      </c>
      <c r="AD524" t="s">
        <v>1465</v>
      </c>
    </row>
    <row r="525" spans="2:30" x14ac:dyDescent="0.25">
      <c r="B525" s="1" t="s">
        <v>1506</v>
      </c>
      <c r="C525" s="1">
        <v>2026</v>
      </c>
      <c r="D525" s="1">
        <v>1</v>
      </c>
      <c r="E525" s="1">
        <v>0</v>
      </c>
      <c r="F525" s="1">
        <v>0</v>
      </c>
      <c r="G525" s="1" t="s">
        <v>1288</v>
      </c>
      <c r="H525" s="1" t="s">
        <v>420</v>
      </c>
      <c r="P525" s="1" t="s">
        <v>515</v>
      </c>
      <c r="Q525" s="1">
        <v>2025</v>
      </c>
      <c r="R525" s="1">
        <v>1</v>
      </c>
      <c r="S525" s="1">
        <v>394.17</v>
      </c>
      <c r="T525" s="1">
        <v>394.17</v>
      </c>
      <c r="U525" s="1" t="s">
        <v>516</v>
      </c>
      <c r="V525" s="1" t="s">
        <v>420</v>
      </c>
      <c r="Y525" t="s">
        <v>515</v>
      </c>
      <c r="Z525" t="s">
        <v>1205</v>
      </c>
      <c r="AA525">
        <v>4978.3100000000004</v>
      </c>
      <c r="AB525">
        <v>173.98</v>
      </c>
      <c r="AC525" t="s">
        <v>420</v>
      </c>
      <c r="AD525" t="s">
        <v>516</v>
      </c>
    </row>
    <row r="526" spans="2:30" x14ac:dyDescent="0.25">
      <c r="B526" s="1" t="s">
        <v>1289</v>
      </c>
      <c r="C526" s="1">
        <v>2026</v>
      </c>
      <c r="D526" s="1">
        <v>1</v>
      </c>
      <c r="E526" s="1">
        <v>0</v>
      </c>
      <c r="F526" s="1">
        <v>0</v>
      </c>
      <c r="G526" s="1" t="s">
        <v>1288</v>
      </c>
      <c r="H526" s="1" t="s">
        <v>420</v>
      </c>
      <c r="P526" s="1" t="s">
        <v>909</v>
      </c>
      <c r="Q526" s="1">
        <v>2025</v>
      </c>
      <c r="R526" s="1">
        <v>1</v>
      </c>
      <c r="S526" s="1">
        <v>0</v>
      </c>
      <c r="T526" s="1">
        <v>0</v>
      </c>
      <c r="U526" s="1" t="s">
        <v>516</v>
      </c>
      <c r="V526" s="1" t="s">
        <v>420</v>
      </c>
      <c r="Y526" t="s">
        <v>909</v>
      </c>
      <c r="Z526" t="s">
        <v>1205</v>
      </c>
      <c r="AA526">
        <v>0</v>
      </c>
      <c r="AB526">
        <v>0</v>
      </c>
      <c r="AC526" t="s">
        <v>420</v>
      </c>
      <c r="AD526" t="s">
        <v>516</v>
      </c>
    </row>
    <row r="527" spans="2:30" x14ac:dyDescent="0.25">
      <c r="B527" s="1" t="s">
        <v>1420</v>
      </c>
      <c r="C527" s="1">
        <v>2026</v>
      </c>
      <c r="D527" s="1">
        <v>1</v>
      </c>
      <c r="E527" s="1">
        <v>0</v>
      </c>
      <c r="F527" s="1">
        <v>0</v>
      </c>
      <c r="G527" s="1" t="s">
        <v>1464</v>
      </c>
      <c r="H527" s="1" t="s">
        <v>420</v>
      </c>
      <c r="P527" s="1" t="s">
        <v>517</v>
      </c>
      <c r="Q527" s="1">
        <v>2025</v>
      </c>
      <c r="R527" s="1">
        <v>1</v>
      </c>
      <c r="S527" s="1">
        <v>9756.11</v>
      </c>
      <c r="T527" s="1">
        <v>9756.11</v>
      </c>
      <c r="U527" s="1" t="s">
        <v>518</v>
      </c>
      <c r="V527" s="1" t="s">
        <v>420</v>
      </c>
      <c r="Y527" t="s">
        <v>517</v>
      </c>
      <c r="Z527" t="s">
        <v>1205</v>
      </c>
      <c r="AA527">
        <v>124558.97</v>
      </c>
      <c r="AB527">
        <v>10220.709999999999</v>
      </c>
      <c r="AC527" t="s">
        <v>420</v>
      </c>
      <c r="AD527" t="s">
        <v>518</v>
      </c>
    </row>
    <row r="528" spans="2:30" x14ac:dyDescent="0.25">
      <c r="B528" s="1" t="s">
        <v>510</v>
      </c>
      <c r="C528" s="1">
        <v>2026</v>
      </c>
      <c r="D528" s="1">
        <v>1</v>
      </c>
      <c r="E528" s="1">
        <v>0</v>
      </c>
      <c r="F528" s="1">
        <v>0</v>
      </c>
      <c r="G528" s="1" t="s">
        <v>2070</v>
      </c>
      <c r="H528" s="1" t="s">
        <v>420</v>
      </c>
      <c r="P528" s="1" t="s">
        <v>910</v>
      </c>
      <c r="Q528" s="1">
        <v>2025</v>
      </c>
      <c r="R528" s="1">
        <v>1</v>
      </c>
      <c r="S528" s="1">
        <v>0</v>
      </c>
      <c r="T528" s="1">
        <v>0</v>
      </c>
      <c r="U528" s="1" t="s">
        <v>518</v>
      </c>
      <c r="V528" s="1" t="s">
        <v>420</v>
      </c>
      <c r="Y528" t="s">
        <v>910</v>
      </c>
      <c r="Z528" t="s">
        <v>1205</v>
      </c>
      <c r="AA528">
        <v>7842.29</v>
      </c>
      <c r="AB528">
        <v>704.58</v>
      </c>
      <c r="AC528" t="s">
        <v>420</v>
      </c>
      <c r="AD528" t="s">
        <v>518</v>
      </c>
    </row>
    <row r="529" spans="2:30" x14ac:dyDescent="0.25">
      <c r="B529" s="1" t="s">
        <v>512</v>
      </c>
      <c r="C529" s="1">
        <v>2026</v>
      </c>
      <c r="D529" s="1">
        <v>1</v>
      </c>
      <c r="E529" s="1">
        <v>6921.88</v>
      </c>
      <c r="F529" s="1">
        <v>6921.88</v>
      </c>
      <c r="G529" s="1" t="s">
        <v>2071</v>
      </c>
      <c r="H529" s="1" t="s">
        <v>420</v>
      </c>
      <c r="P529" s="1" t="s">
        <v>519</v>
      </c>
      <c r="Q529" s="1">
        <v>2025</v>
      </c>
      <c r="R529" s="1">
        <v>1</v>
      </c>
      <c r="S529" s="1">
        <v>1100.58</v>
      </c>
      <c r="T529" s="1">
        <v>1100.58</v>
      </c>
      <c r="U529" s="1" t="s">
        <v>520</v>
      </c>
      <c r="V529" s="1" t="s">
        <v>420</v>
      </c>
      <c r="Y529" t="s">
        <v>519</v>
      </c>
      <c r="Z529" t="s">
        <v>1205</v>
      </c>
      <c r="AA529">
        <v>26366.33</v>
      </c>
      <c r="AB529">
        <v>386.94</v>
      </c>
      <c r="AC529" t="s">
        <v>420</v>
      </c>
      <c r="AD529" t="s">
        <v>520</v>
      </c>
    </row>
    <row r="530" spans="2:30" x14ac:dyDescent="0.25">
      <c r="B530" s="1" t="s">
        <v>908</v>
      </c>
      <c r="C530" s="1">
        <v>2026</v>
      </c>
      <c r="D530" s="1">
        <v>1</v>
      </c>
      <c r="E530" s="1">
        <v>1523.34</v>
      </c>
      <c r="F530" s="1">
        <v>1523.34</v>
      </c>
      <c r="G530" s="1" t="s">
        <v>1622</v>
      </c>
      <c r="H530" s="1" t="s">
        <v>420</v>
      </c>
      <c r="P530" s="1" t="s">
        <v>521</v>
      </c>
      <c r="Q530" s="1">
        <v>2025</v>
      </c>
      <c r="R530" s="1">
        <v>1</v>
      </c>
      <c r="S530" s="1">
        <v>4937.5</v>
      </c>
      <c r="T530" s="1">
        <v>4937.5</v>
      </c>
      <c r="U530" s="1" t="s">
        <v>1107</v>
      </c>
      <c r="V530" s="1" t="s">
        <v>420</v>
      </c>
      <c r="Y530" t="s">
        <v>521</v>
      </c>
      <c r="Z530" t="s">
        <v>1205</v>
      </c>
      <c r="AA530">
        <v>59250</v>
      </c>
      <c r="AB530">
        <v>4937.5</v>
      </c>
      <c r="AC530" t="s">
        <v>420</v>
      </c>
      <c r="AD530" t="s">
        <v>1107</v>
      </c>
    </row>
    <row r="531" spans="2:30" x14ac:dyDescent="0.25">
      <c r="B531" s="1" t="s">
        <v>513</v>
      </c>
      <c r="C531" s="1">
        <v>2026</v>
      </c>
      <c r="D531" s="1">
        <v>1</v>
      </c>
      <c r="E531" s="1">
        <v>353.8</v>
      </c>
      <c r="F531" s="1">
        <v>353.8</v>
      </c>
      <c r="G531" s="1" t="s">
        <v>514</v>
      </c>
      <c r="H531" s="1" t="s">
        <v>420</v>
      </c>
      <c r="P531" s="1" t="s">
        <v>523</v>
      </c>
      <c r="Q531" s="1">
        <v>2025</v>
      </c>
      <c r="R531" s="1">
        <v>1</v>
      </c>
      <c r="S531" s="1">
        <v>562.5</v>
      </c>
      <c r="T531" s="1">
        <v>562.5</v>
      </c>
      <c r="U531" s="1" t="s">
        <v>524</v>
      </c>
      <c r="V531" s="1" t="s">
        <v>420</v>
      </c>
      <c r="Y531" t="s">
        <v>523</v>
      </c>
      <c r="Z531" t="s">
        <v>1205</v>
      </c>
      <c r="AA531">
        <v>6750</v>
      </c>
      <c r="AB531">
        <v>562.5</v>
      </c>
      <c r="AC531" t="s">
        <v>420</v>
      </c>
      <c r="AD531" t="s">
        <v>524</v>
      </c>
    </row>
    <row r="532" spans="2:30" x14ac:dyDescent="0.25">
      <c r="B532" s="1" t="s">
        <v>1426</v>
      </c>
      <c r="C532" s="1">
        <v>2026</v>
      </c>
      <c r="D532" s="1">
        <v>1</v>
      </c>
      <c r="E532" s="1">
        <v>0</v>
      </c>
      <c r="F532" s="1">
        <v>0</v>
      </c>
      <c r="G532" s="1" t="s">
        <v>1465</v>
      </c>
      <c r="H532" s="1" t="s">
        <v>420</v>
      </c>
      <c r="P532" s="1" t="s">
        <v>911</v>
      </c>
      <c r="Q532" s="1">
        <v>2025</v>
      </c>
      <c r="R532" s="1">
        <v>1</v>
      </c>
      <c r="S532" s="1">
        <v>0</v>
      </c>
      <c r="T532" s="1">
        <v>0</v>
      </c>
      <c r="U532" s="1" t="s">
        <v>524</v>
      </c>
      <c r="V532" s="1" t="s">
        <v>420</v>
      </c>
      <c r="Y532" t="s">
        <v>911</v>
      </c>
      <c r="Z532" t="s">
        <v>1205</v>
      </c>
      <c r="AA532">
        <v>0</v>
      </c>
      <c r="AB532">
        <v>0</v>
      </c>
      <c r="AC532" t="s">
        <v>420</v>
      </c>
      <c r="AD532" t="s">
        <v>524</v>
      </c>
    </row>
    <row r="533" spans="2:30" x14ac:dyDescent="0.25">
      <c r="B533" s="1" t="s">
        <v>515</v>
      </c>
      <c r="C533" s="1">
        <v>2026</v>
      </c>
      <c r="D533" s="1">
        <v>1</v>
      </c>
      <c r="E533" s="1">
        <v>436.58</v>
      </c>
      <c r="F533" s="1">
        <v>436.58</v>
      </c>
      <c r="G533" s="1" t="s">
        <v>516</v>
      </c>
      <c r="H533" s="1" t="s">
        <v>420</v>
      </c>
      <c r="P533" s="1" t="s">
        <v>525</v>
      </c>
      <c r="Q533" s="1">
        <v>2025</v>
      </c>
      <c r="R533" s="1">
        <v>1</v>
      </c>
      <c r="S533" s="1">
        <v>562.5</v>
      </c>
      <c r="T533" s="1">
        <v>562.5</v>
      </c>
      <c r="U533" s="1" t="s">
        <v>526</v>
      </c>
      <c r="V533" s="1" t="s">
        <v>420</v>
      </c>
      <c r="Y533" t="s">
        <v>525</v>
      </c>
      <c r="Z533" t="s">
        <v>1205</v>
      </c>
      <c r="AA533">
        <v>8437.5</v>
      </c>
      <c r="AB533">
        <v>562.5</v>
      </c>
      <c r="AC533" t="s">
        <v>420</v>
      </c>
      <c r="AD533" t="s">
        <v>526</v>
      </c>
    </row>
    <row r="534" spans="2:30" x14ac:dyDescent="0.25">
      <c r="B534" s="1" t="s">
        <v>909</v>
      </c>
      <c r="C534" s="1">
        <v>2026</v>
      </c>
      <c r="D534" s="1">
        <v>1</v>
      </c>
      <c r="E534" s="1">
        <v>0</v>
      </c>
      <c r="F534" s="1">
        <v>0</v>
      </c>
      <c r="G534" s="1" t="s">
        <v>516</v>
      </c>
      <c r="H534" s="1" t="s">
        <v>420</v>
      </c>
      <c r="P534" s="1" t="s">
        <v>912</v>
      </c>
      <c r="Q534" s="1">
        <v>2025</v>
      </c>
      <c r="R534" s="1">
        <v>1</v>
      </c>
      <c r="S534" s="1">
        <v>2934.75</v>
      </c>
      <c r="T534" s="1">
        <v>2934.75</v>
      </c>
      <c r="U534" s="1" t="s">
        <v>913</v>
      </c>
      <c r="V534" s="1" t="s">
        <v>420</v>
      </c>
      <c r="Y534" t="s">
        <v>912</v>
      </c>
      <c r="Z534" t="s">
        <v>1205</v>
      </c>
      <c r="AA534">
        <v>36511.54</v>
      </c>
      <c r="AB534">
        <v>2934.75</v>
      </c>
      <c r="AC534" t="s">
        <v>420</v>
      </c>
      <c r="AD534" t="s">
        <v>913</v>
      </c>
    </row>
    <row r="535" spans="2:30" x14ac:dyDescent="0.25">
      <c r="B535" s="1" t="s">
        <v>517</v>
      </c>
      <c r="C535" s="1">
        <v>2026</v>
      </c>
      <c r="D535" s="1">
        <v>1</v>
      </c>
      <c r="E535" s="1">
        <v>9077</v>
      </c>
      <c r="F535" s="1">
        <v>9077</v>
      </c>
      <c r="G535" s="1" t="s">
        <v>518</v>
      </c>
      <c r="H535" s="1" t="s">
        <v>420</v>
      </c>
      <c r="P535" s="1" t="s">
        <v>527</v>
      </c>
      <c r="Q535" s="1">
        <v>2025</v>
      </c>
      <c r="R535" s="1">
        <v>1</v>
      </c>
      <c r="S535" s="1">
        <v>281.25</v>
      </c>
      <c r="T535" s="1">
        <v>281.25</v>
      </c>
      <c r="U535" s="1" t="s">
        <v>528</v>
      </c>
      <c r="V535" s="1" t="s">
        <v>420</v>
      </c>
      <c r="Y535" t="s">
        <v>527</v>
      </c>
      <c r="Z535" t="s">
        <v>1205</v>
      </c>
      <c r="AA535">
        <v>3375</v>
      </c>
      <c r="AB535">
        <v>281.25</v>
      </c>
      <c r="AC535" t="s">
        <v>420</v>
      </c>
      <c r="AD535" t="s">
        <v>528</v>
      </c>
    </row>
    <row r="536" spans="2:30" x14ac:dyDescent="0.25">
      <c r="B536" s="1" t="s">
        <v>910</v>
      </c>
      <c r="C536" s="1">
        <v>2026</v>
      </c>
      <c r="D536" s="1">
        <v>1</v>
      </c>
      <c r="E536" s="1">
        <v>796.47</v>
      </c>
      <c r="F536" s="1">
        <v>796.47</v>
      </c>
      <c r="G536" s="1" t="s">
        <v>518</v>
      </c>
      <c r="H536" s="1" t="s">
        <v>420</v>
      </c>
      <c r="P536" s="1" t="s">
        <v>1427</v>
      </c>
      <c r="Q536" s="1">
        <v>2025</v>
      </c>
      <c r="R536" s="1">
        <v>1</v>
      </c>
      <c r="S536" s="1">
        <v>281.25</v>
      </c>
      <c r="T536" s="1">
        <v>281.25</v>
      </c>
      <c r="U536" s="1" t="s">
        <v>1466</v>
      </c>
      <c r="V536" s="1" t="s">
        <v>420</v>
      </c>
      <c r="Y536" t="s">
        <v>1427</v>
      </c>
      <c r="Z536" t="s">
        <v>1205</v>
      </c>
      <c r="AA536">
        <v>3375</v>
      </c>
      <c r="AB536">
        <v>281.25</v>
      </c>
      <c r="AC536" t="s">
        <v>420</v>
      </c>
      <c r="AD536" t="s">
        <v>1466</v>
      </c>
    </row>
    <row r="537" spans="2:30" x14ac:dyDescent="0.25">
      <c r="B537" s="1" t="s">
        <v>519</v>
      </c>
      <c r="C537" s="1">
        <v>2026</v>
      </c>
      <c r="D537" s="1">
        <v>1</v>
      </c>
      <c r="E537" s="1">
        <v>515.25</v>
      </c>
      <c r="F537" s="1">
        <v>515.25</v>
      </c>
      <c r="G537" s="1" t="s">
        <v>520</v>
      </c>
      <c r="H537" s="1" t="s">
        <v>420</v>
      </c>
      <c r="P537" s="1" t="s">
        <v>529</v>
      </c>
      <c r="Q537" s="1">
        <v>2025</v>
      </c>
      <c r="R537" s="1">
        <v>1</v>
      </c>
      <c r="S537" s="1">
        <v>1687.5</v>
      </c>
      <c r="T537" s="1">
        <v>1687.5</v>
      </c>
      <c r="U537" s="1" t="s">
        <v>2095</v>
      </c>
      <c r="V537" s="1" t="s">
        <v>420</v>
      </c>
      <c r="Y537" t="s">
        <v>529</v>
      </c>
      <c r="Z537" t="s">
        <v>1205</v>
      </c>
      <c r="AA537">
        <v>18562.5</v>
      </c>
      <c r="AB537">
        <v>1687.5</v>
      </c>
      <c r="AC537" t="s">
        <v>420</v>
      </c>
      <c r="AD537" t="s">
        <v>2095</v>
      </c>
    </row>
    <row r="538" spans="2:30" x14ac:dyDescent="0.25">
      <c r="B538" s="1" t="s">
        <v>521</v>
      </c>
      <c r="C538" s="1">
        <v>2026</v>
      </c>
      <c r="D538" s="1">
        <v>1</v>
      </c>
      <c r="E538" s="1">
        <v>11040</v>
      </c>
      <c r="F538" s="1">
        <v>11040</v>
      </c>
      <c r="G538" s="1" t="s">
        <v>1107</v>
      </c>
      <c r="H538" s="1" t="s">
        <v>420</v>
      </c>
      <c r="P538" s="1" t="s">
        <v>914</v>
      </c>
      <c r="Q538" s="1">
        <v>2025</v>
      </c>
      <c r="R538" s="1">
        <v>1</v>
      </c>
      <c r="S538" s="1">
        <v>0</v>
      </c>
      <c r="T538" s="1">
        <v>0</v>
      </c>
      <c r="U538" s="1" t="s">
        <v>2095</v>
      </c>
      <c r="V538" s="1" t="s">
        <v>420</v>
      </c>
      <c r="Y538" t="s">
        <v>914</v>
      </c>
      <c r="Z538" t="s">
        <v>1205</v>
      </c>
      <c r="AA538">
        <v>0</v>
      </c>
      <c r="AB538">
        <v>0</v>
      </c>
      <c r="AC538" t="s">
        <v>420</v>
      </c>
      <c r="AD538" t="s">
        <v>2095</v>
      </c>
    </row>
    <row r="539" spans="2:30" x14ac:dyDescent="0.25">
      <c r="B539" s="1" t="s">
        <v>523</v>
      </c>
      <c r="C539" s="1">
        <v>2026</v>
      </c>
      <c r="D539" s="1">
        <v>1</v>
      </c>
      <c r="E539" s="1">
        <v>1840</v>
      </c>
      <c r="F539" s="1">
        <v>1840</v>
      </c>
      <c r="G539" s="1" t="s">
        <v>524</v>
      </c>
      <c r="H539" s="1" t="s">
        <v>420</v>
      </c>
      <c r="P539" s="1" t="s">
        <v>530</v>
      </c>
      <c r="Q539" s="1">
        <v>2025</v>
      </c>
      <c r="R539" s="1">
        <v>1</v>
      </c>
      <c r="S539" s="1">
        <v>4533.75</v>
      </c>
      <c r="T539" s="1">
        <v>4533.75</v>
      </c>
      <c r="U539" s="1" t="s">
        <v>531</v>
      </c>
      <c r="V539" s="1" t="s">
        <v>420</v>
      </c>
      <c r="Y539" t="s">
        <v>530</v>
      </c>
      <c r="Z539" t="s">
        <v>1205</v>
      </c>
      <c r="AA539">
        <v>54405</v>
      </c>
      <c r="AB539">
        <v>4533.75</v>
      </c>
      <c r="AC539" t="s">
        <v>420</v>
      </c>
      <c r="AD539" t="s">
        <v>531</v>
      </c>
    </row>
    <row r="540" spans="2:30" x14ac:dyDescent="0.25">
      <c r="B540" s="1" t="s">
        <v>911</v>
      </c>
      <c r="C540" s="1">
        <v>2026</v>
      </c>
      <c r="D540" s="1">
        <v>1</v>
      </c>
      <c r="E540" s="1">
        <v>0</v>
      </c>
      <c r="F540" s="1">
        <v>0</v>
      </c>
      <c r="G540" s="1" t="s">
        <v>524</v>
      </c>
      <c r="H540" s="1" t="s">
        <v>420</v>
      </c>
      <c r="P540" s="1" t="s">
        <v>915</v>
      </c>
      <c r="Q540" s="1">
        <v>2025</v>
      </c>
      <c r="R540" s="1">
        <v>1</v>
      </c>
      <c r="S540" s="1">
        <v>0</v>
      </c>
      <c r="T540" s="1">
        <v>0</v>
      </c>
      <c r="U540" s="1" t="s">
        <v>531</v>
      </c>
      <c r="V540" s="1" t="s">
        <v>420</v>
      </c>
      <c r="Y540" t="s">
        <v>915</v>
      </c>
      <c r="Z540" t="s">
        <v>1205</v>
      </c>
      <c r="AA540">
        <v>0</v>
      </c>
      <c r="AB540">
        <v>0</v>
      </c>
      <c r="AC540" t="s">
        <v>420</v>
      </c>
      <c r="AD540" t="s">
        <v>531</v>
      </c>
    </row>
    <row r="541" spans="2:30" x14ac:dyDescent="0.25">
      <c r="B541" s="1" t="s">
        <v>525</v>
      </c>
      <c r="C541" s="1">
        <v>2026</v>
      </c>
      <c r="D541" s="1">
        <v>1</v>
      </c>
      <c r="E541" s="1">
        <v>1840</v>
      </c>
      <c r="F541" s="1">
        <v>1840</v>
      </c>
      <c r="G541" s="1" t="s">
        <v>526</v>
      </c>
      <c r="H541" s="1" t="s">
        <v>420</v>
      </c>
      <c r="P541" s="1" t="s">
        <v>532</v>
      </c>
      <c r="Q541" s="1">
        <v>2025</v>
      </c>
      <c r="R541" s="1">
        <v>1</v>
      </c>
      <c r="S541" s="1">
        <v>0</v>
      </c>
      <c r="T541" s="1">
        <v>0</v>
      </c>
      <c r="U541" s="1" t="s">
        <v>533</v>
      </c>
      <c r="V541" s="1" t="s">
        <v>420</v>
      </c>
      <c r="Y541" t="s">
        <v>532</v>
      </c>
      <c r="Z541" t="s">
        <v>1205</v>
      </c>
      <c r="AA541">
        <v>0</v>
      </c>
      <c r="AB541">
        <v>0</v>
      </c>
      <c r="AC541" t="s">
        <v>420</v>
      </c>
      <c r="AD541" t="s">
        <v>533</v>
      </c>
    </row>
    <row r="542" spans="2:30" x14ac:dyDescent="0.25">
      <c r="B542" s="1" t="s">
        <v>912</v>
      </c>
      <c r="C542" s="1">
        <v>2026</v>
      </c>
      <c r="D542" s="1">
        <v>1</v>
      </c>
      <c r="E542" s="1">
        <v>0</v>
      </c>
      <c r="F542" s="1">
        <v>0</v>
      </c>
      <c r="G542" s="1" t="s">
        <v>913</v>
      </c>
      <c r="H542" s="1" t="s">
        <v>420</v>
      </c>
      <c r="P542" s="1" t="s">
        <v>534</v>
      </c>
      <c r="Q542" s="1">
        <v>2025</v>
      </c>
      <c r="R542" s="1">
        <v>1</v>
      </c>
      <c r="S542" s="1">
        <v>2283.75</v>
      </c>
      <c r="T542" s="1">
        <v>2283.75</v>
      </c>
      <c r="U542" s="1" t="s">
        <v>535</v>
      </c>
      <c r="V542" s="1" t="s">
        <v>420</v>
      </c>
      <c r="Y542" t="s">
        <v>534</v>
      </c>
      <c r="Z542" t="s">
        <v>1205</v>
      </c>
      <c r="AA542">
        <v>27405</v>
      </c>
      <c r="AB542">
        <v>2283.75</v>
      </c>
      <c r="AC542" t="s">
        <v>420</v>
      </c>
      <c r="AD542" t="s">
        <v>535</v>
      </c>
    </row>
    <row r="543" spans="2:30" x14ac:dyDescent="0.25">
      <c r="B543" s="1" t="s">
        <v>527</v>
      </c>
      <c r="C543" s="1">
        <v>2026</v>
      </c>
      <c r="D543" s="1">
        <v>1</v>
      </c>
      <c r="E543" s="1">
        <v>920</v>
      </c>
      <c r="F543" s="1">
        <v>920</v>
      </c>
      <c r="G543" s="1" t="s">
        <v>528</v>
      </c>
      <c r="H543" s="1" t="s">
        <v>420</v>
      </c>
      <c r="P543" s="1" t="s">
        <v>916</v>
      </c>
      <c r="Q543" s="1">
        <v>2025</v>
      </c>
      <c r="R543" s="1">
        <v>1</v>
      </c>
      <c r="S543" s="1">
        <v>0</v>
      </c>
      <c r="T543" s="1">
        <v>0</v>
      </c>
      <c r="U543" s="1" t="s">
        <v>535</v>
      </c>
      <c r="V543" s="1" t="s">
        <v>420</v>
      </c>
      <c r="Y543" t="s">
        <v>916</v>
      </c>
      <c r="Z543" t="s">
        <v>1205</v>
      </c>
      <c r="AA543">
        <v>0</v>
      </c>
      <c r="AB543">
        <v>0</v>
      </c>
      <c r="AC543" t="s">
        <v>420</v>
      </c>
      <c r="AD543" t="s">
        <v>535</v>
      </c>
    </row>
    <row r="544" spans="2:30" x14ac:dyDescent="0.25">
      <c r="B544" s="1" t="s">
        <v>1427</v>
      </c>
      <c r="C544" s="1">
        <v>2026</v>
      </c>
      <c r="D544" s="1">
        <v>1</v>
      </c>
      <c r="E544" s="1">
        <v>920</v>
      </c>
      <c r="F544" s="1">
        <v>920</v>
      </c>
      <c r="G544" s="1" t="s">
        <v>1466</v>
      </c>
      <c r="H544" s="1" t="s">
        <v>420</v>
      </c>
      <c r="P544" s="1" t="s">
        <v>536</v>
      </c>
      <c r="Q544" s="1">
        <v>2025</v>
      </c>
      <c r="R544" s="1">
        <v>1</v>
      </c>
      <c r="S544" s="1">
        <v>6126.09</v>
      </c>
      <c r="T544" s="1">
        <v>6126.09</v>
      </c>
      <c r="U544" s="1" t="s">
        <v>537</v>
      </c>
      <c r="V544" s="1" t="s">
        <v>420</v>
      </c>
      <c r="Y544" t="s">
        <v>536</v>
      </c>
      <c r="Z544" t="s">
        <v>1205</v>
      </c>
      <c r="AA544">
        <v>71543.63</v>
      </c>
      <c r="AB544">
        <v>5759.15</v>
      </c>
      <c r="AC544" t="s">
        <v>420</v>
      </c>
      <c r="AD544" t="s">
        <v>537</v>
      </c>
    </row>
    <row r="545" spans="2:30" x14ac:dyDescent="0.25">
      <c r="B545" s="1" t="s">
        <v>529</v>
      </c>
      <c r="C545" s="1">
        <v>2026</v>
      </c>
      <c r="D545" s="1">
        <v>1</v>
      </c>
      <c r="E545" s="1">
        <v>3680</v>
      </c>
      <c r="F545" s="1">
        <v>3680</v>
      </c>
      <c r="G545" s="1" t="s">
        <v>2095</v>
      </c>
      <c r="H545" s="1" t="s">
        <v>420</v>
      </c>
      <c r="P545" s="1" t="s">
        <v>1507</v>
      </c>
      <c r="Q545" s="1">
        <v>2025</v>
      </c>
      <c r="R545" s="1">
        <v>1</v>
      </c>
      <c r="S545" s="1">
        <v>796.04</v>
      </c>
      <c r="T545" s="1">
        <v>796.04</v>
      </c>
      <c r="U545" s="1" t="s">
        <v>1508</v>
      </c>
      <c r="V545" s="1" t="s">
        <v>420</v>
      </c>
      <c r="Y545" t="s">
        <v>1507</v>
      </c>
      <c r="Z545" t="s">
        <v>1205</v>
      </c>
      <c r="AA545">
        <v>8950.1</v>
      </c>
      <c r="AB545">
        <v>1116.23</v>
      </c>
      <c r="AC545" t="s">
        <v>420</v>
      </c>
      <c r="AD545" t="s">
        <v>1508</v>
      </c>
    </row>
    <row r="546" spans="2:30" x14ac:dyDescent="0.25">
      <c r="B546" s="1" t="s">
        <v>914</v>
      </c>
      <c r="C546" s="1">
        <v>2026</v>
      </c>
      <c r="D546" s="1">
        <v>1</v>
      </c>
      <c r="E546" s="1">
        <v>0</v>
      </c>
      <c r="F546" s="1">
        <v>0</v>
      </c>
      <c r="G546" s="1" t="s">
        <v>2095</v>
      </c>
      <c r="H546" s="1" t="s">
        <v>420</v>
      </c>
      <c r="P546" s="1" t="s">
        <v>538</v>
      </c>
      <c r="Q546" s="1">
        <v>2025</v>
      </c>
      <c r="R546" s="1">
        <v>1</v>
      </c>
      <c r="S546" s="1">
        <v>15834.76</v>
      </c>
      <c r="T546" s="1">
        <v>15834.76</v>
      </c>
      <c r="U546" s="1" t="s">
        <v>415</v>
      </c>
      <c r="V546" s="1" t="s">
        <v>420</v>
      </c>
      <c r="Y546" t="s">
        <v>538</v>
      </c>
      <c r="Z546" t="s">
        <v>1205</v>
      </c>
      <c r="AA546">
        <v>74972.81</v>
      </c>
      <c r="AB546">
        <v>920.1</v>
      </c>
      <c r="AC546" t="s">
        <v>420</v>
      </c>
      <c r="AD546" t="s">
        <v>415</v>
      </c>
    </row>
    <row r="547" spans="2:30" x14ac:dyDescent="0.25">
      <c r="B547" s="1" t="s">
        <v>530</v>
      </c>
      <c r="C547" s="1">
        <v>2026</v>
      </c>
      <c r="D547" s="1">
        <v>1</v>
      </c>
      <c r="E547" s="1">
        <v>11040</v>
      </c>
      <c r="F547" s="1">
        <v>11040</v>
      </c>
      <c r="G547" s="1" t="s">
        <v>531</v>
      </c>
      <c r="H547" s="1" t="s">
        <v>420</v>
      </c>
      <c r="P547" s="1" t="s">
        <v>1509</v>
      </c>
      <c r="Q547" s="1">
        <v>2025</v>
      </c>
      <c r="R547" s="1">
        <v>1</v>
      </c>
      <c r="S547" s="1">
        <v>0</v>
      </c>
      <c r="T547" s="1">
        <v>0</v>
      </c>
      <c r="U547" s="1" t="s">
        <v>1510</v>
      </c>
      <c r="V547" s="1" t="s">
        <v>420</v>
      </c>
      <c r="Y547" t="s">
        <v>1509</v>
      </c>
      <c r="Z547" t="s">
        <v>1205</v>
      </c>
      <c r="AA547">
        <v>1284.92</v>
      </c>
      <c r="AB547">
        <v>0</v>
      </c>
      <c r="AC547" t="s">
        <v>420</v>
      </c>
      <c r="AD547" t="s">
        <v>1510</v>
      </c>
    </row>
    <row r="548" spans="2:30" x14ac:dyDescent="0.25">
      <c r="B548" s="1" t="s">
        <v>915</v>
      </c>
      <c r="C548" s="1">
        <v>2026</v>
      </c>
      <c r="D548" s="1">
        <v>1</v>
      </c>
      <c r="E548" s="1">
        <v>0</v>
      </c>
      <c r="F548" s="1">
        <v>0</v>
      </c>
      <c r="G548" s="1" t="s">
        <v>531</v>
      </c>
      <c r="H548" s="1" t="s">
        <v>420</v>
      </c>
      <c r="P548" s="1" t="s">
        <v>539</v>
      </c>
      <c r="Q548" s="1">
        <v>2025</v>
      </c>
      <c r="R548" s="1">
        <v>1</v>
      </c>
      <c r="S548" s="1">
        <v>160</v>
      </c>
      <c r="T548" s="1">
        <v>160</v>
      </c>
      <c r="U548" s="1" t="s">
        <v>1108</v>
      </c>
      <c r="V548" s="1" t="s">
        <v>420</v>
      </c>
      <c r="Y548" t="s">
        <v>539</v>
      </c>
      <c r="Z548" t="s">
        <v>1205</v>
      </c>
      <c r="AA548">
        <v>182.92</v>
      </c>
      <c r="AB548">
        <v>0</v>
      </c>
      <c r="AC548" t="s">
        <v>420</v>
      </c>
      <c r="AD548" t="s">
        <v>1108</v>
      </c>
    </row>
    <row r="549" spans="2:30" x14ac:dyDescent="0.25">
      <c r="B549" s="1" t="s">
        <v>532</v>
      </c>
      <c r="C549" s="1">
        <v>2026</v>
      </c>
      <c r="D549" s="1">
        <v>1</v>
      </c>
      <c r="E549" s="1">
        <v>0</v>
      </c>
      <c r="F549" s="1">
        <v>0</v>
      </c>
      <c r="G549" s="1" t="s">
        <v>533</v>
      </c>
      <c r="H549" s="1" t="s">
        <v>420</v>
      </c>
      <c r="P549" s="1" t="s">
        <v>541</v>
      </c>
      <c r="Q549" s="1">
        <v>2025</v>
      </c>
      <c r="R549" s="1">
        <v>1</v>
      </c>
      <c r="S549" s="1">
        <v>0</v>
      </c>
      <c r="T549" s="1">
        <v>0</v>
      </c>
      <c r="U549" s="1" t="s">
        <v>542</v>
      </c>
      <c r="V549" s="1" t="s">
        <v>420</v>
      </c>
      <c r="Y549" t="s">
        <v>541</v>
      </c>
      <c r="Z549" t="s">
        <v>1205</v>
      </c>
      <c r="AA549">
        <v>0</v>
      </c>
      <c r="AB549">
        <v>0</v>
      </c>
      <c r="AC549" t="s">
        <v>420</v>
      </c>
      <c r="AD549" t="s">
        <v>542</v>
      </c>
    </row>
    <row r="550" spans="2:30" x14ac:dyDescent="0.25">
      <c r="B550" s="1" t="s">
        <v>534</v>
      </c>
      <c r="C550" s="1">
        <v>2026</v>
      </c>
      <c r="D550" s="1">
        <v>1</v>
      </c>
      <c r="E550" s="1">
        <v>5520</v>
      </c>
      <c r="F550" s="1">
        <v>5520</v>
      </c>
      <c r="G550" s="1" t="s">
        <v>535</v>
      </c>
      <c r="H550" s="1" t="s">
        <v>420</v>
      </c>
      <c r="P550" s="1" t="s">
        <v>917</v>
      </c>
      <c r="Q550" s="1">
        <v>2025</v>
      </c>
      <c r="R550" s="1">
        <v>1</v>
      </c>
      <c r="S550" s="1">
        <v>0</v>
      </c>
      <c r="T550" s="1">
        <v>0</v>
      </c>
      <c r="U550" s="1" t="s">
        <v>542</v>
      </c>
      <c r="V550" s="1" t="s">
        <v>420</v>
      </c>
      <c r="Y550" t="s">
        <v>917</v>
      </c>
      <c r="Z550" t="s">
        <v>1205</v>
      </c>
      <c r="AA550">
        <v>0</v>
      </c>
      <c r="AB550">
        <v>0</v>
      </c>
      <c r="AC550" t="s">
        <v>420</v>
      </c>
      <c r="AD550" t="s">
        <v>542</v>
      </c>
    </row>
    <row r="551" spans="2:30" x14ac:dyDescent="0.25">
      <c r="B551" s="1" t="s">
        <v>916</v>
      </c>
      <c r="C551" s="1">
        <v>2026</v>
      </c>
      <c r="D551" s="1">
        <v>1</v>
      </c>
      <c r="E551" s="1">
        <v>0</v>
      </c>
      <c r="F551" s="1">
        <v>0</v>
      </c>
      <c r="G551" s="1" t="s">
        <v>535</v>
      </c>
      <c r="H551" s="1" t="s">
        <v>420</v>
      </c>
      <c r="P551" s="1" t="s">
        <v>543</v>
      </c>
      <c r="Q551" s="1">
        <v>2025</v>
      </c>
      <c r="R551" s="1">
        <v>1</v>
      </c>
      <c r="S551" s="1">
        <v>279.05</v>
      </c>
      <c r="T551" s="1">
        <v>279.05</v>
      </c>
      <c r="U551" s="1" t="s">
        <v>544</v>
      </c>
      <c r="V551" s="1" t="s">
        <v>420</v>
      </c>
      <c r="Y551" t="s">
        <v>543</v>
      </c>
      <c r="Z551" t="s">
        <v>1205</v>
      </c>
      <c r="AA551">
        <v>9385.84</v>
      </c>
      <c r="AB551">
        <v>338.78</v>
      </c>
      <c r="AC551" t="s">
        <v>420</v>
      </c>
      <c r="AD551" t="s">
        <v>544</v>
      </c>
    </row>
    <row r="552" spans="2:30" x14ac:dyDescent="0.25">
      <c r="B552" s="1" t="s">
        <v>536</v>
      </c>
      <c r="C552" s="1">
        <v>2026</v>
      </c>
      <c r="D552" s="1">
        <v>1</v>
      </c>
      <c r="E552" s="1">
        <v>7640.66</v>
      </c>
      <c r="F552" s="1">
        <v>7640.66</v>
      </c>
      <c r="G552" s="1" t="s">
        <v>537</v>
      </c>
      <c r="H552" s="1" t="s">
        <v>420</v>
      </c>
      <c r="P552" s="1" t="s">
        <v>918</v>
      </c>
      <c r="Q552" s="1">
        <v>2025</v>
      </c>
      <c r="R552" s="1">
        <v>1</v>
      </c>
      <c r="S552" s="1">
        <v>0</v>
      </c>
      <c r="T552" s="1">
        <v>0</v>
      </c>
      <c r="U552" s="1" t="s">
        <v>919</v>
      </c>
      <c r="V552" s="1" t="s">
        <v>420</v>
      </c>
      <c r="Y552" t="s">
        <v>918</v>
      </c>
      <c r="Z552" t="s">
        <v>1205</v>
      </c>
      <c r="AA552">
        <v>325.64</v>
      </c>
      <c r="AB552">
        <v>0</v>
      </c>
      <c r="AC552" t="s">
        <v>420</v>
      </c>
      <c r="AD552" t="s">
        <v>919</v>
      </c>
    </row>
    <row r="553" spans="2:30" x14ac:dyDescent="0.25">
      <c r="B553" s="1" t="s">
        <v>1507</v>
      </c>
      <c r="C553" s="1">
        <v>2026</v>
      </c>
      <c r="D553" s="1">
        <v>1</v>
      </c>
      <c r="E553" s="1">
        <v>921.78</v>
      </c>
      <c r="F553" s="1">
        <v>921.78</v>
      </c>
      <c r="G553" s="1" t="s">
        <v>1508</v>
      </c>
      <c r="H553" s="1" t="s">
        <v>420</v>
      </c>
      <c r="P553" s="1" t="s">
        <v>545</v>
      </c>
      <c r="Q553" s="1">
        <v>2025</v>
      </c>
      <c r="R553" s="1">
        <v>1</v>
      </c>
      <c r="S553" s="1">
        <v>0</v>
      </c>
      <c r="T553" s="1">
        <v>0</v>
      </c>
      <c r="U553" s="1" t="s">
        <v>546</v>
      </c>
      <c r="V553" s="1" t="s">
        <v>420</v>
      </c>
      <c r="Y553" t="s">
        <v>545</v>
      </c>
      <c r="Z553" t="s">
        <v>1205</v>
      </c>
      <c r="AA553">
        <v>2267.2600000000002</v>
      </c>
      <c r="AB553">
        <v>0</v>
      </c>
      <c r="AC553" t="s">
        <v>420</v>
      </c>
      <c r="AD553" t="s">
        <v>546</v>
      </c>
    </row>
    <row r="554" spans="2:30" x14ac:dyDescent="0.25">
      <c r="B554" s="1" t="s">
        <v>538</v>
      </c>
      <c r="C554" s="1">
        <v>2026</v>
      </c>
      <c r="D554" s="1">
        <v>1</v>
      </c>
      <c r="E554" s="1">
        <v>3054.91</v>
      </c>
      <c r="F554" s="1">
        <v>3054.91</v>
      </c>
      <c r="G554" s="1" t="s">
        <v>415</v>
      </c>
      <c r="H554" s="1" t="s">
        <v>420</v>
      </c>
      <c r="P554" s="1" t="s">
        <v>1428</v>
      </c>
      <c r="Q554" s="1">
        <v>2025</v>
      </c>
      <c r="R554" s="1">
        <v>1</v>
      </c>
      <c r="S554" s="1">
        <v>0</v>
      </c>
      <c r="T554" s="1">
        <v>0</v>
      </c>
      <c r="U554" s="1" t="s">
        <v>1467</v>
      </c>
      <c r="V554" s="1" t="s">
        <v>420</v>
      </c>
      <c r="Y554" t="s">
        <v>1428</v>
      </c>
      <c r="Z554" t="s">
        <v>1205</v>
      </c>
      <c r="AA554">
        <v>0</v>
      </c>
      <c r="AB554">
        <v>0</v>
      </c>
      <c r="AC554" t="s">
        <v>420</v>
      </c>
      <c r="AD554" t="s">
        <v>1467</v>
      </c>
    </row>
    <row r="555" spans="2:30" x14ac:dyDescent="0.25">
      <c r="B555" s="1" t="s">
        <v>1509</v>
      </c>
      <c r="C555" s="1">
        <v>2026</v>
      </c>
      <c r="D555" s="1">
        <v>1</v>
      </c>
      <c r="E555" s="1">
        <v>317.92</v>
      </c>
      <c r="F555" s="1">
        <v>317.92</v>
      </c>
      <c r="G555" s="1" t="s">
        <v>1510</v>
      </c>
      <c r="H555" s="1" t="s">
        <v>420</v>
      </c>
      <c r="P555" s="1" t="s">
        <v>547</v>
      </c>
      <c r="Q555" s="1">
        <v>2025</v>
      </c>
      <c r="R555" s="1">
        <v>1</v>
      </c>
      <c r="S555" s="1">
        <v>180</v>
      </c>
      <c r="T555" s="1">
        <v>180</v>
      </c>
      <c r="U555" s="1" t="s">
        <v>548</v>
      </c>
      <c r="V555" s="1" t="s">
        <v>420</v>
      </c>
      <c r="Y555" t="s">
        <v>547</v>
      </c>
      <c r="Z555" t="s">
        <v>1205</v>
      </c>
      <c r="AA555">
        <v>2146.35</v>
      </c>
      <c r="AB555">
        <v>180</v>
      </c>
      <c r="AC555" t="s">
        <v>420</v>
      </c>
      <c r="AD555" t="s">
        <v>548</v>
      </c>
    </row>
    <row r="556" spans="2:30" x14ac:dyDescent="0.25">
      <c r="B556" s="1" t="s">
        <v>539</v>
      </c>
      <c r="C556" s="1">
        <v>2026</v>
      </c>
      <c r="D556" s="1">
        <v>1</v>
      </c>
      <c r="E556" s="1">
        <v>0</v>
      </c>
      <c r="F556" s="1">
        <v>0</v>
      </c>
      <c r="G556" s="1" t="s">
        <v>1108</v>
      </c>
      <c r="H556" s="1" t="s">
        <v>420</v>
      </c>
      <c r="P556" s="1" t="s">
        <v>920</v>
      </c>
      <c r="Q556" s="1">
        <v>2025</v>
      </c>
      <c r="R556" s="1">
        <v>1</v>
      </c>
      <c r="S556" s="1">
        <v>0</v>
      </c>
      <c r="T556" s="1">
        <v>0</v>
      </c>
      <c r="U556" s="1" t="s">
        <v>548</v>
      </c>
      <c r="V556" s="1" t="s">
        <v>420</v>
      </c>
      <c r="Y556" t="s">
        <v>920</v>
      </c>
      <c r="Z556" t="s">
        <v>1205</v>
      </c>
      <c r="AA556">
        <v>0</v>
      </c>
      <c r="AB556">
        <v>0</v>
      </c>
      <c r="AC556" t="s">
        <v>420</v>
      </c>
      <c r="AD556" t="s">
        <v>548</v>
      </c>
    </row>
    <row r="557" spans="2:30" x14ac:dyDescent="0.25">
      <c r="B557" s="1" t="s">
        <v>541</v>
      </c>
      <c r="C557" s="1">
        <v>2026</v>
      </c>
      <c r="D557" s="1">
        <v>1</v>
      </c>
      <c r="E557" s="1">
        <v>0</v>
      </c>
      <c r="F557" s="1">
        <v>0</v>
      </c>
      <c r="G557" s="1" t="s">
        <v>542</v>
      </c>
      <c r="H557" s="1" t="s">
        <v>420</v>
      </c>
      <c r="P557" s="1" t="s">
        <v>549</v>
      </c>
      <c r="Q557" s="1">
        <v>2025</v>
      </c>
      <c r="R557" s="1">
        <v>1</v>
      </c>
      <c r="S557" s="1">
        <v>180</v>
      </c>
      <c r="T557" s="1">
        <v>180</v>
      </c>
      <c r="U557" s="1" t="s">
        <v>550</v>
      </c>
      <c r="V557" s="1" t="s">
        <v>420</v>
      </c>
      <c r="Y557" t="s">
        <v>549</v>
      </c>
      <c r="Z557" t="s">
        <v>1205</v>
      </c>
      <c r="AA557">
        <v>2044.45</v>
      </c>
      <c r="AB557">
        <v>180</v>
      </c>
      <c r="AC557" t="s">
        <v>420</v>
      </c>
      <c r="AD557" t="s">
        <v>550</v>
      </c>
    </row>
    <row r="558" spans="2:30" x14ac:dyDescent="0.25">
      <c r="B558" s="1" t="s">
        <v>917</v>
      </c>
      <c r="C558" s="1">
        <v>2026</v>
      </c>
      <c r="D558" s="1">
        <v>1</v>
      </c>
      <c r="E558" s="1">
        <v>0</v>
      </c>
      <c r="F558" s="1">
        <v>0</v>
      </c>
      <c r="G558" s="1" t="s">
        <v>542</v>
      </c>
      <c r="H558" s="1" t="s">
        <v>420</v>
      </c>
      <c r="P558" s="1" t="s">
        <v>921</v>
      </c>
      <c r="Q558" s="1">
        <v>2025</v>
      </c>
      <c r="R558" s="1">
        <v>1</v>
      </c>
      <c r="S558" s="1">
        <v>0</v>
      </c>
      <c r="T558" s="1">
        <v>0</v>
      </c>
      <c r="U558" s="1" t="s">
        <v>550</v>
      </c>
      <c r="V558" s="1" t="s">
        <v>420</v>
      </c>
      <c r="Y558" t="s">
        <v>921</v>
      </c>
      <c r="Z558" t="s">
        <v>1205</v>
      </c>
      <c r="AA558">
        <v>0</v>
      </c>
      <c r="AB558">
        <v>0</v>
      </c>
      <c r="AC558" t="s">
        <v>420</v>
      </c>
      <c r="AD558" t="s">
        <v>550</v>
      </c>
    </row>
    <row r="559" spans="2:30" x14ac:dyDescent="0.25">
      <c r="B559" s="1" t="s">
        <v>543</v>
      </c>
      <c r="C559" s="1">
        <v>2026</v>
      </c>
      <c r="D559" s="1">
        <v>1</v>
      </c>
      <c r="E559" s="1">
        <v>456.25</v>
      </c>
      <c r="F559" s="1">
        <v>456.25</v>
      </c>
      <c r="G559" s="1" t="s">
        <v>544</v>
      </c>
      <c r="H559" s="1" t="s">
        <v>420</v>
      </c>
      <c r="P559" s="1" t="s">
        <v>551</v>
      </c>
      <c r="Q559" s="1">
        <v>2025</v>
      </c>
      <c r="R559" s="1">
        <v>1</v>
      </c>
      <c r="S559" s="1">
        <v>2152.94</v>
      </c>
      <c r="T559" s="1">
        <v>2152.94</v>
      </c>
      <c r="U559" s="1" t="s">
        <v>552</v>
      </c>
      <c r="V559" s="1" t="s">
        <v>420</v>
      </c>
      <c r="Y559" t="s">
        <v>551</v>
      </c>
      <c r="Z559" t="s">
        <v>1205</v>
      </c>
      <c r="AA559">
        <v>28786.6</v>
      </c>
      <c r="AB559">
        <v>11203.21</v>
      </c>
      <c r="AC559" t="s">
        <v>420</v>
      </c>
      <c r="AD559" t="s">
        <v>552</v>
      </c>
    </row>
    <row r="560" spans="2:30" x14ac:dyDescent="0.25">
      <c r="B560" s="1" t="s">
        <v>918</v>
      </c>
      <c r="C560" s="1">
        <v>2026</v>
      </c>
      <c r="D560" s="1">
        <v>1</v>
      </c>
      <c r="E560" s="1">
        <v>0</v>
      </c>
      <c r="F560" s="1">
        <v>0</v>
      </c>
      <c r="G560" s="1" t="s">
        <v>919</v>
      </c>
      <c r="H560" s="1" t="s">
        <v>420</v>
      </c>
      <c r="P560" s="1" t="s">
        <v>553</v>
      </c>
      <c r="Q560" s="1">
        <v>2025</v>
      </c>
      <c r="R560" s="1">
        <v>1</v>
      </c>
      <c r="S560" s="1">
        <v>0</v>
      </c>
      <c r="T560" s="1">
        <v>0</v>
      </c>
      <c r="U560" s="1" t="s">
        <v>554</v>
      </c>
      <c r="V560" s="1" t="s">
        <v>420</v>
      </c>
      <c r="Y560" t="s">
        <v>553</v>
      </c>
      <c r="Z560" t="s">
        <v>1205</v>
      </c>
      <c r="AA560">
        <v>0</v>
      </c>
      <c r="AB560">
        <v>0</v>
      </c>
      <c r="AC560" t="s">
        <v>420</v>
      </c>
      <c r="AD560" t="s">
        <v>554</v>
      </c>
    </row>
    <row r="561" spans="2:30" x14ac:dyDescent="0.25">
      <c r="B561" s="1" t="s">
        <v>545</v>
      </c>
      <c r="C561" s="1">
        <v>2026</v>
      </c>
      <c r="D561" s="1">
        <v>1</v>
      </c>
      <c r="E561" s="1">
        <v>0</v>
      </c>
      <c r="F561" s="1">
        <v>0</v>
      </c>
      <c r="G561" s="1" t="s">
        <v>546</v>
      </c>
      <c r="H561" s="1" t="s">
        <v>420</v>
      </c>
      <c r="P561" s="1" t="s">
        <v>922</v>
      </c>
      <c r="Q561" s="1">
        <v>2025</v>
      </c>
      <c r="R561" s="1">
        <v>1</v>
      </c>
      <c r="S561" s="1">
        <v>0</v>
      </c>
      <c r="T561" s="1">
        <v>0</v>
      </c>
      <c r="U561" s="1" t="s">
        <v>554</v>
      </c>
      <c r="V561" s="1" t="s">
        <v>420</v>
      </c>
      <c r="Y561" t="s">
        <v>922</v>
      </c>
      <c r="Z561" t="s">
        <v>1205</v>
      </c>
      <c r="AA561">
        <v>0</v>
      </c>
      <c r="AB561">
        <v>0</v>
      </c>
      <c r="AC561" t="s">
        <v>420</v>
      </c>
      <c r="AD561" t="s">
        <v>554</v>
      </c>
    </row>
    <row r="562" spans="2:30" x14ac:dyDescent="0.25">
      <c r="B562" s="1" t="s">
        <v>1428</v>
      </c>
      <c r="C562" s="1">
        <v>2026</v>
      </c>
      <c r="D562" s="1">
        <v>1</v>
      </c>
      <c r="E562" s="1">
        <v>0</v>
      </c>
      <c r="F562" s="1">
        <v>0</v>
      </c>
      <c r="G562" s="1" t="s">
        <v>1467</v>
      </c>
      <c r="H562" s="1" t="s">
        <v>420</v>
      </c>
      <c r="P562" s="1" t="s">
        <v>555</v>
      </c>
      <c r="Q562" s="1">
        <v>2025</v>
      </c>
      <c r="R562" s="1">
        <v>1</v>
      </c>
      <c r="S562" s="1">
        <v>7216.33</v>
      </c>
      <c r="T562" s="1">
        <v>7216.33</v>
      </c>
      <c r="U562" s="1" t="s">
        <v>245</v>
      </c>
      <c r="V562" s="1" t="s">
        <v>420</v>
      </c>
      <c r="Y562" t="s">
        <v>555</v>
      </c>
      <c r="Z562" t="s">
        <v>1205</v>
      </c>
      <c r="AA562">
        <v>94062.26</v>
      </c>
      <c r="AB562">
        <v>9043.3799999999992</v>
      </c>
      <c r="AC562" t="s">
        <v>420</v>
      </c>
      <c r="AD562" t="s">
        <v>245</v>
      </c>
    </row>
    <row r="563" spans="2:30" x14ac:dyDescent="0.25">
      <c r="B563" s="1" t="s">
        <v>547</v>
      </c>
      <c r="C563" s="1">
        <v>2026</v>
      </c>
      <c r="D563" s="1">
        <v>1</v>
      </c>
      <c r="E563" s="1">
        <v>456.25</v>
      </c>
      <c r="F563" s="1">
        <v>456.25</v>
      </c>
      <c r="G563" s="1" t="s">
        <v>548</v>
      </c>
      <c r="H563" s="1" t="s">
        <v>420</v>
      </c>
      <c r="P563" s="1" t="s">
        <v>923</v>
      </c>
      <c r="Q563" s="1">
        <v>2025</v>
      </c>
      <c r="R563" s="1">
        <v>1</v>
      </c>
      <c r="S563" s="1">
        <v>0</v>
      </c>
      <c r="T563" s="1">
        <v>0</v>
      </c>
      <c r="U563" s="1" t="s">
        <v>245</v>
      </c>
      <c r="V563" s="1" t="s">
        <v>420</v>
      </c>
      <c r="Y563" t="s">
        <v>923</v>
      </c>
      <c r="Z563" t="s">
        <v>1205</v>
      </c>
      <c r="AA563">
        <v>511.18</v>
      </c>
      <c r="AB563">
        <v>511.18</v>
      </c>
      <c r="AC563" t="s">
        <v>420</v>
      </c>
      <c r="AD563" t="s">
        <v>245</v>
      </c>
    </row>
    <row r="564" spans="2:30" x14ac:dyDescent="0.25">
      <c r="B564" s="1" t="s">
        <v>920</v>
      </c>
      <c r="C564" s="1">
        <v>2026</v>
      </c>
      <c r="D564" s="1">
        <v>1</v>
      </c>
      <c r="E564" s="1">
        <v>0</v>
      </c>
      <c r="F564" s="1">
        <v>0</v>
      </c>
      <c r="G564" s="1" t="s">
        <v>548</v>
      </c>
      <c r="H564" s="1" t="s">
        <v>420</v>
      </c>
      <c r="P564" s="1" t="s">
        <v>1387</v>
      </c>
      <c r="Q564" s="1">
        <v>2025</v>
      </c>
      <c r="R564" s="1">
        <v>1</v>
      </c>
      <c r="S564" s="1">
        <v>0</v>
      </c>
      <c r="T564" s="1">
        <v>0</v>
      </c>
      <c r="U564" s="1" t="s">
        <v>1388</v>
      </c>
      <c r="V564" s="1" t="s">
        <v>308</v>
      </c>
      <c r="Y564" t="s">
        <v>1387</v>
      </c>
      <c r="Z564" t="s">
        <v>1205</v>
      </c>
      <c r="AA564">
        <v>9035.1200000000008</v>
      </c>
      <c r="AB564">
        <v>0</v>
      </c>
      <c r="AC564" t="s">
        <v>308</v>
      </c>
      <c r="AD564" t="s">
        <v>1388</v>
      </c>
    </row>
    <row r="565" spans="2:30" x14ac:dyDescent="0.25">
      <c r="B565" s="1" t="s">
        <v>549</v>
      </c>
      <c r="C565" s="1">
        <v>2026</v>
      </c>
      <c r="D565" s="1">
        <v>1</v>
      </c>
      <c r="E565" s="1">
        <v>456.25</v>
      </c>
      <c r="F565" s="1">
        <v>456.25</v>
      </c>
      <c r="G565" s="1" t="s">
        <v>550</v>
      </c>
      <c r="H565" s="1" t="s">
        <v>420</v>
      </c>
      <c r="P565" s="1" t="s">
        <v>1511</v>
      </c>
      <c r="Q565" s="1">
        <v>2025</v>
      </c>
      <c r="R565" s="1">
        <v>1</v>
      </c>
      <c r="S565" s="1">
        <v>0</v>
      </c>
      <c r="T565" s="1">
        <v>0</v>
      </c>
      <c r="U565" s="1" t="s">
        <v>1388</v>
      </c>
      <c r="V565" s="1" t="s">
        <v>308</v>
      </c>
      <c r="Y565" t="s">
        <v>1511</v>
      </c>
      <c r="Z565" t="s">
        <v>1205</v>
      </c>
      <c r="AA565">
        <v>0</v>
      </c>
      <c r="AB565">
        <v>0</v>
      </c>
      <c r="AC565" t="s">
        <v>308</v>
      </c>
      <c r="AD565" t="s">
        <v>1388</v>
      </c>
    </row>
    <row r="566" spans="2:30" x14ac:dyDescent="0.25">
      <c r="B566" s="1" t="s">
        <v>921</v>
      </c>
      <c r="C566" s="1">
        <v>2026</v>
      </c>
      <c r="D566" s="1">
        <v>1</v>
      </c>
      <c r="E566" s="1">
        <v>0</v>
      </c>
      <c r="F566" s="1">
        <v>0</v>
      </c>
      <c r="G566" s="1" t="s">
        <v>550</v>
      </c>
      <c r="H566" s="1" t="s">
        <v>420</v>
      </c>
      <c r="P566" s="1" t="s">
        <v>556</v>
      </c>
      <c r="Q566" s="1">
        <v>2025</v>
      </c>
      <c r="R566" s="1">
        <v>1</v>
      </c>
      <c r="S566" s="1">
        <v>52150</v>
      </c>
      <c r="T566" s="1">
        <v>52150</v>
      </c>
      <c r="U566" s="1" t="s">
        <v>1333</v>
      </c>
      <c r="V566" s="1" t="s">
        <v>308</v>
      </c>
      <c r="Y566" t="s">
        <v>556</v>
      </c>
      <c r="Z566" t="s">
        <v>1205</v>
      </c>
      <c r="AA566">
        <v>325935.92</v>
      </c>
      <c r="AB566">
        <v>33133.75</v>
      </c>
      <c r="AC566" t="s">
        <v>308</v>
      </c>
      <c r="AD566" t="s">
        <v>1333</v>
      </c>
    </row>
    <row r="567" spans="2:30" x14ac:dyDescent="0.25">
      <c r="B567" s="1" t="s">
        <v>551</v>
      </c>
      <c r="C567" s="1">
        <v>2026</v>
      </c>
      <c r="D567" s="1">
        <v>1</v>
      </c>
      <c r="E567" s="1">
        <v>12106.65</v>
      </c>
      <c r="F567" s="1">
        <v>12106.65</v>
      </c>
      <c r="G567" s="1" t="s">
        <v>552</v>
      </c>
      <c r="H567" s="1" t="s">
        <v>420</v>
      </c>
      <c r="P567" s="1" t="s">
        <v>558</v>
      </c>
      <c r="Q567" s="1">
        <v>2025</v>
      </c>
      <c r="R567" s="1">
        <v>1</v>
      </c>
      <c r="S567" s="1">
        <v>0</v>
      </c>
      <c r="T567" s="1">
        <v>0</v>
      </c>
      <c r="U567" s="1" t="s">
        <v>1334</v>
      </c>
      <c r="V567" s="1" t="s">
        <v>308</v>
      </c>
      <c r="Y567" t="s">
        <v>558</v>
      </c>
      <c r="Z567" t="s">
        <v>1205</v>
      </c>
      <c r="AA567">
        <v>17825.2</v>
      </c>
      <c r="AB567">
        <v>0</v>
      </c>
      <c r="AC567" t="s">
        <v>308</v>
      </c>
      <c r="AD567" t="s">
        <v>1334</v>
      </c>
    </row>
    <row r="568" spans="2:30" x14ac:dyDescent="0.25">
      <c r="B568" s="1" t="s">
        <v>553</v>
      </c>
      <c r="C568" s="1">
        <v>2026</v>
      </c>
      <c r="D568" s="1">
        <v>1</v>
      </c>
      <c r="E568" s="1">
        <v>0</v>
      </c>
      <c r="F568" s="1">
        <v>0</v>
      </c>
      <c r="G568" s="1" t="s">
        <v>554</v>
      </c>
      <c r="H568" s="1" t="s">
        <v>420</v>
      </c>
      <c r="P568" s="1" t="s">
        <v>924</v>
      </c>
      <c r="Q568" s="1">
        <v>2025</v>
      </c>
      <c r="R568" s="1">
        <v>1</v>
      </c>
      <c r="S568" s="1">
        <v>0</v>
      </c>
      <c r="T568" s="1">
        <v>0</v>
      </c>
      <c r="U568" s="1" t="s">
        <v>559</v>
      </c>
      <c r="V568" s="1" t="s">
        <v>420</v>
      </c>
      <c r="Y568" t="s">
        <v>924</v>
      </c>
      <c r="Z568" t="s">
        <v>1205</v>
      </c>
      <c r="AA568">
        <v>0</v>
      </c>
      <c r="AB568">
        <v>0</v>
      </c>
      <c r="AC568" t="s">
        <v>420</v>
      </c>
      <c r="AD568" t="s">
        <v>559</v>
      </c>
    </row>
    <row r="569" spans="2:30" x14ac:dyDescent="0.25">
      <c r="B569" s="1" t="s">
        <v>922</v>
      </c>
      <c r="C569" s="1">
        <v>2026</v>
      </c>
      <c r="D569" s="1">
        <v>1</v>
      </c>
      <c r="E569" s="1">
        <v>0</v>
      </c>
      <c r="F569" s="1">
        <v>0</v>
      </c>
      <c r="G569" s="1" t="s">
        <v>554</v>
      </c>
      <c r="H569" s="1" t="s">
        <v>420</v>
      </c>
      <c r="P569" s="1" t="s">
        <v>560</v>
      </c>
      <c r="Q569" s="1">
        <v>2025</v>
      </c>
      <c r="R569" s="1">
        <v>1</v>
      </c>
      <c r="S569" s="1">
        <v>1620.05</v>
      </c>
      <c r="T569" s="1">
        <v>1620.05</v>
      </c>
      <c r="U569" s="1" t="s">
        <v>1335</v>
      </c>
      <c r="V569" s="1" t="s">
        <v>308</v>
      </c>
      <c r="Y569" t="s">
        <v>560</v>
      </c>
      <c r="Z569" t="s">
        <v>1205</v>
      </c>
      <c r="AA569">
        <v>65744.95</v>
      </c>
      <c r="AB569">
        <v>6015.25</v>
      </c>
      <c r="AC569" t="s">
        <v>308</v>
      </c>
      <c r="AD569" t="s">
        <v>1335</v>
      </c>
    </row>
    <row r="570" spans="2:30" x14ac:dyDescent="0.25">
      <c r="B570" s="1" t="s">
        <v>555</v>
      </c>
      <c r="C570" s="1">
        <v>2026</v>
      </c>
      <c r="D570" s="1">
        <v>1</v>
      </c>
      <c r="E570" s="1">
        <v>6996.54</v>
      </c>
      <c r="F570" s="1">
        <v>6996.54</v>
      </c>
      <c r="G570" s="1" t="s">
        <v>245</v>
      </c>
      <c r="H570" s="1" t="s">
        <v>420</v>
      </c>
      <c r="P570" s="1" t="s">
        <v>925</v>
      </c>
      <c r="Q570" s="1">
        <v>2025</v>
      </c>
      <c r="R570" s="1">
        <v>1</v>
      </c>
      <c r="S570" s="1">
        <v>925</v>
      </c>
      <c r="T570" s="1">
        <v>925</v>
      </c>
      <c r="U570" s="1" t="s">
        <v>926</v>
      </c>
      <c r="V570" s="1" t="s">
        <v>308</v>
      </c>
      <c r="Y570" t="s">
        <v>925</v>
      </c>
      <c r="Z570" t="s">
        <v>1205</v>
      </c>
      <c r="AA570">
        <v>15929.64</v>
      </c>
      <c r="AB570">
        <v>1277.6199999999999</v>
      </c>
      <c r="AC570" t="s">
        <v>308</v>
      </c>
      <c r="AD570" t="s">
        <v>926</v>
      </c>
    </row>
    <row r="571" spans="2:30" x14ac:dyDescent="0.25">
      <c r="B571" s="1" t="s">
        <v>923</v>
      </c>
      <c r="C571" s="1">
        <v>2026</v>
      </c>
      <c r="D571" s="1">
        <v>1</v>
      </c>
      <c r="E571" s="1">
        <v>0</v>
      </c>
      <c r="F571" s="1">
        <v>0</v>
      </c>
      <c r="G571" s="1" t="s">
        <v>245</v>
      </c>
      <c r="H571" s="1" t="s">
        <v>420</v>
      </c>
      <c r="P571" s="1" t="s">
        <v>561</v>
      </c>
      <c r="Q571" s="1">
        <v>2025</v>
      </c>
      <c r="R571" s="1">
        <v>1</v>
      </c>
      <c r="S571" s="1">
        <v>275.04000000000002</v>
      </c>
      <c r="T571" s="1">
        <v>275.04000000000002</v>
      </c>
      <c r="U571" s="1" t="s">
        <v>1336</v>
      </c>
      <c r="V571" s="1" t="s">
        <v>308</v>
      </c>
      <c r="Y571" t="s">
        <v>561</v>
      </c>
      <c r="Z571" t="s">
        <v>1205</v>
      </c>
      <c r="AA571">
        <v>23500</v>
      </c>
      <c r="AB571">
        <v>0</v>
      </c>
      <c r="AC571" t="s">
        <v>308</v>
      </c>
      <c r="AD571" t="s">
        <v>1336</v>
      </c>
    </row>
    <row r="572" spans="2:30" x14ac:dyDescent="0.25">
      <c r="B572" s="1" t="s">
        <v>1387</v>
      </c>
      <c r="C572" s="1">
        <v>2026</v>
      </c>
      <c r="D572" s="1">
        <v>1</v>
      </c>
      <c r="E572" s="1">
        <v>0</v>
      </c>
      <c r="F572" s="1">
        <v>0</v>
      </c>
      <c r="G572" s="1" t="s">
        <v>1388</v>
      </c>
      <c r="H572" s="1" t="s">
        <v>308</v>
      </c>
      <c r="P572" s="1" t="s">
        <v>1413</v>
      </c>
      <c r="Q572" s="1">
        <v>2025</v>
      </c>
      <c r="R572" s="1">
        <v>1</v>
      </c>
      <c r="S572" s="1">
        <v>1264.42</v>
      </c>
      <c r="T572" s="1">
        <v>1264.42</v>
      </c>
      <c r="U572" s="1" t="s">
        <v>1468</v>
      </c>
      <c r="V572" s="1" t="s">
        <v>308</v>
      </c>
      <c r="Y572" t="s">
        <v>1413</v>
      </c>
      <c r="Z572" t="s">
        <v>1205</v>
      </c>
      <c r="AA572">
        <v>132783.10999999999</v>
      </c>
      <c r="AB572">
        <v>13308.98</v>
      </c>
      <c r="AC572" t="s">
        <v>308</v>
      </c>
      <c r="AD572" t="s">
        <v>1468</v>
      </c>
    </row>
    <row r="573" spans="2:30" x14ac:dyDescent="0.25">
      <c r="B573" s="1" t="s">
        <v>1511</v>
      </c>
      <c r="C573" s="1">
        <v>2026</v>
      </c>
      <c r="D573" s="1">
        <v>1</v>
      </c>
      <c r="E573" s="1">
        <v>0</v>
      </c>
      <c r="F573" s="1">
        <v>0</v>
      </c>
      <c r="G573" s="1" t="s">
        <v>1388</v>
      </c>
      <c r="H573" s="1" t="s">
        <v>308</v>
      </c>
      <c r="P573" s="1" t="s">
        <v>562</v>
      </c>
      <c r="Q573" s="1">
        <v>2025</v>
      </c>
      <c r="R573" s="1">
        <v>1</v>
      </c>
      <c r="S573" s="1">
        <v>9298.36</v>
      </c>
      <c r="T573" s="1">
        <v>9298.36</v>
      </c>
      <c r="U573" s="1" t="s">
        <v>1337</v>
      </c>
      <c r="V573" s="1" t="s">
        <v>308</v>
      </c>
      <c r="Y573" t="s">
        <v>562</v>
      </c>
      <c r="Z573" t="s">
        <v>1205</v>
      </c>
      <c r="AA573">
        <v>111997.75</v>
      </c>
      <c r="AB573">
        <v>7731.12</v>
      </c>
      <c r="AC573" t="s">
        <v>308</v>
      </c>
      <c r="AD573" t="s">
        <v>1337</v>
      </c>
    </row>
    <row r="574" spans="2:30" x14ac:dyDescent="0.25">
      <c r="B574" s="1" t="s">
        <v>556</v>
      </c>
      <c r="C574" s="1">
        <v>2026</v>
      </c>
      <c r="D574" s="1">
        <v>1</v>
      </c>
      <c r="E574" s="1">
        <v>24450</v>
      </c>
      <c r="F574" s="1">
        <v>24450</v>
      </c>
      <c r="G574" s="1" t="s">
        <v>1333</v>
      </c>
      <c r="H574" s="1" t="s">
        <v>308</v>
      </c>
      <c r="P574" s="1" t="s">
        <v>927</v>
      </c>
      <c r="Q574" s="1">
        <v>2025</v>
      </c>
      <c r="R574" s="1">
        <v>1</v>
      </c>
      <c r="S574" s="1">
        <v>0</v>
      </c>
      <c r="T574" s="1">
        <v>0</v>
      </c>
      <c r="U574" s="1" t="s">
        <v>563</v>
      </c>
      <c r="V574" s="1" t="s">
        <v>420</v>
      </c>
      <c r="Y574" t="s">
        <v>927</v>
      </c>
      <c r="Z574" t="s">
        <v>1205</v>
      </c>
      <c r="AA574">
        <v>0</v>
      </c>
      <c r="AB574">
        <v>0</v>
      </c>
      <c r="AC574" t="s">
        <v>420</v>
      </c>
      <c r="AD574" t="s">
        <v>563</v>
      </c>
    </row>
    <row r="575" spans="2:30" x14ac:dyDescent="0.25">
      <c r="B575" s="1" t="s">
        <v>558</v>
      </c>
      <c r="C575" s="1">
        <v>2026</v>
      </c>
      <c r="D575" s="1">
        <v>1</v>
      </c>
      <c r="E575" s="1">
        <v>0</v>
      </c>
      <c r="F575" s="1">
        <v>0</v>
      </c>
      <c r="G575" s="1" t="s">
        <v>1334</v>
      </c>
      <c r="H575" s="1" t="s">
        <v>308</v>
      </c>
      <c r="P575" s="1" t="s">
        <v>564</v>
      </c>
      <c r="Q575" s="1">
        <v>2025</v>
      </c>
      <c r="R575" s="1">
        <v>1</v>
      </c>
      <c r="S575" s="1">
        <v>6688.68</v>
      </c>
      <c r="T575" s="1">
        <v>6688.68</v>
      </c>
      <c r="U575" s="1" t="s">
        <v>1338</v>
      </c>
      <c r="V575" s="1" t="s">
        <v>420</v>
      </c>
      <c r="Y575" t="s">
        <v>564</v>
      </c>
      <c r="Z575" t="s">
        <v>1205</v>
      </c>
      <c r="AA575">
        <v>51704.45</v>
      </c>
      <c r="AB575">
        <v>4116.0200000000004</v>
      </c>
      <c r="AC575" t="s">
        <v>420</v>
      </c>
      <c r="AD575" t="s">
        <v>1338</v>
      </c>
    </row>
    <row r="576" spans="2:30" x14ac:dyDescent="0.25">
      <c r="B576" s="1" t="s">
        <v>924</v>
      </c>
      <c r="C576" s="1">
        <v>2026</v>
      </c>
      <c r="D576" s="1">
        <v>1</v>
      </c>
      <c r="E576" s="1">
        <v>0</v>
      </c>
      <c r="F576" s="1">
        <v>0</v>
      </c>
      <c r="G576" s="1" t="s">
        <v>559</v>
      </c>
      <c r="H576" s="1" t="s">
        <v>420</v>
      </c>
      <c r="P576" s="1" t="s">
        <v>928</v>
      </c>
      <c r="Q576" s="1">
        <v>2025</v>
      </c>
      <c r="R576" s="1">
        <v>1</v>
      </c>
      <c r="S576" s="1">
        <v>0</v>
      </c>
      <c r="T576" s="1">
        <v>0</v>
      </c>
      <c r="U576" s="1" t="s">
        <v>565</v>
      </c>
      <c r="V576" s="1" t="s">
        <v>420</v>
      </c>
      <c r="Y576" t="s">
        <v>928</v>
      </c>
      <c r="Z576" t="s">
        <v>1205</v>
      </c>
      <c r="AA576">
        <v>0</v>
      </c>
      <c r="AB576">
        <v>0</v>
      </c>
      <c r="AC576" t="s">
        <v>420</v>
      </c>
      <c r="AD576" t="s">
        <v>565</v>
      </c>
    </row>
    <row r="577" spans="2:30" x14ac:dyDescent="0.25">
      <c r="B577" s="1" t="s">
        <v>560</v>
      </c>
      <c r="C577" s="1">
        <v>2026</v>
      </c>
      <c r="D577" s="1">
        <v>1</v>
      </c>
      <c r="E577" s="1">
        <v>15044.6</v>
      </c>
      <c r="F577" s="1">
        <v>15044.6</v>
      </c>
      <c r="G577" s="1" t="s">
        <v>1335</v>
      </c>
      <c r="H577" s="1" t="s">
        <v>308</v>
      </c>
      <c r="P577" s="1" t="s">
        <v>566</v>
      </c>
      <c r="Q577" s="1">
        <v>2025</v>
      </c>
      <c r="R577" s="1">
        <v>1</v>
      </c>
      <c r="S577" s="1">
        <v>63.44</v>
      </c>
      <c r="T577" s="1">
        <v>63.44</v>
      </c>
      <c r="U577" s="1" t="s">
        <v>567</v>
      </c>
      <c r="V577" s="1" t="s">
        <v>420</v>
      </c>
      <c r="Y577" t="s">
        <v>566</v>
      </c>
      <c r="Z577" t="s">
        <v>1205</v>
      </c>
      <c r="AA577">
        <v>2257.73</v>
      </c>
      <c r="AB577">
        <v>0</v>
      </c>
      <c r="AC577" t="s">
        <v>420</v>
      </c>
      <c r="AD577" t="s">
        <v>567</v>
      </c>
    </row>
    <row r="578" spans="2:30" x14ac:dyDescent="0.25">
      <c r="B578" s="1" t="s">
        <v>925</v>
      </c>
      <c r="C578" s="1">
        <v>2026</v>
      </c>
      <c r="D578" s="1">
        <v>1</v>
      </c>
      <c r="E578" s="1">
        <v>3375</v>
      </c>
      <c r="F578" s="1">
        <v>3375</v>
      </c>
      <c r="G578" s="1" t="s">
        <v>926</v>
      </c>
      <c r="H578" s="1" t="s">
        <v>308</v>
      </c>
      <c r="P578" s="1" t="s">
        <v>568</v>
      </c>
      <c r="Q578" s="1">
        <v>2025</v>
      </c>
      <c r="R578" s="1">
        <v>1</v>
      </c>
      <c r="S578" s="1">
        <v>0</v>
      </c>
      <c r="T578" s="1">
        <v>0</v>
      </c>
      <c r="U578" s="1" t="s">
        <v>1339</v>
      </c>
      <c r="V578" s="1" t="s">
        <v>308</v>
      </c>
      <c r="Y578" t="s">
        <v>568</v>
      </c>
      <c r="Z578" t="s">
        <v>1205</v>
      </c>
      <c r="AA578">
        <v>22960.97</v>
      </c>
      <c r="AB578">
        <v>2907.5</v>
      </c>
      <c r="AC578" t="s">
        <v>308</v>
      </c>
      <c r="AD578" t="s">
        <v>1339</v>
      </c>
    </row>
    <row r="579" spans="2:30" x14ac:dyDescent="0.25">
      <c r="B579" s="1" t="s">
        <v>561</v>
      </c>
      <c r="C579" s="1">
        <v>2026</v>
      </c>
      <c r="D579" s="1">
        <v>1</v>
      </c>
      <c r="E579" s="1">
        <v>0</v>
      </c>
      <c r="F579" s="1">
        <v>0</v>
      </c>
      <c r="G579" s="1" t="s">
        <v>1336</v>
      </c>
      <c r="H579" s="1" t="s">
        <v>308</v>
      </c>
      <c r="P579" s="1" t="s">
        <v>929</v>
      </c>
      <c r="Q579" s="1">
        <v>2025</v>
      </c>
      <c r="R579" s="1">
        <v>1</v>
      </c>
      <c r="S579" s="1">
        <v>0</v>
      </c>
      <c r="T579" s="1">
        <v>0</v>
      </c>
      <c r="U579" s="1" t="s">
        <v>569</v>
      </c>
      <c r="V579" s="1" t="s">
        <v>420</v>
      </c>
      <c r="Y579" t="s">
        <v>929</v>
      </c>
      <c r="Z579" t="s">
        <v>1205</v>
      </c>
      <c r="AA579">
        <v>0</v>
      </c>
      <c r="AB579">
        <v>0</v>
      </c>
      <c r="AC579" t="s">
        <v>420</v>
      </c>
      <c r="AD579" t="s">
        <v>569</v>
      </c>
    </row>
    <row r="580" spans="2:30" x14ac:dyDescent="0.25">
      <c r="B580" s="1" t="s">
        <v>1413</v>
      </c>
      <c r="C580" s="1">
        <v>2026</v>
      </c>
      <c r="D580" s="1">
        <v>1</v>
      </c>
      <c r="E580" s="1">
        <v>17279.259999999998</v>
      </c>
      <c r="F580" s="1">
        <v>17279.259999999998</v>
      </c>
      <c r="G580" s="1" t="s">
        <v>1468</v>
      </c>
      <c r="H580" s="1" t="s">
        <v>308</v>
      </c>
      <c r="P580" s="1" t="s">
        <v>570</v>
      </c>
      <c r="Q580" s="1">
        <v>2025</v>
      </c>
      <c r="R580" s="1">
        <v>1</v>
      </c>
      <c r="S580" s="1">
        <v>0</v>
      </c>
      <c r="T580" s="1">
        <v>0</v>
      </c>
      <c r="U580" s="1" t="s">
        <v>2096</v>
      </c>
      <c r="V580" s="1" t="s">
        <v>420</v>
      </c>
      <c r="Y580" t="s">
        <v>570</v>
      </c>
      <c r="Z580" t="s">
        <v>1205</v>
      </c>
      <c r="AA580">
        <v>0</v>
      </c>
      <c r="AB580">
        <v>0</v>
      </c>
      <c r="AC580" t="s">
        <v>420</v>
      </c>
      <c r="AD580" t="s">
        <v>2096</v>
      </c>
    </row>
    <row r="581" spans="2:30" x14ac:dyDescent="0.25">
      <c r="B581" s="1" t="s">
        <v>562</v>
      </c>
      <c r="C581" s="1">
        <v>2026</v>
      </c>
      <c r="D581" s="1">
        <v>1</v>
      </c>
      <c r="E581" s="1">
        <v>10068.51</v>
      </c>
      <c r="F581" s="1">
        <v>10068.51</v>
      </c>
      <c r="G581" s="1" t="s">
        <v>1337</v>
      </c>
      <c r="H581" s="1" t="s">
        <v>308</v>
      </c>
      <c r="P581" s="1" t="s">
        <v>572</v>
      </c>
      <c r="Q581" s="1">
        <v>2025</v>
      </c>
      <c r="R581" s="1">
        <v>1</v>
      </c>
      <c r="S581" s="1">
        <v>630.94000000000005</v>
      </c>
      <c r="T581" s="1">
        <v>630.94000000000005</v>
      </c>
      <c r="U581" s="1" t="s">
        <v>573</v>
      </c>
      <c r="V581" s="1" t="s">
        <v>420</v>
      </c>
      <c r="Y581" t="s">
        <v>572</v>
      </c>
      <c r="Z581" t="s">
        <v>1205</v>
      </c>
      <c r="AA581">
        <v>5322.64</v>
      </c>
      <c r="AB581">
        <v>436.36</v>
      </c>
      <c r="AC581" t="s">
        <v>420</v>
      </c>
      <c r="AD581" t="s">
        <v>573</v>
      </c>
    </row>
    <row r="582" spans="2:30" x14ac:dyDescent="0.25">
      <c r="B582" s="1" t="s">
        <v>927</v>
      </c>
      <c r="C582" s="1">
        <v>2026</v>
      </c>
      <c r="D582" s="1">
        <v>1</v>
      </c>
      <c r="E582" s="1">
        <v>0</v>
      </c>
      <c r="F582" s="1">
        <v>0</v>
      </c>
      <c r="G582" s="1" t="s">
        <v>563</v>
      </c>
      <c r="H582" s="1" t="s">
        <v>420</v>
      </c>
      <c r="P582" s="1" t="s">
        <v>930</v>
      </c>
      <c r="Q582" s="1">
        <v>2025</v>
      </c>
      <c r="R582" s="1">
        <v>1</v>
      </c>
      <c r="S582" s="1">
        <v>136.44</v>
      </c>
      <c r="T582" s="1">
        <v>136.44</v>
      </c>
      <c r="U582" s="1" t="s">
        <v>931</v>
      </c>
      <c r="V582" s="1" t="s">
        <v>420</v>
      </c>
      <c r="Y582" t="s">
        <v>930</v>
      </c>
      <c r="Z582" t="s">
        <v>1205</v>
      </c>
      <c r="AA582">
        <v>1363.16</v>
      </c>
      <c r="AB582">
        <v>102.82</v>
      </c>
      <c r="AC582" t="s">
        <v>420</v>
      </c>
      <c r="AD582" t="s">
        <v>931</v>
      </c>
    </row>
    <row r="583" spans="2:30" x14ac:dyDescent="0.25">
      <c r="B583" s="1" t="s">
        <v>564</v>
      </c>
      <c r="C583" s="1">
        <v>2026</v>
      </c>
      <c r="D583" s="1">
        <v>1</v>
      </c>
      <c r="E583" s="1">
        <v>3965.2</v>
      </c>
      <c r="F583" s="1">
        <v>3965.2</v>
      </c>
      <c r="G583" s="1" t="s">
        <v>1338</v>
      </c>
      <c r="H583" s="1" t="s">
        <v>420</v>
      </c>
      <c r="P583" s="1" t="s">
        <v>574</v>
      </c>
      <c r="Q583" s="1">
        <v>2025</v>
      </c>
      <c r="R583" s="1">
        <v>1</v>
      </c>
      <c r="S583" s="1">
        <v>230.76</v>
      </c>
      <c r="T583" s="1">
        <v>230.76</v>
      </c>
      <c r="U583" s="1" t="s">
        <v>575</v>
      </c>
      <c r="V583" s="1" t="s">
        <v>420</v>
      </c>
      <c r="Y583" t="s">
        <v>574</v>
      </c>
      <c r="Z583" t="s">
        <v>1205</v>
      </c>
      <c r="AA583">
        <v>2039.97</v>
      </c>
      <c r="AB583">
        <v>67.66</v>
      </c>
      <c r="AC583" t="s">
        <v>420</v>
      </c>
      <c r="AD583" t="s">
        <v>575</v>
      </c>
    </row>
    <row r="584" spans="2:30" x14ac:dyDescent="0.25">
      <c r="B584" s="1" t="s">
        <v>928</v>
      </c>
      <c r="C584" s="1">
        <v>2026</v>
      </c>
      <c r="D584" s="1">
        <v>1</v>
      </c>
      <c r="E584" s="1">
        <v>0</v>
      </c>
      <c r="F584" s="1">
        <v>0</v>
      </c>
      <c r="G584" s="1" t="s">
        <v>565</v>
      </c>
      <c r="H584" s="1" t="s">
        <v>420</v>
      </c>
      <c r="P584" s="1" t="s">
        <v>1429</v>
      </c>
      <c r="Q584" s="1">
        <v>2025</v>
      </c>
      <c r="R584" s="1">
        <v>1</v>
      </c>
      <c r="S584" s="1">
        <v>0</v>
      </c>
      <c r="T584" s="1">
        <v>0</v>
      </c>
      <c r="U584" s="1" t="s">
        <v>1469</v>
      </c>
      <c r="V584" s="1" t="s">
        <v>420</v>
      </c>
      <c r="Y584" t="s">
        <v>1429</v>
      </c>
      <c r="Z584" t="s">
        <v>1205</v>
      </c>
      <c r="AA584">
        <v>0</v>
      </c>
      <c r="AB584">
        <v>0</v>
      </c>
      <c r="AC584" t="s">
        <v>420</v>
      </c>
      <c r="AD584" t="s">
        <v>1469</v>
      </c>
    </row>
    <row r="585" spans="2:30" x14ac:dyDescent="0.25">
      <c r="B585" s="1" t="s">
        <v>566</v>
      </c>
      <c r="C585" s="1">
        <v>2026</v>
      </c>
      <c r="D585" s="1">
        <v>1</v>
      </c>
      <c r="E585" s="1">
        <v>0</v>
      </c>
      <c r="F585" s="1">
        <v>0</v>
      </c>
      <c r="G585" s="1" t="s">
        <v>567</v>
      </c>
      <c r="H585" s="1" t="s">
        <v>420</v>
      </c>
      <c r="P585" s="1" t="s">
        <v>576</v>
      </c>
      <c r="Q585" s="1">
        <v>2025</v>
      </c>
      <c r="R585" s="1">
        <v>1</v>
      </c>
      <c r="S585" s="1">
        <v>0</v>
      </c>
      <c r="T585" s="1">
        <v>0</v>
      </c>
      <c r="U585" s="1" t="s">
        <v>577</v>
      </c>
      <c r="V585" s="1" t="s">
        <v>420</v>
      </c>
      <c r="Y585" t="s">
        <v>576</v>
      </c>
      <c r="Z585" t="s">
        <v>1205</v>
      </c>
      <c r="AA585">
        <v>0</v>
      </c>
      <c r="AB585">
        <v>0</v>
      </c>
      <c r="AC585" t="s">
        <v>420</v>
      </c>
      <c r="AD585" t="s">
        <v>577</v>
      </c>
    </row>
    <row r="586" spans="2:30" x14ac:dyDescent="0.25">
      <c r="B586" s="1" t="s">
        <v>568</v>
      </c>
      <c r="C586" s="1">
        <v>2026</v>
      </c>
      <c r="D586" s="1">
        <v>1</v>
      </c>
      <c r="E586" s="1">
        <v>0</v>
      </c>
      <c r="F586" s="1">
        <v>0</v>
      </c>
      <c r="G586" s="1" t="s">
        <v>1339</v>
      </c>
      <c r="H586" s="1" t="s">
        <v>308</v>
      </c>
      <c r="P586" s="1" t="s">
        <v>932</v>
      </c>
      <c r="Q586" s="1">
        <v>2025</v>
      </c>
      <c r="R586" s="1">
        <v>1</v>
      </c>
      <c r="S586" s="1">
        <v>0</v>
      </c>
      <c r="T586" s="1">
        <v>0</v>
      </c>
      <c r="U586" s="1" t="s">
        <v>577</v>
      </c>
      <c r="V586" s="1" t="s">
        <v>420</v>
      </c>
      <c r="Y586" t="s">
        <v>932</v>
      </c>
      <c r="Z586" t="s">
        <v>1205</v>
      </c>
      <c r="AA586">
        <v>0</v>
      </c>
      <c r="AB586">
        <v>0</v>
      </c>
      <c r="AC586" t="s">
        <v>420</v>
      </c>
      <c r="AD586" t="s">
        <v>577</v>
      </c>
    </row>
    <row r="587" spans="2:30" x14ac:dyDescent="0.25">
      <c r="B587" s="1" t="s">
        <v>929</v>
      </c>
      <c r="C587" s="1">
        <v>2026</v>
      </c>
      <c r="D587" s="1">
        <v>1</v>
      </c>
      <c r="E587" s="1">
        <v>0</v>
      </c>
      <c r="F587" s="1">
        <v>0</v>
      </c>
      <c r="G587" s="1" t="s">
        <v>569</v>
      </c>
      <c r="H587" s="1" t="s">
        <v>420</v>
      </c>
      <c r="P587" s="1" t="s">
        <v>578</v>
      </c>
      <c r="Q587" s="1">
        <v>2025</v>
      </c>
      <c r="R587" s="1">
        <v>1</v>
      </c>
      <c r="S587" s="1">
        <v>1506.17</v>
      </c>
      <c r="T587" s="1">
        <v>1506.17</v>
      </c>
      <c r="U587" s="1" t="s">
        <v>579</v>
      </c>
      <c r="V587" s="1" t="s">
        <v>420</v>
      </c>
      <c r="Y587" t="s">
        <v>578</v>
      </c>
      <c r="Z587" t="s">
        <v>1205</v>
      </c>
      <c r="AA587">
        <v>14131.76</v>
      </c>
      <c r="AB587">
        <v>1264.8800000000001</v>
      </c>
      <c r="AC587" t="s">
        <v>420</v>
      </c>
      <c r="AD587" t="s">
        <v>579</v>
      </c>
    </row>
    <row r="588" spans="2:30" x14ac:dyDescent="0.25">
      <c r="B588" s="1" t="s">
        <v>570</v>
      </c>
      <c r="C588" s="1">
        <v>2026</v>
      </c>
      <c r="D588" s="1">
        <v>1</v>
      </c>
      <c r="E588" s="1">
        <v>0</v>
      </c>
      <c r="F588" s="1">
        <v>0</v>
      </c>
      <c r="G588" s="1" t="s">
        <v>2096</v>
      </c>
      <c r="H588" s="1" t="s">
        <v>420</v>
      </c>
      <c r="P588" s="1" t="s">
        <v>933</v>
      </c>
      <c r="Q588" s="1">
        <v>2025</v>
      </c>
      <c r="R588" s="1">
        <v>1</v>
      </c>
      <c r="S588" s="1">
        <v>0</v>
      </c>
      <c r="T588" s="1">
        <v>0</v>
      </c>
      <c r="U588" s="1" t="s">
        <v>579</v>
      </c>
      <c r="V588" s="1" t="s">
        <v>420</v>
      </c>
      <c r="Y588" t="s">
        <v>933</v>
      </c>
      <c r="Z588" t="s">
        <v>1205</v>
      </c>
      <c r="AA588">
        <v>139.4</v>
      </c>
      <c r="AB588">
        <v>0</v>
      </c>
      <c r="AC588" t="s">
        <v>420</v>
      </c>
      <c r="AD588" t="s">
        <v>579</v>
      </c>
    </row>
    <row r="589" spans="2:30" x14ac:dyDescent="0.25">
      <c r="B589" s="1" t="s">
        <v>572</v>
      </c>
      <c r="C589" s="1">
        <v>2026</v>
      </c>
      <c r="D589" s="1">
        <v>1</v>
      </c>
      <c r="E589" s="1">
        <v>436.36</v>
      </c>
      <c r="F589" s="1">
        <v>436.36</v>
      </c>
      <c r="G589" s="1" t="s">
        <v>573</v>
      </c>
      <c r="H589" s="1" t="s">
        <v>420</v>
      </c>
      <c r="P589" s="1" t="s">
        <v>580</v>
      </c>
      <c r="Q589" s="1">
        <v>2025</v>
      </c>
      <c r="R589" s="1">
        <v>1</v>
      </c>
      <c r="S589" s="1">
        <v>716.25</v>
      </c>
      <c r="T589" s="1">
        <v>716.25</v>
      </c>
      <c r="U589" s="1" t="s">
        <v>581</v>
      </c>
      <c r="V589" s="1" t="s">
        <v>420</v>
      </c>
      <c r="Y589" t="s">
        <v>580</v>
      </c>
      <c r="Z589" t="s">
        <v>1205</v>
      </c>
      <c r="AA589">
        <v>8264.5400000000009</v>
      </c>
      <c r="AB589">
        <v>755.59</v>
      </c>
      <c r="AC589" t="s">
        <v>420</v>
      </c>
      <c r="AD589" t="s">
        <v>581</v>
      </c>
    </row>
    <row r="590" spans="2:30" x14ac:dyDescent="0.25">
      <c r="B590" s="1" t="s">
        <v>930</v>
      </c>
      <c r="C590" s="1">
        <v>2026</v>
      </c>
      <c r="D590" s="1">
        <v>1</v>
      </c>
      <c r="E590" s="1">
        <v>102.82</v>
      </c>
      <c r="F590" s="1">
        <v>102.82</v>
      </c>
      <c r="G590" s="1" t="s">
        <v>931</v>
      </c>
      <c r="H590" s="1" t="s">
        <v>420</v>
      </c>
      <c r="P590" s="1" t="s">
        <v>582</v>
      </c>
      <c r="Q590" s="1">
        <v>2025</v>
      </c>
      <c r="R590" s="1">
        <v>1</v>
      </c>
      <c r="S590" s="1">
        <v>21556.400000000001</v>
      </c>
      <c r="T590" s="1">
        <v>21556.400000000001</v>
      </c>
      <c r="U590" s="1" t="s">
        <v>583</v>
      </c>
      <c r="V590" s="1" t="s">
        <v>420</v>
      </c>
      <c r="Y590" t="s">
        <v>582</v>
      </c>
      <c r="Z590" t="s">
        <v>1205</v>
      </c>
      <c r="AA590">
        <v>377677.71</v>
      </c>
      <c r="AB590">
        <v>4763.63</v>
      </c>
      <c r="AC590" t="s">
        <v>420</v>
      </c>
      <c r="AD590" t="s">
        <v>583</v>
      </c>
    </row>
    <row r="591" spans="2:30" x14ac:dyDescent="0.25">
      <c r="B591" s="1" t="s">
        <v>574</v>
      </c>
      <c r="C591" s="1">
        <v>2026</v>
      </c>
      <c r="D591" s="1">
        <v>1</v>
      </c>
      <c r="E591" s="1">
        <v>67.66</v>
      </c>
      <c r="F591" s="1">
        <v>67.66</v>
      </c>
      <c r="G591" s="1" t="s">
        <v>575</v>
      </c>
      <c r="H591" s="1" t="s">
        <v>420</v>
      </c>
      <c r="P591" s="1" t="s">
        <v>584</v>
      </c>
      <c r="Q591" s="1">
        <v>2025</v>
      </c>
      <c r="R591" s="1">
        <v>1</v>
      </c>
      <c r="S591" s="1">
        <v>293.26</v>
      </c>
      <c r="T591" s="1">
        <v>293.26</v>
      </c>
      <c r="U591" s="1" t="s">
        <v>2097</v>
      </c>
      <c r="V591" s="1" t="s">
        <v>420</v>
      </c>
      <c r="Y591" t="s">
        <v>584</v>
      </c>
      <c r="Z591" t="s">
        <v>1205</v>
      </c>
      <c r="AA591">
        <v>639.78</v>
      </c>
      <c r="AB591">
        <v>0</v>
      </c>
      <c r="AC591" t="s">
        <v>420</v>
      </c>
      <c r="AD591" t="s">
        <v>2097</v>
      </c>
    </row>
    <row r="592" spans="2:30" x14ac:dyDescent="0.25">
      <c r="B592" s="1" t="s">
        <v>1429</v>
      </c>
      <c r="C592" s="1">
        <v>2026</v>
      </c>
      <c r="D592" s="1">
        <v>1</v>
      </c>
      <c r="E592" s="1">
        <v>0</v>
      </c>
      <c r="F592" s="1">
        <v>0</v>
      </c>
      <c r="G592" s="1" t="s">
        <v>1469</v>
      </c>
      <c r="H592" s="1" t="s">
        <v>420</v>
      </c>
      <c r="P592" s="1" t="s">
        <v>586</v>
      </c>
      <c r="Q592" s="1">
        <v>2025</v>
      </c>
      <c r="R592" s="1">
        <v>1</v>
      </c>
      <c r="S592" s="1">
        <v>2200</v>
      </c>
      <c r="T592" s="1">
        <v>2200</v>
      </c>
      <c r="U592" s="1" t="s">
        <v>587</v>
      </c>
      <c r="V592" s="1" t="s">
        <v>420</v>
      </c>
      <c r="Y592" t="s">
        <v>586</v>
      </c>
      <c r="Z592" t="s">
        <v>1205</v>
      </c>
      <c r="AA592">
        <v>25746.44</v>
      </c>
      <c r="AB592">
        <v>1065.1500000000001</v>
      </c>
      <c r="AC592" t="s">
        <v>420</v>
      </c>
      <c r="AD592" t="s">
        <v>587</v>
      </c>
    </row>
    <row r="593" spans="2:30" x14ac:dyDescent="0.25">
      <c r="B593" s="1" t="s">
        <v>576</v>
      </c>
      <c r="C593" s="1">
        <v>2026</v>
      </c>
      <c r="D593" s="1">
        <v>1</v>
      </c>
      <c r="E593" s="1">
        <v>0</v>
      </c>
      <c r="F593" s="1">
        <v>0</v>
      </c>
      <c r="G593" s="1" t="s">
        <v>577</v>
      </c>
      <c r="H593" s="1" t="s">
        <v>420</v>
      </c>
      <c r="P593" s="1" t="s">
        <v>934</v>
      </c>
      <c r="Q593" s="1">
        <v>2025</v>
      </c>
      <c r="R593" s="1">
        <v>1</v>
      </c>
      <c r="S593" s="1">
        <v>0</v>
      </c>
      <c r="T593" s="1">
        <v>0</v>
      </c>
      <c r="U593" s="1" t="s">
        <v>935</v>
      </c>
      <c r="V593" s="1" t="s">
        <v>420</v>
      </c>
      <c r="Y593" t="s">
        <v>934</v>
      </c>
      <c r="Z593" t="s">
        <v>1205</v>
      </c>
      <c r="AA593">
        <v>19.5</v>
      </c>
      <c r="AB593">
        <v>19.5</v>
      </c>
      <c r="AC593" t="s">
        <v>420</v>
      </c>
      <c r="AD593" t="s">
        <v>935</v>
      </c>
    </row>
    <row r="594" spans="2:30" x14ac:dyDescent="0.25">
      <c r="B594" s="1" t="s">
        <v>932</v>
      </c>
      <c r="C594" s="1">
        <v>2026</v>
      </c>
      <c r="D594" s="1">
        <v>1</v>
      </c>
      <c r="E594" s="1">
        <v>0</v>
      </c>
      <c r="F594" s="1">
        <v>0</v>
      </c>
      <c r="G594" s="1" t="s">
        <v>577</v>
      </c>
      <c r="H594" s="1" t="s">
        <v>420</v>
      </c>
      <c r="P594" s="1" t="s">
        <v>588</v>
      </c>
      <c r="Q594" s="1">
        <v>2025</v>
      </c>
      <c r="R594" s="1">
        <v>1</v>
      </c>
      <c r="S594" s="1">
        <v>0</v>
      </c>
      <c r="T594" s="1">
        <v>0</v>
      </c>
      <c r="U594" s="1" t="s">
        <v>589</v>
      </c>
      <c r="V594" s="1" t="s">
        <v>420</v>
      </c>
      <c r="Y594" t="s">
        <v>588</v>
      </c>
      <c r="Z594" t="s">
        <v>1205</v>
      </c>
      <c r="AA594">
        <v>499.88</v>
      </c>
      <c r="AB594">
        <v>0</v>
      </c>
      <c r="AC594" t="s">
        <v>420</v>
      </c>
      <c r="AD594" t="s">
        <v>589</v>
      </c>
    </row>
    <row r="595" spans="2:30" x14ac:dyDescent="0.25">
      <c r="B595" s="1" t="s">
        <v>578</v>
      </c>
      <c r="C595" s="1">
        <v>2026</v>
      </c>
      <c r="D595" s="1">
        <v>1</v>
      </c>
      <c r="E595" s="1">
        <v>1264.8800000000001</v>
      </c>
      <c r="F595" s="1">
        <v>1264.8800000000001</v>
      </c>
      <c r="G595" s="1" t="s">
        <v>579</v>
      </c>
      <c r="H595" s="1" t="s">
        <v>420</v>
      </c>
      <c r="P595" s="1" t="s">
        <v>1430</v>
      </c>
      <c r="Q595" s="1">
        <v>2025</v>
      </c>
      <c r="R595" s="1">
        <v>1</v>
      </c>
      <c r="S595" s="1">
        <v>0</v>
      </c>
      <c r="T595" s="1">
        <v>0</v>
      </c>
      <c r="U595" s="1" t="s">
        <v>1470</v>
      </c>
      <c r="V595" s="1" t="s">
        <v>420</v>
      </c>
      <c r="Y595" t="s">
        <v>1430</v>
      </c>
      <c r="Z595" t="s">
        <v>1205</v>
      </c>
      <c r="AA595">
        <v>0</v>
      </c>
      <c r="AB595">
        <v>0</v>
      </c>
      <c r="AC595" t="s">
        <v>420</v>
      </c>
      <c r="AD595" t="s">
        <v>1470</v>
      </c>
    </row>
    <row r="596" spans="2:30" x14ac:dyDescent="0.25">
      <c r="B596" s="1" t="s">
        <v>933</v>
      </c>
      <c r="C596" s="1">
        <v>2026</v>
      </c>
      <c r="D596" s="1">
        <v>1</v>
      </c>
      <c r="E596" s="1">
        <v>0</v>
      </c>
      <c r="F596" s="1">
        <v>0</v>
      </c>
      <c r="G596" s="1" t="s">
        <v>579</v>
      </c>
      <c r="H596" s="1" t="s">
        <v>420</v>
      </c>
      <c r="P596" s="1" t="s">
        <v>590</v>
      </c>
      <c r="Q596" s="1">
        <v>2025</v>
      </c>
      <c r="R596" s="1">
        <v>1</v>
      </c>
      <c r="S596" s="1">
        <v>848</v>
      </c>
      <c r="T596" s="1">
        <v>848</v>
      </c>
      <c r="U596" s="1" t="s">
        <v>591</v>
      </c>
      <c r="V596" s="1" t="s">
        <v>420</v>
      </c>
      <c r="Y596" t="s">
        <v>590</v>
      </c>
      <c r="Z596" t="s">
        <v>1205</v>
      </c>
      <c r="AA596">
        <v>6463.97</v>
      </c>
      <c r="AB596">
        <v>1000</v>
      </c>
      <c r="AC596" t="s">
        <v>420</v>
      </c>
      <c r="AD596" t="s">
        <v>591</v>
      </c>
    </row>
    <row r="597" spans="2:30" x14ac:dyDescent="0.25">
      <c r="B597" s="1" t="s">
        <v>580</v>
      </c>
      <c r="C597" s="1">
        <v>2026</v>
      </c>
      <c r="D597" s="1">
        <v>1</v>
      </c>
      <c r="E597" s="1">
        <v>509.83</v>
      </c>
      <c r="F597" s="1">
        <v>509.83</v>
      </c>
      <c r="G597" s="1" t="s">
        <v>581</v>
      </c>
      <c r="H597" s="1" t="s">
        <v>420</v>
      </c>
      <c r="P597" s="1" t="s">
        <v>936</v>
      </c>
      <c r="Q597" s="1">
        <v>2025</v>
      </c>
      <c r="R597" s="1">
        <v>1</v>
      </c>
      <c r="S597" s="1">
        <v>0</v>
      </c>
      <c r="T597" s="1">
        <v>0</v>
      </c>
      <c r="U597" s="1" t="s">
        <v>591</v>
      </c>
      <c r="V597" s="1" t="s">
        <v>420</v>
      </c>
      <c r="Y597" t="s">
        <v>936</v>
      </c>
      <c r="Z597" t="s">
        <v>1205</v>
      </c>
      <c r="AA597">
        <v>0</v>
      </c>
      <c r="AB597">
        <v>0</v>
      </c>
      <c r="AC597" t="s">
        <v>420</v>
      </c>
      <c r="AD597" t="s">
        <v>591</v>
      </c>
    </row>
    <row r="598" spans="2:30" x14ac:dyDescent="0.25">
      <c r="B598" s="1" t="s">
        <v>582</v>
      </c>
      <c r="C598" s="1">
        <v>2026</v>
      </c>
      <c r="D598" s="1">
        <v>1</v>
      </c>
      <c r="E598" s="1">
        <v>12015.99</v>
      </c>
      <c r="F598" s="1">
        <v>12015.99</v>
      </c>
      <c r="G598" s="1" t="s">
        <v>583</v>
      </c>
      <c r="H598" s="1" t="s">
        <v>420</v>
      </c>
      <c r="P598" s="1" t="s">
        <v>592</v>
      </c>
      <c r="Q598" s="1">
        <v>2025</v>
      </c>
      <c r="R598" s="1">
        <v>1</v>
      </c>
      <c r="S598" s="1">
        <v>1731.24</v>
      </c>
      <c r="T598" s="1">
        <v>1731.24</v>
      </c>
      <c r="U598" s="1" t="s">
        <v>593</v>
      </c>
      <c r="V598" s="1" t="s">
        <v>420</v>
      </c>
      <c r="Y598" t="s">
        <v>592</v>
      </c>
      <c r="Z598" t="s">
        <v>1205</v>
      </c>
      <c r="AA598">
        <v>13695.1</v>
      </c>
      <c r="AB598">
        <v>1354.52</v>
      </c>
      <c r="AC598" t="s">
        <v>420</v>
      </c>
      <c r="AD598" t="s">
        <v>593</v>
      </c>
    </row>
    <row r="599" spans="2:30" x14ac:dyDescent="0.25">
      <c r="B599" s="1" t="s">
        <v>584</v>
      </c>
      <c r="C599" s="1">
        <v>2026</v>
      </c>
      <c r="D599" s="1">
        <v>1</v>
      </c>
      <c r="E599" s="1">
        <v>0</v>
      </c>
      <c r="F599" s="1">
        <v>0</v>
      </c>
      <c r="G599" s="1" t="s">
        <v>2097</v>
      </c>
      <c r="H599" s="1" t="s">
        <v>420</v>
      </c>
      <c r="P599" s="1" t="s">
        <v>937</v>
      </c>
      <c r="Q599" s="1">
        <v>2025</v>
      </c>
      <c r="R599" s="1">
        <v>1</v>
      </c>
      <c r="S599" s="1">
        <v>0</v>
      </c>
      <c r="T599" s="1">
        <v>0</v>
      </c>
      <c r="U599" s="1" t="s">
        <v>593</v>
      </c>
      <c r="V599" s="1" t="s">
        <v>420</v>
      </c>
      <c r="Y599" t="s">
        <v>937</v>
      </c>
      <c r="Z599" t="s">
        <v>1205</v>
      </c>
      <c r="AA599">
        <v>0</v>
      </c>
      <c r="AB599">
        <v>0</v>
      </c>
      <c r="AC599" t="s">
        <v>420</v>
      </c>
      <c r="AD599" t="s">
        <v>593</v>
      </c>
    </row>
    <row r="600" spans="2:30" x14ac:dyDescent="0.25">
      <c r="B600" s="1" t="s">
        <v>586</v>
      </c>
      <c r="C600" s="1">
        <v>2026</v>
      </c>
      <c r="D600" s="1">
        <v>1</v>
      </c>
      <c r="E600" s="1">
        <v>11912.05</v>
      </c>
      <c r="F600" s="1">
        <v>11912.05</v>
      </c>
      <c r="G600" s="1" t="s">
        <v>587</v>
      </c>
      <c r="H600" s="1" t="s">
        <v>420</v>
      </c>
      <c r="P600" s="1" t="s">
        <v>594</v>
      </c>
      <c r="Q600" s="1">
        <v>2025</v>
      </c>
      <c r="R600" s="1">
        <v>1</v>
      </c>
      <c r="S600" s="1">
        <v>1999.25</v>
      </c>
      <c r="T600" s="1">
        <v>1999.25</v>
      </c>
      <c r="U600" s="1" t="s">
        <v>595</v>
      </c>
      <c r="V600" s="1" t="s">
        <v>420</v>
      </c>
      <c r="Y600" t="s">
        <v>594</v>
      </c>
      <c r="Z600" t="s">
        <v>1205</v>
      </c>
      <c r="AA600">
        <v>53909.15</v>
      </c>
      <c r="AB600">
        <v>7375.5</v>
      </c>
      <c r="AC600" t="s">
        <v>420</v>
      </c>
      <c r="AD600" t="s">
        <v>595</v>
      </c>
    </row>
    <row r="601" spans="2:30" x14ac:dyDescent="0.25">
      <c r="B601" s="1" t="s">
        <v>934</v>
      </c>
      <c r="C601" s="1">
        <v>2026</v>
      </c>
      <c r="D601" s="1">
        <v>1</v>
      </c>
      <c r="E601" s="1">
        <v>0</v>
      </c>
      <c r="F601" s="1">
        <v>0</v>
      </c>
      <c r="G601" s="1" t="s">
        <v>935</v>
      </c>
      <c r="H601" s="1" t="s">
        <v>420</v>
      </c>
      <c r="P601" s="1" t="s">
        <v>596</v>
      </c>
      <c r="Q601" s="1">
        <v>2025</v>
      </c>
      <c r="R601" s="1">
        <v>1</v>
      </c>
      <c r="S601" s="1">
        <v>237.94</v>
      </c>
      <c r="T601" s="1">
        <v>237.94</v>
      </c>
      <c r="U601" s="1" t="s">
        <v>2098</v>
      </c>
      <c r="V601" s="1" t="s">
        <v>420</v>
      </c>
      <c r="Y601" t="s">
        <v>596</v>
      </c>
      <c r="Z601" t="s">
        <v>1205</v>
      </c>
      <c r="AA601">
        <v>5314.58</v>
      </c>
      <c r="AB601">
        <v>0</v>
      </c>
      <c r="AC601" t="s">
        <v>420</v>
      </c>
      <c r="AD601" t="s">
        <v>2098</v>
      </c>
    </row>
    <row r="602" spans="2:30" x14ac:dyDescent="0.25">
      <c r="B602" s="1" t="s">
        <v>588</v>
      </c>
      <c r="C602" s="1">
        <v>2026</v>
      </c>
      <c r="D602" s="1">
        <v>1</v>
      </c>
      <c r="E602" s="1">
        <v>0</v>
      </c>
      <c r="F602" s="1">
        <v>0</v>
      </c>
      <c r="G602" s="1" t="s">
        <v>589</v>
      </c>
      <c r="H602" s="1" t="s">
        <v>420</v>
      </c>
      <c r="P602" s="1" t="s">
        <v>598</v>
      </c>
      <c r="Q602" s="1">
        <v>2025</v>
      </c>
      <c r="R602" s="1">
        <v>1</v>
      </c>
      <c r="S602" s="1">
        <v>0</v>
      </c>
      <c r="T602" s="1">
        <v>0</v>
      </c>
      <c r="U602" s="1" t="s">
        <v>599</v>
      </c>
      <c r="V602" s="1" t="s">
        <v>420</v>
      </c>
      <c r="Y602" t="s">
        <v>598</v>
      </c>
      <c r="Z602" t="s">
        <v>1205</v>
      </c>
      <c r="AA602">
        <v>7351.3</v>
      </c>
      <c r="AB602">
        <v>1540.26</v>
      </c>
      <c r="AC602" t="s">
        <v>420</v>
      </c>
      <c r="AD602" t="s">
        <v>599</v>
      </c>
    </row>
    <row r="603" spans="2:30" x14ac:dyDescent="0.25">
      <c r="B603" s="1" t="s">
        <v>1430</v>
      </c>
      <c r="C603" s="1">
        <v>2026</v>
      </c>
      <c r="D603" s="1">
        <v>1</v>
      </c>
      <c r="E603" s="1">
        <v>0</v>
      </c>
      <c r="F603" s="1">
        <v>0</v>
      </c>
      <c r="G603" s="1" t="s">
        <v>1470</v>
      </c>
      <c r="H603" s="1" t="s">
        <v>420</v>
      </c>
      <c r="P603" s="1" t="s">
        <v>938</v>
      </c>
      <c r="Q603" s="1">
        <v>2025</v>
      </c>
      <c r="R603" s="1">
        <v>1</v>
      </c>
      <c r="S603" s="1">
        <v>0</v>
      </c>
      <c r="T603" s="1">
        <v>0</v>
      </c>
      <c r="U603" s="1" t="s">
        <v>599</v>
      </c>
      <c r="V603" s="1" t="s">
        <v>420</v>
      </c>
      <c r="Y603" t="s">
        <v>938</v>
      </c>
      <c r="Z603" t="s">
        <v>1205</v>
      </c>
      <c r="AA603">
        <v>0</v>
      </c>
      <c r="AB603">
        <v>0</v>
      </c>
      <c r="AC603" t="s">
        <v>420</v>
      </c>
      <c r="AD603" t="s">
        <v>599</v>
      </c>
    </row>
    <row r="604" spans="2:30" x14ac:dyDescent="0.25">
      <c r="B604" s="1" t="s">
        <v>590</v>
      </c>
      <c r="C604" s="1">
        <v>2026</v>
      </c>
      <c r="D604" s="1">
        <v>1</v>
      </c>
      <c r="E604" s="1">
        <v>1273</v>
      </c>
      <c r="F604" s="1">
        <v>1273</v>
      </c>
      <c r="G604" s="1" t="s">
        <v>591</v>
      </c>
      <c r="H604" s="1" t="s">
        <v>420</v>
      </c>
      <c r="P604" s="1" t="s">
        <v>600</v>
      </c>
      <c r="Q604" s="1">
        <v>2025</v>
      </c>
      <c r="R604" s="1">
        <v>1</v>
      </c>
      <c r="S604" s="1">
        <v>59.95</v>
      </c>
      <c r="T604" s="1">
        <v>59.95</v>
      </c>
      <c r="U604" s="1" t="s">
        <v>601</v>
      </c>
      <c r="V604" s="1" t="s">
        <v>420</v>
      </c>
      <c r="Y604" t="s">
        <v>600</v>
      </c>
      <c r="Z604" t="s">
        <v>1205</v>
      </c>
      <c r="AA604">
        <v>33937.81</v>
      </c>
      <c r="AB604">
        <v>5518.52</v>
      </c>
      <c r="AC604" t="s">
        <v>420</v>
      </c>
      <c r="AD604" t="s">
        <v>601</v>
      </c>
    </row>
    <row r="605" spans="2:30" x14ac:dyDescent="0.25">
      <c r="B605" s="1" t="s">
        <v>936</v>
      </c>
      <c r="C605" s="1">
        <v>2026</v>
      </c>
      <c r="D605" s="1">
        <v>1</v>
      </c>
      <c r="E605" s="1">
        <v>0</v>
      </c>
      <c r="F605" s="1">
        <v>0</v>
      </c>
      <c r="G605" s="1" t="s">
        <v>591</v>
      </c>
      <c r="H605" s="1" t="s">
        <v>420</v>
      </c>
      <c r="P605" s="1" t="s">
        <v>939</v>
      </c>
      <c r="Q605" s="1">
        <v>2025</v>
      </c>
      <c r="R605" s="1">
        <v>1</v>
      </c>
      <c r="S605" s="1">
        <v>0</v>
      </c>
      <c r="T605" s="1">
        <v>0</v>
      </c>
      <c r="U605" s="1" t="s">
        <v>940</v>
      </c>
      <c r="V605" s="1" t="s">
        <v>420</v>
      </c>
      <c r="Y605" t="s">
        <v>939</v>
      </c>
      <c r="Z605" t="s">
        <v>1205</v>
      </c>
      <c r="AA605">
        <v>6976.3</v>
      </c>
      <c r="AB605">
        <v>1540.26</v>
      </c>
      <c r="AC605" t="s">
        <v>420</v>
      </c>
      <c r="AD605" t="s">
        <v>940</v>
      </c>
    </row>
    <row r="606" spans="2:30" x14ac:dyDescent="0.25">
      <c r="B606" s="1" t="s">
        <v>592</v>
      </c>
      <c r="C606" s="1">
        <v>2026</v>
      </c>
      <c r="D606" s="1">
        <v>1</v>
      </c>
      <c r="E606" s="1">
        <v>726.26</v>
      </c>
      <c r="F606" s="1">
        <v>726.26</v>
      </c>
      <c r="G606" s="1" t="s">
        <v>593</v>
      </c>
      <c r="H606" s="1" t="s">
        <v>420</v>
      </c>
      <c r="P606" s="1" t="s">
        <v>602</v>
      </c>
      <c r="Q606" s="1">
        <v>2025</v>
      </c>
      <c r="R606" s="1">
        <v>1</v>
      </c>
      <c r="S606" s="1">
        <v>0</v>
      </c>
      <c r="T606" s="1">
        <v>0</v>
      </c>
      <c r="U606" s="1" t="s">
        <v>603</v>
      </c>
      <c r="V606" s="1" t="s">
        <v>420</v>
      </c>
      <c r="Y606" t="s">
        <v>602</v>
      </c>
      <c r="Z606" t="s">
        <v>1205</v>
      </c>
      <c r="AA606">
        <v>7176.3</v>
      </c>
      <c r="AB606">
        <v>1540.26</v>
      </c>
      <c r="AC606" t="s">
        <v>420</v>
      </c>
      <c r="AD606" t="s">
        <v>603</v>
      </c>
    </row>
    <row r="607" spans="2:30" x14ac:dyDescent="0.25">
      <c r="B607" s="1" t="s">
        <v>937</v>
      </c>
      <c r="C607" s="1">
        <v>2026</v>
      </c>
      <c r="D607" s="1">
        <v>1</v>
      </c>
      <c r="E607" s="1">
        <v>0</v>
      </c>
      <c r="F607" s="1">
        <v>0</v>
      </c>
      <c r="G607" s="1" t="s">
        <v>593</v>
      </c>
      <c r="H607" s="1" t="s">
        <v>420</v>
      </c>
      <c r="P607" s="1" t="s">
        <v>1431</v>
      </c>
      <c r="Q607" s="1">
        <v>2025</v>
      </c>
      <c r="R607" s="1">
        <v>1</v>
      </c>
      <c r="S607" s="1">
        <v>0</v>
      </c>
      <c r="T607" s="1">
        <v>0</v>
      </c>
      <c r="U607" s="1" t="s">
        <v>1471</v>
      </c>
      <c r="V607" s="1" t="s">
        <v>420</v>
      </c>
      <c r="Y607" t="s">
        <v>1431</v>
      </c>
      <c r="Z607" t="s">
        <v>1205</v>
      </c>
      <c r="AA607">
        <v>6976.3</v>
      </c>
      <c r="AB607">
        <v>1540.26</v>
      </c>
      <c r="AC607" t="s">
        <v>420</v>
      </c>
      <c r="AD607" t="s">
        <v>1471</v>
      </c>
    </row>
    <row r="608" spans="2:30" x14ac:dyDescent="0.25">
      <c r="B608" s="1" t="s">
        <v>594</v>
      </c>
      <c r="C608" s="1">
        <v>2026</v>
      </c>
      <c r="D608" s="1">
        <v>1</v>
      </c>
      <c r="E608" s="1">
        <v>8175.95</v>
      </c>
      <c r="F608" s="1">
        <v>8175.95</v>
      </c>
      <c r="G608" s="1" t="s">
        <v>595</v>
      </c>
      <c r="H608" s="1" t="s">
        <v>420</v>
      </c>
      <c r="P608" s="1" t="s">
        <v>604</v>
      </c>
      <c r="Q608" s="1">
        <v>2025</v>
      </c>
      <c r="R608" s="1">
        <v>1</v>
      </c>
      <c r="S608" s="1">
        <v>860.7</v>
      </c>
      <c r="T608" s="1">
        <v>860.7</v>
      </c>
      <c r="U608" s="1" t="s">
        <v>605</v>
      </c>
      <c r="V608" s="1" t="s">
        <v>420</v>
      </c>
      <c r="Y608" t="s">
        <v>604</v>
      </c>
      <c r="Z608" t="s">
        <v>1205</v>
      </c>
      <c r="AA608">
        <v>12021.27</v>
      </c>
      <c r="AB608">
        <v>1540.24</v>
      </c>
      <c r="AC608" t="s">
        <v>420</v>
      </c>
      <c r="AD608" t="s">
        <v>605</v>
      </c>
    </row>
    <row r="609" spans="2:30" x14ac:dyDescent="0.25">
      <c r="B609" s="1" t="s">
        <v>596</v>
      </c>
      <c r="C609" s="1">
        <v>2026</v>
      </c>
      <c r="D609" s="1">
        <v>1</v>
      </c>
      <c r="E609" s="1">
        <v>0</v>
      </c>
      <c r="F609" s="1">
        <v>0</v>
      </c>
      <c r="G609" s="1" t="s">
        <v>2098</v>
      </c>
      <c r="H609" s="1" t="s">
        <v>420</v>
      </c>
      <c r="P609" s="1" t="s">
        <v>941</v>
      </c>
      <c r="Q609" s="1">
        <v>2025</v>
      </c>
      <c r="R609" s="1">
        <v>1</v>
      </c>
      <c r="S609" s="1">
        <v>0</v>
      </c>
      <c r="T609" s="1">
        <v>0</v>
      </c>
      <c r="U609" s="1" t="s">
        <v>605</v>
      </c>
      <c r="V609" s="1" t="s">
        <v>420</v>
      </c>
      <c r="Y609" t="s">
        <v>941</v>
      </c>
      <c r="Z609" t="s">
        <v>1205</v>
      </c>
      <c r="AA609">
        <v>0</v>
      </c>
      <c r="AB609">
        <v>0</v>
      </c>
      <c r="AC609" t="s">
        <v>420</v>
      </c>
      <c r="AD609" t="s">
        <v>605</v>
      </c>
    </row>
    <row r="610" spans="2:30" x14ac:dyDescent="0.25">
      <c r="B610" s="1" t="s">
        <v>598</v>
      </c>
      <c r="C610" s="1">
        <v>2026</v>
      </c>
      <c r="D610" s="1">
        <v>1</v>
      </c>
      <c r="E610" s="1">
        <v>770.13</v>
      </c>
      <c r="F610" s="1">
        <v>770.13</v>
      </c>
      <c r="G610" s="1" t="s">
        <v>599</v>
      </c>
      <c r="H610" s="1" t="s">
        <v>420</v>
      </c>
      <c r="P610" s="1" t="s">
        <v>606</v>
      </c>
      <c r="Q610" s="1">
        <v>2025</v>
      </c>
      <c r="R610" s="1">
        <v>1</v>
      </c>
      <c r="S610" s="1">
        <v>1634.11</v>
      </c>
      <c r="T610" s="1">
        <v>1634.11</v>
      </c>
      <c r="U610" s="1" t="s">
        <v>607</v>
      </c>
      <c r="V610" s="1" t="s">
        <v>420</v>
      </c>
      <c r="Y610" t="s">
        <v>606</v>
      </c>
      <c r="Z610" t="s">
        <v>1205</v>
      </c>
      <c r="AA610">
        <v>18854.5</v>
      </c>
      <c r="AB610">
        <v>1540.24</v>
      </c>
      <c r="AC610" t="s">
        <v>420</v>
      </c>
      <c r="AD610" t="s">
        <v>607</v>
      </c>
    </row>
    <row r="611" spans="2:30" x14ac:dyDescent="0.25">
      <c r="B611" s="1" t="s">
        <v>938</v>
      </c>
      <c r="C611" s="1">
        <v>2026</v>
      </c>
      <c r="D611" s="1">
        <v>1</v>
      </c>
      <c r="E611" s="1">
        <v>0</v>
      </c>
      <c r="F611" s="1">
        <v>0</v>
      </c>
      <c r="G611" s="1" t="s">
        <v>599</v>
      </c>
      <c r="H611" s="1" t="s">
        <v>420</v>
      </c>
      <c r="P611" s="1" t="s">
        <v>942</v>
      </c>
      <c r="Q611" s="1">
        <v>2025</v>
      </c>
      <c r="R611" s="1">
        <v>1</v>
      </c>
      <c r="S611" s="1">
        <v>650</v>
      </c>
      <c r="T611" s="1">
        <v>650</v>
      </c>
      <c r="U611" s="1" t="s">
        <v>607</v>
      </c>
      <c r="V611" s="1" t="s">
        <v>420</v>
      </c>
      <c r="Y611" t="s">
        <v>942</v>
      </c>
      <c r="Z611" t="s">
        <v>1205</v>
      </c>
      <c r="AA611">
        <v>8006.2</v>
      </c>
      <c r="AB611">
        <v>1540.24</v>
      </c>
      <c r="AC611" t="s">
        <v>420</v>
      </c>
      <c r="AD611" t="s">
        <v>607</v>
      </c>
    </row>
    <row r="612" spans="2:30" x14ac:dyDescent="0.25">
      <c r="B612" s="1" t="s">
        <v>600</v>
      </c>
      <c r="C612" s="1">
        <v>2026</v>
      </c>
      <c r="D612" s="1">
        <v>1</v>
      </c>
      <c r="E612" s="1">
        <v>4110.3500000000004</v>
      </c>
      <c r="F612" s="1">
        <v>4110.3500000000004</v>
      </c>
      <c r="G612" s="1" t="s">
        <v>601</v>
      </c>
      <c r="H612" s="1" t="s">
        <v>420</v>
      </c>
      <c r="P612" s="1" t="s">
        <v>608</v>
      </c>
      <c r="Q612" s="1">
        <v>2025</v>
      </c>
      <c r="R612" s="1">
        <v>1</v>
      </c>
      <c r="S612" s="1">
        <v>0</v>
      </c>
      <c r="T612" s="1">
        <v>0</v>
      </c>
      <c r="U612" s="1" t="s">
        <v>609</v>
      </c>
      <c r="V612" s="1" t="s">
        <v>420</v>
      </c>
      <c r="Y612" t="s">
        <v>608</v>
      </c>
      <c r="Z612" t="s">
        <v>1205</v>
      </c>
      <c r="AA612">
        <v>10558.78</v>
      </c>
      <c r="AB612">
        <v>1540.24</v>
      </c>
      <c r="AC612" t="s">
        <v>420</v>
      </c>
      <c r="AD612" t="s">
        <v>609</v>
      </c>
    </row>
    <row r="613" spans="2:30" x14ac:dyDescent="0.25">
      <c r="B613" s="1" t="s">
        <v>939</v>
      </c>
      <c r="C613" s="1">
        <v>2026</v>
      </c>
      <c r="D613" s="1">
        <v>1</v>
      </c>
      <c r="E613" s="1">
        <v>770.13</v>
      </c>
      <c r="F613" s="1">
        <v>770.13</v>
      </c>
      <c r="G613" s="1" t="s">
        <v>940</v>
      </c>
      <c r="H613" s="1" t="s">
        <v>420</v>
      </c>
      <c r="P613" s="1" t="s">
        <v>943</v>
      </c>
      <c r="Q613" s="1">
        <v>2025</v>
      </c>
      <c r="R613" s="1">
        <v>1</v>
      </c>
      <c r="S613" s="1">
        <v>0</v>
      </c>
      <c r="T613" s="1">
        <v>0</v>
      </c>
      <c r="U613" s="1" t="s">
        <v>609</v>
      </c>
      <c r="V613" s="1" t="s">
        <v>420</v>
      </c>
      <c r="Y613" t="s">
        <v>943</v>
      </c>
      <c r="Z613" t="s">
        <v>1205</v>
      </c>
      <c r="AA613">
        <v>6976.2</v>
      </c>
      <c r="AB613">
        <v>1540.24</v>
      </c>
      <c r="AC613" t="s">
        <v>420</v>
      </c>
      <c r="AD613" t="s">
        <v>609</v>
      </c>
    </row>
    <row r="614" spans="2:30" x14ac:dyDescent="0.25">
      <c r="B614" s="1" t="s">
        <v>602</v>
      </c>
      <c r="C614" s="1">
        <v>2026</v>
      </c>
      <c r="D614" s="1">
        <v>1</v>
      </c>
      <c r="E614" s="1">
        <v>770.13</v>
      </c>
      <c r="F614" s="1">
        <v>770.13</v>
      </c>
      <c r="G614" s="1" t="s">
        <v>603</v>
      </c>
      <c r="H614" s="1" t="s">
        <v>420</v>
      </c>
      <c r="P614" s="1" t="s">
        <v>610</v>
      </c>
      <c r="Q614" s="1">
        <v>2025</v>
      </c>
      <c r="R614" s="1">
        <v>1</v>
      </c>
      <c r="S614" s="1">
        <v>0</v>
      </c>
      <c r="T614" s="1">
        <v>0</v>
      </c>
      <c r="U614" s="1" t="s">
        <v>1157</v>
      </c>
      <c r="V614" s="1" t="s">
        <v>420</v>
      </c>
      <c r="Y614" t="s">
        <v>610</v>
      </c>
      <c r="Z614" t="s">
        <v>1205</v>
      </c>
      <c r="AA614">
        <v>0</v>
      </c>
      <c r="AB614">
        <v>0</v>
      </c>
      <c r="AC614" t="s">
        <v>420</v>
      </c>
      <c r="AD614" t="s">
        <v>1157</v>
      </c>
    </row>
    <row r="615" spans="2:30" x14ac:dyDescent="0.25">
      <c r="B615" s="1" t="s">
        <v>1431</v>
      </c>
      <c r="C615" s="1">
        <v>2026</v>
      </c>
      <c r="D615" s="1">
        <v>1</v>
      </c>
      <c r="E615" s="1">
        <v>770.13</v>
      </c>
      <c r="F615" s="1">
        <v>770.13</v>
      </c>
      <c r="G615" s="1" t="s">
        <v>1471</v>
      </c>
      <c r="H615" s="1" t="s">
        <v>420</v>
      </c>
      <c r="P615" s="1" t="s">
        <v>612</v>
      </c>
      <c r="Q615" s="1">
        <v>2025</v>
      </c>
      <c r="R615" s="1">
        <v>1</v>
      </c>
      <c r="S615" s="1">
        <v>0</v>
      </c>
      <c r="T615" s="1">
        <v>0</v>
      </c>
      <c r="U615" s="1" t="s">
        <v>613</v>
      </c>
      <c r="V615" s="1" t="s">
        <v>420</v>
      </c>
      <c r="Y615" t="s">
        <v>612</v>
      </c>
      <c r="Z615" t="s">
        <v>1205</v>
      </c>
      <c r="AA615">
        <v>13.66</v>
      </c>
      <c r="AB615">
        <v>0</v>
      </c>
      <c r="AC615" t="s">
        <v>420</v>
      </c>
      <c r="AD615" t="s">
        <v>613</v>
      </c>
    </row>
    <row r="616" spans="2:30" x14ac:dyDescent="0.25">
      <c r="B616" s="1" t="s">
        <v>604</v>
      </c>
      <c r="C616" s="1">
        <v>2026</v>
      </c>
      <c r="D616" s="1">
        <v>1</v>
      </c>
      <c r="E616" s="1">
        <v>1750.87</v>
      </c>
      <c r="F616" s="1">
        <v>1750.87</v>
      </c>
      <c r="G616" s="1" t="s">
        <v>605</v>
      </c>
      <c r="H616" s="1" t="s">
        <v>420</v>
      </c>
      <c r="P616" s="1" t="s">
        <v>944</v>
      </c>
      <c r="Q616" s="1">
        <v>2025</v>
      </c>
      <c r="R616" s="1">
        <v>1</v>
      </c>
      <c r="S616" s="1">
        <v>0</v>
      </c>
      <c r="T616" s="1">
        <v>0</v>
      </c>
      <c r="U616" s="1" t="s">
        <v>945</v>
      </c>
      <c r="V616" s="1" t="s">
        <v>420</v>
      </c>
      <c r="Y616" t="s">
        <v>944</v>
      </c>
      <c r="Z616" t="s">
        <v>1205</v>
      </c>
      <c r="AA616">
        <v>0</v>
      </c>
      <c r="AB616">
        <v>0</v>
      </c>
      <c r="AC616" t="s">
        <v>420</v>
      </c>
      <c r="AD616" t="s">
        <v>945</v>
      </c>
    </row>
    <row r="617" spans="2:30" x14ac:dyDescent="0.25">
      <c r="B617" s="1" t="s">
        <v>941</v>
      </c>
      <c r="C617" s="1">
        <v>2026</v>
      </c>
      <c r="D617" s="1">
        <v>1</v>
      </c>
      <c r="E617" s="1">
        <v>0</v>
      </c>
      <c r="F617" s="1">
        <v>0</v>
      </c>
      <c r="G617" s="1" t="s">
        <v>605</v>
      </c>
      <c r="H617" s="1" t="s">
        <v>420</v>
      </c>
      <c r="P617" s="1" t="s">
        <v>614</v>
      </c>
      <c r="Q617" s="1">
        <v>2025</v>
      </c>
      <c r="R617" s="1">
        <v>1</v>
      </c>
      <c r="S617" s="1">
        <v>0</v>
      </c>
      <c r="T617" s="1">
        <v>0</v>
      </c>
      <c r="U617" s="1" t="s">
        <v>615</v>
      </c>
      <c r="V617" s="1" t="s">
        <v>420</v>
      </c>
      <c r="Y617" t="s">
        <v>614</v>
      </c>
      <c r="Z617" t="s">
        <v>1205</v>
      </c>
      <c r="AA617">
        <v>100</v>
      </c>
      <c r="AB617">
        <v>0</v>
      </c>
      <c r="AC617" t="s">
        <v>420</v>
      </c>
      <c r="AD617" t="s">
        <v>615</v>
      </c>
    </row>
    <row r="618" spans="2:30" x14ac:dyDescent="0.25">
      <c r="B618" s="1" t="s">
        <v>606</v>
      </c>
      <c r="C618" s="1">
        <v>2026</v>
      </c>
      <c r="D618" s="1">
        <v>1</v>
      </c>
      <c r="E618" s="1">
        <v>2041.37</v>
      </c>
      <c r="F618" s="1">
        <v>2041.37</v>
      </c>
      <c r="G618" s="1" t="s">
        <v>607</v>
      </c>
      <c r="H618" s="1" t="s">
        <v>420</v>
      </c>
      <c r="P618" s="1" t="s">
        <v>1432</v>
      </c>
      <c r="Q618" s="1">
        <v>2025</v>
      </c>
      <c r="R618" s="1">
        <v>1</v>
      </c>
      <c r="S618" s="1">
        <v>0</v>
      </c>
      <c r="T618" s="1">
        <v>0</v>
      </c>
      <c r="U618" s="1" t="s">
        <v>1472</v>
      </c>
      <c r="V618" s="1" t="s">
        <v>420</v>
      </c>
      <c r="Y618" t="s">
        <v>1432</v>
      </c>
      <c r="Z618" t="s">
        <v>1205</v>
      </c>
      <c r="AA618">
        <v>0</v>
      </c>
      <c r="AB618">
        <v>0</v>
      </c>
      <c r="AC618" t="s">
        <v>420</v>
      </c>
      <c r="AD618" t="s">
        <v>1472</v>
      </c>
    </row>
    <row r="619" spans="2:30" x14ac:dyDescent="0.25">
      <c r="B619" s="1" t="s">
        <v>942</v>
      </c>
      <c r="C619" s="1">
        <v>2026</v>
      </c>
      <c r="D619" s="1">
        <v>1</v>
      </c>
      <c r="E619" s="1">
        <v>770.12</v>
      </c>
      <c r="F619" s="1">
        <v>770.12</v>
      </c>
      <c r="G619" s="1" t="s">
        <v>607</v>
      </c>
      <c r="H619" s="1" t="s">
        <v>420</v>
      </c>
      <c r="P619" s="1" t="s">
        <v>616</v>
      </c>
      <c r="Q619" s="1">
        <v>2025</v>
      </c>
      <c r="R619" s="1">
        <v>1</v>
      </c>
      <c r="S619" s="1">
        <v>0</v>
      </c>
      <c r="T619" s="1">
        <v>0</v>
      </c>
      <c r="U619" s="1" t="s">
        <v>617</v>
      </c>
      <c r="V619" s="1" t="s">
        <v>420</v>
      </c>
      <c r="Y619" t="s">
        <v>616</v>
      </c>
      <c r="Z619" t="s">
        <v>1205</v>
      </c>
      <c r="AA619">
        <v>0</v>
      </c>
      <c r="AB619">
        <v>0</v>
      </c>
      <c r="AC619" t="s">
        <v>420</v>
      </c>
      <c r="AD619" t="s">
        <v>617</v>
      </c>
    </row>
    <row r="620" spans="2:30" x14ac:dyDescent="0.25">
      <c r="B620" s="1" t="s">
        <v>608</v>
      </c>
      <c r="C620" s="1">
        <v>2026</v>
      </c>
      <c r="D620" s="1">
        <v>1</v>
      </c>
      <c r="E620" s="1">
        <v>1516.37</v>
      </c>
      <c r="F620" s="1">
        <v>1516.37</v>
      </c>
      <c r="G620" s="1" t="s">
        <v>609</v>
      </c>
      <c r="H620" s="1" t="s">
        <v>420</v>
      </c>
      <c r="P620" s="1" t="s">
        <v>946</v>
      </c>
      <c r="Q620" s="1">
        <v>2025</v>
      </c>
      <c r="R620" s="1">
        <v>1</v>
      </c>
      <c r="S620" s="1">
        <v>0</v>
      </c>
      <c r="T620" s="1">
        <v>0</v>
      </c>
      <c r="U620" s="1" t="s">
        <v>617</v>
      </c>
      <c r="V620" s="1" t="s">
        <v>420</v>
      </c>
      <c r="Y620" t="s">
        <v>946</v>
      </c>
      <c r="Z620" t="s">
        <v>1205</v>
      </c>
      <c r="AA620">
        <v>0</v>
      </c>
      <c r="AB620">
        <v>0</v>
      </c>
      <c r="AC620" t="s">
        <v>420</v>
      </c>
      <c r="AD620" t="s">
        <v>617</v>
      </c>
    </row>
    <row r="621" spans="2:30" x14ac:dyDescent="0.25">
      <c r="B621" s="1" t="s">
        <v>943</v>
      </c>
      <c r="C621" s="1">
        <v>2026</v>
      </c>
      <c r="D621" s="1">
        <v>1</v>
      </c>
      <c r="E621" s="1">
        <v>770.12</v>
      </c>
      <c r="F621" s="1">
        <v>770.12</v>
      </c>
      <c r="G621" s="1" t="s">
        <v>609</v>
      </c>
      <c r="H621" s="1" t="s">
        <v>420</v>
      </c>
      <c r="P621" s="1" t="s">
        <v>618</v>
      </c>
      <c r="Q621" s="1">
        <v>2025</v>
      </c>
      <c r="R621" s="1">
        <v>1</v>
      </c>
      <c r="S621" s="1">
        <v>0</v>
      </c>
      <c r="T621" s="1">
        <v>0</v>
      </c>
      <c r="U621" s="1" t="s">
        <v>619</v>
      </c>
      <c r="V621" s="1" t="s">
        <v>420</v>
      </c>
      <c r="Y621" t="s">
        <v>618</v>
      </c>
      <c r="Z621" t="s">
        <v>1205</v>
      </c>
      <c r="AA621">
        <v>8534.2199999999993</v>
      </c>
      <c r="AB621">
        <v>0</v>
      </c>
      <c r="AC621" t="s">
        <v>420</v>
      </c>
      <c r="AD621" t="s">
        <v>619</v>
      </c>
    </row>
    <row r="622" spans="2:30" x14ac:dyDescent="0.25">
      <c r="B622" s="1" t="s">
        <v>610</v>
      </c>
      <c r="C622" s="1">
        <v>2026</v>
      </c>
      <c r="D622" s="1">
        <v>1</v>
      </c>
      <c r="E622" s="1">
        <v>0</v>
      </c>
      <c r="F622" s="1">
        <v>0</v>
      </c>
      <c r="G622" s="1" t="s">
        <v>1157</v>
      </c>
      <c r="H622" s="1" t="s">
        <v>420</v>
      </c>
      <c r="P622" s="1" t="s">
        <v>947</v>
      </c>
      <c r="Q622" s="1">
        <v>2025</v>
      </c>
      <c r="R622" s="1">
        <v>1</v>
      </c>
      <c r="S622" s="1">
        <v>0</v>
      </c>
      <c r="T622" s="1">
        <v>0</v>
      </c>
      <c r="U622" s="1" t="s">
        <v>619</v>
      </c>
      <c r="V622" s="1" t="s">
        <v>420</v>
      </c>
      <c r="Y622" t="s">
        <v>947</v>
      </c>
      <c r="Z622" t="s">
        <v>1205</v>
      </c>
      <c r="AA622">
        <v>0</v>
      </c>
      <c r="AB622">
        <v>0</v>
      </c>
      <c r="AC622" t="s">
        <v>420</v>
      </c>
      <c r="AD622" t="s">
        <v>619</v>
      </c>
    </row>
    <row r="623" spans="2:30" x14ac:dyDescent="0.25">
      <c r="B623" s="1" t="s">
        <v>612</v>
      </c>
      <c r="C623" s="1">
        <v>2026</v>
      </c>
      <c r="D623" s="1">
        <v>1</v>
      </c>
      <c r="E623" s="1">
        <v>0</v>
      </c>
      <c r="F623" s="1">
        <v>0</v>
      </c>
      <c r="G623" s="1" t="s">
        <v>613</v>
      </c>
      <c r="H623" s="1" t="s">
        <v>420</v>
      </c>
      <c r="P623" s="1" t="s">
        <v>620</v>
      </c>
      <c r="Q623" s="1">
        <v>2025</v>
      </c>
      <c r="R623" s="1">
        <v>1</v>
      </c>
      <c r="S623" s="1">
        <v>0</v>
      </c>
      <c r="T623" s="1">
        <v>0</v>
      </c>
      <c r="U623" s="1" t="s">
        <v>621</v>
      </c>
      <c r="V623" s="1" t="s">
        <v>420</v>
      </c>
      <c r="Y623" t="s">
        <v>620</v>
      </c>
      <c r="Z623" t="s">
        <v>1205</v>
      </c>
      <c r="AA623">
        <v>0</v>
      </c>
      <c r="AB623">
        <v>0</v>
      </c>
      <c r="AC623" t="s">
        <v>420</v>
      </c>
      <c r="AD623" t="s">
        <v>621</v>
      </c>
    </row>
    <row r="624" spans="2:30" x14ac:dyDescent="0.25">
      <c r="B624" s="1" t="s">
        <v>944</v>
      </c>
      <c r="C624" s="1">
        <v>2026</v>
      </c>
      <c r="D624" s="1">
        <v>1</v>
      </c>
      <c r="E624" s="1">
        <v>0</v>
      </c>
      <c r="F624" s="1">
        <v>0</v>
      </c>
      <c r="G624" s="1" t="s">
        <v>945</v>
      </c>
      <c r="H624" s="1" t="s">
        <v>420</v>
      </c>
      <c r="P624" s="1" t="s">
        <v>622</v>
      </c>
      <c r="Q624" s="1">
        <v>2025</v>
      </c>
      <c r="R624" s="1">
        <v>1</v>
      </c>
      <c r="S624" s="1">
        <v>0</v>
      </c>
      <c r="T624" s="1">
        <v>0</v>
      </c>
      <c r="U624" s="1" t="s">
        <v>1158</v>
      </c>
      <c r="V624" s="1" t="s">
        <v>420</v>
      </c>
      <c r="Y624" t="s">
        <v>622</v>
      </c>
      <c r="Z624" t="s">
        <v>1205</v>
      </c>
      <c r="AA624">
        <v>0</v>
      </c>
      <c r="AB624">
        <v>0</v>
      </c>
      <c r="AC624" t="s">
        <v>420</v>
      </c>
      <c r="AD624" t="s">
        <v>1158</v>
      </c>
    </row>
    <row r="625" spans="2:30" x14ac:dyDescent="0.25">
      <c r="B625" s="1" t="s">
        <v>614</v>
      </c>
      <c r="C625" s="1">
        <v>2026</v>
      </c>
      <c r="D625" s="1">
        <v>1</v>
      </c>
      <c r="E625" s="1">
        <v>0</v>
      </c>
      <c r="F625" s="1">
        <v>0</v>
      </c>
      <c r="G625" s="1" t="s">
        <v>615</v>
      </c>
      <c r="H625" s="1" t="s">
        <v>420</v>
      </c>
      <c r="P625" s="1" t="s">
        <v>624</v>
      </c>
      <c r="Q625" s="1">
        <v>2025</v>
      </c>
      <c r="R625" s="1">
        <v>1</v>
      </c>
      <c r="S625" s="1">
        <v>0</v>
      </c>
      <c r="T625" s="1">
        <v>0</v>
      </c>
      <c r="U625" s="1" t="s">
        <v>625</v>
      </c>
      <c r="V625" s="1" t="s">
        <v>420</v>
      </c>
      <c r="Y625" t="s">
        <v>624</v>
      </c>
      <c r="Z625" t="s">
        <v>1205</v>
      </c>
      <c r="AA625">
        <v>0</v>
      </c>
      <c r="AB625">
        <v>0</v>
      </c>
      <c r="AC625" t="s">
        <v>420</v>
      </c>
      <c r="AD625" t="s">
        <v>625</v>
      </c>
    </row>
    <row r="626" spans="2:30" x14ac:dyDescent="0.25">
      <c r="B626" s="24" t="s">
        <v>1432</v>
      </c>
      <c r="C626" s="24">
        <v>2026</v>
      </c>
      <c r="D626" s="24">
        <v>1</v>
      </c>
      <c r="E626" s="24">
        <v>0</v>
      </c>
      <c r="F626" s="24">
        <v>0</v>
      </c>
      <c r="G626" s="24" t="s">
        <v>1472</v>
      </c>
      <c r="H626" s="24" t="s">
        <v>420</v>
      </c>
      <c r="P626" s="24" t="s">
        <v>948</v>
      </c>
      <c r="Q626" s="24">
        <v>2025</v>
      </c>
      <c r="R626" s="24">
        <v>1</v>
      </c>
      <c r="S626" s="24">
        <v>0</v>
      </c>
      <c r="T626" s="24">
        <v>0</v>
      </c>
      <c r="U626" s="24" t="s">
        <v>949</v>
      </c>
      <c r="V626" s="24" t="s">
        <v>420</v>
      </c>
      <c r="Y626" t="s">
        <v>948</v>
      </c>
      <c r="Z626" t="s">
        <v>1205</v>
      </c>
      <c r="AA626">
        <v>0</v>
      </c>
      <c r="AB626">
        <v>0</v>
      </c>
      <c r="AC626" t="s">
        <v>420</v>
      </c>
      <c r="AD626" t="s">
        <v>949</v>
      </c>
    </row>
    <row r="627" spans="2:30" x14ac:dyDescent="0.25">
      <c r="B627" s="24" t="s">
        <v>616</v>
      </c>
      <c r="C627" s="24">
        <v>2026</v>
      </c>
      <c r="D627" s="24">
        <v>1</v>
      </c>
      <c r="E627" s="24">
        <v>0</v>
      </c>
      <c r="F627" s="24">
        <v>0</v>
      </c>
      <c r="G627" s="24" t="s">
        <v>617</v>
      </c>
      <c r="H627" s="24" t="s">
        <v>420</v>
      </c>
      <c r="P627" s="1" t="s">
        <v>626</v>
      </c>
      <c r="Q627" s="1">
        <v>2025</v>
      </c>
      <c r="R627" s="1">
        <v>1</v>
      </c>
      <c r="S627" s="1">
        <v>0</v>
      </c>
      <c r="T627" s="1">
        <v>0</v>
      </c>
      <c r="U627" s="1" t="s">
        <v>627</v>
      </c>
      <c r="V627" s="1" t="s">
        <v>420</v>
      </c>
      <c r="Y627" t="s">
        <v>626</v>
      </c>
      <c r="Z627" t="s">
        <v>1205</v>
      </c>
      <c r="AA627">
        <v>0</v>
      </c>
      <c r="AB627">
        <v>0</v>
      </c>
      <c r="AC627" t="s">
        <v>420</v>
      </c>
      <c r="AD627" t="s">
        <v>627</v>
      </c>
    </row>
    <row r="628" spans="2:30" x14ac:dyDescent="0.25">
      <c r="B628" s="24" t="s">
        <v>946</v>
      </c>
      <c r="C628" s="24">
        <v>2026</v>
      </c>
      <c r="D628" s="24">
        <v>1</v>
      </c>
      <c r="E628" s="24">
        <v>0</v>
      </c>
      <c r="F628" s="24">
        <v>0</v>
      </c>
      <c r="G628" s="24" t="s">
        <v>617</v>
      </c>
      <c r="H628" s="24" t="s">
        <v>420</v>
      </c>
      <c r="P628" s="1" t="s">
        <v>1433</v>
      </c>
      <c r="Q628" s="1">
        <v>2025</v>
      </c>
      <c r="R628" s="1">
        <v>1</v>
      </c>
      <c r="S628" s="1">
        <v>0</v>
      </c>
      <c r="T628" s="1">
        <v>0</v>
      </c>
      <c r="U628" s="1" t="s">
        <v>1473</v>
      </c>
      <c r="V628" s="1" t="s">
        <v>420</v>
      </c>
      <c r="Y628" t="s">
        <v>1433</v>
      </c>
      <c r="Z628" t="s">
        <v>1205</v>
      </c>
      <c r="AA628">
        <v>0</v>
      </c>
      <c r="AB628">
        <v>0</v>
      </c>
      <c r="AC628" t="s">
        <v>420</v>
      </c>
      <c r="AD628" t="s">
        <v>1473</v>
      </c>
    </row>
    <row r="629" spans="2:30" x14ac:dyDescent="0.25">
      <c r="B629" s="24" t="s">
        <v>618</v>
      </c>
      <c r="C629" s="24">
        <v>2026</v>
      </c>
      <c r="D629" s="24">
        <v>1</v>
      </c>
      <c r="E629" s="24">
        <v>0</v>
      </c>
      <c r="F629" s="24">
        <v>0</v>
      </c>
      <c r="G629" s="24" t="s">
        <v>619</v>
      </c>
      <c r="H629" s="24" t="s">
        <v>420</v>
      </c>
      <c r="P629" s="1" t="s">
        <v>628</v>
      </c>
      <c r="Q629" s="1">
        <v>2025</v>
      </c>
      <c r="R629" s="1">
        <v>1</v>
      </c>
      <c r="S629" s="1">
        <v>0</v>
      </c>
      <c r="T629" s="1">
        <v>0</v>
      </c>
      <c r="U629" s="1" t="s">
        <v>629</v>
      </c>
      <c r="V629" s="1" t="s">
        <v>420</v>
      </c>
      <c r="Y629" t="s">
        <v>628</v>
      </c>
      <c r="Z629" t="s">
        <v>1205</v>
      </c>
      <c r="AA629">
        <v>0</v>
      </c>
      <c r="AB629">
        <v>0</v>
      </c>
      <c r="AC629" t="s">
        <v>420</v>
      </c>
      <c r="AD629" t="s">
        <v>629</v>
      </c>
    </row>
    <row r="630" spans="2:30" x14ac:dyDescent="0.25">
      <c r="B630" s="65" t="s">
        <v>947</v>
      </c>
      <c r="C630" s="65">
        <v>2026</v>
      </c>
      <c r="D630" s="65">
        <v>1</v>
      </c>
      <c r="E630" s="65">
        <v>0</v>
      </c>
      <c r="F630" s="65">
        <v>0</v>
      </c>
      <c r="G630" s="65" t="s">
        <v>619</v>
      </c>
      <c r="H630" s="65" t="s">
        <v>420</v>
      </c>
      <c r="P630" s="1" t="s">
        <v>950</v>
      </c>
      <c r="Q630" s="1">
        <v>2025</v>
      </c>
      <c r="R630" s="1">
        <v>1</v>
      </c>
      <c r="S630" s="1">
        <v>0</v>
      </c>
      <c r="T630" s="1">
        <v>0</v>
      </c>
      <c r="U630" s="1" t="s">
        <v>629</v>
      </c>
      <c r="V630" s="1" t="s">
        <v>420</v>
      </c>
      <c r="Y630" t="s">
        <v>950</v>
      </c>
      <c r="Z630" t="s">
        <v>1205</v>
      </c>
      <c r="AA630">
        <v>0</v>
      </c>
      <c r="AB630">
        <v>0</v>
      </c>
      <c r="AC630" t="s">
        <v>420</v>
      </c>
      <c r="AD630" t="s">
        <v>629</v>
      </c>
    </row>
    <row r="631" spans="2:30" x14ac:dyDescent="0.25">
      <c r="B631" s="65" t="s">
        <v>620</v>
      </c>
      <c r="C631" s="65">
        <v>2026</v>
      </c>
      <c r="D631" s="65">
        <v>1</v>
      </c>
      <c r="E631" s="65">
        <v>0</v>
      </c>
      <c r="F631" s="65">
        <v>0</v>
      </c>
      <c r="G631" s="65" t="s">
        <v>621</v>
      </c>
      <c r="H631" s="65" t="s">
        <v>420</v>
      </c>
      <c r="P631" s="1" t="s">
        <v>630</v>
      </c>
      <c r="Q631" s="1">
        <v>2025</v>
      </c>
      <c r="R631" s="1">
        <v>1</v>
      </c>
      <c r="S631" s="1">
        <v>0</v>
      </c>
      <c r="T631" s="1">
        <v>0</v>
      </c>
      <c r="U631" s="1" t="s">
        <v>631</v>
      </c>
      <c r="V631" s="1" t="s">
        <v>420</v>
      </c>
      <c r="Y631" t="s">
        <v>630</v>
      </c>
      <c r="Z631" t="s">
        <v>1205</v>
      </c>
      <c r="AA631">
        <v>0</v>
      </c>
      <c r="AB631">
        <v>0</v>
      </c>
      <c r="AC631" t="s">
        <v>420</v>
      </c>
      <c r="AD631" t="s">
        <v>631</v>
      </c>
    </row>
    <row r="632" spans="2:30" x14ac:dyDescent="0.25">
      <c r="B632" s="65" t="s">
        <v>622</v>
      </c>
      <c r="C632" s="65">
        <v>2026</v>
      </c>
      <c r="D632" s="65">
        <v>1</v>
      </c>
      <c r="E632" s="65">
        <v>0</v>
      </c>
      <c r="F632" s="65">
        <v>0</v>
      </c>
      <c r="G632" s="65" t="s">
        <v>1158</v>
      </c>
      <c r="H632" s="65" t="s">
        <v>420</v>
      </c>
      <c r="P632" s="1" t="s">
        <v>951</v>
      </c>
      <c r="Q632" s="1">
        <v>2025</v>
      </c>
      <c r="R632" s="1">
        <v>1</v>
      </c>
      <c r="S632" s="1">
        <v>0</v>
      </c>
      <c r="T632" s="1">
        <v>0</v>
      </c>
      <c r="U632" s="1" t="s">
        <v>631</v>
      </c>
      <c r="V632" s="1" t="s">
        <v>420</v>
      </c>
      <c r="Y632" t="s">
        <v>951</v>
      </c>
      <c r="Z632" t="s">
        <v>1205</v>
      </c>
      <c r="AA632">
        <v>0</v>
      </c>
      <c r="AB632">
        <v>0</v>
      </c>
      <c r="AC632" t="s">
        <v>420</v>
      </c>
      <c r="AD632" t="s">
        <v>631</v>
      </c>
    </row>
    <row r="633" spans="2:30" x14ac:dyDescent="0.25">
      <c r="B633" s="65" t="s">
        <v>624</v>
      </c>
      <c r="C633" s="65">
        <v>2026</v>
      </c>
      <c r="D633" s="65">
        <v>1</v>
      </c>
      <c r="E633" s="65">
        <v>0</v>
      </c>
      <c r="F633" s="65">
        <v>0</v>
      </c>
      <c r="G633" s="65" t="s">
        <v>625</v>
      </c>
      <c r="H633" s="65" t="s">
        <v>420</v>
      </c>
      <c r="P633" s="1" t="s">
        <v>632</v>
      </c>
      <c r="Q633" s="1">
        <v>2025</v>
      </c>
      <c r="R633" s="1">
        <v>1</v>
      </c>
      <c r="S633" s="1">
        <v>0</v>
      </c>
      <c r="T633" s="1">
        <v>0</v>
      </c>
      <c r="U633" s="1" t="s">
        <v>633</v>
      </c>
      <c r="V633" s="1" t="s">
        <v>420</v>
      </c>
      <c r="Y633" t="s">
        <v>632</v>
      </c>
      <c r="Z633" t="s">
        <v>1205</v>
      </c>
      <c r="AA633">
        <v>0</v>
      </c>
      <c r="AB633">
        <v>0</v>
      </c>
      <c r="AC633" t="s">
        <v>420</v>
      </c>
      <c r="AD633" t="s">
        <v>633</v>
      </c>
    </row>
    <row r="634" spans="2:30" x14ac:dyDescent="0.25">
      <c r="B634" s="65" t="s">
        <v>948</v>
      </c>
      <c r="C634" s="65">
        <v>2026</v>
      </c>
      <c r="D634" s="65">
        <v>1</v>
      </c>
      <c r="E634" s="65">
        <v>0</v>
      </c>
      <c r="F634" s="65">
        <v>0</v>
      </c>
      <c r="G634" s="65" t="s">
        <v>949</v>
      </c>
      <c r="H634" s="65" t="s">
        <v>420</v>
      </c>
      <c r="P634" s="1" t="s">
        <v>634</v>
      </c>
      <c r="Q634" s="1">
        <v>2025</v>
      </c>
      <c r="R634" s="1">
        <v>1</v>
      </c>
      <c r="S634" s="1">
        <v>0</v>
      </c>
      <c r="T634" s="1">
        <v>0</v>
      </c>
      <c r="U634" s="1" t="s">
        <v>635</v>
      </c>
      <c r="V634" s="1" t="s">
        <v>420</v>
      </c>
      <c r="Y634" t="s">
        <v>634</v>
      </c>
      <c r="Z634" t="s">
        <v>1205</v>
      </c>
      <c r="AA634">
        <v>9609.14</v>
      </c>
      <c r="AB634">
        <v>-10.34</v>
      </c>
      <c r="AC634" t="s">
        <v>420</v>
      </c>
      <c r="AD634" t="s">
        <v>635</v>
      </c>
    </row>
    <row r="635" spans="2:30" x14ac:dyDescent="0.25">
      <c r="B635" s="65" t="s">
        <v>626</v>
      </c>
      <c r="C635" s="65">
        <v>2026</v>
      </c>
      <c r="D635" s="65">
        <v>1</v>
      </c>
      <c r="E635" s="65">
        <v>0</v>
      </c>
      <c r="F635" s="65">
        <v>0</v>
      </c>
      <c r="G635" s="65" t="s">
        <v>627</v>
      </c>
      <c r="H635" s="65" t="s">
        <v>420</v>
      </c>
      <c r="P635" s="24" t="s">
        <v>636</v>
      </c>
      <c r="Q635" s="24">
        <v>2025</v>
      </c>
      <c r="R635" s="24">
        <v>1</v>
      </c>
      <c r="S635" s="24">
        <v>100</v>
      </c>
      <c r="T635" s="24">
        <v>100</v>
      </c>
      <c r="U635" s="24" t="s">
        <v>637</v>
      </c>
      <c r="V635" s="24" t="s">
        <v>420</v>
      </c>
      <c r="Y635" t="s">
        <v>636</v>
      </c>
      <c r="Z635" t="s">
        <v>1205</v>
      </c>
      <c r="AA635">
        <v>350</v>
      </c>
      <c r="AB635">
        <v>0</v>
      </c>
      <c r="AC635" t="s">
        <v>420</v>
      </c>
      <c r="AD635" t="s">
        <v>637</v>
      </c>
    </row>
    <row r="636" spans="2:30" x14ac:dyDescent="0.25">
      <c r="B636" s="65" t="s">
        <v>1433</v>
      </c>
      <c r="C636" s="65">
        <v>2026</v>
      </c>
      <c r="D636" s="65">
        <v>1</v>
      </c>
      <c r="E636" s="65">
        <v>0</v>
      </c>
      <c r="F636" s="65">
        <v>0</v>
      </c>
      <c r="G636" s="65" t="s">
        <v>1473</v>
      </c>
      <c r="H636" s="65" t="s">
        <v>420</v>
      </c>
      <c r="P636" s="24" t="s">
        <v>638</v>
      </c>
      <c r="Q636" s="24">
        <v>2025</v>
      </c>
      <c r="R636" s="24">
        <v>1</v>
      </c>
      <c r="S636" s="24">
        <v>-155.19999999999999</v>
      </c>
      <c r="T636" s="24">
        <v>-155.19999999999999</v>
      </c>
      <c r="U636" s="24" t="s">
        <v>1151</v>
      </c>
      <c r="V636" s="24" t="s">
        <v>420</v>
      </c>
      <c r="Y636" t="s">
        <v>638</v>
      </c>
      <c r="Z636" t="s">
        <v>1205</v>
      </c>
      <c r="AA636">
        <v>-1430.1</v>
      </c>
      <c r="AB636">
        <v>-92.8</v>
      </c>
      <c r="AC636" t="s">
        <v>420</v>
      </c>
      <c r="AD636" t="s">
        <v>1151</v>
      </c>
    </row>
    <row r="637" spans="2:30" x14ac:dyDescent="0.25">
      <c r="B637" s="65" t="s">
        <v>628</v>
      </c>
      <c r="C637" s="65">
        <v>2026</v>
      </c>
      <c r="D637" s="65">
        <v>1</v>
      </c>
      <c r="E637" s="65">
        <v>0</v>
      </c>
      <c r="F637" s="65">
        <v>0</v>
      </c>
      <c r="G637" s="65" t="s">
        <v>629</v>
      </c>
      <c r="H637" s="65" t="s">
        <v>420</v>
      </c>
      <c r="P637" s="24" t="s">
        <v>640</v>
      </c>
      <c r="Q637" s="24">
        <v>2025</v>
      </c>
      <c r="R637" s="24">
        <v>1</v>
      </c>
      <c r="S637" s="24">
        <v>0</v>
      </c>
      <c r="T637" s="24">
        <v>0</v>
      </c>
      <c r="U637" s="24" t="s">
        <v>641</v>
      </c>
      <c r="V637" s="24" t="s">
        <v>420</v>
      </c>
      <c r="Y637" t="s">
        <v>640</v>
      </c>
      <c r="Z637" t="s">
        <v>1205</v>
      </c>
      <c r="AA637">
        <v>0</v>
      </c>
      <c r="AB637">
        <v>0</v>
      </c>
      <c r="AC637" t="s">
        <v>420</v>
      </c>
      <c r="AD637" t="s">
        <v>641</v>
      </c>
    </row>
    <row r="638" spans="2:30" x14ac:dyDescent="0.25">
      <c r="B638" s="65" t="s">
        <v>950</v>
      </c>
      <c r="C638" s="65">
        <v>2026</v>
      </c>
      <c r="D638" s="65">
        <v>1</v>
      </c>
      <c r="E638" s="65">
        <v>0</v>
      </c>
      <c r="F638" s="65">
        <v>0</v>
      </c>
      <c r="G638" s="65" t="s">
        <v>629</v>
      </c>
      <c r="H638" s="65" t="s">
        <v>420</v>
      </c>
      <c r="P638" s="65" t="s">
        <v>952</v>
      </c>
      <c r="Q638" s="65">
        <v>2025</v>
      </c>
      <c r="R638" s="65">
        <v>1</v>
      </c>
      <c r="S638" s="65">
        <v>0</v>
      </c>
      <c r="T638" s="65">
        <v>0</v>
      </c>
      <c r="U638" s="65" t="s">
        <v>641</v>
      </c>
      <c r="V638" s="65" t="s">
        <v>420</v>
      </c>
      <c r="Y638" t="s">
        <v>952</v>
      </c>
      <c r="Z638" t="s">
        <v>1205</v>
      </c>
      <c r="AA638">
        <v>0</v>
      </c>
      <c r="AB638">
        <v>0</v>
      </c>
      <c r="AC638" t="s">
        <v>420</v>
      </c>
      <c r="AD638" t="s">
        <v>641</v>
      </c>
    </row>
    <row r="639" spans="2:30" x14ac:dyDescent="0.25">
      <c r="B639" s="65" t="s">
        <v>630</v>
      </c>
      <c r="C639" s="65">
        <v>2026</v>
      </c>
      <c r="D639" s="65">
        <v>1</v>
      </c>
      <c r="E639" s="65">
        <v>0</v>
      </c>
      <c r="F639" s="65">
        <v>0</v>
      </c>
      <c r="G639" s="65" t="s">
        <v>631</v>
      </c>
      <c r="H639" s="65" t="s">
        <v>420</v>
      </c>
      <c r="P639" s="65" t="s">
        <v>642</v>
      </c>
      <c r="Q639" s="65">
        <v>2025</v>
      </c>
      <c r="R639" s="65">
        <v>1</v>
      </c>
      <c r="S639" s="65">
        <v>2658.83</v>
      </c>
      <c r="T639" s="65">
        <v>2658.83</v>
      </c>
      <c r="U639" s="65" t="s">
        <v>643</v>
      </c>
      <c r="V639" s="65" t="s">
        <v>420</v>
      </c>
      <c r="Y639" t="s">
        <v>642</v>
      </c>
      <c r="Z639" t="s">
        <v>1205</v>
      </c>
      <c r="AA639">
        <v>23479.53</v>
      </c>
      <c r="AB639">
        <v>-3.36</v>
      </c>
      <c r="AC639" t="s">
        <v>420</v>
      </c>
      <c r="AD639" t="s">
        <v>643</v>
      </c>
    </row>
    <row r="640" spans="2:30" x14ac:dyDescent="0.25">
      <c r="B640" s="65" t="s">
        <v>951</v>
      </c>
      <c r="C640" s="65">
        <v>2026</v>
      </c>
      <c r="D640" s="65">
        <v>1</v>
      </c>
      <c r="E640" s="65">
        <v>0</v>
      </c>
      <c r="F640" s="65">
        <v>0</v>
      </c>
      <c r="G640" s="65" t="s">
        <v>631</v>
      </c>
      <c r="H640" s="65" t="s">
        <v>420</v>
      </c>
      <c r="P640" s="65" t="s">
        <v>953</v>
      </c>
      <c r="Q640" s="65">
        <v>2025</v>
      </c>
      <c r="R640" s="65">
        <v>1</v>
      </c>
      <c r="S640" s="65">
        <v>2264.84</v>
      </c>
      <c r="T640" s="65">
        <v>2264.84</v>
      </c>
      <c r="U640" s="65" t="s">
        <v>954</v>
      </c>
      <c r="V640" s="65" t="s">
        <v>420</v>
      </c>
      <c r="Y640" t="s">
        <v>953</v>
      </c>
      <c r="Z640" t="s">
        <v>1205</v>
      </c>
      <c r="AA640">
        <v>28716.74</v>
      </c>
      <c r="AB640">
        <v>-868.1</v>
      </c>
      <c r="AC640" t="s">
        <v>420</v>
      </c>
      <c r="AD640" t="s">
        <v>954</v>
      </c>
    </row>
    <row r="641" spans="2:30" x14ac:dyDescent="0.25">
      <c r="B641" s="65" t="s">
        <v>632</v>
      </c>
      <c r="C641" s="65">
        <v>2026</v>
      </c>
      <c r="D641" s="65">
        <v>1</v>
      </c>
      <c r="E641" s="65">
        <v>0</v>
      </c>
      <c r="F641" s="65">
        <v>0</v>
      </c>
      <c r="G641" s="65" t="s">
        <v>633</v>
      </c>
      <c r="H641" s="65" t="s">
        <v>420</v>
      </c>
      <c r="P641" s="65" t="s">
        <v>644</v>
      </c>
      <c r="Q641" s="65">
        <v>2025</v>
      </c>
      <c r="R641" s="65">
        <v>1</v>
      </c>
      <c r="S641" s="65">
        <v>1093.73</v>
      </c>
      <c r="T641" s="65">
        <v>1093.73</v>
      </c>
      <c r="U641" s="65" t="s">
        <v>645</v>
      </c>
      <c r="V641" s="65" t="s">
        <v>420</v>
      </c>
      <c r="Y641" t="s">
        <v>644</v>
      </c>
      <c r="Z641" t="s">
        <v>1205</v>
      </c>
      <c r="AA641">
        <v>13588.74</v>
      </c>
      <c r="AB641">
        <v>-423.89</v>
      </c>
      <c r="AC641" t="s">
        <v>420</v>
      </c>
      <c r="AD641" t="s">
        <v>645</v>
      </c>
    </row>
    <row r="642" spans="2:30" x14ac:dyDescent="0.25">
      <c r="B642" s="65" t="s">
        <v>634</v>
      </c>
      <c r="C642" s="65">
        <v>2026</v>
      </c>
      <c r="D642" s="65">
        <v>1</v>
      </c>
      <c r="E642" s="65">
        <v>0</v>
      </c>
      <c r="F642" s="65">
        <v>0</v>
      </c>
      <c r="G642" s="65" t="s">
        <v>635</v>
      </c>
      <c r="H642" s="65" t="s">
        <v>420</v>
      </c>
      <c r="P642" s="65" t="s">
        <v>1422</v>
      </c>
      <c r="Q642" s="65">
        <v>2025</v>
      </c>
      <c r="R642" s="65">
        <v>1</v>
      </c>
      <c r="S642" s="65">
        <v>576.25</v>
      </c>
      <c r="T642" s="65">
        <v>576.25</v>
      </c>
      <c r="U642" s="65" t="s">
        <v>1474</v>
      </c>
      <c r="V642" s="65" t="s">
        <v>420</v>
      </c>
      <c r="Y642" t="s">
        <v>1422</v>
      </c>
      <c r="Z642" t="s">
        <v>1205</v>
      </c>
      <c r="AA642">
        <v>7221.99</v>
      </c>
      <c r="AB642">
        <v>-196.76</v>
      </c>
      <c r="AC642" t="s">
        <v>420</v>
      </c>
      <c r="AD642" t="s">
        <v>1474</v>
      </c>
    </row>
    <row r="643" spans="2:30" x14ac:dyDescent="0.25">
      <c r="B643" s="65" t="s">
        <v>636</v>
      </c>
      <c r="C643" s="65">
        <v>2026</v>
      </c>
      <c r="D643" s="65">
        <v>1</v>
      </c>
      <c r="E643" s="65">
        <v>0</v>
      </c>
      <c r="F643" s="65">
        <v>0</v>
      </c>
      <c r="G643" s="65" t="s">
        <v>637</v>
      </c>
      <c r="H643" s="65" t="s">
        <v>420</v>
      </c>
      <c r="P643" s="65" t="s">
        <v>646</v>
      </c>
      <c r="Q643" s="65">
        <v>2025</v>
      </c>
      <c r="R643" s="65">
        <v>1</v>
      </c>
      <c r="S643" s="65">
        <v>1308.01</v>
      </c>
      <c r="T643" s="65">
        <v>1308.01</v>
      </c>
      <c r="U643" s="65" t="s">
        <v>647</v>
      </c>
      <c r="V643" s="65" t="s">
        <v>420</v>
      </c>
      <c r="Y643" t="s">
        <v>646</v>
      </c>
      <c r="Z643" t="s">
        <v>1205</v>
      </c>
      <c r="AA643">
        <v>17466.259999999998</v>
      </c>
      <c r="AB643">
        <v>-1583.53</v>
      </c>
      <c r="AC643" t="s">
        <v>420</v>
      </c>
      <c r="AD643" t="s">
        <v>647</v>
      </c>
    </row>
    <row r="644" spans="2:30" x14ac:dyDescent="0.25">
      <c r="B644" s="65" t="s">
        <v>638</v>
      </c>
      <c r="C644" s="65">
        <v>2026</v>
      </c>
      <c r="D644" s="65">
        <v>1</v>
      </c>
      <c r="E644" s="65">
        <v>-139.19999999999999</v>
      </c>
      <c r="F644" s="65">
        <v>-139.19999999999999</v>
      </c>
      <c r="G644" s="65" t="s">
        <v>1151</v>
      </c>
      <c r="H644" s="65" t="s">
        <v>420</v>
      </c>
      <c r="P644" s="65" t="s">
        <v>955</v>
      </c>
      <c r="Q644" s="65">
        <v>2025</v>
      </c>
      <c r="R644" s="65">
        <v>1</v>
      </c>
      <c r="S644" s="65">
        <v>0</v>
      </c>
      <c r="T644" s="65">
        <v>0</v>
      </c>
      <c r="U644" s="65" t="s">
        <v>647</v>
      </c>
      <c r="V644" s="65" t="s">
        <v>420</v>
      </c>
      <c r="Y644" t="s">
        <v>955</v>
      </c>
      <c r="Z644" t="s">
        <v>1205</v>
      </c>
      <c r="AA644">
        <v>0</v>
      </c>
      <c r="AB644">
        <v>0</v>
      </c>
      <c r="AC644" t="s">
        <v>420</v>
      </c>
      <c r="AD644" t="s">
        <v>647</v>
      </c>
    </row>
    <row r="645" spans="2:30" x14ac:dyDescent="0.25">
      <c r="B645" s="65" t="s">
        <v>640</v>
      </c>
      <c r="C645" s="65">
        <v>2026</v>
      </c>
      <c r="D645" s="65">
        <v>1</v>
      </c>
      <c r="E645" s="65">
        <v>0</v>
      </c>
      <c r="F645" s="65">
        <v>0</v>
      </c>
      <c r="G645" s="65" t="s">
        <v>641</v>
      </c>
      <c r="H645" s="65" t="s">
        <v>420</v>
      </c>
      <c r="P645" s="65" t="s">
        <v>648</v>
      </c>
      <c r="Q645" s="65">
        <v>2025</v>
      </c>
      <c r="R645" s="65">
        <v>1</v>
      </c>
      <c r="S645" s="65">
        <v>22407.33</v>
      </c>
      <c r="T645" s="65">
        <v>22407.33</v>
      </c>
      <c r="U645" s="65" t="s">
        <v>2099</v>
      </c>
      <c r="V645" s="65" t="s">
        <v>420</v>
      </c>
      <c r="Y645" t="s">
        <v>648</v>
      </c>
      <c r="Z645" t="s">
        <v>1205</v>
      </c>
      <c r="AA645">
        <v>197770.33</v>
      </c>
      <c r="AB645">
        <v>-3890.07</v>
      </c>
      <c r="AC645" t="s">
        <v>420</v>
      </c>
      <c r="AD645" t="s">
        <v>2099</v>
      </c>
    </row>
    <row r="646" spans="2:30" x14ac:dyDescent="0.25">
      <c r="B646" s="65" t="s">
        <v>952</v>
      </c>
      <c r="C646" s="65">
        <v>2026</v>
      </c>
      <c r="D646" s="65">
        <v>1</v>
      </c>
      <c r="E646" s="65">
        <v>0</v>
      </c>
      <c r="F646" s="65">
        <v>0</v>
      </c>
      <c r="G646" s="65" t="s">
        <v>641</v>
      </c>
      <c r="H646" s="65" t="s">
        <v>420</v>
      </c>
      <c r="P646" s="65" t="s">
        <v>956</v>
      </c>
      <c r="Q646" s="65">
        <v>2025</v>
      </c>
      <c r="R646" s="65">
        <v>1</v>
      </c>
      <c r="S646" s="65">
        <v>0</v>
      </c>
      <c r="T646" s="65">
        <v>0</v>
      </c>
      <c r="U646" s="65" t="s">
        <v>2099</v>
      </c>
      <c r="V646" s="65" t="s">
        <v>420</v>
      </c>
      <c r="Y646" t="s">
        <v>956</v>
      </c>
      <c r="Z646" t="s">
        <v>1205</v>
      </c>
      <c r="AA646">
        <v>0</v>
      </c>
      <c r="AB646">
        <v>0</v>
      </c>
      <c r="AC646" t="s">
        <v>420</v>
      </c>
      <c r="AD646" t="s">
        <v>2099</v>
      </c>
    </row>
    <row r="647" spans="2:30" x14ac:dyDescent="0.25">
      <c r="B647" s="65" t="s">
        <v>642</v>
      </c>
      <c r="C647" s="65">
        <v>2026</v>
      </c>
      <c r="D647" s="65">
        <v>1</v>
      </c>
      <c r="E647" s="65">
        <v>867.33</v>
      </c>
      <c r="F647" s="65">
        <v>867.33</v>
      </c>
      <c r="G647" s="65" t="s">
        <v>643</v>
      </c>
      <c r="H647" s="65" t="s">
        <v>420</v>
      </c>
      <c r="P647" s="65" t="s">
        <v>649</v>
      </c>
      <c r="Q647" s="65">
        <v>2025</v>
      </c>
      <c r="R647" s="65">
        <v>1</v>
      </c>
      <c r="S647" s="65">
        <v>2380.62</v>
      </c>
      <c r="T647" s="65">
        <v>2380.62</v>
      </c>
      <c r="U647" s="65" t="s">
        <v>650</v>
      </c>
      <c r="V647" s="65" t="s">
        <v>420</v>
      </c>
      <c r="Y647" t="s">
        <v>649</v>
      </c>
      <c r="Z647" t="s">
        <v>1205</v>
      </c>
      <c r="AA647">
        <v>27569.07</v>
      </c>
      <c r="AB647">
        <v>-564.32000000000005</v>
      </c>
      <c r="AC647" t="s">
        <v>420</v>
      </c>
      <c r="AD647" t="s">
        <v>650</v>
      </c>
    </row>
    <row r="648" spans="2:30" x14ac:dyDescent="0.25">
      <c r="B648" s="65" t="s">
        <v>953</v>
      </c>
      <c r="C648" s="65">
        <v>2026</v>
      </c>
      <c r="D648" s="65">
        <v>1</v>
      </c>
      <c r="E648" s="65">
        <v>455.53</v>
      </c>
      <c r="F648" s="65">
        <v>455.53</v>
      </c>
      <c r="G648" s="65" t="s">
        <v>954</v>
      </c>
      <c r="H648" s="65" t="s">
        <v>420</v>
      </c>
      <c r="P648" s="65" t="s">
        <v>651</v>
      </c>
      <c r="Q648" s="65">
        <v>2025</v>
      </c>
      <c r="R648" s="65">
        <v>1</v>
      </c>
      <c r="S648" s="65">
        <v>0</v>
      </c>
      <c r="T648" s="65">
        <v>0</v>
      </c>
      <c r="U648" s="65" t="s">
        <v>652</v>
      </c>
      <c r="V648" s="65" t="s">
        <v>420</v>
      </c>
      <c r="Y648" t="s">
        <v>651</v>
      </c>
      <c r="Z648" t="s">
        <v>1205</v>
      </c>
      <c r="AA648">
        <v>0</v>
      </c>
      <c r="AB648">
        <v>0</v>
      </c>
      <c r="AC648" t="s">
        <v>420</v>
      </c>
      <c r="AD648" t="s">
        <v>652</v>
      </c>
    </row>
    <row r="649" spans="2:30" x14ac:dyDescent="0.25">
      <c r="B649" s="65" t="s">
        <v>644</v>
      </c>
      <c r="C649" s="65">
        <v>2026</v>
      </c>
      <c r="D649" s="65">
        <v>1</v>
      </c>
      <c r="E649" s="65">
        <v>430.75</v>
      </c>
      <c r="F649" s="65">
        <v>430.75</v>
      </c>
      <c r="G649" s="65" t="s">
        <v>645</v>
      </c>
      <c r="H649" s="65" t="s">
        <v>420</v>
      </c>
      <c r="P649" s="65" t="s">
        <v>957</v>
      </c>
      <c r="Q649" s="65">
        <v>2025</v>
      </c>
      <c r="R649" s="65">
        <v>1</v>
      </c>
      <c r="S649" s="65">
        <v>0</v>
      </c>
      <c r="T649" s="65">
        <v>0</v>
      </c>
      <c r="U649" s="65" t="s">
        <v>652</v>
      </c>
      <c r="V649" s="65" t="s">
        <v>420</v>
      </c>
      <c r="Y649" t="s">
        <v>957</v>
      </c>
      <c r="Z649" t="s">
        <v>1205</v>
      </c>
      <c r="AA649">
        <v>0</v>
      </c>
      <c r="AB649">
        <v>0</v>
      </c>
      <c r="AC649" t="s">
        <v>420</v>
      </c>
      <c r="AD649" t="s">
        <v>652</v>
      </c>
    </row>
    <row r="650" spans="2:30" x14ac:dyDescent="0.25">
      <c r="B650" s="65" t="s">
        <v>1422</v>
      </c>
      <c r="C650" s="65">
        <v>2026</v>
      </c>
      <c r="D650" s="65">
        <v>1</v>
      </c>
      <c r="E650" s="65">
        <v>191.31</v>
      </c>
      <c r="F650" s="65">
        <v>191.31</v>
      </c>
      <c r="G650" s="65" t="s">
        <v>1474</v>
      </c>
      <c r="H650" s="65" t="s">
        <v>420</v>
      </c>
      <c r="P650" s="65" t="s">
        <v>653</v>
      </c>
      <c r="Q650" s="65">
        <v>2025</v>
      </c>
      <c r="R650" s="65">
        <v>1</v>
      </c>
      <c r="S650" s="65">
        <v>0</v>
      </c>
      <c r="T650" s="65">
        <v>0</v>
      </c>
      <c r="U650" s="65" t="s">
        <v>1152</v>
      </c>
      <c r="V650" s="65" t="s">
        <v>420</v>
      </c>
      <c r="Y650" t="s">
        <v>653</v>
      </c>
      <c r="Z650" t="s">
        <v>1205</v>
      </c>
      <c r="AA650">
        <v>0</v>
      </c>
      <c r="AB650">
        <v>0</v>
      </c>
      <c r="AC650" t="s">
        <v>420</v>
      </c>
      <c r="AD650" t="s">
        <v>1152</v>
      </c>
    </row>
    <row r="651" spans="2:30" x14ac:dyDescent="0.25">
      <c r="B651" s="65" t="s">
        <v>646</v>
      </c>
      <c r="C651" s="65">
        <v>2026</v>
      </c>
      <c r="D651" s="65">
        <v>1</v>
      </c>
      <c r="E651" s="65">
        <v>-579.65</v>
      </c>
      <c r="F651" s="65">
        <v>-579.65</v>
      </c>
      <c r="G651" s="65" t="s">
        <v>647</v>
      </c>
      <c r="H651" s="65" t="s">
        <v>420</v>
      </c>
      <c r="P651" s="65" t="s">
        <v>655</v>
      </c>
      <c r="Q651" s="65">
        <v>2025</v>
      </c>
      <c r="R651" s="65">
        <v>1</v>
      </c>
      <c r="S651" s="65">
        <v>0</v>
      </c>
      <c r="T651" s="65">
        <v>0</v>
      </c>
      <c r="U651" s="65" t="s">
        <v>656</v>
      </c>
      <c r="V651" s="65" t="s">
        <v>420</v>
      </c>
      <c r="Y651" t="s">
        <v>655</v>
      </c>
      <c r="Z651" t="s">
        <v>1205</v>
      </c>
      <c r="AA651">
        <v>0</v>
      </c>
      <c r="AB651">
        <v>0</v>
      </c>
      <c r="AC651" t="s">
        <v>420</v>
      </c>
      <c r="AD651" t="s">
        <v>656</v>
      </c>
    </row>
    <row r="652" spans="2:30" x14ac:dyDescent="0.25">
      <c r="B652" s="65" t="s">
        <v>955</v>
      </c>
      <c r="C652" s="65">
        <v>2026</v>
      </c>
      <c r="D652" s="65">
        <v>1</v>
      </c>
      <c r="E652" s="65">
        <v>0</v>
      </c>
      <c r="F652" s="65">
        <v>0</v>
      </c>
      <c r="G652" s="65" t="s">
        <v>647</v>
      </c>
      <c r="H652" s="65" t="s">
        <v>420</v>
      </c>
      <c r="P652" s="65" t="s">
        <v>958</v>
      </c>
      <c r="Q652" s="65">
        <v>2025</v>
      </c>
      <c r="R652" s="65">
        <v>1</v>
      </c>
      <c r="S652" s="65">
        <v>0</v>
      </c>
      <c r="T652" s="65">
        <v>0</v>
      </c>
      <c r="U652" s="65" t="s">
        <v>656</v>
      </c>
      <c r="V652" s="65" t="s">
        <v>420</v>
      </c>
      <c r="Y652" t="s">
        <v>958</v>
      </c>
      <c r="Z652" t="s">
        <v>1205</v>
      </c>
      <c r="AA652">
        <v>0</v>
      </c>
      <c r="AB652">
        <v>0</v>
      </c>
      <c r="AC652" t="s">
        <v>420</v>
      </c>
      <c r="AD652" t="s">
        <v>656</v>
      </c>
    </row>
    <row r="653" spans="2:30" x14ac:dyDescent="0.25">
      <c r="B653" s="65" t="s">
        <v>648</v>
      </c>
      <c r="C653" s="65">
        <v>2026</v>
      </c>
      <c r="D653" s="65">
        <v>1</v>
      </c>
      <c r="E653" s="65">
        <v>4110.6000000000004</v>
      </c>
      <c r="F653" s="65">
        <v>4110.6000000000004</v>
      </c>
      <c r="G653" s="65" t="s">
        <v>2099</v>
      </c>
      <c r="H653" s="65" t="s">
        <v>420</v>
      </c>
      <c r="P653" s="65" t="s">
        <v>657</v>
      </c>
      <c r="Q653" s="65">
        <v>2025</v>
      </c>
      <c r="R653" s="65">
        <v>1</v>
      </c>
      <c r="S653" s="65">
        <v>749.55</v>
      </c>
      <c r="T653" s="65">
        <v>749.55</v>
      </c>
      <c r="U653" s="65" t="s">
        <v>658</v>
      </c>
      <c r="V653" s="65" t="s">
        <v>420</v>
      </c>
      <c r="Y653" t="s">
        <v>657</v>
      </c>
      <c r="Z653" t="s">
        <v>1205</v>
      </c>
      <c r="AA653">
        <v>8362.65</v>
      </c>
      <c r="AB653">
        <v>545.84</v>
      </c>
      <c r="AC653" t="s">
        <v>420</v>
      </c>
      <c r="AD653" t="s">
        <v>658</v>
      </c>
    </row>
    <row r="654" spans="2:30" x14ac:dyDescent="0.25">
      <c r="B654" s="65" t="s">
        <v>956</v>
      </c>
      <c r="C654" s="65">
        <v>2026</v>
      </c>
      <c r="D654" s="65">
        <v>1</v>
      </c>
      <c r="E654" s="65">
        <v>1762.06</v>
      </c>
      <c r="F654" s="65">
        <v>1762.06</v>
      </c>
      <c r="G654" s="65" t="s">
        <v>2099</v>
      </c>
      <c r="H654" s="65" t="s">
        <v>420</v>
      </c>
      <c r="P654" s="65" t="s">
        <v>959</v>
      </c>
      <c r="Q654" s="65">
        <v>2025</v>
      </c>
      <c r="R654" s="65">
        <v>1</v>
      </c>
      <c r="S654" s="65">
        <v>220.8</v>
      </c>
      <c r="T654" s="65">
        <v>220.8</v>
      </c>
      <c r="U654" s="65" t="s">
        <v>960</v>
      </c>
      <c r="V654" s="65" t="s">
        <v>420</v>
      </c>
      <c r="Y654" t="s">
        <v>959</v>
      </c>
      <c r="Z654" t="s">
        <v>1205</v>
      </c>
      <c r="AA654">
        <v>1705.9</v>
      </c>
      <c r="AB654">
        <v>147.19999999999999</v>
      </c>
      <c r="AC654" t="s">
        <v>420</v>
      </c>
      <c r="AD654" t="s">
        <v>960</v>
      </c>
    </row>
    <row r="655" spans="2:30" x14ac:dyDescent="0.25">
      <c r="B655" s="65" t="s">
        <v>649</v>
      </c>
      <c r="C655" s="65">
        <v>2026</v>
      </c>
      <c r="D655" s="65">
        <v>1</v>
      </c>
      <c r="E655" s="65">
        <v>582.33000000000004</v>
      </c>
      <c r="F655" s="65">
        <v>582.33000000000004</v>
      </c>
      <c r="G655" s="65" t="s">
        <v>650</v>
      </c>
      <c r="H655" s="65" t="s">
        <v>420</v>
      </c>
      <c r="P655" s="65" t="s">
        <v>659</v>
      </c>
      <c r="Q655" s="65">
        <v>2025</v>
      </c>
      <c r="R655" s="65">
        <v>1</v>
      </c>
      <c r="S655" s="65">
        <v>4161.5200000000004</v>
      </c>
      <c r="T655" s="65">
        <v>4161.5200000000004</v>
      </c>
      <c r="U655" s="65" t="s">
        <v>660</v>
      </c>
      <c r="V655" s="65" t="s">
        <v>420</v>
      </c>
      <c r="Y655" t="s">
        <v>659</v>
      </c>
      <c r="Z655" t="s">
        <v>1205</v>
      </c>
      <c r="AA655">
        <v>7000</v>
      </c>
      <c r="AB655">
        <v>0</v>
      </c>
      <c r="AC655" t="s">
        <v>420</v>
      </c>
      <c r="AD655" t="s">
        <v>660</v>
      </c>
    </row>
    <row r="656" spans="2:30" x14ac:dyDescent="0.25">
      <c r="B656" s="65" t="s">
        <v>651</v>
      </c>
      <c r="C656" s="65">
        <v>2026</v>
      </c>
      <c r="D656" s="65">
        <v>1</v>
      </c>
      <c r="E656" s="65">
        <v>0</v>
      </c>
      <c r="F656" s="65">
        <v>0</v>
      </c>
      <c r="G656" s="65" t="s">
        <v>652</v>
      </c>
      <c r="H656" s="65" t="s">
        <v>420</v>
      </c>
      <c r="P656" s="65" t="s">
        <v>1423</v>
      </c>
      <c r="Q656" s="65">
        <v>2025</v>
      </c>
      <c r="R656" s="65">
        <v>1</v>
      </c>
      <c r="S656" s="65">
        <v>0</v>
      </c>
      <c r="T656" s="65">
        <v>0</v>
      </c>
      <c r="U656" s="65" t="s">
        <v>1475</v>
      </c>
      <c r="V656" s="65" t="s">
        <v>420</v>
      </c>
      <c r="Y656" t="s">
        <v>1423</v>
      </c>
      <c r="Z656" t="s">
        <v>1205</v>
      </c>
      <c r="AA656">
        <v>0</v>
      </c>
      <c r="AB656">
        <v>0</v>
      </c>
      <c r="AC656" t="s">
        <v>420</v>
      </c>
      <c r="AD656" t="s">
        <v>1475</v>
      </c>
    </row>
    <row r="657" spans="2:30" x14ac:dyDescent="0.25">
      <c r="B657" s="65" t="s">
        <v>957</v>
      </c>
      <c r="C657" s="65">
        <v>2026</v>
      </c>
      <c r="D657" s="65">
        <v>1</v>
      </c>
      <c r="E657" s="65">
        <v>0</v>
      </c>
      <c r="F657" s="65">
        <v>0</v>
      </c>
      <c r="G657" s="65" t="s">
        <v>652</v>
      </c>
      <c r="H657" s="65" t="s">
        <v>420</v>
      </c>
      <c r="P657" s="65" t="s">
        <v>661</v>
      </c>
      <c r="Q657" s="65">
        <v>2025</v>
      </c>
      <c r="R657" s="65">
        <v>1</v>
      </c>
      <c r="S657" s="65">
        <v>468.41</v>
      </c>
      <c r="T657" s="65">
        <v>468.41</v>
      </c>
      <c r="U657" s="65" t="s">
        <v>662</v>
      </c>
      <c r="V657" s="65" t="s">
        <v>420</v>
      </c>
      <c r="Y657" t="s">
        <v>661</v>
      </c>
      <c r="Z657" t="s">
        <v>1205</v>
      </c>
      <c r="AA657">
        <v>4107.5</v>
      </c>
      <c r="AB657">
        <v>418.19</v>
      </c>
      <c r="AC657" t="s">
        <v>420</v>
      </c>
      <c r="AD657" t="s">
        <v>662</v>
      </c>
    </row>
    <row r="658" spans="2:30" x14ac:dyDescent="0.25">
      <c r="B658" s="65" t="s">
        <v>653</v>
      </c>
      <c r="C658" s="65">
        <v>2026</v>
      </c>
      <c r="D658" s="65">
        <v>1</v>
      </c>
      <c r="E658" s="65">
        <v>0</v>
      </c>
      <c r="F658" s="65">
        <v>0</v>
      </c>
      <c r="G658" s="65" t="s">
        <v>1152</v>
      </c>
      <c r="H658" s="65" t="s">
        <v>420</v>
      </c>
      <c r="P658" s="65" t="s">
        <v>961</v>
      </c>
      <c r="Q658" s="65">
        <v>2025</v>
      </c>
      <c r="R658" s="65">
        <v>1</v>
      </c>
      <c r="S658" s="65">
        <v>0</v>
      </c>
      <c r="T658" s="65">
        <v>0</v>
      </c>
      <c r="U658" s="65" t="s">
        <v>662</v>
      </c>
      <c r="V658" s="65" t="s">
        <v>420</v>
      </c>
      <c r="Y658" t="s">
        <v>961</v>
      </c>
      <c r="Z658" t="s">
        <v>1205</v>
      </c>
      <c r="AA658">
        <v>0</v>
      </c>
      <c r="AB658">
        <v>0</v>
      </c>
      <c r="AC658" t="s">
        <v>420</v>
      </c>
      <c r="AD658" t="s">
        <v>662</v>
      </c>
    </row>
    <row r="659" spans="2:30" x14ac:dyDescent="0.25">
      <c r="B659" s="65" t="s">
        <v>655</v>
      </c>
      <c r="C659" s="65">
        <v>2026</v>
      </c>
      <c r="D659" s="65">
        <v>1</v>
      </c>
      <c r="E659" s="65">
        <v>0</v>
      </c>
      <c r="F659" s="65">
        <v>0</v>
      </c>
      <c r="G659" s="65" t="s">
        <v>656</v>
      </c>
      <c r="H659" s="65" t="s">
        <v>420</v>
      </c>
      <c r="P659" s="65" t="s">
        <v>663</v>
      </c>
      <c r="Q659" s="65">
        <v>2025</v>
      </c>
      <c r="R659" s="65">
        <v>1</v>
      </c>
      <c r="S659" s="65">
        <v>2106.48</v>
      </c>
      <c r="T659" s="65">
        <v>2106.48</v>
      </c>
      <c r="U659" s="65" t="s">
        <v>664</v>
      </c>
      <c r="V659" s="65" t="s">
        <v>420</v>
      </c>
      <c r="Y659" t="s">
        <v>663</v>
      </c>
      <c r="Z659" t="s">
        <v>1205</v>
      </c>
      <c r="AA659">
        <v>17454.54</v>
      </c>
      <c r="AB659">
        <v>1506.49</v>
      </c>
      <c r="AC659" t="s">
        <v>420</v>
      </c>
      <c r="AD659" t="s">
        <v>664</v>
      </c>
    </row>
    <row r="660" spans="2:30" x14ac:dyDescent="0.25">
      <c r="B660" s="65" t="s">
        <v>958</v>
      </c>
      <c r="C660" s="65">
        <v>2026</v>
      </c>
      <c r="D660" s="65">
        <v>1</v>
      </c>
      <c r="E660" s="65">
        <v>0</v>
      </c>
      <c r="F660" s="65">
        <v>0</v>
      </c>
      <c r="G660" s="65" t="s">
        <v>656</v>
      </c>
      <c r="H660" s="65" t="s">
        <v>420</v>
      </c>
      <c r="P660" s="65" t="s">
        <v>962</v>
      </c>
      <c r="Q660" s="65">
        <v>2025</v>
      </c>
      <c r="R660" s="65">
        <v>1</v>
      </c>
      <c r="S660" s="65">
        <v>0</v>
      </c>
      <c r="T660" s="65">
        <v>0</v>
      </c>
      <c r="U660" s="65" t="s">
        <v>664</v>
      </c>
      <c r="V660" s="65" t="s">
        <v>420</v>
      </c>
      <c r="Y660" t="s">
        <v>962</v>
      </c>
      <c r="Z660" t="s">
        <v>1205</v>
      </c>
      <c r="AA660">
        <v>0</v>
      </c>
      <c r="AB660">
        <v>0</v>
      </c>
      <c r="AC660" t="s">
        <v>420</v>
      </c>
      <c r="AD660" t="s">
        <v>664</v>
      </c>
    </row>
    <row r="661" spans="2:30" x14ac:dyDescent="0.25">
      <c r="B661" s="65" t="s">
        <v>657</v>
      </c>
      <c r="C661" s="65">
        <v>2026</v>
      </c>
      <c r="D661" s="65">
        <v>1</v>
      </c>
      <c r="E661" s="65">
        <v>818.76</v>
      </c>
      <c r="F661" s="65">
        <v>818.76</v>
      </c>
      <c r="G661" s="65" t="s">
        <v>658</v>
      </c>
      <c r="H661" s="65" t="s">
        <v>420</v>
      </c>
      <c r="P661" s="65" t="s">
        <v>665</v>
      </c>
      <c r="Q661" s="65">
        <v>2025</v>
      </c>
      <c r="R661" s="65">
        <v>1</v>
      </c>
      <c r="S661" s="65">
        <v>580.79999999999995</v>
      </c>
      <c r="T661" s="65">
        <v>580.79999999999995</v>
      </c>
      <c r="U661" s="65" t="s">
        <v>666</v>
      </c>
      <c r="V661" s="65" t="s">
        <v>420</v>
      </c>
      <c r="Y661" t="s">
        <v>665</v>
      </c>
      <c r="Z661" t="s">
        <v>1205</v>
      </c>
      <c r="AA661">
        <v>6837.13</v>
      </c>
      <c r="AB661">
        <v>163.19999999999999</v>
      </c>
      <c r="AC661" t="s">
        <v>420</v>
      </c>
      <c r="AD661" t="s">
        <v>666</v>
      </c>
    </row>
    <row r="662" spans="2:30" x14ac:dyDescent="0.25">
      <c r="B662" s="65" t="s">
        <v>959</v>
      </c>
      <c r="C662" s="65">
        <v>2026</v>
      </c>
      <c r="D662" s="65">
        <v>1</v>
      </c>
      <c r="E662" s="65">
        <v>220.8</v>
      </c>
      <c r="F662" s="65">
        <v>220.8</v>
      </c>
      <c r="G662" s="65" t="s">
        <v>960</v>
      </c>
      <c r="H662" s="65" t="s">
        <v>420</v>
      </c>
      <c r="P662" s="65" t="s">
        <v>667</v>
      </c>
      <c r="Q662" s="65">
        <v>2025</v>
      </c>
      <c r="R662" s="65">
        <v>1</v>
      </c>
      <c r="S662" s="65">
        <v>0</v>
      </c>
      <c r="T662" s="65">
        <v>0</v>
      </c>
      <c r="U662" s="65" t="s">
        <v>668</v>
      </c>
      <c r="V662" s="65" t="s">
        <v>420</v>
      </c>
      <c r="Y662" t="s">
        <v>667</v>
      </c>
      <c r="Z662" t="s">
        <v>1205</v>
      </c>
      <c r="AA662">
        <v>0</v>
      </c>
      <c r="AB662">
        <v>0</v>
      </c>
      <c r="AC662" t="s">
        <v>420</v>
      </c>
      <c r="AD662" t="s">
        <v>668</v>
      </c>
    </row>
    <row r="663" spans="2:30" x14ac:dyDescent="0.25">
      <c r="B663" s="65" t="s">
        <v>659</v>
      </c>
      <c r="C663" s="65">
        <v>2026</v>
      </c>
      <c r="D663" s="65">
        <v>1</v>
      </c>
      <c r="E663" s="65">
        <v>5161.5200000000004</v>
      </c>
      <c r="F663" s="65">
        <v>5161.5200000000004</v>
      </c>
      <c r="G663" s="65" t="s">
        <v>660</v>
      </c>
      <c r="H663" s="65" t="s">
        <v>420</v>
      </c>
      <c r="P663" s="65" t="s">
        <v>963</v>
      </c>
      <c r="Q663" s="65">
        <v>2025</v>
      </c>
      <c r="R663" s="65">
        <v>1</v>
      </c>
      <c r="S663" s="65">
        <v>0</v>
      </c>
      <c r="T663" s="65">
        <v>0</v>
      </c>
      <c r="U663" s="65" t="s">
        <v>668</v>
      </c>
      <c r="V663" s="65" t="s">
        <v>420</v>
      </c>
      <c r="Y663" t="s">
        <v>963</v>
      </c>
      <c r="Z663" t="s">
        <v>1205</v>
      </c>
      <c r="AA663">
        <v>0</v>
      </c>
      <c r="AB663">
        <v>0</v>
      </c>
      <c r="AC663" t="s">
        <v>420</v>
      </c>
      <c r="AD663" t="s">
        <v>668</v>
      </c>
    </row>
    <row r="664" spans="2:30" x14ac:dyDescent="0.25">
      <c r="B664" s="65" t="s">
        <v>1423</v>
      </c>
      <c r="C664" s="65">
        <v>2026</v>
      </c>
      <c r="D664" s="65">
        <v>1</v>
      </c>
      <c r="E664" s="65">
        <v>0</v>
      </c>
      <c r="F664" s="65">
        <v>0</v>
      </c>
      <c r="G664" s="65" t="s">
        <v>1475</v>
      </c>
      <c r="H664" s="65" t="s">
        <v>420</v>
      </c>
      <c r="P664" s="65" t="s">
        <v>669</v>
      </c>
      <c r="Q664" s="65">
        <v>2025</v>
      </c>
      <c r="R664" s="65">
        <v>1</v>
      </c>
      <c r="S664" s="65">
        <v>8370</v>
      </c>
      <c r="T664" s="65">
        <v>8370</v>
      </c>
      <c r="U664" s="65" t="s">
        <v>1254</v>
      </c>
      <c r="V664" s="65" t="s">
        <v>420</v>
      </c>
      <c r="Y664" t="s">
        <v>669</v>
      </c>
      <c r="Z664" t="s">
        <v>1205</v>
      </c>
      <c r="AA664">
        <v>35394.26</v>
      </c>
      <c r="AB664">
        <v>1000</v>
      </c>
      <c r="AC664" t="s">
        <v>420</v>
      </c>
      <c r="AD664" t="s">
        <v>1254</v>
      </c>
    </row>
    <row r="665" spans="2:30" x14ac:dyDescent="0.25">
      <c r="B665" s="65" t="s">
        <v>661</v>
      </c>
      <c r="C665" s="65">
        <v>2026</v>
      </c>
      <c r="D665" s="65">
        <v>1</v>
      </c>
      <c r="E665" s="65">
        <v>622.14</v>
      </c>
      <c r="F665" s="65">
        <v>622.14</v>
      </c>
      <c r="G665" s="65" t="s">
        <v>662</v>
      </c>
      <c r="H665" s="65" t="s">
        <v>420</v>
      </c>
      <c r="P665" s="65" t="s">
        <v>671</v>
      </c>
      <c r="Q665" s="65">
        <v>2025</v>
      </c>
      <c r="R665" s="65">
        <v>1</v>
      </c>
      <c r="S665" s="65">
        <v>0</v>
      </c>
      <c r="T665" s="65">
        <v>0</v>
      </c>
      <c r="U665" s="65" t="s">
        <v>672</v>
      </c>
      <c r="V665" s="65" t="s">
        <v>420</v>
      </c>
      <c r="Y665" t="s">
        <v>671</v>
      </c>
      <c r="Z665" t="s">
        <v>1205</v>
      </c>
      <c r="AA665">
        <v>17135</v>
      </c>
      <c r="AB665">
        <v>0</v>
      </c>
      <c r="AC665" t="s">
        <v>420</v>
      </c>
      <c r="AD665" t="s">
        <v>672</v>
      </c>
    </row>
    <row r="666" spans="2:30" x14ac:dyDescent="0.25">
      <c r="B666" s="65" t="s">
        <v>961</v>
      </c>
      <c r="C666" s="65">
        <v>2026</v>
      </c>
      <c r="D666" s="65">
        <v>1</v>
      </c>
      <c r="E666" s="65">
        <v>0</v>
      </c>
      <c r="F666" s="65">
        <v>0</v>
      </c>
      <c r="G666" s="65" t="s">
        <v>662</v>
      </c>
      <c r="H666" s="65" t="s">
        <v>420</v>
      </c>
      <c r="P666" s="65" t="s">
        <v>964</v>
      </c>
      <c r="Q666" s="65">
        <v>2025</v>
      </c>
      <c r="R666" s="65">
        <v>1</v>
      </c>
      <c r="S666" s="65">
        <v>0</v>
      </c>
      <c r="T666" s="65">
        <v>0</v>
      </c>
      <c r="U666" s="65" t="s">
        <v>965</v>
      </c>
      <c r="V666" s="65" t="s">
        <v>420</v>
      </c>
      <c r="Y666" t="s">
        <v>964</v>
      </c>
      <c r="Z666" t="s">
        <v>1205</v>
      </c>
      <c r="AA666">
        <v>0</v>
      </c>
      <c r="AB666">
        <v>0</v>
      </c>
      <c r="AC666" t="s">
        <v>420</v>
      </c>
      <c r="AD666" t="s">
        <v>965</v>
      </c>
    </row>
    <row r="667" spans="2:30" x14ac:dyDescent="0.25">
      <c r="B667" s="65" t="s">
        <v>663</v>
      </c>
      <c r="C667" s="65">
        <v>2026</v>
      </c>
      <c r="D667" s="65">
        <v>1</v>
      </c>
      <c r="E667" s="65">
        <v>2212.25</v>
      </c>
      <c r="F667" s="65">
        <v>2212.25</v>
      </c>
      <c r="G667" s="65" t="s">
        <v>664</v>
      </c>
      <c r="H667" s="65" t="s">
        <v>420</v>
      </c>
      <c r="P667" s="65" t="s">
        <v>673</v>
      </c>
      <c r="Q667" s="65">
        <v>2025</v>
      </c>
      <c r="R667" s="65">
        <v>1</v>
      </c>
      <c r="S667" s="65">
        <v>10134.530000000001</v>
      </c>
      <c r="T667" s="65">
        <v>10134.530000000001</v>
      </c>
      <c r="U667" s="65" t="s">
        <v>674</v>
      </c>
      <c r="V667" s="65" t="s">
        <v>420</v>
      </c>
      <c r="Y667" t="s">
        <v>673</v>
      </c>
      <c r="Z667" t="s">
        <v>1205</v>
      </c>
      <c r="AA667">
        <v>136907.63</v>
      </c>
      <c r="AB667">
        <v>3584.77</v>
      </c>
      <c r="AC667" t="s">
        <v>420</v>
      </c>
      <c r="AD667" t="s">
        <v>674</v>
      </c>
    </row>
    <row r="668" spans="2:30" x14ac:dyDescent="0.25">
      <c r="B668" s="65" t="s">
        <v>962</v>
      </c>
      <c r="C668" s="65">
        <v>2026</v>
      </c>
      <c r="D668" s="65">
        <v>1</v>
      </c>
      <c r="E668" s="65">
        <v>0</v>
      </c>
      <c r="F668" s="65">
        <v>0</v>
      </c>
      <c r="G668" s="65" t="s">
        <v>664</v>
      </c>
      <c r="H668" s="65" t="s">
        <v>420</v>
      </c>
      <c r="P668" s="65" t="s">
        <v>1434</v>
      </c>
      <c r="Q668" s="65">
        <v>2025</v>
      </c>
      <c r="R668" s="65">
        <v>1</v>
      </c>
      <c r="S668" s="65">
        <v>0</v>
      </c>
      <c r="T668" s="65">
        <v>0</v>
      </c>
      <c r="U668" s="65" t="s">
        <v>1476</v>
      </c>
      <c r="V668" s="65" t="s">
        <v>420</v>
      </c>
      <c r="Y668" t="s">
        <v>1434</v>
      </c>
      <c r="Z668" t="s">
        <v>1205</v>
      </c>
      <c r="AA668">
        <v>0</v>
      </c>
      <c r="AB668">
        <v>0</v>
      </c>
      <c r="AC668" t="s">
        <v>420</v>
      </c>
      <c r="AD668" t="s">
        <v>1476</v>
      </c>
    </row>
    <row r="669" spans="2:30" x14ac:dyDescent="0.25">
      <c r="B669" s="65" t="s">
        <v>665</v>
      </c>
      <c r="C669" s="65">
        <v>2026</v>
      </c>
      <c r="D669" s="65">
        <v>1</v>
      </c>
      <c r="E669" s="65">
        <v>241.23</v>
      </c>
      <c r="F669" s="65">
        <v>241.23</v>
      </c>
      <c r="G669" s="65" t="s">
        <v>666</v>
      </c>
      <c r="H669" s="65" t="s">
        <v>420</v>
      </c>
      <c r="P669" s="65" t="s">
        <v>675</v>
      </c>
      <c r="Q669" s="65">
        <v>2025</v>
      </c>
      <c r="R669" s="65">
        <v>1</v>
      </c>
      <c r="S669" s="65">
        <v>0</v>
      </c>
      <c r="T669" s="65">
        <v>0</v>
      </c>
      <c r="U669" s="65" t="s">
        <v>676</v>
      </c>
      <c r="V669" s="65" t="s">
        <v>420</v>
      </c>
      <c r="Y669" t="s">
        <v>675</v>
      </c>
      <c r="Z669" t="s">
        <v>1205</v>
      </c>
      <c r="AA669">
        <v>0</v>
      </c>
      <c r="AB669">
        <v>0</v>
      </c>
      <c r="AC669" t="s">
        <v>420</v>
      </c>
      <c r="AD669" t="s">
        <v>676</v>
      </c>
    </row>
    <row r="670" spans="2:30" x14ac:dyDescent="0.25">
      <c r="B670" s="65" t="s">
        <v>667</v>
      </c>
      <c r="C670" s="65">
        <v>2026</v>
      </c>
      <c r="D670" s="65">
        <v>1</v>
      </c>
      <c r="E670" s="65">
        <v>0</v>
      </c>
      <c r="F670" s="65">
        <v>0</v>
      </c>
      <c r="G670" s="65" t="s">
        <v>668</v>
      </c>
      <c r="H670" s="65" t="s">
        <v>420</v>
      </c>
      <c r="P670" s="65" t="s">
        <v>677</v>
      </c>
      <c r="Q670" s="65">
        <v>2025</v>
      </c>
      <c r="R670" s="65">
        <v>1</v>
      </c>
      <c r="S670" s="65">
        <v>0</v>
      </c>
      <c r="T670" s="65">
        <v>0</v>
      </c>
      <c r="U670" s="65" t="s">
        <v>2100</v>
      </c>
      <c r="V670" s="65" t="s">
        <v>420</v>
      </c>
      <c r="Y670" t="s">
        <v>677</v>
      </c>
      <c r="Z670" t="s">
        <v>1205</v>
      </c>
      <c r="AA670">
        <v>0</v>
      </c>
      <c r="AB670">
        <v>0</v>
      </c>
      <c r="AC670" t="s">
        <v>420</v>
      </c>
      <c r="AD670" t="s">
        <v>2100</v>
      </c>
    </row>
    <row r="671" spans="2:30" x14ac:dyDescent="0.25">
      <c r="B671" s="65" t="s">
        <v>963</v>
      </c>
      <c r="C671" s="65">
        <v>2026</v>
      </c>
      <c r="D671" s="65">
        <v>1</v>
      </c>
      <c r="E671" s="65">
        <v>0</v>
      </c>
      <c r="F671" s="65">
        <v>0</v>
      </c>
      <c r="G671" s="65" t="s">
        <v>668</v>
      </c>
      <c r="H671" s="65" t="s">
        <v>420</v>
      </c>
      <c r="P671" s="65" t="s">
        <v>679</v>
      </c>
      <c r="Q671" s="65">
        <v>2025</v>
      </c>
      <c r="R671" s="65">
        <v>1</v>
      </c>
      <c r="S671" s="65">
        <v>1151.1099999999999</v>
      </c>
      <c r="T671" s="65">
        <v>1151.1099999999999</v>
      </c>
      <c r="U671" s="65" t="s">
        <v>680</v>
      </c>
      <c r="V671" s="65" t="s">
        <v>420</v>
      </c>
      <c r="Y671" t="s">
        <v>679</v>
      </c>
      <c r="Z671" t="s">
        <v>1205</v>
      </c>
      <c r="AA671">
        <v>4788.78</v>
      </c>
      <c r="AB671">
        <v>1432.72</v>
      </c>
      <c r="AC671" t="s">
        <v>420</v>
      </c>
      <c r="AD671" t="s">
        <v>680</v>
      </c>
    </row>
    <row r="672" spans="2:30" x14ac:dyDescent="0.25">
      <c r="B672" s="65" t="s">
        <v>669</v>
      </c>
      <c r="C672" s="65">
        <v>2026</v>
      </c>
      <c r="D672" s="65">
        <v>1</v>
      </c>
      <c r="E672" s="65">
        <v>1400</v>
      </c>
      <c r="F672" s="65">
        <v>1400</v>
      </c>
      <c r="G672" s="65" t="s">
        <v>1254</v>
      </c>
      <c r="H672" s="65" t="s">
        <v>420</v>
      </c>
      <c r="P672" s="65" t="s">
        <v>966</v>
      </c>
      <c r="Q672" s="65">
        <v>2025</v>
      </c>
      <c r="R672" s="65">
        <v>1</v>
      </c>
      <c r="S672" s="65">
        <v>0</v>
      </c>
      <c r="T672" s="65">
        <v>0</v>
      </c>
      <c r="U672" s="65" t="s">
        <v>680</v>
      </c>
      <c r="V672" s="65" t="s">
        <v>420</v>
      </c>
      <c r="Y672" t="s">
        <v>966</v>
      </c>
      <c r="Z672" t="s">
        <v>1205</v>
      </c>
      <c r="AA672">
        <v>0</v>
      </c>
      <c r="AB672">
        <v>0</v>
      </c>
      <c r="AC672" t="s">
        <v>420</v>
      </c>
      <c r="AD672" t="s">
        <v>680</v>
      </c>
    </row>
    <row r="673" spans="2:30" x14ac:dyDescent="0.25">
      <c r="B673" s="65" t="s">
        <v>671</v>
      </c>
      <c r="C673" s="65">
        <v>2026</v>
      </c>
      <c r="D673" s="65">
        <v>1</v>
      </c>
      <c r="E673" s="65">
        <v>0</v>
      </c>
      <c r="F673" s="65">
        <v>0</v>
      </c>
      <c r="G673" s="65" t="s">
        <v>672</v>
      </c>
      <c r="H673" s="65" t="s">
        <v>420</v>
      </c>
      <c r="P673" s="65" t="s">
        <v>681</v>
      </c>
      <c r="Q673" s="65">
        <v>2025</v>
      </c>
      <c r="R673" s="65">
        <v>1</v>
      </c>
      <c r="S673" s="65">
        <v>1151.1099999999999</v>
      </c>
      <c r="T673" s="65">
        <v>1151.1099999999999</v>
      </c>
      <c r="U673" s="65" t="s">
        <v>682</v>
      </c>
      <c r="V673" s="65" t="s">
        <v>420</v>
      </c>
      <c r="Y673" t="s">
        <v>681</v>
      </c>
      <c r="Z673" t="s">
        <v>1205</v>
      </c>
      <c r="AA673">
        <v>4982.6000000000004</v>
      </c>
      <c r="AB673">
        <v>1432.72</v>
      </c>
      <c r="AC673" t="s">
        <v>420</v>
      </c>
      <c r="AD673" t="s">
        <v>682</v>
      </c>
    </row>
    <row r="674" spans="2:30" x14ac:dyDescent="0.25">
      <c r="B674" s="65" t="s">
        <v>964</v>
      </c>
      <c r="C674" s="65">
        <v>2026</v>
      </c>
      <c r="D674" s="65">
        <v>1</v>
      </c>
      <c r="E674" s="65">
        <v>500</v>
      </c>
      <c r="F674" s="65">
        <v>500</v>
      </c>
      <c r="G674" s="65" t="s">
        <v>965</v>
      </c>
      <c r="H674" s="65" t="s">
        <v>420</v>
      </c>
      <c r="P674" s="65" t="s">
        <v>967</v>
      </c>
      <c r="Q674" s="65">
        <v>2025</v>
      </c>
      <c r="R674" s="65">
        <v>1</v>
      </c>
      <c r="S674" s="65">
        <v>97.62</v>
      </c>
      <c r="T674" s="65">
        <v>97.62</v>
      </c>
      <c r="U674" s="65" t="s">
        <v>968</v>
      </c>
      <c r="V674" s="65" t="s">
        <v>420</v>
      </c>
      <c r="Y674" t="s">
        <v>967</v>
      </c>
      <c r="Z674" t="s">
        <v>1205</v>
      </c>
      <c r="AA674">
        <v>1221.27</v>
      </c>
      <c r="AB674">
        <v>106.2</v>
      </c>
      <c r="AC674" t="s">
        <v>420</v>
      </c>
      <c r="AD674" t="s">
        <v>968</v>
      </c>
    </row>
    <row r="675" spans="2:30" x14ac:dyDescent="0.25">
      <c r="B675" s="65" t="s">
        <v>673</v>
      </c>
      <c r="C675" s="65">
        <v>2026</v>
      </c>
      <c r="D675" s="65">
        <v>1</v>
      </c>
      <c r="E675" s="65">
        <v>0</v>
      </c>
      <c r="F675" s="65">
        <v>0</v>
      </c>
      <c r="G675" s="65" t="s">
        <v>674</v>
      </c>
      <c r="H675" s="65" t="s">
        <v>420</v>
      </c>
      <c r="P675" s="65" t="s">
        <v>683</v>
      </c>
      <c r="Q675" s="65">
        <v>2025</v>
      </c>
      <c r="R675" s="65">
        <v>1</v>
      </c>
      <c r="S675" s="65">
        <v>195.24</v>
      </c>
      <c r="T675" s="65">
        <v>195.24</v>
      </c>
      <c r="U675" s="65" t="s">
        <v>684</v>
      </c>
      <c r="V675" s="65" t="s">
        <v>420</v>
      </c>
      <c r="Y675" t="s">
        <v>683</v>
      </c>
      <c r="Z675" t="s">
        <v>1205</v>
      </c>
      <c r="AA675">
        <v>2442.52</v>
      </c>
      <c r="AB675">
        <v>212.4</v>
      </c>
      <c r="AC675" t="s">
        <v>420</v>
      </c>
      <c r="AD675" t="s">
        <v>684</v>
      </c>
    </row>
    <row r="676" spans="2:30" x14ac:dyDescent="0.25">
      <c r="B676" s="65" t="s">
        <v>1434</v>
      </c>
      <c r="C676" s="65">
        <v>2026</v>
      </c>
      <c r="D676" s="65">
        <v>1</v>
      </c>
      <c r="E676" s="65">
        <v>0</v>
      </c>
      <c r="F676" s="65">
        <v>0</v>
      </c>
      <c r="G676" s="65" t="s">
        <v>1476</v>
      </c>
      <c r="H676" s="65" t="s">
        <v>420</v>
      </c>
      <c r="P676" s="65" t="s">
        <v>1435</v>
      </c>
      <c r="Q676" s="65">
        <v>2025</v>
      </c>
      <c r="R676" s="65">
        <v>1</v>
      </c>
      <c r="S676" s="65">
        <v>97.62</v>
      </c>
      <c r="T676" s="65">
        <v>97.62</v>
      </c>
      <c r="U676" s="65" t="s">
        <v>1477</v>
      </c>
      <c r="V676" s="65" t="s">
        <v>420</v>
      </c>
      <c r="Y676" t="s">
        <v>1435</v>
      </c>
      <c r="Z676" t="s">
        <v>1205</v>
      </c>
      <c r="AA676">
        <v>1221.27</v>
      </c>
      <c r="AB676">
        <v>106.2</v>
      </c>
      <c r="AC676" t="s">
        <v>420</v>
      </c>
      <c r="AD676" t="s">
        <v>1477</v>
      </c>
    </row>
    <row r="677" spans="2:30" x14ac:dyDescent="0.25">
      <c r="B677" s="65" t="s">
        <v>675</v>
      </c>
      <c r="C677" s="65">
        <v>2026</v>
      </c>
      <c r="D677" s="65">
        <v>1</v>
      </c>
      <c r="E677" s="65">
        <v>0</v>
      </c>
      <c r="F677" s="65">
        <v>0</v>
      </c>
      <c r="G677" s="65" t="s">
        <v>676</v>
      </c>
      <c r="H677" s="65" t="s">
        <v>420</v>
      </c>
      <c r="P677" s="65" t="s">
        <v>685</v>
      </c>
      <c r="Q677" s="65">
        <v>2025</v>
      </c>
      <c r="R677" s="65">
        <v>1</v>
      </c>
      <c r="S677" s="65">
        <v>1736.82</v>
      </c>
      <c r="T677" s="65">
        <v>1736.82</v>
      </c>
      <c r="U677" s="65" t="s">
        <v>686</v>
      </c>
      <c r="V677" s="65" t="s">
        <v>420</v>
      </c>
      <c r="Y677" t="s">
        <v>685</v>
      </c>
      <c r="Z677" t="s">
        <v>1205</v>
      </c>
      <c r="AA677">
        <v>12779.86</v>
      </c>
      <c r="AB677">
        <v>2069.89</v>
      </c>
      <c r="AC677" t="s">
        <v>420</v>
      </c>
      <c r="AD677" t="s">
        <v>686</v>
      </c>
    </row>
    <row r="678" spans="2:30" x14ac:dyDescent="0.25">
      <c r="B678" s="65" t="s">
        <v>677</v>
      </c>
      <c r="C678" s="65">
        <v>2026</v>
      </c>
      <c r="D678" s="65">
        <v>1</v>
      </c>
      <c r="E678" s="65">
        <v>0</v>
      </c>
      <c r="F678" s="65">
        <v>0</v>
      </c>
      <c r="G678" s="65" t="s">
        <v>2100</v>
      </c>
      <c r="H678" s="65" t="s">
        <v>420</v>
      </c>
      <c r="P678" s="65" t="s">
        <v>969</v>
      </c>
      <c r="Q678" s="65">
        <v>2025</v>
      </c>
      <c r="R678" s="65">
        <v>1</v>
      </c>
      <c r="S678" s="65">
        <v>0</v>
      </c>
      <c r="T678" s="65">
        <v>0</v>
      </c>
      <c r="U678" s="65" t="s">
        <v>686</v>
      </c>
      <c r="V678" s="65" t="s">
        <v>420</v>
      </c>
      <c r="Y678" t="s">
        <v>969</v>
      </c>
      <c r="Z678" t="s">
        <v>1205</v>
      </c>
      <c r="AA678">
        <v>0</v>
      </c>
      <c r="AB678">
        <v>0</v>
      </c>
      <c r="AC678" t="s">
        <v>420</v>
      </c>
      <c r="AD678" t="s">
        <v>686</v>
      </c>
    </row>
    <row r="679" spans="2:30" x14ac:dyDescent="0.25">
      <c r="B679" s="65" t="s">
        <v>679</v>
      </c>
      <c r="C679" s="65">
        <v>2026</v>
      </c>
      <c r="D679" s="65">
        <v>1</v>
      </c>
      <c r="E679" s="65">
        <v>390.98</v>
      </c>
      <c r="F679" s="65">
        <v>390.98</v>
      </c>
      <c r="G679" s="65" t="s">
        <v>680</v>
      </c>
      <c r="H679" s="65" t="s">
        <v>420</v>
      </c>
      <c r="P679" s="65" t="s">
        <v>687</v>
      </c>
      <c r="Q679" s="65">
        <v>2025</v>
      </c>
      <c r="R679" s="65">
        <v>1</v>
      </c>
      <c r="S679" s="65">
        <v>2713.01</v>
      </c>
      <c r="T679" s="65">
        <v>2713.01</v>
      </c>
      <c r="U679" s="65" t="s">
        <v>688</v>
      </c>
      <c r="V679" s="65" t="s">
        <v>420</v>
      </c>
      <c r="Y679" t="s">
        <v>687</v>
      </c>
      <c r="Z679" t="s">
        <v>1205</v>
      </c>
      <c r="AA679">
        <v>25877.22</v>
      </c>
      <c r="AB679">
        <v>3131.87</v>
      </c>
      <c r="AC679" t="s">
        <v>420</v>
      </c>
      <c r="AD679" t="s">
        <v>688</v>
      </c>
    </row>
    <row r="680" spans="2:30" x14ac:dyDescent="0.25">
      <c r="B680" s="65" t="s">
        <v>966</v>
      </c>
      <c r="C680" s="65">
        <v>2026</v>
      </c>
      <c r="D680" s="65">
        <v>1</v>
      </c>
      <c r="E680" s="65">
        <v>0</v>
      </c>
      <c r="F680" s="65">
        <v>0</v>
      </c>
      <c r="G680" s="65" t="s">
        <v>680</v>
      </c>
      <c r="H680" s="65" t="s">
        <v>420</v>
      </c>
      <c r="P680" s="65" t="s">
        <v>970</v>
      </c>
      <c r="Q680" s="65">
        <v>2025</v>
      </c>
      <c r="R680" s="65">
        <v>1</v>
      </c>
      <c r="S680" s="65">
        <v>0</v>
      </c>
      <c r="T680" s="65">
        <v>0</v>
      </c>
      <c r="U680" s="65" t="s">
        <v>688</v>
      </c>
      <c r="V680" s="65" t="s">
        <v>420</v>
      </c>
      <c r="Y680" t="s">
        <v>970</v>
      </c>
      <c r="Z680" t="s">
        <v>1205</v>
      </c>
      <c r="AA680">
        <v>0</v>
      </c>
      <c r="AB680">
        <v>0</v>
      </c>
      <c r="AC680" t="s">
        <v>420</v>
      </c>
      <c r="AD680" t="s">
        <v>688</v>
      </c>
    </row>
    <row r="681" spans="2:30" x14ac:dyDescent="0.25">
      <c r="B681" s="65" t="s">
        <v>681</v>
      </c>
      <c r="C681" s="65">
        <v>2026</v>
      </c>
      <c r="D681" s="65">
        <v>1</v>
      </c>
      <c r="E681" s="65">
        <v>390.98</v>
      </c>
      <c r="F681" s="65">
        <v>390.98</v>
      </c>
      <c r="G681" s="65" t="s">
        <v>682</v>
      </c>
      <c r="H681" s="65" t="s">
        <v>420</v>
      </c>
      <c r="P681" s="65" t="s">
        <v>689</v>
      </c>
      <c r="Q681" s="65">
        <v>2025</v>
      </c>
      <c r="R681" s="65">
        <v>1</v>
      </c>
      <c r="S681" s="65">
        <v>1151.0999999999999</v>
      </c>
      <c r="T681" s="65">
        <v>1151.0999999999999</v>
      </c>
      <c r="U681" s="65" t="s">
        <v>690</v>
      </c>
      <c r="V681" s="65" t="s">
        <v>420</v>
      </c>
      <c r="Y681" t="s">
        <v>689</v>
      </c>
      <c r="Z681" t="s">
        <v>1205</v>
      </c>
      <c r="AA681">
        <v>4982.5600000000004</v>
      </c>
      <c r="AB681">
        <v>1432.7</v>
      </c>
      <c r="AC681" t="s">
        <v>420</v>
      </c>
      <c r="AD681" t="s">
        <v>690</v>
      </c>
    </row>
    <row r="682" spans="2:30" x14ac:dyDescent="0.25">
      <c r="B682" s="65" t="s">
        <v>967</v>
      </c>
      <c r="C682" s="65">
        <v>2026</v>
      </c>
      <c r="D682" s="65">
        <v>1</v>
      </c>
      <c r="E682" s="65">
        <v>106.2</v>
      </c>
      <c r="F682" s="65">
        <v>106.2</v>
      </c>
      <c r="G682" s="65" t="s">
        <v>968</v>
      </c>
      <c r="H682" s="65" t="s">
        <v>420</v>
      </c>
      <c r="P682" s="65" t="s">
        <v>691</v>
      </c>
      <c r="Q682" s="65">
        <v>2025</v>
      </c>
      <c r="R682" s="65">
        <v>1</v>
      </c>
      <c r="S682" s="65">
        <v>1346.27</v>
      </c>
      <c r="T682" s="65">
        <v>1346.27</v>
      </c>
      <c r="U682" s="65" t="s">
        <v>692</v>
      </c>
      <c r="V682" s="65" t="s">
        <v>420</v>
      </c>
      <c r="Y682" t="s">
        <v>691</v>
      </c>
      <c r="Z682" t="s">
        <v>1205</v>
      </c>
      <c r="AA682">
        <v>7231.35</v>
      </c>
      <c r="AB682">
        <v>1645.1</v>
      </c>
      <c r="AC682" t="s">
        <v>420</v>
      </c>
      <c r="AD682" t="s">
        <v>692</v>
      </c>
    </row>
    <row r="683" spans="2:30" x14ac:dyDescent="0.25">
      <c r="B683" s="65" t="s">
        <v>683</v>
      </c>
      <c r="C683" s="65">
        <v>2026</v>
      </c>
      <c r="D683" s="65">
        <v>1</v>
      </c>
      <c r="E683" s="65">
        <v>212.4</v>
      </c>
      <c r="F683" s="65">
        <v>212.4</v>
      </c>
      <c r="G683" s="65" t="s">
        <v>684</v>
      </c>
      <c r="H683" s="65" t="s">
        <v>420</v>
      </c>
      <c r="P683" s="65" t="s">
        <v>971</v>
      </c>
      <c r="Q683" s="65">
        <v>2025</v>
      </c>
      <c r="R683" s="65">
        <v>1</v>
      </c>
      <c r="S683" s="65">
        <v>0</v>
      </c>
      <c r="T683" s="65">
        <v>0</v>
      </c>
      <c r="U683" s="65" t="s">
        <v>692</v>
      </c>
      <c r="V683" s="65" t="s">
        <v>420</v>
      </c>
      <c r="Y683" t="s">
        <v>971</v>
      </c>
      <c r="Z683" t="s">
        <v>1205</v>
      </c>
      <c r="AA683">
        <v>0</v>
      </c>
      <c r="AB683">
        <v>0</v>
      </c>
      <c r="AC683" t="s">
        <v>420</v>
      </c>
      <c r="AD683" t="s">
        <v>692</v>
      </c>
    </row>
    <row r="684" spans="2:30" x14ac:dyDescent="0.25">
      <c r="B684" s="65" t="s">
        <v>1435</v>
      </c>
      <c r="C684" s="65">
        <v>2026</v>
      </c>
      <c r="D684" s="65">
        <v>1</v>
      </c>
      <c r="E684" s="65">
        <v>106.2</v>
      </c>
      <c r="F684" s="65">
        <v>106.2</v>
      </c>
      <c r="G684" s="65" t="s">
        <v>1477</v>
      </c>
      <c r="H684" s="65" t="s">
        <v>420</v>
      </c>
      <c r="P684" s="65" t="s">
        <v>693</v>
      </c>
      <c r="Q684" s="65">
        <v>2025</v>
      </c>
      <c r="R684" s="65">
        <v>1</v>
      </c>
      <c r="S684" s="65">
        <v>0</v>
      </c>
      <c r="T684" s="65">
        <v>0</v>
      </c>
      <c r="U684" s="65" t="s">
        <v>694</v>
      </c>
      <c r="V684" s="65" t="s">
        <v>420</v>
      </c>
      <c r="Y684" t="s">
        <v>693</v>
      </c>
      <c r="Z684" t="s">
        <v>1205</v>
      </c>
      <c r="AA684">
        <v>0</v>
      </c>
      <c r="AB684">
        <v>0</v>
      </c>
      <c r="AC684" t="s">
        <v>420</v>
      </c>
      <c r="AD684" t="s">
        <v>694</v>
      </c>
    </row>
    <row r="685" spans="2:30" x14ac:dyDescent="0.25">
      <c r="B685" s="65" t="s">
        <v>685</v>
      </c>
      <c r="C685" s="65">
        <v>2026</v>
      </c>
      <c r="D685" s="65">
        <v>1</v>
      </c>
      <c r="E685" s="65">
        <v>1028.18</v>
      </c>
      <c r="F685" s="65">
        <v>1028.18</v>
      </c>
      <c r="G685" s="65" t="s">
        <v>686</v>
      </c>
      <c r="H685" s="65" t="s">
        <v>420</v>
      </c>
      <c r="P685" s="65" t="s">
        <v>695</v>
      </c>
      <c r="Q685" s="65">
        <v>2025</v>
      </c>
      <c r="R685" s="65">
        <v>1</v>
      </c>
      <c r="S685" s="65">
        <v>0</v>
      </c>
      <c r="T685" s="65">
        <v>0</v>
      </c>
      <c r="U685" s="65" t="s">
        <v>698</v>
      </c>
      <c r="V685" s="65" t="s">
        <v>308</v>
      </c>
      <c r="Y685" t="s">
        <v>695</v>
      </c>
      <c r="Z685" t="s">
        <v>1205</v>
      </c>
      <c r="AA685">
        <v>0</v>
      </c>
      <c r="AB685">
        <v>0</v>
      </c>
      <c r="AC685" t="s">
        <v>308</v>
      </c>
      <c r="AD685" t="s">
        <v>698</v>
      </c>
    </row>
    <row r="686" spans="2:30" x14ac:dyDescent="0.25">
      <c r="B686" s="65" t="s">
        <v>969</v>
      </c>
      <c r="C686" s="65">
        <v>2026</v>
      </c>
      <c r="D686" s="65">
        <v>1</v>
      </c>
      <c r="E686" s="65">
        <v>0</v>
      </c>
      <c r="F686" s="65">
        <v>0</v>
      </c>
      <c r="G686" s="65" t="s">
        <v>686</v>
      </c>
      <c r="H686" s="65" t="s">
        <v>420</v>
      </c>
      <c r="P686" s="65" t="s">
        <v>697</v>
      </c>
      <c r="Q686" s="65">
        <v>2025</v>
      </c>
      <c r="R686" s="65">
        <v>1</v>
      </c>
      <c r="S686" s="65">
        <v>0</v>
      </c>
      <c r="T686" s="65">
        <v>0</v>
      </c>
      <c r="U686" s="65" t="s">
        <v>698</v>
      </c>
      <c r="V686" s="65" t="s">
        <v>420</v>
      </c>
      <c r="Y686" t="s">
        <v>697</v>
      </c>
      <c r="Z686" t="s">
        <v>1205</v>
      </c>
      <c r="AA686">
        <v>0</v>
      </c>
      <c r="AB686">
        <v>0</v>
      </c>
      <c r="AC686" t="s">
        <v>420</v>
      </c>
      <c r="AD686" t="s">
        <v>698</v>
      </c>
    </row>
    <row r="687" spans="2:30" x14ac:dyDescent="0.25">
      <c r="B687" s="65" t="s">
        <v>687</v>
      </c>
      <c r="C687" s="65">
        <v>2026</v>
      </c>
      <c r="D687" s="65">
        <v>1</v>
      </c>
      <c r="E687" s="65">
        <v>2090.15</v>
      </c>
      <c r="F687" s="65">
        <v>2090.15</v>
      </c>
      <c r="G687" s="65" t="s">
        <v>688</v>
      </c>
      <c r="H687" s="65" t="s">
        <v>420</v>
      </c>
      <c r="P687" s="65" t="s">
        <v>972</v>
      </c>
      <c r="Q687" s="65">
        <v>2025</v>
      </c>
      <c r="R687" s="65">
        <v>1</v>
      </c>
      <c r="S687" s="65">
        <v>0</v>
      </c>
      <c r="T687" s="65">
        <v>0</v>
      </c>
      <c r="U687" s="65" t="s">
        <v>698</v>
      </c>
      <c r="V687" s="65" t="s">
        <v>420</v>
      </c>
      <c r="Y687" t="s">
        <v>972</v>
      </c>
      <c r="Z687" t="s">
        <v>1205</v>
      </c>
      <c r="AA687">
        <v>0</v>
      </c>
      <c r="AB687">
        <v>0</v>
      </c>
      <c r="AC687" t="s">
        <v>420</v>
      </c>
      <c r="AD687" t="s">
        <v>698</v>
      </c>
    </row>
    <row r="688" spans="2:30" x14ac:dyDescent="0.25">
      <c r="B688" s="65" t="s">
        <v>970</v>
      </c>
      <c r="C688" s="65">
        <v>2026</v>
      </c>
      <c r="D688" s="65">
        <v>1</v>
      </c>
      <c r="E688" s="65">
        <v>0</v>
      </c>
      <c r="F688" s="65">
        <v>0</v>
      </c>
      <c r="G688" s="65" t="s">
        <v>688</v>
      </c>
      <c r="H688" s="65" t="s">
        <v>420</v>
      </c>
      <c r="P688" s="65" t="s">
        <v>699</v>
      </c>
      <c r="Q688" s="65">
        <v>2025</v>
      </c>
      <c r="R688" s="65">
        <v>1</v>
      </c>
      <c r="S688" s="65">
        <v>0</v>
      </c>
      <c r="T688" s="65">
        <v>0</v>
      </c>
      <c r="U688" s="65" t="s">
        <v>698</v>
      </c>
      <c r="V688" s="65" t="s">
        <v>420</v>
      </c>
      <c r="Y688" t="s">
        <v>699</v>
      </c>
      <c r="Z688" t="s">
        <v>1205</v>
      </c>
      <c r="AA688">
        <v>0</v>
      </c>
      <c r="AB688">
        <v>0</v>
      </c>
      <c r="AC688" t="s">
        <v>420</v>
      </c>
      <c r="AD688" t="s">
        <v>698</v>
      </c>
    </row>
    <row r="689" spans="2:30" x14ac:dyDescent="0.25">
      <c r="B689" s="65" t="s">
        <v>689</v>
      </c>
      <c r="C689" s="65">
        <v>2026</v>
      </c>
      <c r="D689" s="65">
        <v>1</v>
      </c>
      <c r="E689" s="65">
        <v>390.98</v>
      </c>
      <c r="F689" s="65">
        <v>390.98</v>
      </c>
      <c r="G689" s="65" t="s">
        <v>690</v>
      </c>
      <c r="H689" s="65" t="s">
        <v>420</v>
      </c>
      <c r="P689" s="65" t="s">
        <v>973</v>
      </c>
      <c r="Q689" s="65">
        <v>2025</v>
      </c>
      <c r="R689" s="65">
        <v>1</v>
      </c>
      <c r="S689" s="65">
        <v>0</v>
      </c>
      <c r="T689" s="65">
        <v>0</v>
      </c>
      <c r="U689" s="65" t="s">
        <v>698</v>
      </c>
      <c r="V689" s="65" t="s">
        <v>420</v>
      </c>
      <c r="Y689" t="s">
        <v>973</v>
      </c>
      <c r="Z689" t="s">
        <v>1205</v>
      </c>
      <c r="AA689">
        <v>0</v>
      </c>
      <c r="AB689">
        <v>0</v>
      </c>
      <c r="AC689" t="s">
        <v>420</v>
      </c>
      <c r="AD689" t="s">
        <v>698</v>
      </c>
    </row>
    <row r="690" spans="2:30" x14ac:dyDescent="0.25">
      <c r="B690" s="65" t="s">
        <v>691</v>
      </c>
      <c r="C690" s="65">
        <v>2026</v>
      </c>
      <c r="D690" s="65">
        <v>1</v>
      </c>
      <c r="E690" s="65">
        <v>603.36</v>
      </c>
      <c r="F690" s="65">
        <v>603.36</v>
      </c>
      <c r="G690" s="65" t="s">
        <v>692</v>
      </c>
      <c r="H690" s="65" t="s">
        <v>420</v>
      </c>
      <c r="P690" s="65" t="s">
        <v>700</v>
      </c>
      <c r="Q690" s="65">
        <v>2025</v>
      </c>
      <c r="R690" s="65">
        <v>1</v>
      </c>
      <c r="S690" s="65">
        <v>0</v>
      </c>
      <c r="T690" s="65">
        <v>0</v>
      </c>
      <c r="U690" s="65" t="s">
        <v>698</v>
      </c>
      <c r="V690" s="65" t="s">
        <v>420</v>
      </c>
      <c r="Y690" t="s">
        <v>700</v>
      </c>
      <c r="Z690" t="s">
        <v>1205</v>
      </c>
      <c r="AA690">
        <v>0</v>
      </c>
      <c r="AB690">
        <v>0</v>
      </c>
      <c r="AC690" t="s">
        <v>420</v>
      </c>
      <c r="AD690" t="s">
        <v>698</v>
      </c>
    </row>
    <row r="691" spans="2:30" x14ac:dyDescent="0.25">
      <c r="B691" s="65" t="s">
        <v>971</v>
      </c>
      <c r="C691" s="65">
        <v>2026</v>
      </c>
      <c r="D691" s="65">
        <v>1</v>
      </c>
      <c r="E691" s="65">
        <v>0</v>
      </c>
      <c r="F691" s="65">
        <v>0</v>
      </c>
      <c r="G691" s="65" t="s">
        <v>692</v>
      </c>
      <c r="H691" s="65" t="s">
        <v>420</v>
      </c>
      <c r="P691" s="65" t="s">
        <v>1436</v>
      </c>
      <c r="Q691" s="65">
        <v>2025</v>
      </c>
      <c r="R691" s="65">
        <v>1</v>
      </c>
      <c r="S691" s="65">
        <v>0</v>
      </c>
      <c r="T691" s="65">
        <v>0</v>
      </c>
      <c r="U691" s="65" t="s">
        <v>1478</v>
      </c>
      <c r="V691" s="65" t="s">
        <v>420</v>
      </c>
      <c r="Y691" t="s">
        <v>1436</v>
      </c>
      <c r="Z691" t="s">
        <v>1205</v>
      </c>
      <c r="AA691">
        <v>0</v>
      </c>
      <c r="AB691">
        <v>0</v>
      </c>
      <c r="AC691" t="s">
        <v>420</v>
      </c>
      <c r="AD691" t="s">
        <v>1478</v>
      </c>
    </row>
    <row r="692" spans="2:30" x14ac:dyDescent="0.25">
      <c r="B692" s="65" t="s">
        <v>693</v>
      </c>
      <c r="C692" s="65">
        <v>2026</v>
      </c>
      <c r="D692" s="65">
        <v>1</v>
      </c>
      <c r="E692" s="65">
        <v>0</v>
      </c>
      <c r="F692" s="65">
        <v>0</v>
      </c>
      <c r="G692" s="65" t="s">
        <v>694</v>
      </c>
      <c r="H692" s="65" t="s">
        <v>420</v>
      </c>
      <c r="P692" s="65" t="s">
        <v>701</v>
      </c>
      <c r="Q692" s="65">
        <v>2025</v>
      </c>
      <c r="R692" s="65">
        <v>1</v>
      </c>
      <c r="S692" s="65">
        <v>0</v>
      </c>
      <c r="T692" s="65">
        <v>0</v>
      </c>
      <c r="U692" s="65" t="s">
        <v>698</v>
      </c>
      <c r="V692" s="65" t="s">
        <v>420</v>
      </c>
      <c r="Y692" t="s">
        <v>701</v>
      </c>
      <c r="Z692" t="s">
        <v>1205</v>
      </c>
      <c r="AA692">
        <v>0</v>
      </c>
      <c r="AB692">
        <v>0</v>
      </c>
      <c r="AC692" t="s">
        <v>420</v>
      </c>
      <c r="AD692" t="s">
        <v>698</v>
      </c>
    </row>
    <row r="693" spans="2:30" x14ac:dyDescent="0.25">
      <c r="B693" s="65" t="s">
        <v>695</v>
      </c>
      <c r="C693" s="65">
        <v>2026</v>
      </c>
      <c r="D693" s="65">
        <v>1</v>
      </c>
      <c r="E693" s="65">
        <v>0</v>
      </c>
      <c r="F693" s="65">
        <v>0</v>
      </c>
      <c r="G693" s="65" t="s">
        <v>698</v>
      </c>
      <c r="H693" s="65" t="s">
        <v>308</v>
      </c>
      <c r="P693" s="65" t="s">
        <v>974</v>
      </c>
      <c r="Q693" s="65">
        <v>2025</v>
      </c>
      <c r="R693" s="65">
        <v>1</v>
      </c>
      <c r="S693" s="65">
        <v>0</v>
      </c>
      <c r="T693" s="65">
        <v>0</v>
      </c>
      <c r="U693" s="65" t="s">
        <v>698</v>
      </c>
      <c r="V693" s="65" t="s">
        <v>420</v>
      </c>
      <c r="Y693" t="s">
        <v>974</v>
      </c>
      <c r="Z693" t="s">
        <v>1205</v>
      </c>
      <c r="AA693">
        <v>0</v>
      </c>
      <c r="AB693">
        <v>0</v>
      </c>
      <c r="AC693" t="s">
        <v>420</v>
      </c>
      <c r="AD693" t="s">
        <v>698</v>
      </c>
    </row>
    <row r="694" spans="2:30" x14ac:dyDescent="0.25">
      <c r="B694" s="65" t="s">
        <v>697</v>
      </c>
      <c r="C694" s="65">
        <v>2026</v>
      </c>
      <c r="D694" s="65">
        <v>1</v>
      </c>
      <c r="E694" s="65">
        <v>0</v>
      </c>
      <c r="F694" s="65">
        <v>0</v>
      </c>
      <c r="G694" s="65" t="s">
        <v>698</v>
      </c>
      <c r="H694" s="65" t="s">
        <v>420</v>
      </c>
      <c r="P694" s="65" t="s">
        <v>702</v>
      </c>
      <c r="Q694" s="65">
        <v>2025</v>
      </c>
      <c r="R694" s="65">
        <v>1</v>
      </c>
      <c r="S694" s="65">
        <v>0</v>
      </c>
      <c r="T694" s="65">
        <v>0</v>
      </c>
      <c r="U694" s="65" t="s">
        <v>698</v>
      </c>
      <c r="V694" s="65" t="s">
        <v>420</v>
      </c>
      <c r="Y694" t="s">
        <v>702</v>
      </c>
      <c r="Z694" t="s">
        <v>1205</v>
      </c>
      <c r="AA694">
        <v>0</v>
      </c>
      <c r="AB694">
        <v>0</v>
      </c>
      <c r="AC694" t="s">
        <v>420</v>
      </c>
      <c r="AD694" t="s">
        <v>698</v>
      </c>
    </row>
    <row r="695" spans="2:30" x14ac:dyDescent="0.25">
      <c r="B695" s="65" t="s">
        <v>972</v>
      </c>
      <c r="C695" s="65">
        <v>2026</v>
      </c>
      <c r="D695" s="65">
        <v>1</v>
      </c>
      <c r="E695" s="65">
        <v>0</v>
      </c>
      <c r="F695" s="65">
        <v>0</v>
      </c>
      <c r="G695" s="65" t="s">
        <v>698</v>
      </c>
      <c r="H695" s="65" t="s">
        <v>420</v>
      </c>
      <c r="P695" s="65" t="s">
        <v>975</v>
      </c>
      <c r="Q695" s="65">
        <v>2025</v>
      </c>
      <c r="R695" s="65">
        <v>1</v>
      </c>
      <c r="S695" s="65">
        <v>0</v>
      </c>
      <c r="T695" s="65">
        <v>0</v>
      </c>
      <c r="U695" s="65" t="s">
        <v>698</v>
      </c>
      <c r="V695" s="65" t="s">
        <v>420</v>
      </c>
      <c r="Y695" t="s">
        <v>975</v>
      </c>
      <c r="Z695" t="s">
        <v>1205</v>
      </c>
      <c r="AA695">
        <v>0</v>
      </c>
      <c r="AB695">
        <v>0</v>
      </c>
      <c r="AC695" t="s">
        <v>420</v>
      </c>
      <c r="AD695" t="s">
        <v>698</v>
      </c>
    </row>
    <row r="696" spans="2:30" x14ac:dyDescent="0.25">
      <c r="B696" s="65" t="s">
        <v>699</v>
      </c>
      <c r="C696" s="65">
        <v>2026</v>
      </c>
      <c r="D696" s="65">
        <v>1</v>
      </c>
      <c r="E696" s="65">
        <v>0</v>
      </c>
      <c r="F696" s="65">
        <v>0</v>
      </c>
      <c r="G696" s="65" t="s">
        <v>698</v>
      </c>
      <c r="H696" s="65" t="s">
        <v>420</v>
      </c>
      <c r="P696" s="65" t="s">
        <v>703</v>
      </c>
      <c r="Q696" s="65">
        <v>2025</v>
      </c>
      <c r="R696" s="65">
        <v>1</v>
      </c>
      <c r="S696" s="65">
        <v>0</v>
      </c>
      <c r="T696" s="65">
        <v>0</v>
      </c>
      <c r="U696" s="65" t="s">
        <v>698</v>
      </c>
      <c r="V696" s="65" t="s">
        <v>420</v>
      </c>
      <c r="Y696" t="s">
        <v>703</v>
      </c>
      <c r="Z696" t="s">
        <v>1205</v>
      </c>
      <c r="AA696">
        <v>40362.980000000003</v>
      </c>
      <c r="AB696">
        <v>8888.86</v>
      </c>
      <c r="AC696" t="s">
        <v>420</v>
      </c>
      <c r="AD696" t="s">
        <v>698</v>
      </c>
    </row>
    <row r="697" spans="2:30" x14ac:dyDescent="0.25">
      <c r="B697" s="65" t="s">
        <v>973</v>
      </c>
      <c r="C697" s="65">
        <v>2026</v>
      </c>
      <c r="D697" s="65">
        <v>1</v>
      </c>
      <c r="E697" s="65">
        <v>0</v>
      </c>
      <c r="F697" s="65">
        <v>0</v>
      </c>
      <c r="G697" s="65" t="s">
        <v>698</v>
      </c>
      <c r="H697" s="65" t="s">
        <v>420</v>
      </c>
      <c r="P697" s="65" t="s">
        <v>704</v>
      </c>
      <c r="Q697" s="65">
        <v>2025</v>
      </c>
      <c r="R697" s="65">
        <v>1</v>
      </c>
      <c r="S697" s="65">
        <v>0</v>
      </c>
      <c r="T697" s="65">
        <v>0</v>
      </c>
      <c r="U697" s="65" t="s">
        <v>698</v>
      </c>
      <c r="V697" s="65" t="s">
        <v>308</v>
      </c>
      <c r="Y697" t="s">
        <v>704</v>
      </c>
      <c r="Z697" t="s">
        <v>1205</v>
      </c>
      <c r="AA697">
        <v>0</v>
      </c>
      <c r="AB697">
        <v>0</v>
      </c>
      <c r="AC697" t="s">
        <v>308</v>
      </c>
      <c r="AD697" t="s">
        <v>698</v>
      </c>
    </row>
    <row r="698" spans="2:30" x14ac:dyDescent="0.25">
      <c r="B698" s="65" t="s">
        <v>700</v>
      </c>
      <c r="C698" s="65">
        <v>2026</v>
      </c>
      <c r="D698" s="65">
        <v>1</v>
      </c>
      <c r="E698" s="65">
        <v>0</v>
      </c>
      <c r="F698" s="65">
        <v>0</v>
      </c>
      <c r="G698" s="65" t="s">
        <v>698</v>
      </c>
      <c r="H698" s="65" t="s">
        <v>420</v>
      </c>
      <c r="P698" s="65" t="s">
        <v>976</v>
      </c>
      <c r="Q698" s="65">
        <v>2025</v>
      </c>
      <c r="R698" s="65">
        <v>1</v>
      </c>
      <c r="S698" s="65">
        <v>0</v>
      </c>
      <c r="T698" s="65">
        <v>0</v>
      </c>
      <c r="U698" s="65" t="s">
        <v>698</v>
      </c>
      <c r="V698" s="65" t="s">
        <v>420</v>
      </c>
      <c r="Y698" t="s">
        <v>976</v>
      </c>
      <c r="Z698" t="s">
        <v>1205</v>
      </c>
      <c r="AA698">
        <v>0</v>
      </c>
      <c r="AB698">
        <v>0</v>
      </c>
      <c r="AC698" t="s">
        <v>420</v>
      </c>
      <c r="AD698" t="s">
        <v>698</v>
      </c>
    </row>
    <row r="699" spans="2:30" x14ac:dyDescent="0.25">
      <c r="B699" s="65" t="s">
        <v>1436</v>
      </c>
      <c r="C699" s="65">
        <v>2026</v>
      </c>
      <c r="D699" s="65">
        <v>1</v>
      </c>
      <c r="E699" s="65">
        <v>0</v>
      </c>
      <c r="F699" s="65">
        <v>0</v>
      </c>
      <c r="G699" s="65" t="s">
        <v>1478</v>
      </c>
      <c r="H699" s="65" t="s">
        <v>420</v>
      </c>
      <c r="P699" s="65" t="s">
        <v>705</v>
      </c>
      <c r="Q699" s="65">
        <v>2025</v>
      </c>
      <c r="R699" s="65">
        <v>1</v>
      </c>
      <c r="S699" s="65">
        <v>0</v>
      </c>
      <c r="T699" s="65">
        <v>0</v>
      </c>
      <c r="U699" s="65" t="s">
        <v>1300</v>
      </c>
      <c r="V699" s="65" t="s">
        <v>420</v>
      </c>
      <c r="Y699" t="s">
        <v>705</v>
      </c>
      <c r="Z699" t="s">
        <v>1205</v>
      </c>
      <c r="AA699">
        <v>0</v>
      </c>
      <c r="AB699">
        <v>0</v>
      </c>
      <c r="AC699" t="s">
        <v>420</v>
      </c>
      <c r="AD699" t="s">
        <v>1300</v>
      </c>
    </row>
    <row r="700" spans="2:30" x14ac:dyDescent="0.25">
      <c r="B700" s="65" t="s">
        <v>701</v>
      </c>
      <c r="C700" s="65">
        <v>2026</v>
      </c>
      <c r="D700" s="65">
        <v>1</v>
      </c>
      <c r="E700" s="65">
        <v>0</v>
      </c>
      <c r="F700" s="65">
        <v>0</v>
      </c>
      <c r="G700" s="65" t="s">
        <v>698</v>
      </c>
      <c r="H700" s="65" t="s">
        <v>420</v>
      </c>
      <c r="P700" s="65" t="s">
        <v>977</v>
      </c>
      <c r="Q700" s="65">
        <v>2025</v>
      </c>
      <c r="R700" s="65">
        <v>1</v>
      </c>
      <c r="S700" s="65">
        <v>0</v>
      </c>
      <c r="T700" s="65">
        <v>0</v>
      </c>
      <c r="U700" s="65" t="s">
        <v>1300</v>
      </c>
      <c r="V700" s="65" t="s">
        <v>420</v>
      </c>
      <c r="Y700" t="s">
        <v>977</v>
      </c>
      <c r="Z700" t="s">
        <v>1205</v>
      </c>
      <c r="AA700">
        <v>0</v>
      </c>
      <c r="AB700">
        <v>0</v>
      </c>
      <c r="AC700" t="s">
        <v>420</v>
      </c>
      <c r="AD700" t="s">
        <v>1300</v>
      </c>
    </row>
    <row r="701" spans="2:30" x14ac:dyDescent="0.25">
      <c r="B701" s="65" t="s">
        <v>974</v>
      </c>
      <c r="C701" s="65">
        <v>2026</v>
      </c>
      <c r="D701" s="65">
        <v>1</v>
      </c>
      <c r="E701" s="65">
        <v>0</v>
      </c>
      <c r="F701" s="65">
        <v>0</v>
      </c>
      <c r="G701" s="65" t="s">
        <v>698</v>
      </c>
      <c r="H701" s="65" t="s">
        <v>420</v>
      </c>
      <c r="P701" s="65" t="s">
        <v>706</v>
      </c>
      <c r="Q701" s="65">
        <v>2025</v>
      </c>
      <c r="R701" s="65">
        <v>1</v>
      </c>
      <c r="S701" s="65">
        <v>204.41</v>
      </c>
      <c r="T701" s="65">
        <v>204.41</v>
      </c>
      <c r="U701" s="65" t="s">
        <v>1301</v>
      </c>
      <c r="V701" s="65" t="s">
        <v>420</v>
      </c>
      <c r="Y701" t="s">
        <v>706</v>
      </c>
      <c r="Z701" t="s">
        <v>1205</v>
      </c>
      <c r="AA701">
        <v>1990.56</v>
      </c>
      <c r="AB701">
        <v>111.94</v>
      </c>
      <c r="AC701" t="s">
        <v>420</v>
      </c>
      <c r="AD701" t="s">
        <v>1301</v>
      </c>
    </row>
    <row r="702" spans="2:30" x14ac:dyDescent="0.25">
      <c r="B702" s="65" t="s">
        <v>702</v>
      </c>
      <c r="C702" s="65">
        <v>2026</v>
      </c>
      <c r="D702" s="65">
        <v>1</v>
      </c>
      <c r="E702" s="65">
        <v>0</v>
      </c>
      <c r="F702" s="65">
        <v>0</v>
      </c>
      <c r="G702" s="65" t="s">
        <v>698</v>
      </c>
      <c r="H702" s="65" t="s">
        <v>420</v>
      </c>
      <c r="P702" s="65" t="s">
        <v>978</v>
      </c>
      <c r="Q702" s="65">
        <v>2025</v>
      </c>
      <c r="R702" s="65">
        <v>1</v>
      </c>
      <c r="S702" s="65">
        <v>0</v>
      </c>
      <c r="T702" s="65">
        <v>0</v>
      </c>
      <c r="U702" s="65" t="s">
        <v>1301</v>
      </c>
      <c r="V702" s="65" t="s">
        <v>420</v>
      </c>
      <c r="Y702" t="s">
        <v>978</v>
      </c>
      <c r="Z702" t="s">
        <v>1205</v>
      </c>
      <c r="AA702">
        <v>0</v>
      </c>
      <c r="AB702">
        <v>0</v>
      </c>
      <c r="AC702" t="s">
        <v>420</v>
      </c>
      <c r="AD702" t="s">
        <v>1301</v>
      </c>
    </row>
    <row r="703" spans="2:30" x14ac:dyDescent="0.25">
      <c r="B703" s="65" t="s">
        <v>975</v>
      </c>
      <c r="C703" s="65">
        <v>2026</v>
      </c>
      <c r="D703" s="65">
        <v>1</v>
      </c>
      <c r="E703" s="65">
        <v>0</v>
      </c>
      <c r="F703" s="65">
        <v>0</v>
      </c>
      <c r="G703" s="65" t="s">
        <v>698</v>
      </c>
      <c r="H703" s="65" t="s">
        <v>420</v>
      </c>
      <c r="P703" s="65" t="s">
        <v>707</v>
      </c>
      <c r="Q703" s="65">
        <v>2025</v>
      </c>
      <c r="R703" s="65">
        <v>1</v>
      </c>
      <c r="S703" s="65">
        <v>2401.6799999999998</v>
      </c>
      <c r="T703" s="65">
        <v>2401.6799999999998</v>
      </c>
      <c r="U703" s="65" t="s">
        <v>708</v>
      </c>
      <c r="V703" s="65" t="s">
        <v>420</v>
      </c>
      <c r="Y703" t="s">
        <v>707</v>
      </c>
      <c r="Z703" t="s">
        <v>1205</v>
      </c>
      <c r="AA703">
        <v>31029.31</v>
      </c>
      <c r="AB703">
        <v>2045.34</v>
      </c>
      <c r="AC703" t="s">
        <v>420</v>
      </c>
      <c r="AD703" t="s">
        <v>708</v>
      </c>
    </row>
    <row r="704" spans="2:30" x14ac:dyDescent="0.25">
      <c r="B704" s="65" t="s">
        <v>703</v>
      </c>
      <c r="C704" s="65">
        <v>2026</v>
      </c>
      <c r="D704" s="65">
        <v>1</v>
      </c>
      <c r="E704" s="65">
        <v>0</v>
      </c>
      <c r="F704" s="65">
        <v>0</v>
      </c>
      <c r="G704" s="65" t="s">
        <v>698</v>
      </c>
      <c r="H704" s="65" t="s">
        <v>420</v>
      </c>
      <c r="P704" s="65" t="s">
        <v>709</v>
      </c>
      <c r="Q704" s="65">
        <v>2025</v>
      </c>
      <c r="R704" s="65">
        <v>1</v>
      </c>
      <c r="S704" s="65">
        <v>23959.79</v>
      </c>
      <c r="T704" s="65">
        <v>23959.79</v>
      </c>
      <c r="U704" s="65" t="s">
        <v>710</v>
      </c>
      <c r="V704" s="65" t="s">
        <v>420</v>
      </c>
      <c r="Y704" t="s">
        <v>709</v>
      </c>
      <c r="Z704" t="s">
        <v>1205</v>
      </c>
      <c r="AA704">
        <v>299376.37</v>
      </c>
      <c r="AB704">
        <v>25984.67</v>
      </c>
      <c r="AC704" t="s">
        <v>420</v>
      </c>
      <c r="AD704" t="s">
        <v>710</v>
      </c>
    </row>
    <row r="705" spans="2:30" x14ac:dyDescent="0.25">
      <c r="B705" s="65" t="s">
        <v>704</v>
      </c>
      <c r="C705" s="65">
        <v>2026</v>
      </c>
      <c r="D705" s="65">
        <v>1</v>
      </c>
      <c r="E705" s="65">
        <v>0</v>
      </c>
      <c r="F705" s="65">
        <v>0</v>
      </c>
      <c r="G705" s="65" t="s">
        <v>698</v>
      </c>
      <c r="H705" s="65" t="s">
        <v>308</v>
      </c>
      <c r="P705" s="65" t="s">
        <v>979</v>
      </c>
      <c r="Q705" s="65">
        <v>2025</v>
      </c>
      <c r="R705" s="65">
        <v>1</v>
      </c>
      <c r="S705" s="65">
        <v>0</v>
      </c>
      <c r="T705" s="65">
        <v>0</v>
      </c>
      <c r="U705" s="65" t="s">
        <v>710</v>
      </c>
      <c r="V705" s="65" t="s">
        <v>420</v>
      </c>
      <c r="Y705" t="s">
        <v>979</v>
      </c>
      <c r="Z705" t="s">
        <v>1205</v>
      </c>
      <c r="AA705">
        <v>0</v>
      </c>
      <c r="AB705">
        <v>0</v>
      </c>
      <c r="AC705" t="s">
        <v>420</v>
      </c>
      <c r="AD705" t="s">
        <v>710</v>
      </c>
    </row>
    <row r="706" spans="2:30" x14ac:dyDescent="0.25">
      <c r="B706" s="65" t="s">
        <v>976</v>
      </c>
      <c r="C706" s="65">
        <v>2026</v>
      </c>
      <c r="D706" s="65">
        <v>1</v>
      </c>
      <c r="E706" s="65">
        <v>0</v>
      </c>
      <c r="F706" s="65">
        <v>0</v>
      </c>
      <c r="G706" s="65" t="s">
        <v>698</v>
      </c>
      <c r="H706" s="65" t="s">
        <v>420</v>
      </c>
      <c r="P706" s="65" t="s">
        <v>711</v>
      </c>
      <c r="Q706" s="65">
        <v>2025</v>
      </c>
      <c r="R706" s="65">
        <v>1</v>
      </c>
      <c r="S706" s="65">
        <v>0</v>
      </c>
      <c r="T706" s="65">
        <v>0</v>
      </c>
      <c r="U706" s="65" t="s">
        <v>1302</v>
      </c>
      <c r="V706" s="65" t="s">
        <v>420</v>
      </c>
      <c r="Y706" t="s">
        <v>711</v>
      </c>
      <c r="Z706" t="s">
        <v>1205</v>
      </c>
      <c r="AA706">
        <v>0</v>
      </c>
      <c r="AB706">
        <v>0</v>
      </c>
      <c r="AC706" t="s">
        <v>420</v>
      </c>
      <c r="AD706" t="s">
        <v>1302</v>
      </c>
    </row>
    <row r="707" spans="2:30" x14ac:dyDescent="0.25">
      <c r="B707" s="65" t="s">
        <v>705</v>
      </c>
      <c r="C707" s="65">
        <v>2026</v>
      </c>
      <c r="D707" s="65">
        <v>1</v>
      </c>
      <c r="E707" s="65">
        <v>0</v>
      </c>
      <c r="F707" s="65">
        <v>0</v>
      </c>
      <c r="G707" s="65" t="s">
        <v>1300</v>
      </c>
      <c r="H707" s="65" t="s">
        <v>420</v>
      </c>
      <c r="P707" s="65" t="s">
        <v>713</v>
      </c>
      <c r="Q707" s="65">
        <v>2025</v>
      </c>
      <c r="R707" s="65">
        <v>1</v>
      </c>
      <c r="S707" s="65">
        <v>15095.2</v>
      </c>
      <c r="T707" s="65">
        <v>15095.2</v>
      </c>
      <c r="U707" s="65" t="s">
        <v>1303</v>
      </c>
      <c r="V707" s="65" t="s">
        <v>308</v>
      </c>
      <c r="Y707" t="s">
        <v>713</v>
      </c>
      <c r="Z707" t="s">
        <v>1205</v>
      </c>
      <c r="AA707">
        <v>174238.73</v>
      </c>
      <c r="AB707">
        <v>13004.92</v>
      </c>
      <c r="AC707" t="s">
        <v>308</v>
      </c>
      <c r="AD707" t="s">
        <v>1303</v>
      </c>
    </row>
    <row r="708" spans="2:30" x14ac:dyDescent="0.25">
      <c r="B708" s="65" t="s">
        <v>977</v>
      </c>
      <c r="C708" s="65">
        <v>2026</v>
      </c>
      <c r="D708" s="65">
        <v>1</v>
      </c>
      <c r="E708" s="65">
        <v>0</v>
      </c>
      <c r="F708" s="65">
        <v>0</v>
      </c>
      <c r="G708" s="65" t="s">
        <v>1300</v>
      </c>
      <c r="H708" s="65" t="s">
        <v>420</v>
      </c>
      <c r="P708" s="65" t="s">
        <v>980</v>
      </c>
      <c r="Q708" s="65">
        <v>2025</v>
      </c>
      <c r="R708" s="65">
        <v>1</v>
      </c>
      <c r="S708" s="65">
        <v>0</v>
      </c>
      <c r="T708" s="65">
        <v>0</v>
      </c>
      <c r="U708" s="65" t="s">
        <v>1303</v>
      </c>
      <c r="V708" s="65" t="s">
        <v>308</v>
      </c>
      <c r="Y708" t="s">
        <v>980</v>
      </c>
      <c r="Z708" t="s">
        <v>1205</v>
      </c>
      <c r="AA708">
        <v>0</v>
      </c>
      <c r="AB708">
        <v>0</v>
      </c>
      <c r="AC708" t="s">
        <v>308</v>
      </c>
      <c r="AD708" t="s">
        <v>1303</v>
      </c>
    </row>
    <row r="709" spans="2:30" x14ac:dyDescent="0.25">
      <c r="B709" s="65" t="s">
        <v>706</v>
      </c>
      <c r="C709" s="65">
        <v>2026</v>
      </c>
      <c r="D709" s="65">
        <v>1</v>
      </c>
      <c r="E709" s="65">
        <v>111.93</v>
      </c>
      <c r="F709" s="65">
        <v>111.93</v>
      </c>
      <c r="G709" s="65" t="s">
        <v>1301</v>
      </c>
      <c r="H709" s="65" t="s">
        <v>420</v>
      </c>
      <c r="P709" s="65" t="s">
        <v>714</v>
      </c>
      <c r="Q709" s="65">
        <v>2025</v>
      </c>
      <c r="R709" s="65">
        <v>1</v>
      </c>
      <c r="S709" s="65">
        <v>0</v>
      </c>
      <c r="T709" s="65">
        <v>0</v>
      </c>
      <c r="U709" s="65" t="s">
        <v>715</v>
      </c>
      <c r="V709" s="65" t="s">
        <v>420</v>
      </c>
      <c r="Y709" t="s">
        <v>714</v>
      </c>
      <c r="Z709" t="s">
        <v>1205</v>
      </c>
      <c r="AA709">
        <v>0</v>
      </c>
      <c r="AB709">
        <v>0</v>
      </c>
      <c r="AC709" t="s">
        <v>420</v>
      </c>
      <c r="AD709" t="s">
        <v>715</v>
      </c>
    </row>
    <row r="710" spans="2:30" x14ac:dyDescent="0.25">
      <c r="B710" s="65" t="s">
        <v>978</v>
      </c>
      <c r="C710" s="65">
        <v>2026</v>
      </c>
      <c r="D710" s="65">
        <v>1</v>
      </c>
      <c r="E710" s="65">
        <v>0</v>
      </c>
      <c r="F710" s="65">
        <v>0</v>
      </c>
      <c r="G710" s="65" t="s">
        <v>1301</v>
      </c>
      <c r="H710" s="65" t="s">
        <v>420</v>
      </c>
      <c r="P710" s="65" t="s">
        <v>1350</v>
      </c>
      <c r="Q710" s="65">
        <v>2025</v>
      </c>
      <c r="R710" s="65">
        <v>1</v>
      </c>
      <c r="S710" s="65">
        <v>0</v>
      </c>
      <c r="T710" s="65">
        <v>0</v>
      </c>
      <c r="U710" s="65" t="s">
        <v>1376</v>
      </c>
      <c r="V710" s="65" t="s">
        <v>308</v>
      </c>
      <c r="Y710" t="s">
        <v>1350</v>
      </c>
      <c r="Z710" t="s">
        <v>1205</v>
      </c>
      <c r="AA710">
        <v>0</v>
      </c>
      <c r="AB710">
        <v>0</v>
      </c>
      <c r="AC710" t="s">
        <v>308</v>
      </c>
      <c r="AD710" t="s">
        <v>1376</v>
      </c>
    </row>
    <row r="711" spans="2:30" x14ac:dyDescent="0.25">
      <c r="B711" s="65" t="s">
        <v>707</v>
      </c>
      <c r="C711" s="65">
        <v>2026</v>
      </c>
      <c r="D711" s="65">
        <v>1</v>
      </c>
      <c r="E711" s="65">
        <v>1860.7</v>
      </c>
      <c r="F711" s="65">
        <v>1860.7</v>
      </c>
      <c r="G711" s="65" t="s">
        <v>708</v>
      </c>
      <c r="H711" s="65" t="s">
        <v>420</v>
      </c>
      <c r="P711" s="65" t="s">
        <v>716</v>
      </c>
      <c r="Q711" s="65">
        <v>2025</v>
      </c>
      <c r="R711" s="65">
        <v>1</v>
      </c>
      <c r="S711" s="65">
        <v>150029.43</v>
      </c>
      <c r="T711" s="65">
        <v>150029.43</v>
      </c>
      <c r="U711" s="65" t="s">
        <v>1304</v>
      </c>
      <c r="V711" s="65" t="s">
        <v>308</v>
      </c>
      <c r="Y711" t="s">
        <v>716</v>
      </c>
      <c r="Z711" t="s">
        <v>1205</v>
      </c>
      <c r="AA711">
        <v>1855127.84</v>
      </c>
      <c r="AB711">
        <v>158255.82999999999</v>
      </c>
      <c r="AC711" t="s">
        <v>308</v>
      </c>
      <c r="AD711" t="s">
        <v>1304</v>
      </c>
    </row>
    <row r="712" spans="2:30" x14ac:dyDescent="0.25">
      <c r="B712" s="65" t="s">
        <v>709</v>
      </c>
      <c r="C712" s="65">
        <v>2026</v>
      </c>
      <c r="D712" s="65">
        <v>1</v>
      </c>
      <c r="E712" s="65">
        <v>25984.720000000001</v>
      </c>
      <c r="F712" s="65">
        <v>25984.720000000001</v>
      </c>
      <c r="G712" s="65" t="s">
        <v>710</v>
      </c>
      <c r="H712" s="65" t="s">
        <v>420</v>
      </c>
      <c r="P712" s="65" t="s">
        <v>718</v>
      </c>
      <c r="Q712" s="65">
        <v>2025</v>
      </c>
      <c r="R712" s="65">
        <v>1</v>
      </c>
      <c r="S712" s="65">
        <v>32959.25</v>
      </c>
      <c r="T712" s="65">
        <v>32959.25</v>
      </c>
      <c r="U712" s="65" t="s">
        <v>1305</v>
      </c>
      <c r="V712" s="65" t="s">
        <v>308</v>
      </c>
      <c r="Y712" t="s">
        <v>718</v>
      </c>
      <c r="Z712" t="s">
        <v>1205</v>
      </c>
      <c r="AA712">
        <v>281871.51</v>
      </c>
      <c r="AB712">
        <v>20191.3</v>
      </c>
      <c r="AC712" t="s">
        <v>308</v>
      </c>
      <c r="AD712" t="s">
        <v>1305</v>
      </c>
    </row>
    <row r="713" spans="2:30" x14ac:dyDescent="0.25">
      <c r="B713" s="65" t="s">
        <v>979</v>
      </c>
      <c r="C713" s="65">
        <v>2026</v>
      </c>
      <c r="D713" s="65">
        <v>1</v>
      </c>
      <c r="E713" s="65">
        <v>0</v>
      </c>
      <c r="F713" s="65">
        <v>0</v>
      </c>
      <c r="G713" s="65" t="s">
        <v>710</v>
      </c>
      <c r="H713" s="65" t="s">
        <v>420</v>
      </c>
      <c r="P713" s="65" t="s">
        <v>981</v>
      </c>
      <c r="Q713" s="65">
        <v>2025</v>
      </c>
      <c r="R713" s="65">
        <v>1</v>
      </c>
      <c r="S713" s="65">
        <v>0</v>
      </c>
      <c r="T713" s="65">
        <v>0</v>
      </c>
      <c r="U713" s="65" t="s">
        <v>1174</v>
      </c>
      <c r="V713" s="65" t="s">
        <v>308</v>
      </c>
      <c r="Y713" t="s">
        <v>981</v>
      </c>
      <c r="Z713" t="s">
        <v>1205</v>
      </c>
      <c r="AA713">
        <v>0</v>
      </c>
      <c r="AB713">
        <v>0</v>
      </c>
      <c r="AC713" t="s">
        <v>308</v>
      </c>
      <c r="AD713" t="s">
        <v>1174</v>
      </c>
    </row>
    <row r="714" spans="2:30" x14ac:dyDescent="0.25">
      <c r="B714" s="65" t="s">
        <v>711</v>
      </c>
      <c r="C714" s="65">
        <v>2026</v>
      </c>
      <c r="D714" s="65">
        <v>1</v>
      </c>
      <c r="E714" s="65">
        <v>0</v>
      </c>
      <c r="F714" s="65">
        <v>0</v>
      </c>
      <c r="G714" s="65" t="s">
        <v>1302</v>
      </c>
      <c r="H714" s="65" t="s">
        <v>420</v>
      </c>
      <c r="P714" s="65" t="s">
        <v>720</v>
      </c>
      <c r="Q714" s="65">
        <v>2025</v>
      </c>
      <c r="R714" s="65">
        <v>1</v>
      </c>
      <c r="S714" s="65">
        <v>0</v>
      </c>
      <c r="T714" s="65">
        <v>0</v>
      </c>
      <c r="U714" s="65" t="s">
        <v>1174</v>
      </c>
      <c r="V714" s="65" t="s">
        <v>420</v>
      </c>
      <c r="Y714" t="s">
        <v>720</v>
      </c>
      <c r="Z714" t="s">
        <v>1205</v>
      </c>
      <c r="AA714">
        <v>0</v>
      </c>
      <c r="AB714">
        <v>0</v>
      </c>
      <c r="AC714" t="s">
        <v>420</v>
      </c>
      <c r="AD714" t="s">
        <v>1174</v>
      </c>
    </row>
    <row r="715" spans="2:30" x14ac:dyDescent="0.25">
      <c r="B715" s="65" t="s">
        <v>713</v>
      </c>
      <c r="C715" s="65">
        <v>2026</v>
      </c>
      <c r="D715" s="65">
        <v>1</v>
      </c>
      <c r="E715" s="65">
        <v>12406.39</v>
      </c>
      <c r="F715" s="65">
        <v>12406.39</v>
      </c>
      <c r="G715" s="65" t="s">
        <v>1303</v>
      </c>
      <c r="H715" s="65" t="s">
        <v>308</v>
      </c>
      <c r="P715" s="65" t="s">
        <v>721</v>
      </c>
      <c r="Q715" s="65">
        <v>2025</v>
      </c>
      <c r="R715" s="65">
        <v>1</v>
      </c>
      <c r="S715" s="65">
        <v>162.78</v>
      </c>
      <c r="T715" s="65">
        <v>162.78</v>
      </c>
      <c r="U715" s="65" t="s">
        <v>722</v>
      </c>
      <c r="V715" s="65" t="s">
        <v>420</v>
      </c>
      <c r="Y715" t="s">
        <v>721</v>
      </c>
      <c r="Z715" t="s">
        <v>1205</v>
      </c>
      <c r="AA715">
        <v>1953.26</v>
      </c>
      <c r="AB715">
        <v>162.77000000000001</v>
      </c>
      <c r="AC715" t="s">
        <v>420</v>
      </c>
      <c r="AD715" t="s">
        <v>722</v>
      </c>
    </row>
    <row r="716" spans="2:30" x14ac:dyDescent="0.25">
      <c r="B716" s="65" t="s">
        <v>980</v>
      </c>
      <c r="C716" s="65">
        <v>2026</v>
      </c>
      <c r="D716" s="65">
        <v>1</v>
      </c>
      <c r="E716" s="65">
        <v>0</v>
      </c>
      <c r="F716" s="65">
        <v>0</v>
      </c>
      <c r="G716" s="65" t="s">
        <v>1303</v>
      </c>
      <c r="H716" s="65" t="s">
        <v>308</v>
      </c>
      <c r="P716" s="65" t="s">
        <v>723</v>
      </c>
      <c r="Q716" s="65">
        <v>2025</v>
      </c>
      <c r="R716" s="65">
        <v>1</v>
      </c>
      <c r="S716" s="65">
        <v>29396.560000000001</v>
      </c>
      <c r="T716" s="65">
        <v>29396.560000000001</v>
      </c>
      <c r="U716" s="65" t="s">
        <v>1101</v>
      </c>
      <c r="V716" s="65" t="s">
        <v>308</v>
      </c>
      <c r="Y716" t="s">
        <v>723</v>
      </c>
      <c r="Z716" t="s">
        <v>1205</v>
      </c>
      <c r="AA716">
        <v>670755.56999999995</v>
      </c>
      <c r="AB716">
        <v>74180.350000000006</v>
      </c>
      <c r="AC716" t="s">
        <v>308</v>
      </c>
      <c r="AD716" t="s">
        <v>1101</v>
      </c>
    </row>
    <row r="717" spans="2:30" x14ac:dyDescent="0.25">
      <c r="B717" s="65" t="s">
        <v>714</v>
      </c>
      <c r="C717" s="65">
        <v>2026</v>
      </c>
      <c r="D717" s="65">
        <v>1</v>
      </c>
      <c r="E717" s="65">
        <v>0</v>
      </c>
      <c r="F717" s="65">
        <v>0</v>
      </c>
      <c r="G717" s="65" t="s">
        <v>715</v>
      </c>
      <c r="H717" s="65" t="s">
        <v>420</v>
      </c>
      <c r="P717" s="65" t="s">
        <v>982</v>
      </c>
      <c r="Q717" s="65">
        <v>2025</v>
      </c>
      <c r="R717" s="65">
        <v>1</v>
      </c>
      <c r="S717" s="65">
        <v>0</v>
      </c>
      <c r="T717" s="65">
        <v>0</v>
      </c>
      <c r="U717" s="65" t="s">
        <v>1101</v>
      </c>
      <c r="V717" s="65" t="s">
        <v>420</v>
      </c>
      <c r="Y717" t="s">
        <v>982</v>
      </c>
      <c r="Z717" t="s">
        <v>1205</v>
      </c>
      <c r="AA717">
        <v>0</v>
      </c>
      <c r="AB717">
        <v>0</v>
      </c>
      <c r="AC717" t="s">
        <v>420</v>
      </c>
      <c r="AD717" t="s">
        <v>1101</v>
      </c>
    </row>
    <row r="718" spans="2:30" x14ac:dyDescent="0.25">
      <c r="B718" s="65" t="s">
        <v>1350</v>
      </c>
      <c r="C718" s="65">
        <v>2026</v>
      </c>
      <c r="D718" s="65">
        <v>1</v>
      </c>
      <c r="E718" s="65">
        <v>0</v>
      </c>
      <c r="F718" s="65">
        <v>0</v>
      </c>
      <c r="G718" s="65" t="s">
        <v>1376</v>
      </c>
      <c r="H718" s="65" t="s">
        <v>308</v>
      </c>
      <c r="P718" s="65" t="s">
        <v>725</v>
      </c>
      <c r="Q718" s="65">
        <v>2025</v>
      </c>
      <c r="R718" s="65">
        <v>1</v>
      </c>
      <c r="S718" s="65">
        <v>0</v>
      </c>
      <c r="T718" s="65">
        <v>0</v>
      </c>
      <c r="U718" s="65" t="s">
        <v>2065</v>
      </c>
      <c r="V718" s="65" t="s">
        <v>420</v>
      </c>
      <c r="Y718" t="s">
        <v>725</v>
      </c>
      <c r="Z718" t="s">
        <v>1205</v>
      </c>
      <c r="AA718">
        <v>52989.64</v>
      </c>
      <c r="AB718">
        <v>0</v>
      </c>
      <c r="AC718" t="s">
        <v>420</v>
      </c>
      <c r="AD718" t="s">
        <v>2065</v>
      </c>
    </row>
    <row r="719" spans="2:30" x14ac:dyDescent="0.25">
      <c r="B719" s="65" t="s">
        <v>716</v>
      </c>
      <c r="C719" s="65">
        <v>2026</v>
      </c>
      <c r="D719" s="65">
        <v>1</v>
      </c>
      <c r="E719" s="65">
        <v>158229.53</v>
      </c>
      <c r="F719" s="65">
        <v>158229.53</v>
      </c>
      <c r="G719" s="65" t="s">
        <v>1304</v>
      </c>
      <c r="H719" s="65" t="s">
        <v>308</v>
      </c>
      <c r="P719" s="65" t="s">
        <v>727</v>
      </c>
      <c r="Q719" s="65">
        <v>2025</v>
      </c>
      <c r="R719" s="65">
        <v>1</v>
      </c>
      <c r="S719" s="65">
        <v>0</v>
      </c>
      <c r="T719" s="65">
        <v>0</v>
      </c>
      <c r="U719" s="65" t="s">
        <v>728</v>
      </c>
      <c r="V719" s="65" t="s">
        <v>420</v>
      </c>
      <c r="Y719" t="s">
        <v>727</v>
      </c>
      <c r="Z719" t="s">
        <v>1205</v>
      </c>
      <c r="AA719">
        <v>0</v>
      </c>
      <c r="AB719">
        <v>0</v>
      </c>
      <c r="AC719" t="s">
        <v>420</v>
      </c>
      <c r="AD719" t="s">
        <v>728</v>
      </c>
    </row>
    <row r="720" spans="2:30" x14ac:dyDescent="0.25">
      <c r="B720" s="65" t="s">
        <v>718</v>
      </c>
      <c r="C720" s="65">
        <v>2026</v>
      </c>
      <c r="D720" s="65">
        <v>1</v>
      </c>
      <c r="E720" s="65">
        <v>19951.97</v>
      </c>
      <c r="F720" s="65">
        <v>19951.97</v>
      </c>
      <c r="G720" s="65" t="s">
        <v>1305</v>
      </c>
      <c r="H720" s="65" t="s">
        <v>308</v>
      </c>
      <c r="P720" s="65" t="s">
        <v>983</v>
      </c>
      <c r="Q720" s="65">
        <v>2025</v>
      </c>
      <c r="R720" s="65">
        <v>1</v>
      </c>
      <c r="S720" s="65">
        <v>0</v>
      </c>
      <c r="T720" s="65">
        <v>0</v>
      </c>
      <c r="U720" s="65" t="s">
        <v>728</v>
      </c>
      <c r="V720" s="65" t="s">
        <v>420</v>
      </c>
      <c r="Y720" t="s">
        <v>983</v>
      </c>
      <c r="Z720" t="s">
        <v>1205</v>
      </c>
      <c r="AA720">
        <v>0</v>
      </c>
      <c r="AB720">
        <v>0</v>
      </c>
      <c r="AC720" t="s">
        <v>420</v>
      </c>
      <c r="AD720" t="s">
        <v>728</v>
      </c>
    </row>
    <row r="721" spans="2:30" x14ac:dyDescent="0.25">
      <c r="B721" s="65" t="s">
        <v>981</v>
      </c>
      <c r="C721" s="65">
        <v>2026</v>
      </c>
      <c r="D721" s="65">
        <v>1</v>
      </c>
      <c r="E721" s="65">
        <v>0</v>
      </c>
      <c r="F721" s="65">
        <v>0</v>
      </c>
      <c r="G721" s="65" t="s">
        <v>1174</v>
      </c>
      <c r="H721" s="65" t="s">
        <v>308</v>
      </c>
      <c r="P721" s="65" t="s">
        <v>729</v>
      </c>
      <c r="Q721" s="65">
        <v>2025</v>
      </c>
      <c r="R721" s="65">
        <v>1</v>
      </c>
      <c r="S721" s="65">
        <v>0</v>
      </c>
      <c r="T721" s="65">
        <v>0</v>
      </c>
      <c r="U721" s="65" t="s">
        <v>2054</v>
      </c>
      <c r="V721" s="65" t="s">
        <v>420</v>
      </c>
      <c r="Y721" t="s">
        <v>729</v>
      </c>
      <c r="Z721" t="s">
        <v>1205</v>
      </c>
      <c r="AA721">
        <v>191552.63</v>
      </c>
      <c r="AB721">
        <v>23214.01</v>
      </c>
      <c r="AC721" t="s">
        <v>420</v>
      </c>
      <c r="AD721" t="s">
        <v>2054</v>
      </c>
    </row>
    <row r="722" spans="2:30" x14ac:dyDescent="0.25">
      <c r="B722" s="65" t="s">
        <v>720</v>
      </c>
      <c r="C722" s="65">
        <v>2026</v>
      </c>
      <c r="D722" s="65">
        <v>1</v>
      </c>
      <c r="E722" s="65">
        <v>0</v>
      </c>
      <c r="F722" s="65">
        <v>0</v>
      </c>
      <c r="G722" s="65" t="s">
        <v>1174</v>
      </c>
      <c r="H722" s="65" t="s">
        <v>420</v>
      </c>
      <c r="P722" s="65" t="s">
        <v>984</v>
      </c>
      <c r="Q722" s="65">
        <v>2025</v>
      </c>
      <c r="R722" s="65">
        <v>1</v>
      </c>
      <c r="S722" s="65">
        <v>0</v>
      </c>
      <c r="T722" s="65">
        <v>0</v>
      </c>
      <c r="U722" s="65" t="s">
        <v>2055</v>
      </c>
      <c r="V722" s="65" t="s">
        <v>420</v>
      </c>
      <c r="Y722" t="s">
        <v>984</v>
      </c>
      <c r="Z722" t="s">
        <v>1205</v>
      </c>
      <c r="AA722">
        <v>0</v>
      </c>
      <c r="AB722">
        <v>0</v>
      </c>
      <c r="AC722" t="s">
        <v>420</v>
      </c>
      <c r="AD722" t="s">
        <v>2055</v>
      </c>
    </row>
    <row r="723" spans="2:30" x14ac:dyDescent="0.25">
      <c r="B723" s="65" t="s">
        <v>721</v>
      </c>
      <c r="C723" s="65">
        <v>2026</v>
      </c>
      <c r="D723" s="65">
        <v>1</v>
      </c>
      <c r="E723" s="65">
        <v>162.76</v>
      </c>
      <c r="F723" s="65">
        <v>162.76</v>
      </c>
      <c r="G723" s="65" t="s">
        <v>722</v>
      </c>
      <c r="H723" s="65" t="s">
        <v>420</v>
      </c>
      <c r="P723" s="65" t="s">
        <v>730</v>
      </c>
      <c r="Q723" s="65">
        <v>2025</v>
      </c>
      <c r="R723" s="65">
        <v>1</v>
      </c>
      <c r="S723" s="65">
        <v>0</v>
      </c>
      <c r="T723" s="65">
        <v>0</v>
      </c>
      <c r="U723" s="65" t="s">
        <v>2056</v>
      </c>
      <c r="V723" s="65" t="s">
        <v>420</v>
      </c>
      <c r="Y723" t="s">
        <v>730</v>
      </c>
      <c r="Z723" t="s">
        <v>1205</v>
      </c>
      <c r="AA723">
        <v>57243.11</v>
      </c>
      <c r="AB723">
        <v>20658.46</v>
      </c>
      <c r="AC723" t="s">
        <v>420</v>
      </c>
      <c r="AD723" t="s">
        <v>2056</v>
      </c>
    </row>
    <row r="724" spans="2:30" x14ac:dyDescent="0.25">
      <c r="B724" s="65" t="s">
        <v>723</v>
      </c>
      <c r="C724" s="65">
        <v>2026</v>
      </c>
      <c r="D724" s="65">
        <v>1</v>
      </c>
      <c r="E724" s="65">
        <v>50355.26</v>
      </c>
      <c r="F724" s="65">
        <v>50355.26</v>
      </c>
      <c r="G724" s="65" t="s">
        <v>1101</v>
      </c>
      <c r="H724" s="65" t="s">
        <v>308</v>
      </c>
      <c r="P724" s="65" t="s">
        <v>1437</v>
      </c>
      <c r="Q724" s="65">
        <v>2025</v>
      </c>
      <c r="R724" s="65">
        <v>1</v>
      </c>
      <c r="S724" s="65">
        <v>0</v>
      </c>
      <c r="T724" s="65">
        <v>0</v>
      </c>
      <c r="U724" s="65" t="s">
        <v>2057</v>
      </c>
      <c r="V724" s="65" t="s">
        <v>420</v>
      </c>
      <c r="Y724" t="s">
        <v>1437</v>
      </c>
      <c r="Z724" t="s">
        <v>1205</v>
      </c>
      <c r="AA724">
        <v>0</v>
      </c>
      <c r="AB724">
        <v>0</v>
      </c>
      <c r="AC724" t="s">
        <v>420</v>
      </c>
      <c r="AD724" t="s">
        <v>2057</v>
      </c>
    </row>
    <row r="725" spans="2:30" x14ac:dyDescent="0.25">
      <c r="B725" s="65" t="s">
        <v>982</v>
      </c>
      <c r="C725" s="65">
        <v>2026</v>
      </c>
      <c r="D725" s="65">
        <v>1</v>
      </c>
      <c r="E725" s="65">
        <v>0</v>
      </c>
      <c r="F725" s="65">
        <v>0</v>
      </c>
      <c r="G725" s="65" t="s">
        <v>1101</v>
      </c>
      <c r="H725" s="65" t="s">
        <v>420</v>
      </c>
      <c r="P725" s="65" t="s">
        <v>731</v>
      </c>
      <c r="Q725" s="65">
        <v>2025</v>
      </c>
      <c r="R725" s="65">
        <v>1</v>
      </c>
      <c r="S725" s="65">
        <v>0</v>
      </c>
      <c r="T725" s="65">
        <v>0</v>
      </c>
      <c r="U725" s="65" t="s">
        <v>2058</v>
      </c>
      <c r="V725" s="65" t="s">
        <v>420</v>
      </c>
      <c r="Y725" t="s">
        <v>731</v>
      </c>
      <c r="Z725" t="s">
        <v>1205</v>
      </c>
      <c r="AA725">
        <v>60632.87</v>
      </c>
      <c r="AB725">
        <v>149.19999999999999</v>
      </c>
      <c r="AC725" t="s">
        <v>420</v>
      </c>
      <c r="AD725" t="s">
        <v>2058</v>
      </c>
    </row>
    <row r="726" spans="2:30" x14ac:dyDescent="0.25">
      <c r="B726" s="65" t="s">
        <v>725</v>
      </c>
      <c r="C726" s="65">
        <v>2026</v>
      </c>
      <c r="D726" s="65">
        <v>1</v>
      </c>
      <c r="E726" s="65">
        <v>0</v>
      </c>
      <c r="F726" s="65">
        <v>0</v>
      </c>
      <c r="G726" s="65" t="s">
        <v>2065</v>
      </c>
      <c r="H726" s="65" t="s">
        <v>420</v>
      </c>
      <c r="P726" s="65" t="s">
        <v>985</v>
      </c>
      <c r="Q726" s="65">
        <v>2025</v>
      </c>
      <c r="R726" s="65">
        <v>1</v>
      </c>
      <c r="S726" s="65">
        <v>0</v>
      </c>
      <c r="T726" s="65">
        <v>0</v>
      </c>
      <c r="U726" s="65" t="s">
        <v>732</v>
      </c>
      <c r="V726" s="65" t="s">
        <v>420</v>
      </c>
      <c r="Y726" t="s">
        <v>985</v>
      </c>
      <c r="Z726" t="s">
        <v>1205</v>
      </c>
      <c r="AA726">
        <v>0</v>
      </c>
      <c r="AB726">
        <v>0</v>
      </c>
      <c r="AC726" t="s">
        <v>420</v>
      </c>
      <c r="AD726" t="s">
        <v>732</v>
      </c>
    </row>
    <row r="727" spans="2:30" x14ac:dyDescent="0.25">
      <c r="B727" s="65" t="s">
        <v>727</v>
      </c>
      <c r="C727" s="65">
        <v>2026</v>
      </c>
      <c r="D727" s="65">
        <v>1</v>
      </c>
      <c r="E727" s="65">
        <v>0</v>
      </c>
      <c r="F727" s="65">
        <v>0</v>
      </c>
      <c r="G727" s="65" t="s">
        <v>728</v>
      </c>
      <c r="H727" s="65" t="s">
        <v>420</v>
      </c>
      <c r="P727" s="65" t="s">
        <v>733</v>
      </c>
      <c r="Q727" s="65">
        <v>2025</v>
      </c>
      <c r="R727" s="65">
        <v>1</v>
      </c>
      <c r="S727" s="65">
        <v>0</v>
      </c>
      <c r="T727" s="65">
        <v>0</v>
      </c>
      <c r="U727" s="65" t="s">
        <v>2059</v>
      </c>
      <c r="V727" s="65" t="s">
        <v>420</v>
      </c>
      <c r="Y727" t="s">
        <v>733</v>
      </c>
      <c r="Z727" t="s">
        <v>1205</v>
      </c>
      <c r="AA727">
        <v>0</v>
      </c>
      <c r="AB727">
        <v>0</v>
      </c>
      <c r="AC727" t="s">
        <v>420</v>
      </c>
      <c r="AD727" t="s">
        <v>2059</v>
      </c>
    </row>
    <row r="728" spans="2:30" x14ac:dyDescent="0.25">
      <c r="B728" s="65" t="s">
        <v>983</v>
      </c>
      <c r="C728" s="65">
        <v>2026</v>
      </c>
      <c r="D728" s="65">
        <v>1</v>
      </c>
      <c r="E728" s="65">
        <v>0</v>
      </c>
      <c r="F728" s="65">
        <v>0</v>
      </c>
      <c r="G728" s="65" t="s">
        <v>728</v>
      </c>
      <c r="H728" s="65" t="s">
        <v>420</v>
      </c>
      <c r="P728" s="65" t="s">
        <v>986</v>
      </c>
      <c r="Q728" s="65">
        <v>2025</v>
      </c>
      <c r="R728" s="65">
        <v>1</v>
      </c>
      <c r="S728" s="65">
        <v>0</v>
      </c>
      <c r="T728" s="65">
        <v>0</v>
      </c>
      <c r="U728" s="65" t="s">
        <v>2101</v>
      </c>
      <c r="V728" s="65" t="s">
        <v>420</v>
      </c>
      <c r="Y728" t="s">
        <v>986</v>
      </c>
      <c r="Z728" t="s">
        <v>1205</v>
      </c>
      <c r="AA728">
        <v>0</v>
      </c>
      <c r="AB728">
        <v>0</v>
      </c>
      <c r="AC728" t="s">
        <v>420</v>
      </c>
      <c r="AD728" t="s">
        <v>2101</v>
      </c>
    </row>
    <row r="729" spans="2:30" x14ac:dyDescent="0.25">
      <c r="B729" s="65" t="s">
        <v>729</v>
      </c>
      <c r="C729" s="65">
        <v>2026</v>
      </c>
      <c r="D729" s="65">
        <v>1</v>
      </c>
      <c r="E729" s="65">
        <v>-24385.81</v>
      </c>
      <c r="F729" s="65">
        <v>-24385.81</v>
      </c>
      <c r="G729" s="65" t="s">
        <v>2054</v>
      </c>
      <c r="H729" s="65" t="s">
        <v>420</v>
      </c>
      <c r="P729" s="65" t="s">
        <v>734</v>
      </c>
      <c r="Q729" s="65">
        <v>2025</v>
      </c>
      <c r="R729" s="65">
        <v>1</v>
      </c>
      <c r="S729" s="65">
        <v>0</v>
      </c>
      <c r="T729" s="65">
        <v>0</v>
      </c>
      <c r="U729" s="65" t="s">
        <v>735</v>
      </c>
      <c r="V729" s="65" t="s">
        <v>420</v>
      </c>
      <c r="Y729" t="s">
        <v>734</v>
      </c>
      <c r="Z729" t="s">
        <v>1205</v>
      </c>
      <c r="AA729">
        <v>0</v>
      </c>
      <c r="AB729">
        <v>0</v>
      </c>
      <c r="AC729" t="s">
        <v>420</v>
      </c>
      <c r="AD729" t="s">
        <v>735</v>
      </c>
    </row>
    <row r="730" spans="2:30" x14ac:dyDescent="0.25">
      <c r="B730" s="65" t="s">
        <v>984</v>
      </c>
      <c r="C730" s="65">
        <v>2026</v>
      </c>
      <c r="D730" s="65">
        <v>1</v>
      </c>
      <c r="E730" s="65">
        <v>1989.12</v>
      </c>
      <c r="F730" s="65">
        <v>1989.12</v>
      </c>
      <c r="G730" s="65" t="s">
        <v>2055</v>
      </c>
      <c r="H730" s="65" t="s">
        <v>420</v>
      </c>
      <c r="P730" s="65" t="s">
        <v>736</v>
      </c>
      <c r="Q730" s="65">
        <v>2025</v>
      </c>
      <c r="R730" s="65">
        <v>1</v>
      </c>
      <c r="S730" s="65">
        <v>0</v>
      </c>
      <c r="T730" s="65">
        <v>0</v>
      </c>
      <c r="U730" s="65" t="s">
        <v>737</v>
      </c>
      <c r="V730" s="65" t="s">
        <v>420</v>
      </c>
      <c r="Y730" t="s">
        <v>736</v>
      </c>
      <c r="Z730" t="s">
        <v>1205</v>
      </c>
      <c r="AA730">
        <v>0</v>
      </c>
      <c r="AB730">
        <v>0</v>
      </c>
      <c r="AC730" t="s">
        <v>420</v>
      </c>
      <c r="AD730" t="s">
        <v>737</v>
      </c>
    </row>
    <row r="731" spans="2:30" x14ac:dyDescent="0.25">
      <c r="B731" s="65" t="s">
        <v>730</v>
      </c>
      <c r="C731" s="65">
        <v>2026</v>
      </c>
      <c r="D731" s="65">
        <v>1</v>
      </c>
      <c r="E731" s="65">
        <v>0</v>
      </c>
      <c r="F731" s="65">
        <v>0</v>
      </c>
      <c r="G731" s="65" t="s">
        <v>2056</v>
      </c>
      <c r="H731" s="65" t="s">
        <v>420</v>
      </c>
      <c r="P731" s="65" t="s">
        <v>987</v>
      </c>
      <c r="Q731" s="65">
        <v>2025</v>
      </c>
      <c r="R731" s="65">
        <v>1</v>
      </c>
      <c r="S731" s="65">
        <v>0</v>
      </c>
      <c r="T731" s="65">
        <v>0</v>
      </c>
      <c r="U731" s="65" t="s">
        <v>737</v>
      </c>
      <c r="V731" s="65" t="s">
        <v>420</v>
      </c>
      <c r="Y731" t="s">
        <v>987</v>
      </c>
      <c r="Z731" t="s">
        <v>1205</v>
      </c>
      <c r="AA731">
        <v>0</v>
      </c>
      <c r="AB731">
        <v>0</v>
      </c>
      <c r="AC731" t="s">
        <v>420</v>
      </c>
      <c r="AD731" t="s">
        <v>737</v>
      </c>
    </row>
    <row r="732" spans="2:30" x14ac:dyDescent="0.25">
      <c r="B732" s="65" t="s">
        <v>1437</v>
      </c>
      <c r="C732" s="65">
        <v>2026</v>
      </c>
      <c r="D732" s="65">
        <v>1</v>
      </c>
      <c r="E732" s="65">
        <v>0</v>
      </c>
      <c r="F732" s="65">
        <v>0</v>
      </c>
      <c r="G732" s="65" t="s">
        <v>2057</v>
      </c>
      <c r="H732" s="65" t="s">
        <v>420</v>
      </c>
      <c r="P732" s="65" t="s">
        <v>738</v>
      </c>
      <c r="Q732" s="65">
        <v>2025</v>
      </c>
      <c r="R732" s="65">
        <v>1</v>
      </c>
      <c r="S732" s="65">
        <v>12519</v>
      </c>
      <c r="T732" s="65">
        <v>12519</v>
      </c>
      <c r="U732" s="65" t="s">
        <v>739</v>
      </c>
      <c r="V732" s="65" t="s">
        <v>420</v>
      </c>
      <c r="Y732" t="s">
        <v>738</v>
      </c>
      <c r="Z732" t="s">
        <v>1205</v>
      </c>
      <c r="AA732">
        <v>88173.77</v>
      </c>
      <c r="AB732">
        <v>0</v>
      </c>
      <c r="AC732" t="s">
        <v>420</v>
      </c>
      <c r="AD732" t="s">
        <v>739</v>
      </c>
    </row>
    <row r="733" spans="2:30" x14ac:dyDescent="0.25">
      <c r="B733" s="65" t="s">
        <v>731</v>
      </c>
      <c r="C733" s="65">
        <v>2026</v>
      </c>
      <c r="D733" s="65">
        <v>1</v>
      </c>
      <c r="E733" s="65">
        <v>168.97</v>
      </c>
      <c r="F733" s="65">
        <v>168.97</v>
      </c>
      <c r="G733" s="65" t="s">
        <v>2058</v>
      </c>
      <c r="H733" s="65" t="s">
        <v>420</v>
      </c>
      <c r="P733" s="65" t="s">
        <v>1306</v>
      </c>
      <c r="Q733" s="65">
        <v>2025</v>
      </c>
      <c r="R733" s="65">
        <v>1</v>
      </c>
      <c r="S733" s="65">
        <v>72146.58</v>
      </c>
      <c r="T733" s="65">
        <v>72146.58</v>
      </c>
      <c r="U733" s="65" t="s">
        <v>1307</v>
      </c>
      <c r="V733" s="65" t="s">
        <v>420</v>
      </c>
      <c r="Y733" t="s">
        <v>1306</v>
      </c>
      <c r="Z733" t="s">
        <v>1205</v>
      </c>
      <c r="AA733">
        <v>426877.7</v>
      </c>
      <c r="AB733">
        <v>0</v>
      </c>
      <c r="AC733" t="s">
        <v>420</v>
      </c>
      <c r="AD733" t="s">
        <v>1307</v>
      </c>
    </row>
    <row r="734" spans="2:30" x14ac:dyDescent="0.25">
      <c r="B734" s="65" t="s">
        <v>985</v>
      </c>
      <c r="C734" s="65">
        <v>2026</v>
      </c>
      <c r="D734" s="65">
        <v>1</v>
      </c>
      <c r="E734" s="65">
        <v>0</v>
      </c>
      <c r="F734" s="65">
        <v>0</v>
      </c>
      <c r="G734" s="65" t="s">
        <v>732</v>
      </c>
      <c r="H734" s="65" t="s">
        <v>420</v>
      </c>
      <c r="P734" s="65" t="s">
        <v>740</v>
      </c>
      <c r="Q734" s="65">
        <v>2025</v>
      </c>
      <c r="R734" s="65">
        <v>1</v>
      </c>
      <c r="S734" s="65">
        <v>1531.13</v>
      </c>
      <c r="T734" s="65">
        <v>1531.13</v>
      </c>
      <c r="U734" s="65" t="s">
        <v>741</v>
      </c>
      <c r="V734" s="65" t="s">
        <v>420</v>
      </c>
      <c r="Y734" t="s">
        <v>740</v>
      </c>
      <c r="Z734" t="s">
        <v>1205</v>
      </c>
      <c r="AA734">
        <v>13595.27</v>
      </c>
      <c r="AB734">
        <v>1159.51</v>
      </c>
      <c r="AC734" t="s">
        <v>420</v>
      </c>
      <c r="AD734" t="s">
        <v>741</v>
      </c>
    </row>
    <row r="735" spans="2:30" x14ac:dyDescent="0.25">
      <c r="B735" s="65" t="s">
        <v>733</v>
      </c>
      <c r="C735" s="65">
        <v>2026</v>
      </c>
      <c r="D735" s="65">
        <v>1</v>
      </c>
      <c r="E735" s="65">
        <v>0</v>
      </c>
      <c r="F735" s="65">
        <v>0</v>
      </c>
      <c r="G735" s="65" t="s">
        <v>2059</v>
      </c>
      <c r="H735" s="65" t="s">
        <v>420</v>
      </c>
      <c r="P735" s="65" t="s">
        <v>988</v>
      </c>
      <c r="Q735" s="65">
        <v>2025</v>
      </c>
      <c r="R735" s="65">
        <v>1</v>
      </c>
      <c r="S735" s="65">
        <v>0</v>
      </c>
      <c r="T735" s="65">
        <v>0</v>
      </c>
      <c r="U735" s="65" t="s">
        <v>741</v>
      </c>
      <c r="V735" s="65" t="s">
        <v>420</v>
      </c>
      <c r="Y735" t="s">
        <v>988</v>
      </c>
      <c r="Z735" t="s">
        <v>1205</v>
      </c>
      <c r="AA735">
        <v>399.52</v>
      </c>
      <c r="AB735">
        <v>188.56</v>
      </c>
      <c r="AC735" t="s">
        <v>420</v>
      </c>
      <c r="AD735" t="s">
        <v>741</v>
      </c>
    </row>
    <row r="736" spans="2:30" x14ac:dyDescent="0.25">
      <c r="B736" s="65" t="s">
        <v>986</v>
      </c>
      <c r="C736" s="65">
        <v>2026</v>
      </c>
      <c r="D736" s="65">
        <v>1</v>
      </c>
      <c r="E736" s="65">
        <v>0</v>
      </c>
      <c r="F736" s="65">
        <v>0</v>
      </c>
      <c r="G736" s="65" t="s">
        <v>2101</v>
      </c>
      <c r="H736" s="65" t="s">
        <v>420</v>
      </c>
      <c r="P736" s="65" t="s">
        <v>1276</v>
      </c>
      <c r="Q736" s="65">
        <v>2025</v>
      </c>
      <c r="R736" s="65">
        <v>1</v>
      </c>
      <c r="S736" s="65">
        <v>-98430.83</v>
      </c>
      <c r="T736" s="65">
        <v>-98430.83</v>
      </c>
      <c r="U736" s="65" t="s">
        <v>1345</v>
      </c>
      <c r="V736" s="65" t="s">
        <v>308</v>
      </c>
      <c r="Y736" t="s">
        <v>1276</v>
      </c>
      <c r="Z736" t="s">
        <v>1205</v>
      </c>
      <c r="AA736">
        <v>-1231516</v>
      </c>
      <c r="AB736">
        <v>-115055.85</v>
      </c>
      <c r="AC736" t="s">
        <v>308</v>
      </c>
      <c r="AD736" t="s">
        <v>1345</v>
      </c>
    </row>
    <row r="737" spans="2:30" x14ac:dyDescent="0.25">
      <c r="B737" s="65" t="s">
        <v>734</v>
      </c>
      <c r="C737" s="65">
        <v>2026</v>
      </c>
      <c r="D737" s="65">
        <v>1</v>
      </c>
      <c r="E737" s="65">
        <v>0</v>
      </c>
      <c r="F737" s="65">
        <v>0</v>
      </c>
      <c r="G737" s="65" t="s">
        <v>735</v>
      </c>
      <c r="H737" s="65" t="s">
        <v>420</v>
      </c>
      <c r="P737" s="65" t="s">
        <v>1512</v>
      </c>
      <c r="Q737" s="65">
        <v>2025</v>
      </c>
      <c r="R737" s="65">
        <v>1</v>
      </c>
      <c r="S737" s="65">
        <v>-5352.12</v>
      </c>
      <c r="T737" s="65">
        <v>-5352.12</v>
      </c>
      <c r="U737" s="65" t="s">
        <v>1345</v>
      </c>
      <c r="V737" s="65" t="s">
        <v>308</v>
      </c>
      <c r="Y737" t="s">
        <v>1512</v>
      </c>
      <c r="Z737" t="s">
        <v>1205</v>
      </c>
      <c r="AA737">
        <v>-8858.4699999999993</v>
      </c>
      <c r="AB737">
        <v>888</v>
      </c>
      <c r="AC737" t="s">
        <v>308</v>
      </c>
      <c r="AD737" t="s">
        <v>1345</v>
      </c>
    </row>
    <row r="738" spans="2:30" x14ac:dyDescent="0.25">
      <c r="B738" s="65" t="s">
        <v>736</v>
      </c>
      <c r="C738" s="65">
        <v>2026</v>
      </c>
      <c r="D738" s="65">
        <v>1</v>
      </c>
      <c r="E738" s="65">
        <v>0</v>
      </c>
      <c r="F738" s="65">
        <v>0</v>
      </c>
      <c r="G738" s="65" t="s">
        <v>737</v>
      </c>
      <c r="H738" s="65" t="s">
        <v>420</v>
      </c>
      <c r="P738" s="65" t="s">
        <v>742</v>
      </c>
      <c r="Q738" s="65">
        <v>2025</v>
      </c>
      <c r="R738" s="65">
        <v>1</v>
      </c>
      <c r="S738" s="65">
        <v>8231.06</v>
      </c>
      <c r="T738" s="65">
        <v>8231.06</v>
      </c>
      <c r="U738" s="65" t="s">
        <v>743</v>
      </c>
      <c r="V738" s="65" t="s">
        <v>420</v>
      </c>
      <c r="Y738" t="s">
        <v>742</v>
      </c>
      <c r="Z738" t="s">
        <v>1205</v>
      </c>
      <c r="AA738">
        <v>96567.4</v>
      </c>
      <c r="AB738">
        <v>6818.83</v>
      </c>
      <c r="AC738" t="s">
        <v>420</v>
      </c>
      <c r="AD738" t="s">
        <v>743</v>
      </c>
    </row>
    <row r="739" spans="2:30" x14ac:dyDescent="0.25">
      <c r="B739" s="65" t="s">
        <v>987</v>
      </c>
      <c r="C739" s="65">
        <v>2026</v>
      </c>
      <c r="D739" s="65">
        <v>1</v>
      </c>
      <c r="E739" s="65">
        <v>0</v>
      </c>
      <c r="F739" s="65">
        <v>0</v>
      </c>
      <c r="G739" s="65" t="s">
        <v>737</v>
      </c>
      <c r="H739" s="65" t="s">
        <v>420</v>
      </c>
      <c r="P739" s="65" t="s">
        <v>744</v>
      </c>
      <c r="Q739" s="65">
        <v>2025</v>
      </c>
      <c r="R739" s="65">
        <v>1</v>
      </c>
      <c r="S739" s="65">
        <v>24693.19</v>
      </c>
      <c r="T739" s="65">
        <v>24693.19</v>
      </c>
      <c r="U739" s="65" t="s">
        <v>743</v>
      </c>
      <c r="V739" s="65" t="s">
        <v>420</v>
      </c>
      <c r="Y739" t="s">
        <v>744</v>
      </c>
      <c r="Z739" t="s">
        <v>1205</v>
      </c>
      <c r="AA739">
        <v>289702.31</v>
      </c>
      <c r="AB739">
        <v>20456.52</v>
      </c>
      <c r="AC739" t="s">
        <v>420</v>
      </c>
      <c r="AD739" t="s">
        <v>743</v>
      </c>
    </row>
    <row r="740" spans="2:30" x14ac:dyDescent="0.25">
      <c r="B740" s="65" t="s">
        <v>738</v>
      </c>
      <c r="C740" s="65">
        <v>2026</v>
      </c>
      <c r="D740" s="65">
        <v>1</v>
      </c>
      <c r="E740" s="65">
        <v>18342</v>
      </c>
      <c r="F740" s="65">
        <v>18342</v>
      </c>
      <c r="G740" s="65" t="s">
        <v>739</v>
      </c>
      <c r="H740" s="65" t="s">
        <v>420</v>
      </c>
      <c r="P740" s="65" t="s">
        <v>989</v>
      </c>
      <c r="Q740" s="65">
        <v>2025</v>
      </c>
      <c r="R740" s="65">
        <v>1</v>
      </c>
      <c r="S740" s="65">
        <v>0</v>
      </c>
      <c r="T740" s="65">
        <v>0</v>
      </c>
      <c r="U740" s="65" t="s">
        <v>743</v>
      </c>
      <c r="V740" s="65" t="s">
        <v>420</v>
      </c>
      <c r="Y740" t="s">
        <v>989</v>
      </c>
      <c r="Z740" t="s">
        <v>1205</v>
      </c>
      <c r="AA740">
        <v>0</v>
      </c>
      <c r="AB740">
        <v>0</v>
      </c>
      <c r="AC740" t="s">
        <v>420</v>
      </c>
      <c r="AD740" t="s">
        <v>743</v>
      </c>
    </row>
    <row r="741" spans="2:30" x14ac:dyDescent="0.25">
      <c r="B741" s="65" t="s">
        <v>1306</v>
      </c>
      <c r="C741" s="65">
        <v>2026</v>
      </c>
      <c r="D741" s="65">
        <v>1</v>
      </c>
      <c r="E741" s="65">
        <v>0</v>
      </c>
      <c r="F741" s="65">
        <v>0</v>
      </c>
      <c r="G741" s="65" t="s">
        <v>1307</v>
      </c>
      <c r="H741" s="65" t="s">
        <v>420</v>
      </c>
      <c r="P741" s="65" t="s">
        <v>745</v>
      </c>
      <c r="Q741" s="65">
        <v>2025</v>
      </c>
      <c r="R741" s="65">
        <v>1</v>
      </c>
      <c r="S741" s="65">
        <v>16462.12</v>
      </c>
      <c r="T741" s="65">
        <v>16462.12</v>
      </c>
      <c r="U741" s="65" t="s">
        <v>743</v>
      </c>
      <c r="V741" s="65" t="s">
        <v>420</v>
      </c>
      <c r="Y741" t="s">
        <v>745</v>
      </c>
      <c r="Z741" t="s">
        <v>1205</v>
      </c>
      <c r="AA741">
        <v>193134.82</v>
      </c>
      <c r="AB741">
        <v>13637.68</v>
      </c>
      <c r="AC741" t="s">
        <v>420</v>
      </c>
      <c r="AD741" t="s">
        <v>743</v>
      </c>
    </row>
    <row r="742" spans="2:30" x14ac:dyDescent="0.25">
      <c r="B742" s="65" t="s">
        <v>740</v>
      </c>
      <c r="C742" s="65">
        <v>2026</v>
      </c>
      <c r="D742" s="65">
        <v>1</v>
      </c>
      <c r="E742" s="65">
        <v>1027.68</v>
      </c>
      <c r="F742" s="65">
        <v>1027.68</v>
      </c>
      <c r="G742" s="65" t="s">
        <v>741</v>
      </c>
      <c r="H742" s="65" t="s">
        <v>420</v>
      </c>
      <c r="P742" s="65" t="s">
        <v>990</v>
      </c>
      <c r="Q742" s="65">
        <v>2025</v>
      </c>
      <c r="R742" s="65">
        <v>1</v>
      </c>
      <c r="S742" s="65">
        <v>0</v>
      </c>
      <c r="T742" s="65">
        <v>0</v>
      </c>
      <c r="U742" s="65" t="s">
        <v>743</v>
      </c>
      <c r="V742" s="65" t="s">
        <v>420</v>
      </c>
      <c r="Y742" t="s">
        <v>990</v>
      </c>
      <c r="Z742" t="s">
        <v>1205</v>
      </c>
      <c r="AA742">
        <v>0</v>
      </c>
      <c r="AB742">
        <v>0</v>
      </c>
      <c r="AC742" t="s">
        <v>420</v>
      </c>
      <c r="AD742" t="s">
        <v>743</v>
      </c>
    </row>
    <row r="743" spans="2:30" x14ac:dyDescent="0.25">
      <c r="B743" s="65" t="s">
        <v>988</v>
      </c>
      <c r="C743" s="65">
        <v>2026</v>
      </c>
      <c r="D743" s="65">
        <v>1</v>
      </c>
      <c r="E743" s="65">
        <v>175.61</v>
      </c>
      <c r="F743" s="65">
        <v>175.61</v>
      </c>
      <c r="G743" s="65" t="s">
        <v>741</v>
      </c>
      <c r="H743" s="65" t="s">
        <v>420</v>
      </c>
      <c r="P743" s="65" t="s">
        <v>746</v>
      </c>
      <c r="Q743" s="65">
        <v>2025</v>
      </c>
      <c r="R743" s="65">
        <v>1</v>
      </c>
      <c r="S743" s="65">
        <v>8231.06</v>
      </c>
      <c r="T743" s="65">
        <v>8231.06</v>
      </c>
      <c r="U743" s="65" t="s">
        <v>743</v>
      </c>
      <c r="V743" s="65" t="s">
        <v>420</v>
      </c>
      <c r="Y743" t="s">
        <v>746</v>
      </c>
      <c r="Z743" t="s">
        <v>1205</v>
      </c>
      <c r="AA743">
        <v>96567.44</v>
      </c>
      <c r="AB743">
        <v>6818.85</v>
      </c>
      <c r="AC743" t="s">
        <v>420</v>
      </c>
      <c r="AD743" t="s">
        <v>743</v>
      </c>
    </row>
    <row r="744" spans="2:30" x14ac:dyDescent="0.25">
      <c r="B744" s="65" t="s">
        <v>1276</v>
      </c>
      <c r="C744" s="65">
        <v>2026</v>
      </c>
      <c r="D744" s="65">
        <v>1</v>
      </c>
      <c r="E744" s="65">
        <v>-67399.39</v>
      </c>
      <c r="F744" s="65">
        <v>-67399.39</v>
      </c>
      <c r="G744" s="65" t="s">
        <v>1345</v>
      </c>
      <c r="H744" s="65" t="s">
        <v>308</v>
      </c>
      <c r="P744" s="65" t="s">
        <v>1438</v>
      </c>
      <c r="Q744" s="65">
        <v>2025</v>
      </c>
      <c r="R744" s="65">
        <v>1</v>
      </c>
      <c r="S744" s="65">
        <v>0</v>
      </c>
      <c r="T744" s="65">
        <v>0</v>
      </c>
      <c r="U744" s="65" t="s">
        <v>1479</v>
      </c>
      <c r="V744" s="65" t="s">
        <v>420</v>
      </c>
      <c r="Y744" t="s">
        <v>1438</v>
      </c>
      <c r="Z744" t="s">
        <v>1205</v>
      </c>
      <c r="AA744">
        <v>0</v>
      </c>
      <c r="AB744">
        <v>0</v>
      </c>
      <c r="AC744" t="s">
        <v>420</v>
      </c>
      <c r="AD744" t="s">
        <v>1479</v>
      </c>
    </row>
    <row r="745" spans="2:30" x14ac:dyDescent="0.25">
      <c r="B745" s="65" t="s">
        <v>1512</v>
      </c>
      <c r="C745" s="65">
        <v>2026</v>
      </c>
      <c r="D745" s="65">
        <v>1</v>
      </c>
      <c r="E745" s="65">
        <v>241.5</v>
      </c>
      <c r="F745" s="65">
        <v>241.5</v>
      </c>
      <c r="G745" s="65" t="s">
        <v>1345</v>
      </c>
      <c r="H745" s="65" t="s">
        <v>308</v>
      </c>
      <c r="P745" s="65" t="s">
        <v>747</v>
      </c>
      <c r="Q745" s="65">
        <v>2025</v>
      </c>
      <c r="R745" s="65">
        <v>1</v>
      </c>
      <c r="S745" s="65">
        <v>32924.269999999997</v>
      </c>
      <c r="T745" s="65">
        <v>32924.269999999997</v>
      </c>
      <c r="U745" s="65" t="s">
        <v>743</v>
      </c>
      <c r="V745" s="65" t="s">
        <v>420</v>
      </c>
      <c r="Y745" t="s">
        <v>747</v>
      </c>
      <c r="Z745" t="s">
        <v>1205</v>
      </c>
      <c r="AA745">
        <v>386269.72</v>
      </c>
      <c r="AB745">
        <v>27275.360000000001</v>
      </c>
      <c r="AC745" t="s">
        <v>420</v>
      </c>
      <c r="AD745" t="s">
        <v>743</v>
      </c>
    </row>
    <row r="746" spans="2:30" x14ac:dyDescent="0.25">
      <c r="B746" s="65" t="s">
        <v>742</v>
      </c>
      <c r="C746" s="65">
        <v>2026</v>
      </c>
      <c r="D746" s="65">
        <v>1</v>
      </c>
      <c r="E746" s="65">
        <v>0</v>
      </c>
      <c r="F746" s="65">
        <v>0</v>
      </c>
      <c r="G746" s="65" t="s">
        <v>743</v>
      </c>
      <c r="H746" s="65" t="s">
        <v>420</v>
      </c>
      <c r="P746" s="65" t="s">
        <v>991</v>
      </c>
      <c r="Q746" s="65">
        <v>2025</v>
      </c>
      <c r="R746" s="65">
        <v>1</v>
      </c>
      <c r="S746" s="65">
        <v>0</v>
      </c>
      <c r="T746" s="65">
        <v>0</v>
      </c>
      <c r="U746" s="65" t="s">
        <v>743</v>
      </c>
      <c r="V746" s="65" t="s">
        <v>420</v>
      </c>
      <c r="Y746" t="s">
        <v>991</v>
      </c>
      <c r="Z746" t="s">
        <v>1205</v>
      </c>
      <c r="AA746">
        <v>0</v>
      </c>
      <c r="AB746">
        <v>0</v>
      </c>
      <c r="AC746" t="s">
        <v>420</v>
      </c>
      <c r="AD746" t="s">
        <v>743</v>
      </c>
    </row>
    <row r="747" spans="2:30" x14ac:dyDescent="0.25">
      <c r="B747" s="65" t="s">
        <v>744</v>
      </c>
      <c r="C747" s="65">
        <v>2026</v>
      </c>
      <c r="D747" s="65">
        <v>1</v>
      </c>
      <c r="E747" s="65">
        <v>0</v>
      </c>
      <c r="F747" s="65">
        <v>0</v>
      </c>
      <c r="G747" s="65" t="s">
        <v>743</v>
      </c>
      <c r="H747" s="65" t="s">
        <v>420</v>
      </c>
      <c r="P747" s="65" t="s">
        <v>748</v>
      </c>
      <c r="Q747" s="65">
        <v>2025</v>
      </c>
      <c r="R747" s="65">
        <v>1</v>
      </c>
      <c r="S747" s="65">
        <v>49386.38</v>
      </c>
      <c r="T747" s="65">
        <v>49386.38</v>
      </c>
      <c r="U747" s="65" t="s">
        <v>743</v>
      </c>
      <c r="V747" s="65" t="s">
        <v>420</v>
      </c>
      <c r="Y747" t="s">
        <v>748</v>
      </c>
      <c r="Z747" t="s">
        <v>1205</v>
      </c>
      <c r="AA747">
        <v>579404.51</v>
      </c>
      <c r="AB747">
        <v>40913.040000000001</v>
      </c>
      <c r="AC747" t="s">
        <v>420</v>
      </c>
      <c r="AD747" t="s">
        <v>743</v>
      </c>
    </row>
    <row r="748" spans="2:30" x14ac:dyDescent="0.25">
      <c r="B748" s="65" t="s">
        <v>989</v>
      </c>
      <c r="C748" s="65">
        <v>2026</v>
      </c>
      <c r="D748" s="65">
        <v>1</v>
      </c>
      <c r="E748" s="65">
        <v>0</v>
      </c>
      <c r="F748" s="65">
        <v>0</v>
      </c>
      <c r="G748" s="65" t="s">
        <v>743</v>
      </c>
      <c r="H748" s="65" t="s">
        <v>420</v>
      </c>
      <c r="P748" s="65" t="s">
        <v>992</v>
      </c>
      <c r="Q748" s="65">
        <v>2025</v>
      </c>
      <c r="R748" s="65">
        <v>1</v>
      </c>
      <c r="S748" s="65">
        <v>0</v>
      </c>
      <c r="T748" s="65">
        <v>0</v>
      </c>
      <c r="U748" s="65" t="s">
        <v>743</v>
      </c>
      <c r="V748" s="65" t="s">
        <v>420</v>
      </c>
      <c r="Y748" t="s">
        <v>992</v>
      </c>
      <c r="Z748" t="s">
        <v>1205</v>
      </c>
      <c r="AA748">
        <v>0</v>
      </c>
      <c r="AB748">
        <v>0</v>
      </c>
      <c r="AC748" t="s">
        <v>420</v>
      </c>
      <c r="AD748" t="s">
        <v>743</v>
      </c>
    </row>
    <row r="749" spans="2:30" x14ac:dyDescent="0.25">
      <c r="B749" s="65" t="s">
        <v>745</v>
      </c>
      <c r="C749" s="65">
        <v>2026</v>
      </c>
      <c r="D749" s="65">
        <v>1</v>
      </c>
      <c r="E749" s="65">
        <v>0</v>
      </c>
      <c r="F749" s="65">
        <v>0</v>
      </c>
      <c r="G749" s="65" t="s">
        <v>743</v>
      </c>
      <c r="H749" s="65" t="s">
        <v>420</v>
      </c>
      <c r="P749" s="65" t="s">
        <v>749</v>
      </c>
      <c r="Q749" s="65">
        <v>2025</v>
      </c>
      <c r="R749" s="65">
        <v>1</v>
      </c>
      <c r="S749" s="65">
        <v>-164621.26999999999</v>
      </c>
      <c r="T749" s="65">
        <v>-164621.26999999999</v>
      </c>
      <c r="U749" s="65" t="s">
        <v>743</v>
      </c>
      <c r="V749" s="65" t="s">
        <v>420</v>
      </c>
      <c r="Y749" t="s">
        <v>749</v>
      </c>
      <c r="Z749" t="s">
        <v>1205</v>
      </c>
      <c r="AA749">
        <v>-1931348.49</v>
      </c>
      <c r="AB749">
        <v>-136376.81</v>
      </c>
      <c r="AC749" t="s">
        <v>420</v>
      </c>
      <c r="AD749" t="s">
        <v>743</v>
      </c>
    </row>
    <row r="750" spans="2:30" x14ac:dyDescent="0.25">
      <c r="B750" s="65" t="s">
        <v>990</v>
      </c>
      <c r="C750" s="65">
        <v>2026</v>
      </c>
      <c r="D750" s="65">
        <v>1</v>
      </c>
      <c r="E750" s="65">
        <v>0</v>
      </c>
      <c r="F750" s="65">
        <v>0</v>
      </c>
      <c r="G750" s="65" t="s">
        <v>743</v>
      </c>
      <c r="H750" s="65" t="s">
        <v>420</v>
      </c>
      <c r="P750" s="65" t="s">
        <v>750</v>
      </c>
      <c r="Q750" s="65">
        <v>2025</v>
      </c>
      <c r="R750" s="65">
        <v>1</v>
      </c>
      <c r="S750" s="65">
        <v>24693.19</v>
      </c>
      <c r="T750" s="65">
        <v>24693.19</v>
      </c>
      <c r="U750" s="65" t="s">
        <v>743</v>
      </c>
      <c r="V750" s="65" t="s">
        <v>420</v>
      </c>
      <c r="Y750" t="s">
        <v>750</v>
      </c>
      <c r="Z750" t="s">
        <v>1205</v>
      </c>
      <c r="AA750">
        <v>289702.28999999998</v>
      </c>
      <c r="AB750">
        <v>20456.53</v>
      </c>
      <c r="AC750" t="s">
        <v>420</v>
      </c>
      <c r="AD750" t="s">
        <v>743</v>
      </c>
    </row>
    <row r="751" spans="2:30" x14ac:dyDescent="0.25">
      <c r="B751" s="65" t="s">
        <v>746</v>
      </c>
      <c r="C751" s="65">
        <v>2026</v>
      </c>
      <c r="D751" s="65">
        <v>1</v>
      </c>
      <c r="E751" s="65">
        <v>0</v>
      </c>
      <c r="F751" s="65">
        <v>0</v>
      </c>
      <c r="G751" s="65" t="s">
        <v>743</v>
      </c>
      <c r="H751" s="65" t="s">
        <v>420</v>
      </c>
      <c r="P751" s="65" t="s">
        <v>993</v>
      </c>
      <c r="Q751" s="65">
        <v>2025</v>
      </c>
      <c r="R751" s="65">
        <v>1</v>
      </c>
      <c r="S751" s="65">
        <v>0</v>
      </c>
      <c r="T751" s="65">
        <v>0</v>
      </c>
      <c r="U751" s="65" t="s">
        <v>743</v>
      </c>
      <c r="V751" s="65" t="s">
        <v>420</v>
      </c>
      <c r="Y751" t="s">
        <v>993</v>
      </c>
      <c r="Z751" t="s">
        <v>1205</v>
      </c>
      <c r="AA751">
        <v>0</v>
      </c>
      <c r="AB751">
        <v>0</v>
      </c>
      <c r="AC751" t="s">
        <v>420</v>
      </c>
      <c r="AD751" t="s">
        <v>743</v>
      </c>
    </row>
    <row r="752" spans="2:30" x14ac:dyDescent="0.25">
      <c r="B752" s="65" t="s">
        <v>1438</v>
      </c>
      <c r="C752" s="65">
        <v>2026</v>
      </c>
      <c r="D752" s="65">
        <v>1</v>
      </c>
      <c r="E752" s="65">
        <v>0</v>
      </c>
      <c r="F752" s="65">
        <v>0</v>
      </c>
      <c r="G752" s="65" t="s">
        <v>1479</v>
      </c>
      <c r="H752" s="65" t="s">
        <v>420</v>
      </c>
      <c r="P752" s="65" t="s">
        <v>1377</v>
      </c>
      <c r="Q752" s="65">
        <v>2025</v>
      </c>
      <c r="R752" s="65">
        <v>1</v>
      </c>
      <c r="S752" s="65">
        <v>0</v>
      </c>
      <c r="T752" s="65">
        <v>0</v>
      </c>
      <c r="U752" s="65" t="s">
        <v>1378</v>
      </c>
      <c r="V752" s="65" t="s">
        <v>420</v>
      </c>
      <c r="Y752" t="s">
        <v>1377</v>
      </c>
      <c r="Z752" t="s">
        <v>1205</v>
      </c>
      <c r="AA752">
        <v>0</v>
      </c>
      <c r="AB752">
        <v>0</v>
      </c>
      <c r="AC752" t="s">
        <v>420</v>
      </c>
      <c r="AD752" t="s">
        <v>1378</v>
      </c>
    </row>
    <row r="753" spans="2:21" x14ac:dyDescent="0.25">
      <c r="B753" s="65" t="s">
        <v>747</v>
      </c>
      <c r="C753" s="65">
        <v>2026</v>
      </c>
      <c r="D753" s="65">
        <v>1</v>
      </c>
      <c r="E753" s="65">
        <v>0</v>
      </c>
      <c r="F753" s="65">
        <v>0</v>
      </c>
      <c r="G753" s="65" t="s">
        <v>743</v>
      </c>
      <c r="H753" s="65" t="s">
        <v>420</v>
      </c>
    </row>
    <row r="754" spans="2:21" x14ac:dyDescent="0.25">
      <c r="B754" s="65" t="s">
        <v>991</v>
      </c>
      <c r="C754" s="65">
        <v>2026</v>
      </c>
      <c r="D754" s="65">
        <v>1</v>
      </c>
      <c r="E754" s="65">
        <v>0</v>
      </c>
      <c r="F754" s="65">
        <v>0</v>
      </c>
      <c r="G754" s="65" t="s">
        <v>743</v>
      </c>
      <c r="H754" s="65" t="s">
        <v>420</v>
      </c>
      <c r="P754" s="69"/>
      <c r="Q754" s="69"/>
      <c r="R754" s="69"/>
      <c r="S754" s="84">
        <f>SUBTOTAL(109,Table_TB1_1[YTD])</f>
        <v>-1.1674273991957307E-8</v>
      </c>
      <c r="T754" s="84">
        <f>SUBTOTAL(109,Table_TB1_1[MTD])</f>
        <v>4.3291947804391384E-10</v>
      </c>
      <c r="U754" s="69"/>
    </row>
    <row r="755" spans="2:21" x14ac:dyDescent="0.25">
      <c r="B755" s="65" t="s">
        <v>748</v>
      </c>
      <c r="C755" s="65">
        <v>2026</v>
      </c>
      <c r="D755" s="65">
        <v>1</v>
      </c>
      <c r="E755" s="65">
        <v>0</v>
      </c>
      <c r="F755" s="65">
        <v>0</v>
      </c>
      <c r="G755" s="65" t="s">
        <v>743</v>
      </c>
      <c r="H755" s="65" t="s">
        <v>420</v>
      </c>
    </row>
    <row r="756" spans="2:21" x14ac:dyDescent="0.25">
      <c r="B756" s="65" t="s">
        <v>992</v>
      </c>
      <c r="C756" s="65">
        <v>2026</v>
      </c>
      <c r="D756" s="65">
        <v>1</v>
      </c>
      <c r="E756" s="65">
        <v>0</v>
      </c>
      <c r="F756" s="65">
        <v>0</v>
      </c>
      <c r="G756" s="65" t="s">
        <v>743</v>
      </c>
      <c r="H756" s="65" t="s">
        <v>420</v>
      </c>
    </row>
    <row r="757" spans="2:21" x14ac:dyDescent="0.25">
      <c r="B757" s="65" t="s">
        <v>749</v>
      </c>
      <c r="C757" s="65">
        <v>2026</v>
      </c>
      <c r="D757" s="65">
        <v>1</v>
      </c>
      <c r="E757" s="65">
        <v>0</v>
      </c>
      <c r="F757" s="65">
        <v>0</v>
      </c>
      <c r="G757" s="65" t="s">
        <v>743</v>
      </c>
      <c r="H757" s="65" t="s">
        <v>420</v>
      </c>
    </row>
    <row r="758" spans="2:21" x14ac:dyDescent="0.25">
      <c r="B758" s="65" t="s">
        <v>750</v>
      </c>
      <c r="C758" s="65">
        <v>2026</v>
      </c>
      <c r="D758" s="65">
        <v>1</v>
      </c>
      <c r="E758" s="65">
        <v>0</v>
      </c>
      <c r="F758" s="65">
        <v>0</v>
      </c>
      <c r="G758" s="65" t="s">
        <v>743</v>
      </c>
      <c r="H758" s="65" t="s">
        <v>420</v>
      </c>
    </row>
    <row r="759" spans="2:21" x14ac:dyDescent="0.25">
      <c r="B759" s="65" t="s">
        <v>993</v>
      </c>
      <c r="C759" s="65">
        <v>2026</v>
      </c>
      <c r="D759" s="65">
        <v>1</v>
      </c>
      <c r="E759" s="65">
        <v>0</v>
      </c>
      <c r="F759" s="65">
        <v>0</v>
      </c>
      <c r="G759" s="65" t="s">
        <v>743</v>
      </c>
      <c r="H759" s="65" t="s">
        <v>420</v>
      </c>
    </row>
    <row r="760" spans="2:21" x14ac:dyDescent="0.25">
      <c r="B760" s="65" t="s">
        <v>1377</v>
      </c>
      <c r="C760" s="65">
        <v>2026</v>
      </c>
      <c r="D760" s="65">
        <v>1</v>
      </c>
      <c r="E760" s="65">
        <v>0</v>
      </c>
      <c r="F760" s="65">
        <v>0</v>
      </c>
      <c r="G760" s="65" t="s">
        <v>1378</v>
      </c>
      <c r="H760" s="65" t="s">
        <v>420</v>
      </c>
    </row>
    <row r="761" spans="2:21" x14ac:dyDescent="0.25">
      <c r="E761" s="3">
        <f>SUBTOTAL(109,E6:E760)</f>
        <v>-7.6834112405776978E-9</v>
      </c>
      <c r="F761" s="3">
        <f>SUBTOTAL(109,F6:F760)</f>
        <v>6.9849193096160889E-10</v>
      </c>
    </row>
  </sheetData>
  <phoneticPr fontId="10" type="noConversion"/>
  <pageMargins left="0.7" right="0.7" top="0.75" bottom="0.75" header="0.3" footer="0.3"/>
  <pageSetup scale="24" fitToHeight="0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7ECD-B361-4E61-A5BB-AAD97C532AD7}">
  <dimension ref="A1:XFD181"/>
  <sheetViews>
    <sheetView tabSelected="1" topLeftCell="A109" zoomScaleNormal="100" workbookViewId="0">
      <selection activeCell="AV22" sqref="AV22"/>
    </sheetView>
  </sheetViews>
  <sheetFormatPr defaultRowHeight="15" x14ac:dyDescent="0.25"/>
  <cols>
    <col min="1" max="1" width="9.140625" style="5" customWidth="1"/>
    <col min="2" max="2" width="2.85546875" style="5" customWidth="1"/>
    <col min="3" max="3" width="35.5703125" style="5" customWidth="1"/>
    <col min="4" max="4" width="1.28515625" style="5" customWidth="1"/>
    <col min="5" max="5" width="15.28515625" style="5" customWidth="1"/>
    <col min="6" max="6" width="6.7109375" style="5" customWidth="1"/>
    <col min="7" max="7" width="17.5703125" style="5" customWidth="1"/>
    <col min="8" max="8" width="1" style="5" customWidth="1"/>
    <col min="9" max="11" width="9.140625" style="5" hidden="1" customWidth="1"/>
    <col min="12" max="12" width="11.7109375" style="5" hidden="1" customWidth="1"/>
    <col min="13" max="16" width="9.140625" style="5" hidden="1" customWidth="1"/>
    <col min="17" max="17" width="0.42578125" style="5" hidden="1" customWidth="1"/>
    <col min="18" max="25" width="9.140625" style="5" hidden="1" customWidth="1"/>
    <col min="26" max="26" width="5.42578125" style="5" hidden="1" customWidth="1"/>
    <col min="27" max="43" width="9.140625" style="5" hidden="1" customWidth="1"/>
    <col min="44" max="16384" width="9.140625" style="5"/>
  </cols>
  <sheetData>
    <row r="1" spans="1:8" ht="31.5" x14ac:dyDescent="0.5">
      <c r="A1" s="144" t="s">
        <v>1223</v>
      </c>
      <c r="B1" s="144"/>
      <c r="C1" s="144"/>
      <c r="D1" s="144"/>
      <c r="E1" s="144"/>
      <c r="F1" s="144"/>
      <c r="G1" s="144"/>
      <c r="H1" s="144"/>
    </row>
    <row r="2" spans="1:8" ht="26.25" x14ac:dyDescent="0.4">
      <c r="A2" s="145" t="s">
        <v>751</v>
      </c>
      <c r="B2" s="145"/>
      <c r="C2" s="145"/>
      <c r="D2" s="145"/>
      <c r="E2" s="145"/>
      <c r="F2" s="145"/>
      <c r="G2" s="145"/>
      <c r="H2" s="145"/>
    </row>
    <row r="3" spans="1:8" ht="15.75" x14ac:dyDescent="0.25">
      <c r="A3" s="146">
        <f>DATEVALUE(TB!A3&amp;"/"&amp;TB!A4)</f>
        <v>46023</v>
      </c>
      <c r="B3" s="146"/>
      <c r="C3" s="146"/>
      <c r="D3" s="146"/>
      <c r="E3" s="146"/>
      <c r="F3" s="146"/>
      <c r="G3" s="146"/>
      <c r="H3" s="146"/>
    </row>
    <row r="4" spans="1:8" ht="18.75" x14ac:dyDescent="0.3">
      <c r="C4" s="15" t="s">
        <v>994</v>
      </c>
      <c r="D4" s="15"/>
      <c r="E4" s="15" t="s">
        <v>3</v>
      </c>
      <c r="F4" s="16"/>
      <c r="G4" s="15" t="s">
        <v>4</v>
      </c>
    </row>
    <row r="5" spans="1:8" x14ac:dyDescent="0.25">
      <c r="A5" s="18" t="s">
        <v>7</v>
      </c>
      <c r="B5" s="9"/>
      <c r="C5" s="10" t="s">
        <v>8</v>
      </c>
      <c r="D5" s="10"/>
      <c r="E5" s="11">
        <f>VLOOKUP(A5,TB!TB,4,FALSE)</f>
        <v>5676709.9199999999</v>
      </c>
      <c r="F5" s="11"/>
      <c r="G5" s="11">
        <f>VLOOKUP(A5,TB!TB,5,FALSE)</f>
        <v>2500000</v>
      </c>
      <c r="H5" s="11"/>
    </row>
    <row r="6" spans="1:8" x14ac:dyDescent="0.25">
      <c r="A6" s="4" t="s">
        <v>10</v>
      </c>
      <c r="B6" s="4"/>
      <c r="C6" s="1" t="s">
        <v>11</v>
      </c>
      <c r="D6" s="25"/>
      <c r="E6" s="28">
        <f>VLOOKUP(A6,TB!TB,4,FALSE)</f>
        <v>1134287.8600000001</v>
      </c>
      <c r="F6" s="60"/>
      <c r="G6" s="59">
        <f>VLOOKUP(A6,TB!TB,5,FALSE)</f>
        <v>-1039335.22</v>
      </c>
    </row>
    <row r="7" spans="1:8" x14ac:dyDescent="0.25">
      <c r="A7" s="4"/>
      <c r="B7" s="4"/>
      <c r="C7" s="20" t="s">
        <v>1008</v>
      </c>
      <c r="D7" s="1"/>
      <c r="E7" s="26">
        <f>SUM(E5:E6)</f>
        <v>6810997.7800000003</v>
      </c>
      <c r="G7" s="95">
        <f>SUM(G5:G6)</f>
        <v>1460664.78</v>
      </c>
    </row>
    <row r="8" spans="1:8" x14ac:dyDescent="0.25">
      <c r="A8" s="4"/>
      <c r="B8" s="4"/>
      <c r="C8" s="1"/>
      <c r="D8" s="1"/>
      <c r="E8" s="11"/>
      <c r="G8" s="11"/>
    </row>
    <row r="9" spans="1:8" x14ac:dyDescent="0.25">
      <c r="A9" s="9" t="s">
        <v>12</v>
      </c>
      <c r="B9" s="9"/>
      <c r="C9" s="10" t="s">
        <v>13</v>
      </c>
      <c r="D9" s="10"/>
      <c r="E9" s="59">
        <f>VLOOKUP(A9,TB!TB,4,FALSE)</f>
        <v>0</v>
      </c>
      <c r="G9" s="11">
        <f>VLOOKUP(A9,TB!TB,5,FALSE)</f>
        <v>0</v>
      </c>
    </row>
    <row r="10" spans="1:8" x14ac:dyDescent="0.25">
      <c r="A10" s="4" t="s">
        <v>14</v>
      </c>
      <c r="B10" s="4"/>
      <c r="C10" s="1" t="s">
        <v>15</v>
      </c>
      <c r="D10" s="1"/>
      <c r="E10" s="59">
        <f>VLOOKUP(A10,TB!TB,4,FALSE)</f>
        <v>1385493.18</v>
      </c>
      <c r="G10" s="11">
        <f>VLOOKUP(A10,TB!TB,5,FALSE)</f>
        <v>-1078366.95</v>
      </c>
    </row>
    <row r="11" spans="1:8" x14ac:dyDescent="0.25">
      <c r="A11" s="9" t="s">
        <v>16</v>
      </c>
      <c r="B11" s="9"/>
      <c r="C11" s="10" t="s">
        <v>17</v>
      </c>
      <c r="D11" s="10"/>
      <c r="E11" s="26">
        <f>VLOOKUP(A11,TB!TB,4,FALSE)</f>
        <v>-2000.11</v>
      </c>
      <c r="F11" s="85"/>
      <c r="G11" s="11">
        <f>VLOOKUP(A11,TB!TB,5,FALSE)</f>
        <v>0</v>
      </c>
    </row>
    <row r="12" spans="1:8" x14ac:dyDescent="0.25">
      <c r="A12" s="9" t="s">
        <v>1226</v>
      </c>
      <c r="B12" s="9"/>
      <c r="C12" s="1" t="s">
        <v>1227</v>
      </c>
      <c r="D12" s="10"/>
      <c r="E12" s="26">
        <f>VLOOKUP(A12,TB!TB,4,FALSE)</f>
        <v>0</v>
      </c>
      <c r="F12" s="85"/>
      <c r="G12" s="11">
        <f>VLOOKUP(A12,TB!TB,5,FALSE)</f>
        <v>0</v>
      </c>
    </row>
    <row r="13" spans="1:8" x14ac:dyDescent="0.25">
      <c r="A13" s="9" t="s">
        <v>1228</v>
      </c>
      <c r="B13" s="9"/>
      <c r="C13" s="1" t="s">
        <v>1229</v>
      </c>
      <c r="D13" s="10"/>
      <c r="E13" s="26">
        <f>VLOOKUP(A13,TB!TB,4,FALSE)</f>
        <v>0</v>
      </c>
      <c r="F13" s="85"/>
      <c r="G13" s="11">
        <f>VLOOKUP(A13,TB!TB,5,FALSE)</f>
        <v>0</v>
      </c>
    </row>
    <row r="14" spans="1:8" x14ac:dyDescent="0.25">
      <c r="A14" s="9" t="s">
        <v>1230</v>
      </c>
      <c r="B14" s="9"/>
      <c r="C14" s="1" t="s">
        <v>1231</v>
      </c>
      <c r="D14" s="10"/>
      <c r="E14" s="26">
        <f>VLOOKUP(A14,TB!TB,4,FALSE)</f>
        <v>0</v>
      </c>
      <c r="F14" s="85"/>
      <c r="G14" s="11">
        <f>VLOOKUP(A14,TB!TB,5,FALSE)</f>
        <v>0</v>
      </c>
    </row>
    <row r="15" spans="1:8" x14ac:dyDescent="0.25">
      <c r="A15" s="9"/>
      <c r="B15" s="9"/>
      <c r="C15" s="21" t="s">
        <v>1009</v>
      </c>
      <c r="D15" s="10"/>
      <c r="E15" s="95">
        <f>SUM(E9:E14)</f>
        <v>1383493.0699999998</v>
      </c>
      <c r="G15" s="95">
        <f>SUM(G9:G14)</f>
        <v>-1078366.95</v>
      </c>
    </row>
    <row r="16" spans="1:8" x14ac:dyDescent="0.25">
      <c r="A16" s="9"/>
      <c r="B16" s="9"/>
      <c r="C16" s="10"/>
      <c r="D16" s="10"/>
      <c r="E16" s="11"/>
      <c r="G16" s="11"/>
    </row>
    <row r="17" spans="1:7" x14ac:dyDescent="0.25">
      <c r="A17" s="4" t="s">
        <v>18</v>
      </c>
      <c r="B17" s="4"/>
      <c r="C17" s="1" t="s">
        <v>19</v>
      </c>
      <c r="D17" s="1"/>
      <c r="E17" s="11">
        <f>VLOOKUP(A17,TB!TB,4,FALSE)</f>
        <v>1550239.25</v>
      </c>
      <c r="G17" s="11">
        <f>VLOOKUP(A17,TB!TB,5,FALSE)</f>
        <v>-391768.91</v>
      </c>
    </row>
    <row r="18" spans="1:7" x14ac:dyDescent="0.25">
      <c r="A18" s="9" t="s">
        <v>20</v>
      </c>
      <c r="B18" s="9"/>
      <c r="C18" s="10" t="s">
        <v>21</v>
      </c>
      <c r="D18" s="10"/>
      <c r="E18" s="11">
        <f>VLOOKUP(A18,TB!TB,4,FALSE)</f>
        <v>622576.07999999996</v>
      </c>
      <c r="G18" s="11">
        <f>VLOOKUP(A18,TB!TB,5,FALSE)</f>
        <v>82970.2</v>
      </c>
    </row>
    <row r="19" spans="1:7" x14ac:dyDescent="0.25">
      <c r="A19" s="18" t="s">
        <v>1234</v>
      </c>
      <c r="B19" s="9"/>
      <c r="C19" s="10" t="s">
        <v>1318</v>
      </c>
      <c r="D19" s="10"/>
      <c r="E19" s="11">
        <f>VLOOKUP(A19,TB!TB,4,FALSE)</f>
        <v>75346.38</v>
      </c>
      <c r="G19" s="11">
        <f>VLOOKUP(A19,TB!TB,5,FALSE)</f>
        <v>-18331.89</v>
      </c>
    </row>
    <row r="20" spans="1:7" x14ac:dyDescent="0.25">
      <c r="A20" s="4" t="s">
        <v>22</v>
      </c>
      <c r="B20" s="4"/>
      <c r="C20" s="1" t="s">
        <v>23</v>
      </c>
      <c r="D20" s="1"/>
      <c r="E20" s="11">
        <f>VLOOKUP(A20,TB!TB,4,FALSE)</f>
        <v>329107.42</v>
      </c>
      <c r="G20" s="11">
        <f>VLOOKUP(A20,TB!TB,5,FALSE)</f>
        <v>227563.21</v>
      </c>
    </row>
    <row r="21" spans="1:7" x14ac:dyDescent="0.25">
      <c r="A21" s="9" t="s">
        <v>24</v>
      </c>
      <c r="B21" s="9"/>
      <c r="C21" s="10" t="s">
        <v>25</v>
      </c>
      <c r="D21" s="10"/>
      <c r="E21" s="11">
        <f>VLOOKUP(A21,TB!TB,4,FALSE)</f>
        <v>765025.01</v>
      </c>
      <c r="G21" s="11">
        <f>VLOOKUP(A21,TB!TB,5,FALSE)</f>
        <v>258530.22</v>
      </c>
    </row>
    <row r="22" spans="1:7" x14ac:dyDescent="0.25">
      <c r="A22" s="4" t="s">
        <v>26</v>
      </c>
      <c r="B22" s="4"/>
      <c r="C22" s="1" t="s">
        <v>27</v>
      </c>
      <c r="D22" s="1"/>
      <c r="E22" s="29">
        <f>VLOOKUP(A22,TB!TB,4,FALSE)</f>
        <v>107823.53</v>
      </c>
      <c r="F22" s="85"/>
      <c r="G22" s="59">
        <f>VLOOKUP(A22,TB!TB,5,FALSE)</f>
        <v>56501.38</v>
      </c>
    </row>
    <row r="23" spans="1:7" x14ac:dyDescent="0.25">
      <c r="A23" s="4"/>
      <c r="B23" s="4"/>
      <c r="C23" s="20" t="s">
        <v>1010</v>
      </c>
      <c r="D23" s="1"/>
      <c r="E23" s="26">
        <f>SUM(E17:E22)</f>
        <v>3450117.6699999995</v>
      </c>
      <c r="G23" s="94">
        <f>SUM(G17:G22)</f>
        <v>215464.21000000002</v>
      </c>
    </row>
    <row r="24" spans="1:7" x14ac:dyDescent="0.25">
      <c r="A24" s="4"/>
      <c r="B24" s="4"/>
      <c r="C24" s="1"/>
      <c r="D24" s="1"/>
      <c r="E24" s="11"/>
      <c r="G24" s="11"/>
    </row>
    <row r="25" spans="1:7" x14ac:dyDescent="0.25">
      <c r="A25" s="4" t="s">
        <v>69</v>
      </c>
      <c r="B25" s="4"/>
      <c r="C25" s="1" t="s">
        <v>70</v>
      </c>
      <c r="D25" s="1"/>
      <c r="E25" s="11">
        <f>VLOOKUP(A25,TB!TB,4,FALSE)</f>
        <v>172.26</v>
      </c>
      <c r="G25" s="11">
        <f>VLOOKUP(A25,TB!TB,5,FALSE)</f>
        <v>0</v>
      </c>
    </row>
    <row r="26" spans="1:7" x14ac:dyDescent="0.25">
      <c r="A26" s="9" t="s">
        <v>28</v>
      </c>
      <c r="B26" s="9"/>
      <c r="C26" s="10" t="s">
        <v>29</v>
      </c>
      <c r="D26" s="10"/>
      <c r="E26" s="11">
        <f>VLOOKUP(A26,TB!TB,4,FALSE)</f>
        <v>225.75</v>
      </c>
      <c r="G26" s="11">
        <f>VLOOKUP(A26,TB!TB,5,FALSE)</f>
        <v>0</v>
      </c>
    </row>
    <row r="27" spans="1:7" x14ac:dyDescent="0.25">
      <c r="A27" s="4" t="s">
        <v>30</v>
      </c>
      <c r="B27" s="4"/>
      <c r="C27" s="1" t="s">
        <v>31</v>
      </c>
      <c r="D27" s="1"/>
      <c r="E27" s="11">
        <f>VLOOKUP(A27,TB!TB,4,FALSE)</f>
        <v>0</v>
      </c>
      <c r="G27" s="11">
        <f>VLOOKUP(A27,TB!TB,5,FALSE)</f>
        <v>0</v>
      </c>
    </row>
    <row r="28" spans="1:7" x14ac:dyDescent="0.25">
      <c r="A28" s="9" t="s">
        <v>32</v>
      </c>
      <c r="B28" s="9"/>
      <c r="C28" s="10" t="s">
        <v>33</v>
      </c>
      <c r="D28" s="10"/>
      <c r="E28" s="29">
        <f>VLOOKUP(A28,TB!TB,4,FALSE)</f>
        <v>0</v>
      </c>
      <c r="F28" s="85"/>
      <c r="G28" s="59">
        <f>VLOOKUP(A28,TB!TB,5,FALSE)</f>
        <v>0</v>
      </c>
    </row>
    <row r="29" spans="1:7" x14ac:dyDescent="0.25">
      <c r="A29" s="9"/>
      <c r="B29" s="9"/>
      <c r="C29" s="21" t="s">
        <v>1011</v>
      </c>
      <c r="D29" s="10"/>
      <c r="E29" s="26">
        <f>SUM(E25:E28)</f>
        <v>398.01</v>
      </c>
      <c r="G29" s="94">
        <f>SUM(G25:G28)</f>
        <v>0</v>
      </c>
    </row>
    <row r="30" spans="1:7" x14ac:dyDescent="0.25">
      <c r="A30" s="9"/>
      <c r="B30" s="9"/>
      <c r="C30" s="10"/>
      <c r="D30" s="10"/>
      <c r="E30" s="11"/>
      <c r="G30" s="11"/>
    </row>
    <row r="31" spans="1:7" x14ac:dyDescent="0.25">
      <c r="A31" s="9"/>
      <c r="B31" s="9"/>
      <c r="C31" s="21" t="s">
        <v>1007</v>
      </c>
      <c r="D31" s="10"/>
      <c r="E31" s="11">
        <f>E29+E23+E15+E7</f>
        <v>11645006.529999999</v>
      </c>
      <c r="G31" s="11">
        <f>G29+G23+G15+G7</f>
        <v>597762.04</v>
      </c>
    </row>
    <row r="32" spans="1:7" x14ac:dyDescent="0.25">
      <c r="A32" s="9"/>
      <c r="B32" s="9"/>
      <c r="C32" s="10"/>
      <c r="D32" s="10"/>
      <c r="E32" s="11"/>
      <c r="G32" s="11"/>
    </row>
    <row r="33" spans="1:7" x14ac:dyDescent="0.25">
      <c r="A33" s="4" t="s">
        <v>34</v>
      </c>
      <c r="B33" s="4"/>
      <c r="C33" s="1" t="s">
        <v>35</v>
      </c>
      <c r="D33" s="1"/>
      <c r="E33" s="11">
        <f>VLOOKUP(A33,TB!TB,4,FALSE)</f>
        <v>70257.94</v>
      </c>
      <c r="G33" s="11">
        <f>VLOOKUP(A33,TB!TB,5,FALSE)</f>
        <v>0</v>
      </c>
    </row>
    <row r="34" spans="1:7" x14ac:dyDescent="0.25">
      <c r="A34" s="9" t="s">
        <v>36</v>
      </c>
      <c r="B34" s="9"/>
      <c r="C34" s="10" t="s">
        <v>37</v>
      </c>
      <c r="D34" s="10"/>
      <c r="E34" s="11">
        <f>VLOOKUP(A34,TB!TB,4,FALSE)</f>
        <v>330121.90999999997</v>
      </c>
      <c r="G34" s="11">
        <f>VLOOKUP(A34,TB!TB,5,FALSE)</f>
        <v>0</v>
      </c>
    </row>
    <row r="35" spans="1:7" x14ac:dyDescent="0.25">
      <c r="A35" s="4" t="s">
        <v>38</v>
      </c>
      <c r="B35" s="4"/>
      <c r="C35" s="1" t="s">
        <v>39</v>
      </c>
      <c r="D35" s="1"/>
      <c r="E35" s="11">
        <f>VLOOKUP(A35,TB!TB,4,FALSE)</f>
        <v>63994.71</v>
      </c>
      <c r="G35" s="11">
        <f>VLOOKUP(A35,TB!TB,5,FALSE)</f>
        <v>0</v>
      </c>
    </row>
    <row r="36" spans="1:7" x14ac:dyDescent="0.25">
      <c r="A36" s="9" t="s">
        <v>40</v>
      </c>
      <c r="B36" s="9"/>
      <c r="C36" s="10" t="s">
        <v>1244</v>
      </c>
      <c r="D36" s="10"/>
      <c r="E36" s="11">
        <f>VLOOKUP(A36,TB!TB,4,FALSE)</f>
        <v>1979268.07</v>
      </c>
      <c r="G36" s="11">
        <f>VLOOKUP(A36,TB!TB,5,FALSE)</f>
        <v>0</v>
      </c>
    </row>
    <row r="37" spans="1:7" x14ac:dyDescent="0.25">
      <c r="A37" s="9" t="s">
        <v>1379</v>
      </c>
      <c r="B37" s="9"/>
      <c r="C37" s="10" t="s">
        <v>1380</v>
      </c>
      <c r="D37" s="10"/>
      <c r="E37" s="11">
        <f>VLOOKUP(A37,TB!TB,4,FALSE)</f>
        <v>744383.56</v>
      </c>
      <c r="G37" s="11">
        <f>VLOOKUP(A37,TB!TB,5,FALSE)</f>
        <v>-35911</v>
      </c>
    </row>
    <row r="38" spans="1:7" x14ac:dyDescent="0.25">
      <c r="A38" s="4" t="s">
        <v>41</v>
      </c>
      <c r="B38" s="4"/>
      <c r="C38" s="1" t="s">
        <v>42</v>
      </c>
      <c r="D38" s="1"/>
      <c r="E38" s="11">
        <f>VLOOKUP(A38,TB!TB,4,FALSE)</f>
        <v>4777540.4000000004</v>
      </c>
      <c r="G38" s="11">
        <f>VLOOKUP(A38,TB!TB,5,FALSE)</f>
        <v>42574.25</v>
      </c>
    </row>
    <row r="39" spans="1:7" x14ac:dyDescent="0.25">
      <c r="A39" s="9" t="s">
        <v>43</v>
      </c>
      <c r="B39" s="9"/>
      <c r="C39" s="10" t="s">
        <v>1297</v>
      </c>
      <c r="D39" s="10"/>
      <c r="E39" s="11">
        <f>VLOOKUP(A39,TB!TB,4,FALSE)</f>
        <v>21288661.440000001</v>
      </c>
      <c r="G39" s="11">
        <f>VLOOKUP(A39,TB!TB,5,FALSE)</f>
        <v>-46986.080000000002</v>
      </c>
    </row>
    <row r="40" spans="1:7" x14ac:dyDescent="0.25">
      <c r="A40" s="9" t="s">
        <v>1183</v>
      </c>
      <c r="B40" s="9"/>
      <c r="C40" s="1" t="s">
        <v>1319</v>
      </c>
      <c r="D40" s="10"/>
      <c r="E40" s="11">
        <f>VLOOKUP(A40,TB!TB,4,FALSE)</f>
        <v>0</v>
      </c>
      <c r="G40" s="11">
        <f>VLOOKUP(A40,TB!TB,5,FALSE)</f>
        <v>0</v>
      </c>
    </row>
    <row r="41" spans="1:7" x14ac:dyDescent="0.25">
      <c r="A41" s="4" t="s">
        <v>44</v>
      </c>
      <c r="B41" s="4"/>
      <c r="C41" s="1" t="s">
        <v>1320</v>
      </c>
      <c r="D41" s="1"/>
      <c r="E41" s="11">
        <f>VLOOKUP(A41,TB!TB,4,FALSE)</f>
        <v>1335535.73</v>
      </c>
      <c r="G41" s="11">
        <f>VLOOKUP(A41,TB!TB,5,FALSE)</f>
        <v>0</v>
      </c>
    </row>
    <row r="42" spans="1:7" x14ac:dyDescent="0.25">
      <c r="A42" s="122" t="s">
        <v>49</v>
      </c>
      <c r="B42" s="9"/>
      <c r="C42" s="10" t="s">
        <v>50</v>
      </c>
      <c r="D42" s="10"/>
      <c r="E42" s="11">
        <f>VLOOKUP(A42,TB!TB,4,FALSE)</f>
        <v>34894.660000000003</v>
      </c>
      <c r="G42" s="11">
        <f>VLOOKUP(A42,TB!TB,5,FALSE)</f>
        <v>0</v>
      </c>
    </row>
    <row r="43" spans="1:7" x14ac:dyDescent="0.25">
      <c r="A43" s="9" t="s">
        <v>53</v>
      </c>
      <c r="B43" s="9"/>
      <c r="C43" s="10" t="s">
        <v>54</v>
      </c>
      <c r="D43" s="10"/>
      <c r="E43" s="11">
        <f>VLOOKUP(A43,TB!TB,4,FALSE)</f>
        <v>-67905.31</v>
      </c>
      <c r="G43" s="11">
        <f>VLOOKUP(A43,TB!TB,5,FALSE)</f>
        <v>-111.93</v>
      </c>
    </row>
    <row r="44" spans="1:7" x14ac:dyDescent="0.25">
      <c r="A44" s="4" t="s">
        <v>55</v>
      </c>
      <c r="B44" s="4"/>
      <c r="C44" s="1" t="s">
        <v>56</v>
      </c>
      <c r="D44" s="1"/>
      <c r="E44" s="11">
        <f>VLOOKUP(A44,TB!TB,4,FALSE)</f>
        <v>-304567.86</v>
      </c>
      <c r="G44" s="11">
        <f>VLOOKUP(A44,TB!TB,5,FALSE)</f>
        <v>-1860.7</v>
      </c>
    </row>
    <row r="45" spans="1:7" x14ac:dyDescent="0.25">
      <c r="A45" s="9" t="s">
        <v>57</v>
      </c>
      <c r="B45" s="9"/>
      <c r="C45" s="10" t="s">
        <v>58</v>
      </c>
      <c r="D45" s="10"/>
      <c r="E45" s="11">
        <f>VLOOKUP(A45,TB!TB,4,FALSE)</f>
        <v>-63994.71</v>
      </c>
      <c r="G45" s="11">
        <f>VLOOKUP(A45,TB!TB,5,FALSE)</f>
        <v>0</v>
      </c>
    </row>
    <row r="46" spans="1:7" x14ac:dyDescent="0.25">
      <c r="A46" s="4" t="s">
        <v>59</v>
      </c>
      <c r="B46" s="4"/>
      <c r="C46" s="1" t="s">
        <v>60</v>
      </c>
      <c r="D46" s="1"/>
      <c r="E46" s="11">
        <f>VLOOKUP(A46,TB!TB,4,FALSE)</f>
        <v>-1333368.44</v>
      </c>
      <c r="G46" s="11">
        <f>VLOOKUP(A46,TB!TB,5,FALSE)</f>
        <v>-25984.720000000001</v>
      </c>
    </row>
    <row r="47" spans="1:7" x14ac:dyDescent="0.25">
      <c r="A47" s="9" t="s">
        <v>61</v>
      </c>
      <c r="B47" s="9"/>
      <c r="C47" s="10" t="s">
        <v>62</v>
      </c>
      <c r="D47" s="10"/>
      <c r="E47" s="11">
        <f>VLOOKUP(A47,TB!TB,4,FALSE)</f>
        <v>-2841346.01</v>
      </c>
      <c r="G47" s="11">
        <f>VLOOKUP(A47,TB!TB,5,FALSE)</f>
        <v>-111645.88</v>
      </c>
    </row>
    <row r="48" spans="1:7" x14ac:dyDescent="0.25">
      <c r="A48" s="4" t="s">
        <v>63</v>
      </c>
      <c r="B48" s="4"/>
      <c r="C48" s="1" t="s">
        <v>1321</v>
      </c>
      <c r="D48" s="1"/>
      <c r="E48" s="11">
        <f>VLOOKUP(A48,TB!TB,4,FALSE)</f>
        <v>-7456736.0899999999</v>
      </c>
      <c r="G48" s="11">
        <f>VLOOKUP(A48,TB!TB,5,FALSE)</f>
        <v>-49463.31</v>
      </c>
    </row>
    <row r="49" spans="1:16384" s="5" customFormat="1" x14ac:dyDescent="0.25">
      <c r="A49" s="9" t="s">
        <v>64</v>
      </c>
      <c r="B49" s="9"/>
      <c r="C49" s="10" t="s">
        <v>1322</v>
      </c>
      <c r="D49" s="10"/>
      <c r="E49" s="11">
        <f>VLOOKUP(A49,TB!TB,4,FALSE)</f>
        <v>-587830.64</v>
      </c>
      <c r="G49" s="11">
        <f>VLOOKUP(A49,TB!TB,5,FALSE)</f>
        <v>-19684.830000000002</v>
      </c>
    </row>
    <row r="50" spans="1:16384" s="5" customFormat="1" x14ac:dyDescent="0.25">
      <c r="A50" s="9" t="s">
        <v>1381</v>
      </c>
      <c r="B50" s="9"/>
      <c r="C50" s="10" t="s">
        <v>1382</v>
      </c>
      <c r="D50" s="10"/>
      <c r="E50" s="11">
        <f>VLOOKUP(A50,TB!TB,4,FALSE)</f>
        <v>-164445.84</v>
      </c>
      <c r="G50" s="11">
        <f>VLOOKUP(A50,TB!TB,5,FALSE)</f>
        <v>2938.61</v>
      </c>
    </row>
    <row r="51" spans="1:16384" s="5" customFormat="1" x14ac:dyDescent="0.25">
      <c r="A51" s="4" t="s">
        <v>65</v>
      </c>
      <c r="B51" s="4"/>
      <c r="C51" s="1" t="s">
        <v>66</v>
      </c>
      <c r="D51" s="1"/>
      <c r="E51" s="11">
        <f>VLOOKUP(A51,TB!TB,4,FALSE)</f>
        <v>0</v>
      </c>
      <c r="G51" s="11">
        <f>VLOOKUP(A51,TB!TB,5,FALSE)</f>
        <v>0</v>
      </c>
    </row>
    <row r="52" spans="1:16384" s="5" customFormat="1" x14ac:dyDescent="0.25">
      <c r="A52" s="9" t="s">
        <v>67</v>
      </c>
      <c r="B52" s="9"/>
      <c r="C52" s="10" t="s">
        <v>68</v>
      </c>
      <c r="D52" s="10"/>
      <c r="E52" s="59">
        <f>VLOOKUP(A52,TB!TB,4,FALSE)</f>
        <v>-31964.79</v>
      </c>
      <c r="F52" s="85"/>
      <c r="G52" s="59">
        <f>VLOOKUP(A52,TB!TB,5,FALSE)</f>
        <v>-162.76</v>
      </c>
    </row>
    <row r="53" spans="1:16384" s="5" customFormat="1" x14ac:dyDescent="0.25">
      <c r="A53" s="9" t="s">
        <v>1358</v>
      </c>
      <c r="B53" s="9"/>
      <c r="C53" s="10" t="s">
        <v>1359</v>
      </c>
      <c r="D53" s="10"/>
      <c r="E53" s="59">
        <f>VLOOKUP(A53,TB!TB,4,FALSE)</f>
        <v>-514429.23</v>
      </c>
      <c r="F53" s="85"/>
      <c r="G53" s="59">
        <f>VLOOKUP(A53,TB!TB,5,FALSE)</f>
        <v>0</v>
      </c>
    </row>
    <row r="54" spans="1:16384" s="5" customFormat="1" x14ac:dyDescent="0.25">
      <c r="A54" s="9" t="s">
        <v>1352</v>
      </c>
      <c r="B54" s="9"/>
      <c r="C54" s="10" t="s">
        <v>1353</v>
      </c>
      <c r="D54" s="10"/>
      <c r="E54" s="113">
        <f>VLOOKUP(A54,TB!TB,4,FALSE)</f>
        <v>279796.71000000002</v>
      </c>
      <c r="F54" s="85"/>
      <c r="G54" s="59">
        <f>VLOOKUP(A54,TB!TB,5,FALSE)</f>
        <v>0</v>
      </c>
    </row>
    <row r="55" spans="1:16384" s="5" customFormat="1" x14ac:dyDescent="0.25">
      <c r="A55" s="9" t="s">
        <v>1354</v>
      </c>
      <c r="B55" s="9"/>
      <c r="C55" s="10" t="s">
        <v>1355</v>
      </c>
      <c r="D55" s="10"/>
      <c r="E55" s="113">
        <f>VLOOKUP(A55,TB!TB,4,FALSE)</f>
        <v>258829.65</v>
      </c>
      <c r="F55" s="85"/>
      <c r="G55" s="59">
        <f>VLOOKUP(A55,TB!TB,5,FALSE)</f>
        <v>0</v>
      </c>
    </row>
    <row r="56" spans="1:16384" s="5" customFormat="1" x14ac:dyDescent="0.25">
      <c r="A56" s="9" t="s">
        <v>1356</v>
      </c>
      <c r="B56" s="9"/>
      <c r="C56" s="10" t="s">
        <v>1357</v>
      </c>
      <c r="D56" s="10"/>
      <c r="E56" s="66">
        <f>VLOOKUP(A56,TB!TB,4,FALSE)</f>
        <v>318755.7</v>
      </c>
      <c r="F56" s="85"/>
      <c r="G56" s="59">
        <f>VLOOKUP(A56,TB!TB,5,FALSE)</f>
        <v>0</v>
      </c>
    </row>
    <row r="57" spans="1:16384" s="5" customFormat="1" x14ac:dyDescent="0.25">
      <c r="C57" s="22" t="s">
        <v>1012</v>
      </c>
      <c r="E57" s="26">
        <f>SUM(E33:E56)</f>
        <v>18115451.560000002</v>
      </c>
      <c r="G57" s="94">
        <f>SUM(G33:G56)</f>
        <v>-246298.35000000003</v>
      </c>
    </row>
    <row r="59" spans="1:16384" s="5" customFormat="1" x14ac:dyDescent="0.25">
      <c r="A59" s="4" t="s">
        <v>51</v>
      </c>
      <c r="B59" s="4"/>
      <c r="C59" s="1" t="s">
        <v>52</v>
      </c>
      <c r="D59" s="1"/>
      <c r="E59" s="59">
        <f>VLOOKUP(A59,TB!TB,4,FALSE)</f>
        <v>-1155</v>
      </c>
      <c r="F59" s="85"/>
      <c r="G59" s="59">
        <f>VLOOKUP(A59,TB!TB1_1,4,FALSE)</f>
        <v>5197.5</v>
      </c>
    </row>
    <row r="60" spans="1:16384" s="5" customFormat="1" ht="15.75" thickBot="1" x14ac:dyDescent="0.3">
      <c r="A60" s="44" t="s">
        <v>2063</v>
      </c>
      <c r="B60" s="4"/>
      <c r="C60" s="1" t="s">
        <v>2064</v>
      </c>
      <c r="D60" s="1"/>
      <c r="E60" s="59">
        <f>VLOOKUP(A60,TB!TB,4,FALSE)</f>
        <v>5588262.8300000001</v>
      </c>
      <c r="F60" s="85"/>
      <c r="G60" s="59">
        <v>0</v>
      </c>
    </row>
    <row r="61" spans="1:16384" s="5" customFormat="1" ht="16.5" thickTop="1" x14ac:dyDescent="0.25">
      <c r="C61" s="23" t="s">
        <v>1001</v>
      </c>
      <c r="E61" s="105">
        <f>E60+E59+E57+E31</f>
        <v>35347565.920000002</v>
      </c>
      <c r="G61" s="105">
        <f>G60+G59+G57+G31</f>
        <v>356661.19</v>
      </c>
    </row>
    <row r="64" spans="1:16384" s="5" customFormat="1" ht="31.5" x14ac:dyDescent="0.5">
      <c r="A64" s="144" t="s">
        <v>751</v>
      </c>
      <c r="B64" s="144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  <c r="AC64" s="144"/>
      <c r="AD64" s="144"/>
      <c r="AE64" s="144"/>
      <c r="AF64" s="144"/>
      <c r="AG64" s="144"/>
      <c r="AH64" s="144"/>
      <c r="AI64" s="144"/>
      <c r="AJ64" s="144"/>
      <c r="AK64" s="144"/>
      <c r="AL64" s="144"/>
      <c r="AM64" s="144"/>
      <c r="AN64" s="144"/>
      <c r="AO64" s="144"/>
      <c r="AP64" s="144"/>
      <c r="AQ64" s="144"/>
      <c r="AR64" s="144"/>
      <c r="AS64" s="144"/>
      <c r="AT64" s="144"/>
      <c r="AU64" s="144"/>
      <c r="AV64" s="144"/>
      <c r="AW64" s="144"/>
      <c r="AX64" s="144"/>
      <c r="AY64" s="144"/>
      <c r="AZ64" s="144"/>
      <c r="BA64" s="144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4"/>
      <c r="BM64" s="144"/>
      <c r="BN64" s="144"/>
      <c r="BO64" s="144"/>
      <c r="BP64" s="144"/>
      <c r="BQ64" s="144"/>
      <c r="BR64" s="144"/>
      <c r="BS64" s="144"/>
      <c r="BT64" s="144"/>
      <c r="BU64" s="144"/>
      <c r="BV64" s="144"/>
      <c r="BW64" s="144"/>
      <c r="BX64" s="144"/>
      <c r="BY64" s="144"/>
      <c r="BZ64" s="144"/>
      <c r="CA64" s="144"/>
      <c r="CB64" s="144"/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  <c r="DL64" s="144"/>
      <c r="DM64" s="144"/>
      <c r="DN64" s="144"/>
      <c r="DO64" s="144"/>
      <c r="DP64" s="144"/>
      <c r="DQ64" s="144"/>
      <c r="DR64" s="144"/>
      <c r="DS64" s="144"/>
      <c r="DT64" s="144"/>
      <c r="DU64" s="144"/>
      <c r="DV64" s="144"/>
      <c r="DW64" s="144"/>
      <c r="DX64" s="144"/>
      <c r="DY64" s="144"/>
      <c r="DZ64" s="144"/>
      <c r="EA64" s="144"/>
      <c r="EB64" s="144"/>
      <c r="EC64" s="144"/>
      <c r="ED64" s="144"/>
      <c r="EE64" s="144"/>
      <c r="EF64" s="144"/>
      <c r="EG64" s="144"/>
      <c r="EH64" s="144"/>
      <c r="EI64" s="144"/>
      <c r="EJ64" s="144"/>
      <c r="EK64" s="144"/>
      <c r="EL64" s="144"/>
      <c r="EM64" s="144"/>
      <c r="EN64" s="144"/>
      <c r="EO64" s="144"/>
      <c r="EP64" s="144"/>
      <c r="EQ64" s="144"/>
      <c r="ER64" s="144"/>
      <c r="ES64" s="144"/>
      <c r="ET64" s="144"/>
      <c r="EU64" s="144"/>
      <c r="EV64" s="144"/>
      <c r="EW64" s="144"/>
      <c r="EX64" s="144"/>
      <c r="EY64" s="144"/>
      <c r="EZ64" s="144"/>
      <c r="FA64" s="144"/>
      <c r="FB64" s="144"/>
      <c r="FC64" s="144"/>
      <c r="FD64" s="144"/>
      <c r="FE64" s="144"/>
      <c r="FF64" s="144"/>
      <c r="FG64" s="144"/>
      <c r="FH64" s="144"/>
      <c r="FI64" s="144"/>
      <c r="FJ64" s="144"/>
      <c r="FK64" s="144"/>
      <c r="FL64" s="144"/>
      <c r="FM64" s="144"/>
      <c r="FN64" s="144"/>
      <c r="FO64" s="144"/>
      <c r="FP64" s="144"/>
      <c r="FQ64" s="144"/>
      <c r="FR64" s="144"/>
      <c r="FS64" s="144"/>
      <c r="FT64" s="144"/>
      <c r="FU64" s="144"/>
      <c r="FV64" s="144"/>
      <c r="FW64" s="144"/>
      <c r="FX64" s="144"/>
      <c r="FY64" s="144"/>
      <c r="FZ64" s="144"/>
      <c r="GA64" s="144"/>
      <c r="GB64" s="144"/>
      <c r="GC64" s="144"/>
      <c r="GD64" s="144"/>
      <c r="GE64" s="144"/>
      <c r="GF64" s="144"/>
      <c r="GG64" s="144"/>
      <c r="GH64" s="144"/>
      <c r="GI64" s="144"/>
      <c r="GJ64" s="144"/>
      <c r="GK64" s="144"/>
      <c r="GL64" s="144"/>
      <c r="GM64" s="144"/>
      <c r="GN64" s="144"/>
      <c r="GO64" s="144"/>
      <c r="GP64" s="144"/>
      <c r="GQ64" s="144"/>
      <c r="GR64" s="144"/>
      <c r="GS64" s="144"/>
      <c r="GT64" s="144"/>
      <c r="GU64" s="144"/>
      <c r="GV64" s="144"/>
      <c r="GW64" s="144"/>
      <c r="GX64" s="144"/>
      <c r="GY64" s="144"/>
      <c r="GZ64" s="144"/>
      <c r="HA64" s="144"/>
      <c r="HB64" s="144"/>
      <c r="HC64" s="144"/>
      <c r="HD64" s="144"/>
      <c r="HE64" s="144"/>
      <c r="HF64" s="144"/>
      <c r="HG64" s="144"/>
      <c r="HH64" s="144"/>
      <c r="HI64" s="144"/>
      <c r="HJ64" s="144"/>
      <c r="HK64" s="144"/>
      <c r="HL64" s="144"/>
      <c r="HM64" s="144"/>
      <c r="HN64" s="144"/>
      <c r="HO64" s="144"/>
      <c r="HP64" s="144"/>
      <c r="HQ64" s="144"/>
      <c r="HR64" s="144"/>
      <c r="HS64" s="144"/>
      <c r="HT64" s="144"/>
      <c r="HU64" s="144"/>
      <c r="HV64" s="144"/>
      <c r="HW64" s="144"/>
      <c r="HX64" s="144"/>
      <c r="HY64" s="144"/>
      <c r="HZ64" s="144"/>
      <c r="IA64" s="144"/>
      <c r="IB64" s="144"/>
      <c r="IC64" s="144"/>
      <c r="ID64" s="144"/>
      <c r="IE64" s="144"/>
      <c r="IF64" s="144"/>
      <c r="IG64" s="144"/>
      <c r="IH64" s="144"/>
      <c r="II64" s="144"/>
      <c r="IJ64" s="144"/>
      <c r="IK64" s="144"/>
      <c r="IL64" s="144"/>
      <c r="IM64" s="144"/>
      <c r="IN64" s="144"/>
      <c r="IO64" s="144"/>
      <c r="IP64" s="144"/>
      <c r="IQ64" s="144"/>
      <c r="IR64" s="144"/>
      <c r="IS64" s="144"/>
      <c r="IT64" s="144"/>
      <c r="IU64" s="144"/>
      <c r="IV64" s="144"/>
      <c r="IW64" s="144"/>
      <c r="IX64" s="144"/>
      <c r="IY64" s="144"/>
      <c r="IZ64" s="144"/>
      <c r="JA64" s="144"/>
      <c r="JB64" s="144"/>
      <c r="JC64" s="144"/>
      <c r="JD64" s="144"/>
      <c r="JE64" s="144"/>
      <c r="JF64" s="144"/>
      <c r="JG64" s="144"/>
      <c r="JH64" s="144"/>
      <c r="JI64" s="144"/>
      <c r="JJ64" s="144"/>
      <c r="JK64" s="144"/>
      <c r="JL64" s="144"/>
      <c r="JM64" s="144"/>
      <c r="JN64" s="144"/>
      <c r="JO64" s="144"/>
      <c r="JP64" s="144"/>
      <c r="JQ64" s="144"/>
      <c r="JR64" s="144"/>
      <c r="JS64" s="144"/>
      <c r="JT64" s="144"/>
      <c r="JU64" s="144"/>
      <c r="JV64" s="144"/>
      <c r="JW64" s="144"/>
      <c r="JX64" s="144"/>
      <c r="JY64" s="144"/>
      <c r="JZ64" s="144"/>
      <c r="KA64" s="144"/>
      <c r="KB64" s="144"/>
      <c r="KC64" s="144"/>
      <c r="KD64" s="144"/>
      <c r="KE64" s="144"/>
      <c r="KF64" s="144"/>
      <c r="KG64" s="144"/>
      <c r="KH64" s="144"/>
      <c r="KI64" s="144"/>
      <c r="KJ64" s="144"/>
      <c r="KK64" s="144"/>
      <c r="KL64" s="144"/>
      <c r="KM64" s="144"/>
      <c r="KN64" s="144"/>
      <c r="KO64" s="144"/>
      <c r="KP64" s="144"/>
      <c r="KQ64" s="144"/>
      <c r="KR64" s="144"/>
      <c r="KS64" s="144"/>
      <c r="KT64" s="144"/>
      <c r="KU64" s="144"/>
      <c r="KV64" s="144"/>
      <c r="KW64" s="144"/>
      <c r="KX64" s="144"/>
      <c r="KY64" s="144"/>
      <c r="KZ64" s="144"/>
      <c r="LA64" s="144"/>
      <c r="LB64" s="144"/>
      <c r="LC64" s="144"/>
      <c r="LD64" s="144"/>
      <c r="LE64" s="144"/>
      <c r="LF64" s="144"/>
      <c r="LG64" s="144"/>
      <c r="LH64" s="144"/>
      <c r="LI64" s="144"/>
      <c r="LJ64" s="144"/>
      <c r="LK64" s="144"/>
      <c r="LL64" s="144"/>
      <c r="LM64" s="144"/>
      <c r="LN64" s="144"/>
      <c r="LO64" s="144"/>
      <c r="LP64" s="144"/>
      <c r="LQ64" s="144"/>
      <c r="LR64" s="144"/>
      <c r="LS64" s="144"/>
      <c r="LT64" s="144"/>
      <c r="LU64" s="144"/>
      <c r="LV64" s="144"/>
      <c r="LW64" s="144"/>
      <c r="LX64" s="144"/>
      <c r="LY64" s="144"/>
      <c r="LZ64" s="144"/>
      <c r="MA64" s="144"/>
      <c r="MB64" s="144"/>
      <c r="MC64" s="144"/>
      <c r="MD64" s="144"/>
      <c r="ME64" s="144"/>
      <c r="MF64" s="144"/>
      <c r="MG64" s="144"/>
      <c r="MH64" s="144"/>
      <c r="MI64" s="144"/>
      <c r="MJ64" s="144"/>
      <c r="MK64" s="144"/>
      <c r="ML64" s="144"/>
      <c r="MM64" s="144"/>
      <c r="MN64" s="144"/>
      <c r="MO64" s="144"/>
      <c r="MP64" s="144"/>
      <c r="MQ64" s="144"/>
      <c r="MR64" s="144"/>
      <c r="MS64" s="144"/>
      <c r="MT64" s="144"/>
      <c r="MU64" s="144"/>
      <c r="MV64" s="144"/>
      <c r="MW64" s="144"/>
      <c r="MX64" s="144"/>
      <c r="MY64" s="144"/>
      <c r="MZ64" s="144"/>
      <c r="NA64" s="144"/>
      <c r="NB64" s="144"/>
      <c r="NC64" s="144"/>
      <c r="ND64" s="144"/>
      <c r="NE64" s="144"/>
      <c r="NF64" s="144"/>
      <c r="NG64" s="144"/>
      <c r="NH64" s="144"/>
      <c r="NI64" s="144"/>
      <c r="NJ64" s="144"/>
      <c r="NK64" s="144"/>
      <c r="NL64" s="144"/>
      <c r="NM64" s="144"/>
      <c r="NN64" s="144"/>
      <c r="NO64" s="144"/>
      <c r="NP64" s="144"/>
      <c r="NQ64" s="144"/>
      <c r="NR64" s="144"/>
      <c r="NS64" s="144"/>
      <c r="NT64" s="144"/>
      <c r="NU64" s="144"/>
      <c r="NV64" s="144"/>
      <c r="NW64" s="144"/>
      <c r="NX64" s="144"/>
      <c r="NY64" s="144"/>
      <c r="NZ64" s="144"/>
      <c r="OA64" s="144"/>
      <c r="OB64" s="144"/>
      <c r="OC64" s="144"/>
      <c r="OD64" s="144"/>
      <c r="OE64" s="144"/>
      <c r="OF64" s="144"/>
      <c r="OG64" s="144"/>
      <c r="OH64" s="144"/>
      <c r="OI64" s="144"/>
      <c r="OJ64" s="144"/>
      <c r="OK64" s="144"/>
      <c r="OL64" s="144"/>
      <c r="OM64" s="144"/>
      <c r="ON64" s="144"/>
      <c r="OO64" s="144"/>
      <c r="OP64" s="144"/>
      <c r="OQ64" s="144"/>
      <c r="OR64" s="144"/>
      <c r="OS64" s="144"/>
      <c r="OT64" s="144"/>
      <c r="OU64" s="144"/>
      <c r="OV64" s="144"/>
      <c r="OW64" s="144"/>
      <c r="OX64" s="144"/>
      <c r="OY64" s="144"/>
      <c r="OZ64" s="144"/>
      <c r="PA64" s="144"/>
      <c r="PB64" s="144"/>
      <c r="PC64" s="144"/>
      <c r="PD64" s="144"/>
      <c r="PE64" s="144"/>
      <c r="PF64" s="144"/>
      <c r="PG64" s="144"/>
      <c r="PH64" s="144"/>
      <c r="PI64" s="144"/>
      <c r="PJ64" s="144"/>
      <c r="PK64" s="144"/>
      <c r="PL64" s="144"/>
      <c r="PM64" s="144"/>
      <c r="PN64" s="144"/>
      <c r="PO64" s="144"/>
      <c r="PP64" s="144"/>
      <c r="PQ64" s="144"/>
      <c r="PR64" s="144"/>
      <c r="PS64" s="144"/>
      <c r="PT64" s="144"/>
      <c r="PU64" s="144"/>
      <c r="PV64" s="144"/>
      <c r="PW64" s="144"/>
      <c r="PX64" s="144"/>
      <c r="PY64" s="144"/>
      <c r="PZ64" s="144"/>
      <c r="QA64" s="144"/>
      <c r="QB64" s="144"/>
      <c r="QC64" s="144"/>
      <c r="QD64" s="144"/>
      <c r="QE64" s="144"/>
      <c r="QF64" s="144"/>
      <c r="QG64" s="144"/>
      <c r="QH64" s="144"/>
      <c r="QI64" s="144"/>
      <c r="QJ64" s="144"/>
      <c r="QK64" s="144"/>
      <c r="QL64" s="144"/>
      <c r="QM64" s="144"/>
      <c r="QN64" s="144"/>
      <c r="QO64" s="144"/>
      <c r="QP64" s="144"/>
      <c r="QQ64" s="144"/>
      <c r="QR64" s="144"/>
      <c r="QS64" s="144"/>
      <c r="QT64" s="144"/>
      <c r="QU64" s="144"/>
      <c r="QV64" s="144"/>
      <c r="QW64" s="144"/>
      <c r="QX64" s="144"/>
      <c r="QY64" s="144"/>
      <c r="QZ64" s="144"/>
      <c r="RA64" s="144"/>
      <c r="RB64" s="144"/>
      <c r="RC64" s="144"/>
      <c r="RD64" s="144"/>
      <c r="RE64" s="144"/>
      <c r="RF64" s="144"/>
      <c r="RG64" s="144"/>
      <c r="RH64" s="144"/>
      <c r="RI64" s="144"/>
      <c r="RJ64" s="144"/>
      <c r="RK64" s="144"/>
      <c r="RL64" s="144"/>
      <c r="RM64" s="144"/>
      <c r="RN64" s="144"/>
      <c r="RO64" s="144"/>
      <c r="RP64" s="144"/>
      <c r="RQ64" s="144"/>
      <c r="RR64" s="144"/>
      <c r="RS64" s="144"/>
      <c r="RT64" s="144"/>
      <c r="RU64" s="144"/>
      <c r="RV64" s="144"/>
      <c r="RW64" s="144"/>
      <c r="RX64" s="144"/>
      <c r="RY64" s="144"/>
      <c r="RZ64" s="144"/>
      <c r="SA64" s="144"/>
      <c r="SB64" s="144"/>
      <c r="SC64" s="144"/>
      <c r="SD64" s="144"/>
      <c r="SE64" s="144"/>
      <c r="SF64" s="144"/>
      <c r="SG64" s="144"/>
      <c r="SH64" s="144"/>
      <c r="SI64" s="144"/>
      <c r="SJ64" s="144"/>
      <c r="SK64" s="144"/>
      <c r="SL64" s="144"/>
      <c r="SM64" s="144"/>
      <c r="SN64" s="144"/>
      <c r="SO64" s="144"/>
      <c r="SP64" s="144"/>
      <c r="SQ64" s="144"/>
      <c r="SR64" s="144"/>
      <c r="SS64" s="144"/>
      <c r="ST64" s="144"/>
      <c r="SU64" s="144"/>
      <c r="SV64" s="144"/>
      <c r="SW64" s="144"/>
      <c r="SX64" s="144"/>
      <c r="SY64" s="144"/>
      <c r="SZ64" s="144"/>
      <c r="TA64" s="144"/>
      <c r="TB64" s="144"/>
      <c r="TC64" s="144"/>
      <c r="TD64" s="144"/>
      <c r="TE64" s="144"/>
      <c r="TF64" s="144"/>
      <c r="TG64" s="144"/>
      <c r="TH64" s="144"/>
      <c r="TI64" s="144"/>
      <c r="TJ64" s="144"/>
      <c r="TK64" s="144"/>
      <c r="TL64" s="144"/>
      <c r="TM64" s="144"/>
      <c r="TN64" s="144"/>
      <c r="TO64" s="144"/>
      <c r="TP64" s="144"/>
      <c r="TQ64" s="144"/>
      <c r="TR64" s="144"/>
      <c r="TS64" s="144"/>
      <c r="TT64" s="144"/>
      <c r="TU64" s="144"/>
      <c r="TV64" s="144"/>
      <c r="TW64" s="144"/>
      <c r="TX64" s="144"/>
      <c r="TY64" s="144"/>
      <c r="TZ64" s="144"/>
      <c r="UA64" s="144"/>
      <c r="UB64" s="144"/>
      <c r="UC64" s="144"/>
      <c r="UD64" s="144"/>
      <c r="UE64" s="144"/>
      <c r="UF64" s="144"/>
      <c r="UG64" s="144"/>
      <c r="UH64" s="144"/>
      <c r="UI64" s="144"/>
      <c r="UJ64" s="144"/>
      <c r="UK64" s="144"/>
      <c r="UL64" s="144"/>
      <c r="UM64" s="144"/>
      <c r="UN64" s="144"/>
      <c r="UO64" s="144"/>
      <c r="UP64" s="144"/>
      <c r="UQ64" s="144"/>
      <c r="UR64" s="144"/>
      <c r="US64" s="144"/>
      <c r="UT64" s="144"/>
      <c r="UU64" s="144"/>
      <c r="UV64" s="144"/>
      <c r="UW64" s="144"/>
      <c r="UX64" s="144"/>
      <c r="UY64" s="144"/>
      <c r="UZ64" s="144"/>
      <c r="VA64" s="144"/>
      <c r="VB64" s="144"/>
      <c r="VC64" s="144"/>
      <c r="VD64" s="144"/>
      <c r="VE64" s="144"/>
      <c r="VF64" s="144"/>
      <c r="VG64" s="144"/>
      <c r="VH64" s="144"/>
      <c r="VI64" s="144"/>
      <c r="VJ64" s="144"/>
      <c r="VK64" s="144"/>
      <c r="VL64" s="144"/>
      <c r="VM64" s="144"/>
      <c r="VN64" s="144"/>
      <c r="VO64" s="144"/>
      <c r="VP64" s="144"/>
      <c r="VQ64" s="144"/>
      <c r="VR64" s="144"/>
      <c r="VS64" s="144"/>
      <c r="VT64" s="144"/>
      <c r="VU64" s="144"/>
      <c r="VV64" s="144"/>
      <c r="VW64" s="144"/>
      <c r="VX64" s="144"/>
      <c r="VY64" s="144"/>
      <c r="VZ64" s="144"/>
      <c r="WA64" s="144"/>
      <c r="WB64" s="144"/>
      <c r="WC64" s="144"/>
      <c r="WD64" s="144"/>
      <c r="WE64" s="144"/>
      <c r="WF64" s="144"/>
      <c r="WG64" s="144"/>
      <c r="WH64" s="144"/>
      <c r="WI64" s="144"/>
      <c r="WJ64" s="144"/>
      <c r="WK64" s="144"/>
      <c r="WL64" s="144"/>
      <c r="WM64" s="144"/>
      <c r="WN64" s="144"/>
      <c r="WO64" s="144"/>
      <c r="WP64" s="144"/>
      <c r="WQ64" s="144"/>
      <c r="WR64" s="144"/>
      <c r="WS64" s="144"/>
      <c r="WT64" s="144"/>
      <c r="WU64" s="144"/>
      <c r="WV64" s="144"/>
      <c r="WW64" s="144"/>
      <c r="WX64" s="144"/>
      <c r="WY64" s="144"/>
      <c r="WZ64" s="144"/>
      <c r="XA64" s="144"/>
      <c r="XB64" s="144"/>
      <c r="XC64" s="144"/>
      <c r="XD64" s="144"/>
      <c r="XE64" s="144"/>
      <c r="XF64" s="144"/>
      <c r="XG64" s="144"/>
      <c r="XH64" s="144"/>
      <c r="XI64" s="144"/>
      <c r="XJ64" s="144"/>
      <c r="XK64" s="144"/>
      <c r="XL64" s="144"/>
      <c r="XM64" s="144"/>
      <c r="XN64" s="144"/>
      <c r="XO64" s="144"/>
      <c r="XP64" s="144"/>
      <c r="XQ64" s="144"/>
      <c r="XR64" s="144"/>
      <c r="XS64" s="144"/>
      <c r="XT64" s="144"/>
      <c r="XU64" s="144"/>
      <c r="XV64" s="144"/>
      <c r="XW64" s="144"/>
      <c r="XX64" s="144"/>
      <c r="XY64" s="144"/>
      <c r="XZ64" s="144"/>
      <c r="YA64" s="144"/>
      <c r="YB64" s="144"/>
      <c r="YC64" s="144"/>
      <c r="YD64" s="144"/>
      <c r="YE64" s="144"/>
      <c r="YF64" s="144"/>
      <c r="YG64" s="144"/>
      <c r="YH64" s="144"/>
      <c r="YI64" s="144"/>
      <c r="YJ64" s="144"/>
      <c r="YK64" s="144"/>
      <c r="YL64" s="144"/>
      <c r="YM64" s="144"/>
      <c r="YN64" s="144"/>
      <c r="YO64" s="144"/>
      <c r="YP64" s="144"/>
      <c r="YQ64" s="144"/>
      <c r="YR64" s="144"/>
      <c r="YS64" s="144"/>
      <c r="YT64" s="144"/>
      <c r="YU64" s="144"/>
      <c r="YV64" s="144"/>
      <c r="YW64" s="144"/>
      <c r="YX64" s="144"/>
      <c r="YY64" s="144"/>
      <c r="YZ64" s="144"/>
      <c r="ZA64" s="144"/>
      <c r="ZB64" s="144"/>
      <c r="ZC64" s="144"/>
      <c r="ZD64" s="144"/>
      <c r="ZE64" s="144"/>
      <c r="ZF64" s="144"/>
      <c r="ZG64" s="144"/>
      <c r="ZH64" s="144"/>
      <c r="ZI64" s="144"/>
      <c r="ZJ64" s="144"/>
      <c r="ZK64" s="144"/>
      <c r="ZL64" s="144"/>
      <c r="ZM64" s="144"/>
      <c r="ZN64" s="144"/>
      <c r="ZO64" s="144"/>
      <c r="ZP64" s="144"/>
      <c r="ZQ64" s="144"/>
      <c r="ZR64" s="144"/>
      <c r="ZS64" s="144"/>
      <c r="ZT64" s="144"/>
      <c r="ZU64" s="144"/>
      <c r="ZV64" s="144"/>
      <c r="ZW64" s="144"/>
      <c r="ZX64" s="144"/>
      <c r="ZY64" s="144"/>
      <c r="ZZ64" s="144"/>
      <c r="AAA64" s="144"/>
      <c r="AAB64" s="144"/>
      <c r="AAC64" s="144"/>
      <c r="AAD64" s="144"/>
      <c r="AAE64" s="144"/>
      <c r="AAF64" s="144"/>
      <c r="AAG64" s="144"/>
      <c r="AAH64" s="144"/>
      <c r="AAI64" s="144"/>
      <c r="AAJ64" s="144"/>
      <c r="AAK64" s="144"/>
      <c r="AAL64" s="144"/>
      <c r="AAM64" s="144"/>
      <c r="AAN64" s="144"/>
      <c r="AAO64" s="144"/>
      <c r="AAP64" s="144"/>
      <c r="AAQ64" s="144"/>
      <c r="AAR64" s="144"/>
      <c r="AAS64" s="144"/>
      <c r="AAT64" s="144"/>
      <c r="AAU64" s="144"/>
      <c r="AAV64" s="144"/>
      <c r="AAW64" s="144"/>
      <c r="AAX64" s="144"/>
      <c r="AAY64" s="144"/>
      <c r="AAZ64" s="144"/>
      <c r="ABA64" s="144"/>
      <c r="ABB64" s="144"/>
      <c r="ABC64" s="144"/>
      <c r="ABD64" s="144"/>
      <c r="ABE64" s="144"/>
      <c r="ABF64" s="144"/>
      <c r="ABG64" s="144"/>
      <c r="ABH64" s="144"/>
      <c r="ABI64" s="144"/>
      <c r="ABJ64" s="144"/>
      <c r="ABK64" s="144"/>
      <c r="ABL64" s="144"/>
      <c r="ABM64" s="144"/>
      <c r="ABN64" s="144"/>
      <c r="ABO64" s="144"/>
      <c r="ABP64" s="144"/>
      <c r="ABQ64" s="144"/>
      <c r="ABR64" s="144"/>
      <c r="ABS64" s="144"/>
      <c r="ABT64" s="144"/>
      <c r="ABU64" s="144"/>
      <c r="ABV64" s="144"/>
      <c r="ABW64" s="144"/>
      <c r="ABX64" s="144"/>
      <c r="ABY64" s="144"/>
      <c r="ABZ64" s="144"/>
      <c r="ACA64" s="144"/>
      <c r="ACB64" s="144"/>
      <c r="ACC64" s="144"/>
      <c r="ACD64" s="144"/>
      <c r="ACE64" s="144"/>
      <c r="ACF64" s="144"/>
      <c r="ACG64" s="144"/>
      <c r="ACH64" s="144"/>
      <c r="ACI64" s="144"/>
      <c r="ACJ64" s="144"/>
      <c r="ACK64" s="144"/>
      <c r="ACL64" s="144"/>
      <c r="ACM64" s="144"/>
      <c r="ACN64" s="144"/>
      <c r="ACO64" s="144"/>
      <c r="ACP64" s="144"/>
      <c r="ACQ64" s="144"/>
      <c r="ACR64" s="144"/>
      <c r="ACS64" s="144"/>
      <c r="ACT64" s="144"/>
      <c r="ACU64" s="144"/>
      <c r="ACV64" s="144"/>
      <c r="ACW64" s="144"/>
      <c r="ACX64" s="144"/>
      <c r="ACY64" s="144"/>
      <c r="ACZ64" s="144"/>
      <c r="ADA64" s="144"/>
      <c r="ADB64" s="144"/>
      <c r="ADC64" s="144"/>
      <c r="ADD64" s="144"/>
      <c r="ADE64" s="144"/>
      <c r="ADF64" s="144"/>
      <c r="ADG64" s="144"/>
      <c r="ADH64" s="144"/>
      <c r="ADI64" s="144"/>
      <c r="ADJ64" s="144"/>
      <c r="ADK64" s="144"/>
      <c r="ADL64" s="144"/>
      <c r="ADM64" s="144"/>
      <c r="ADN64" s="144"/>
      <c r="ADO64" s="144"/>
      <c r="ADP64" s="144"/>
      <c r="ADQ64" s="144"/>
      <c r="ADR64" s="144"/>
      <c r="ADS64" s="144"/>
      <c r="ADT64" s="144"/>
      <c r="ADU64" s="144"/>
      <c r="ADV64" s="144"/>
      <c r="ADW64" s="144"/>
      <c r="ADX64" s="144"/>
      <c r="ADY64" s="144"/>
      <c r="ADZ64" s="144"/>
      <c r="AEA64" s="144"/>
      <c r="AEB64" s="144"/>
      <c r="AEC64" s="144"/>
      <c r="AED64" s="144"/>
      <c r="AEE64" s="144"/>
      <c r="AEF64" s="144"/>
      <c r="AEG64" s="144"/>
      <c r="AEH64" s="144"/>
      <c r="AEI64" s="144"/>
      <c r="AEJ64" s="144"/>
      <c r="AEK64" s="144"/>
      <c r="AEL64" s="144"/>
      <c r="AEM64" s="144"/>
      <c r="AEN64" s="144"/>
      <c r="AEO64" s="144"/>
      <c r="AEP64" s="144"/>
      <c r="AEQ64" s="144"/>
      <c r="AER64" s="144"/>
      <c r="AES64" s="144"/>
      <c r="AET64" s="144"/>
      <c r="AEU64" s="144"/>
      <c r="AEV64" s="144"/>
      <c r="AEW64" s="144"/>
      <c r="AEX64" s="144"/>
      <c r="AEY64" s="144"/>
      <c r="AEZ64" s="144"/>
      <c r="AFA64" s="144"/>
      <c r="AFB64" s="144"/>
      <c r="AFC64" s="144"/>
      <c r="AFD64" s="144"/>
      <c r="AFE64" s="144"/>
      <c r="AFF64" s="144"/>
      <c r="AFG64" s="144"/>
      <c r="AFH64" s="144"/>
      <c r="AFI64" s="144"/>
      <c r="AFJ64" s="144"/>
      <c r="AFK64" s="144"/>
      <c r="AFL64" s="144"/>
      <c r="AFM64" s="144"/>
      <c r="AFN64" s="144"/>
      <c r="AFO64" s="144"/>
      <c r="AFP64" s="144"/>
      <c r="AFQ64" s="144"/>
      <c r="AFR64" s="144"/>
      <c r="AFS64" s="144"/>
      <c r="AFT64" s="144"/>
      <c r="AFU64" s="144"/>
      <c r="AFV64" s="144"/>
      <c r="AFW64" s="144"/>
      <c r="AFX64" s="144"/>
      <c r="AFY64" s="144"/>
      <c r="AFZ64" s="144"/>
      <c r="AGA64" s="144"/>
      <c r="AGB64" s="144"/>
      <c r="AGC64" s="144"/>
      <c r="AGD64" s="144"/>
      <c r="AGE64" s="144"/>
      <c r="AGF64" s="144"/>
      <c r="AGG64" s="144"/>
      <c r="AGH64" s="144"/>
      <c r="AGI64" s="144"/>
      <c r="AGJ64" s="144"/>
      <c r="AGK64" s="144"/>
      <c r="AGL64" s="144"/>
      <c r="AGM64" s="144"/>
      <c r="AGN64" s="144"/>
      <c r="AGO64" s="144"/>
      <c r="AGP64" s="144"/>
      <c r="AGQ64" s="144"/>
      <c r="AGR64" s="144"/>
      <c r="AGS64" s="144"/>
      <c r="AGT64" s="144"/>
      <c r="AGU64" s="144"/>
      <c r="AGV64" s="144"/>
      <c r="AGW64" s="144"/>
      <c r="AGX64" s="144"/>
      <c r="AGY64" s="144"/>
      <c r="AGZ64" s="144"/>
      <c r="AHA64" s="144"/>
      <c r="AHB64" s="144"/>
      <c r="AHC64" s="144"/>
      <c r="AHD64" s="144"/>
      <c r="AHE64" s="144"/>
      <c r="AHF64" s="144"/>
      <c r="AHG64" s="144"/>
      <c r="AHH64" s="144"/>
      <c r="AHI64" s="144"/>
      <c r="AHJ64" s="144"/>
      <c r="AHK64" s="144"/>
      <c r="AHL64" s="144"/>
      <c r="AHM64" s="144"/>
      <c r="AHN64" s="144"/>
      <c r="AHO64" s="144"/>
      <c r="AHP64" s="144"/>
      <c r="AHQ64" s="144"/>
      <c r="AHR64" s="144"/>
      <c r="AHS64" s="144"/>
      <c r="AHT64" s="144"/>
      <c r="AHU64" s="144"/>
      <c r="AHV64" s="144"/>
      <c r="AHW64" s="144"/>
      <c r="AHX64" s="144"/>
      <c r="AHY64" s="144"/>
      <c r="AHZ64" s="144"/>
      <c r="AIA64" s="144"/>
      <c r="AIB64" s="144"/>
      <c r="AIC64" s="144"/>
      <c r="AID64" s="144"/>
      <c r="AIE64" s="144"/>
      <c r="AIF64" s="144"/>
      <c r="AIG64" s="144"/>
      <c r="AIH64" s="144"/>
      <c r="AII64" s="144"/>
      <c r="AIJ64" s="144"/>
      <c r="AIK64" s="144"/>
      <c r="AIL64" s="144"/>
      <c r="AIM64" s="144"/>
      <c r="AIN64" s="144"/>
      <c r="AIO64" s="144"/>
      <c r="AIP64" s="144"/>
      <c r="AIQ64" s="144"/>
      <c r="AIR64" s="144"/>
      <c r="AIS64" s="144"/>
      <c r="AIT64" s="144"/>
      <c r="AIU64" s="144"/>
      <c r="AIV64" s="144"/>
      <c r="AIW64" s="144"/>
      <c r="AIX64" s="144"/>
      <c r="AIY64" s="144"/>
      <c r="AIZ64" s="144"/>
      <c r="AJA64" s="144"/>
      <c r="AJB64" s="144"/>
      <c r="AJC64" s="144"/>
      <c r="AJD64" s="144"/>
      <c r="AJE64" s="144"/>
      <c r="AJF64" s="144"/>
      <c r="AJG64" s="144"/>
      <c r="AJH64" s="144"/>
      <c r="AJI64" s="144"/>
      <c r="AJJ64" s="144"/>
      <c r="AJK64" s="144"/>
      <c r="AJL64" s="144"/>
      <c r="AJM64" s="144"/>
      <c r="AJN64" s="144"/>
      <c r="AJO64" s="144"/>
      <c r="AJP64" s="144"/>
      <c r="AJQ64" s="144"/>
      <c r="AJR64" s="144"/>
      <c r="AJS64" s="144"/>
      <c r="AJT64" s="144"/>
      <c r="AJU64" s="144"/>
      <c r="AJV64" s="144"/>
      <c r="AJW64" s="144"/>
      <c r="AJX64" s="144"/>
      <c r="AJY64" s="144"/>
      <c r="AJZ64" s="144"/>
      <c r="AKA64" s="144"/>
      <c r="AKB64" s="144"/>
      <c r="AKC64" s="144"/>
      <c r="AKD64" s="144"/>
      <c r="AKE64" s="144"/>
      <c r="AKF64" s="144"/>
      <c r="AKG64" s="144"/>
      <c r="AKH64" s="144"/>
      <c r="AKI64" s="144"/>
      <c r="AKJ64" s="144"/>
      <c r="AKK64" s="144"/>
      <c r="AKL64" s="144"/>
      <c r="AKM64" s="144"/>
      <c r="AKN64" s="144"/>
      <c r="AKO64" s="144"/>
      <c r="AKP64" s="144"/>
      <c r="AKQ64" s="144"/>
      <c r="AKR64" s="144"/>
      <c r="AKS64" s="144"/>
      <c r="AKT64" s="144"/>
      <c r="AKU64" s="144"/>
      <c r="AKV64" s="144"/>
      <c r="AKW64" s="144"/>
      <c r="AKX64" s="144"/>
      <c r="AKY64" s="144"/>
      <c r="AKZ64" s="144"/>
      <c r="ALA64" s="144"/>
      <c r="ALB64" s="144"/>
      <c r="ALC64" s="144"/>
      <c r="ALD64" s="144"/>
      <c r="ALE64" s="144"/>
      <c r="ALF64" s="144"/>
      <c r="ALG64" s="144"/>
      <c r="ALH64" s="144"/>
      <c r="ALI64" s="144"/>
      <c r="ALJ64" s="144"/>
      <c r="ALK64" s="144"/>
      <c r="ALL64" s="144"/>
      <c r="ALM64" s="144"/>
      <c r="ALN64" s="144"/>
      <c r="ALO64" s="144"/>
      <c r="ALP64" s="144"/>
      <c r="ALQ64" s="144"/>
      <c r="ALR64" s="144"/>
      <c r="ALS64" s="144"/>
      <c r="ALT64" s="144"/>
      <c r="ALU64" s="144"/>
      <c r="ALV64" s="144"/>
      <c r="ALW64" s="144"/>
      <c r="ALX64" s="144"/>
      <c r="ALY64" s="144"/>
      <c r="ALZ64" s="144"/>
      <c r="AMA64" s="144"/>
      <c r="AMB64" s="144"/>
      <c r="AMC64" s="144"/>
      <c r="AMD64" s="144"/>
      <c r="AME64" s="144"/>
      <c r="AMF64" s="144"/>
      <c r="AMG64" s="144"/>
      <c r="AMH64" s="144"/>
      <c r="AMI64" s="144"/>
      <c r="AMJ64" s="144"/>
      <c r="AMK64" s="144"/>
      <c r="AML64" s="144"/>
      <c r="AMM64" s="144"/>
      <c r="AMN64" s="144"/>
      <c r="AMO64" s="144"/>
      <c r="AMP64" s="144"/>
      <c r="AMQ64" s="144"/>
      <c r="AMR64" s="144"/>
      <c r="AMS64" s="144"/>
      <c r="AMT64" s="144"/>
      <c r="AMU64" s="144"/>
      <c r="AMV64" s="144"/>
      <c r="AMW64" s="144"/>
      <c r="AMX64" s="144"/>
      <c r="AMY64" s="144"/>
      <c r="AMZ64" s="144"/>
      <c r="ANA64" s="144"/>
      <c r="ANB64" s="144"/>
      <c r="ANC64" s="144"/>
      <c r="AND64" s="144"/>
      <c r="ANE64" s="144"/>
      <c r="ANF64" s="144"/>
      <c r="ANG64" s="144"/>
      <c r="ANH64" s="144"/>
      <c r="ANI64" s="144"/>
      <c r="ANJ64" s="144"/>
      <c r="ANK64" s="144"/>
      <c r="ANL64" s="144"/>
      <c r="ANM64" s="144"/>
      <c r="ANN64" s="144"/>
      <c r="ANO64" s="144"/>
      <c r="ANP64" s="144"/>
      <c r="ANQ64" s="144"/>
      <c r="ANR64" s="144"/>
      <c r="ANS64" s="144"/>
      <c r="ANT64" s="144"/>
      <c r="ANU64" s="144"/>
      <c r="ANV64" s="144"/>
      <c r="ANW64" s="144"/>
      <c r="ANX64" s="144"/>
      <c r="ANY64" s="144"/>
      <c r="ANZ64" s="144"/>
      <c r="AOA64" s="144"/>
      <c r="AOB64" s="144"/>
      <c r="AOC64" s="144"/>
      <c r="AOD64" s="144"/>
      <c r="AOE64" s="144"/>
      <c r="AOF64" s="144"/>
      <c r="AOG64" s="144"/>
      <c r="AOH64" s="144"/>
      <c r="AOI64" s="144"/>
      <c r="AOJ64" s="144"/>
      <c r="AOK64" s="144"/>
      <c r="AOL64" s="144"/>
      <c r="AOM64" s="144"/>
      <c r="AON64" s="144"/>
      <c r="AOO64" s="144"/>
      <c r="AOP64" s="144"/>
      <c r="AOQ64" s="144"/>
      <c r="AOR64" s="144"/>
      <c r="AOS64" s="144"/>
      <c r="AOT64" s="144"/>
      <c r="AOU64" s="144"/>
      <c r="AOV64" s="144"/>
      <c r="AOW64" s="144"/>
      <c r="AOX64" s="144"/>
      <c r="AOY64" s="144"/>
      <c r="AOZ64" s="144"/>
      <c r="APA64" s="144"/>
      <c r="APB64" s="144"/>
      <c r="APC64" s="144"/>
      <c r="APD64" s="144"/>
      <c r="APE64" s="144"/>
      <c r="APF64" s="144"/>
      <c r="APG64" s="144"/>
      <c r="APH64" s="144"/>
      <c r="API64" s="144"/>
      <c r="APJ64" s="144"/>
      <c r="APK64" s="144"/>
      <c r="APL64" s="144"/>
      <c r="APM64" s="144"/>
      <c r="APN64" s="144"/>
      <c r="APO64" s="144"/>
      <c r="APP64" s="144"/>
      <c r="APQ64" s="144"/>
      <c r="APR64" s="144"/>
      <c r="APS64" s="144"/>
      <c r="APT64" s="144"/>
      <c r="APU64" s="144"/>
      <c r="APV64" s="144"/>
      <c r="APW64" s="144"/>
      <c r="APX64" s="144"/>
      <c r="APY64" s="144"/>
      <c r="APZ64" s="144"/>
      <c r="AQA64" s="144"/>
      <c r="AQB64" s="144"/>
      <c r="AQC64" s="144"/>
      <c r="AQD64" s="144"/>
      <c r="AQE64" s="144"/>
      <c r="AQF64" s="144"/>
      <c r="AQG64" s="144"/>
      <c r="AQH64" s="144"/>
      <c r="AQI64" s="144"/>
      <c r="AQJ64" s="144"/>
      <c r="AQK64" s="144"/>
      <c r="AQL64" s="144"/>
      <c r="AQM64" s="144"/>
      <c r="AQN64" s="144"/>
      <c r="AQO64" s="144"/>
      <c r="AQP64" s="144"/>
      <c r="AQQ64" s="144"/>
      <c r="AQR64" s="144"/>
      <c r="AQS64" s="144"/>
      <c r="AQT64" s="144"/>
      <c r="AQU64" s="144"/>
      <c r="AQV64" s="144"/>
      <c r="AQW64" s="144"/>
      <c r="AQX64" s="144"/>
      <c r="AQY64" s="144"/>
      <c r="AQZ64" s="144"/>
      <c r="ARA64" s="144"/>
      <c r="ARB64" s="144"/>
      <c r="ARC64" s="144"/>
      <c r="ARD64" s="144"/>
      <c r="ARE64" s="144"/>
      <c r="ARF64" s="144"/>
      <c r="ARG64" s="144"/>
      <c r="ARH64" s="144"/>
      <c r="ARI64" s="144"/>
      <c r="ARJ64" s="144"/>
      <c r="ARK64" s="144"/>
      <c r="ARL64" s="144"/>
      <c r="ARM64" s="144"/>
      <c r="ARN64" s="144"/>
      <c r="ARO64" s="144"/>
      <c r="ARP64" s="144"/>
      <c r="ARQ64" s="144"/>
      <c r="ARR64" s="144"/>
      <c r="ARS64" s="144"/>
      <c r="ART64" s="144"/>
      <c r="ARU64" s="144"/>
      <c r="ARV64" s="144"/>
      <c r="ARW64" s="144"/>
      <c r="ARX64" s="144"/>
      <c r="ARY64" s="144"/>
      <c r="ARZ64" s="144"/>
      <c r="ASA64" s="144"/>
      <c r="ASB64" s="144"/>
      <c r="ASC64" s="144"/>
      <c r="ASD64" s="144"/>
      <c r="ASE64" s="144"/>
      <c r="ASF64" s="144"/>
      <c r="ASG64" s="144"/>
      <c r="ASH64" s="144"/>
      <c r="ASI64" s="144"/>
      <c r="ASJ64" s="144"/>
      <c r="ASK64" s="144"/>
      <c r="ASL64" s="144"/>
      <c r="ASM64" s="144"/>
      <c r="ASN64" s="144"/>
      <c r="ASO64" s="144"/>
      <c r="ASP64" s="144"/>
      <c r="ASQ64" s="144"/>
      <c r="ASR64" s="144"/>
      <c r="ASS64" s="144"/>
      <c r="AST64" s="144"/>
      <c r="ASU64" s="144"/>
      <c r="ASV64" s="144"/>
      <c r="ASW64" s="144"/>
      <c r="ASX64" s="144"/>
      <c r="ASY64" s="144"/>
      <c r="ASZ64" s="144"/>
      <c r="ATA64" s="144"/>
      <c r="ATB64" s="144"/>
      <c r="ATC64" s="144"/>
      <c r="ATD64" s="144"/>
      <c r="ATE64" s="144"/>
      <c r="ATF64" s="144"/>
      <c r="ATG64" s="144"/>
      <c r="ATH64" s="144"/>
      <c r="ATI64" s="144"/>
      <c r="ATJ64" s="144"/>
      <c r="ATK64" s="144"/>
      <c r="ATL64" s="144"/>
      <c r="ATM64" s="144"/>
      <c r="ATN64" s="144"/>
      <c r="ATO64" s="144"/>
      <c r="ATP64" s="144"/>
      <c r="ATQ64" s="144"/>
      <c r="ATR64" s="144"/>
      <c r="ATS64" s="144"/>
      <c r="ATT64" s="144"/>
      <c r="ATU64" s="144"/>
      <c r="ATV64" s="144"/>
      <c r="ATW64" s="144"/>
      <c r="ATX64" s="144"/>
      <c r="ATY64" s="144"/>
      <c r="ATZ64" s="144"/>
      <c r="AUA64" s="144"/>
      <c r="AUB64" s="144"/>
      <c r="AUC64" s="144"/>
      <c r="AUD64" s="144"/>
      <c r="AUE64" s="144"/>
      <c r="AUF64" s="144"/>
      <c r="AUG64" s="144"/>
      <c r="AUH64" s="144"/>
      <c r="AUI64" s="144"/>
      <c r="AUJ64" s="144"/>
      <c r="AUK64" s="144"/>
      <c r="AUL64" s="144"/>
      <c r="AUM64" s="144"/>
      <c r="AUN64" s="144"/>
      <c r="AUO64" s="144"/>
      <c r="AUP64" s="144"/>
      <c r="AUQ64" s="144"/>
      <c r="AUR64" s="144"/>
      <c r="AUS64" s="144"/>
      <c r="AUT64" s="144"/>
      <c r="AUU64" s="144"/>
      <c r="AUV64" s="144"/>
      <c r="AUW64" s="144"/>
      <c r="AUX64" s="144"/>
      <c r="AUY64" s="144"/>
      <c r="AUZ64" s="144"/>
      <c r="AVA64" s="144"/>
      <c r="AVB64" s="144"/>
      <c r="AVC64" s="144"/>
      <c r="AVD64" s="144"/>
      <c r="AVE64" s="144"/>
      <c r="AVF64" s="144"/>
      <c r="AVG64" s="144"/>
      <c r="AVH64" s="144"/>
      <c r="AVI64" s="144"/>
      <c r="AVJ64" s="144"/>
      <c r="AVK64" s="144"/>
      <c r="AVL64" s="144"/>
      <c r="AVM64" s="144"/>
      <c r="AVN64" s="144"/>
      <c r="AVO64" s="144"/>
      <c r="AVP64" s="144"/>
      <c r="AVQ64" s="144"/>
      <c r="AVR64" s="144"/>
      <c r="AVS64" s="144"/>
      <c r="AVT64" s="144"/>
      <c r="AVU64" s="144"/>
      <c r="AVV64" s="144"/>
      <c r="AVW64" s="144"/>
      <c r="AVX64" s="144"/>
      <c r="AVY64" s="144"/>
      <c r="AVZ64" s="144"/>
      <c r="AWA64" s="144"/>
      <c r="AWB64" s="144"/>
      <c r="AWC64" s="144"/>
      <c r="AWD64" s="144"/>
      <c r="AWE64" s="144"/>
      <c r="AWF64" s="144"/>
      <c r="AWG64" s="144"/>
      <c r="AWH64" s="144"/>
      <c r="AWI64" s="144"/>
      <c r="AWJ64" s="144"/>
      <c r="AWK64" s="144"/>
      <c r="AWL64" s="144"/>
      <c r="AWM64" s="144"/>
      <c r="AWN64" s="144"/>
      <c r="AWO64" s="144"/>
      <c r="AWP64" s="144"/>
      <c r="AWQ64" s="144"/>
      <c r="AWR64" s="144"/>
      <c r="AWS64" s="144"/>
      <c r="AWT64" s="144"/>
      <c r="AWU64" s="144"/>
      <c r="AWV64" s="144"/>
      <c r="AWW64" s="144"/>
      <c r="AWX64" s="144"/>
      <c r="AWY64" s="144"/>
      <c r="AWZ64" s="144"/>
      <c r="AXA64" s="144"/>
      <c r="AXB64" s="144"/>
      <c r="AXC64" s="144"/>
      <c r="AXD64" s="144"/>
      <c r="AXE64" s="144"/>
      <c r="AXF64" s="144"/>
      <c r="AXG64" s="144"/>
      <c r="AXH64" s="144"/>
      <c r="AXI64" s="144"/>
      <c r="AXJ64" s="144"/>
      <c r="AXK64" s="144"/>
      <c r="AXL64" s="144"/>
      <c r="AXM64" s="144"/>
      <c r="AXN64" s="144"/>
      <c r="AXO64" s="144"/>
      <c r="AXP64" s="144"/>
      <c r="AXQ64" s="144"/>
      <c r="AXR64" s="144"/>
      <c r="AXS64" s="144"/>
      <c r="AXT64" s="144"/>
      <c r="AXU64" s="144"/>
      <c r="AXV64" s="144"/>
      <c r="AXW64" s="144"/>
      <c r="AXX64" s="144"/>
      <c r="AXY64" s="144"/>
      <c r="AXZ64" s="144"/>
      <c r="AYA64" s="144"/>
      <c r="AYB64" s="144"/>
      <c r="AYC64" s="144"/>
      <c r="AYD64" s="144"/>
      <c r="AYE64" s="144"/>
      <c r="AYF64" s="144"/>
      <c r="AYG64" s="144"/>
      <c r="AYH64" s="144"/>
      <c r="AYI64" s="144"/>
      <c r="AYJ64" s="144"/>
      <c r="AYK64" s="144"/>
      <c r="AYL64" s="144"/>
      <c r="AYM64" s="144"/>
      <c r="AYN64" s="144"/>
      <c r="AYO64" s="144"/>
      <c r="AYP64" s="144"/>
      <c r="AYQ64" s="144"/>
      <c r="AYR64" s="144"/>
      <c r="AYS64" s="144"/>
      <c r="AYT64" s="144"/>
      <c r="AYU64" s="144"/>
      <c r="AYV64" s="144"/>
      <c r="AYW64" s="144"/>
      <c r="AYX64" s="144"/>
      <c r="AYY64" s="144"/>
      <c r="AYZ64" s="144"/>
      <c r="AZA64" s="144"/>
      <c r="AZB64" s="144"/>
      <c r="AZC64" s="144"/>
      <c r="AZD64" s="144"/>
      <c r="AZE64" s="144"/>
      <c r="AZF64" s="144"/>
      <c r="AZG64" s="144"/>
      <c r="AZH64" s="144"/>
      <c r="AZI64" s="144"/>
      <c r="AZJ64" s="144"/>
      <c r="AZK64" s="144"/>
      <c r="AZL64" s="144"/>
      <c r="AZM64" s="144"/>
      <c r="AZN64" s="144"/>
      <c r="AZO64" s="144"/>
      <c r="AZP64" s="144"/>
      <c r="AZQ64" s="144"/>
      <c r="AZR64" s="144"/>
      <c r="AZS64" s="144"/>
      <c r="AZT64" s="144"/>
      <c r="AZU64" s="144"/>
      <c r="AZV64" s="144"/>
      <c r="AZW64" s="144"/>
      <c r="AZX64" s="144"/>
      <c r="AZY64" s="144"/>
      <c r="AZZ64" s="144"/>
      <c r="BAA64" s="144"/>
      <c r="BAB64" s="144"/>
      <c r="BAC64" s="144"/>
      <c r="BAD64" s="144"/>
      <c r="BAE64" s="144"/>
      <c r="BAF64" s="144"/>
      <c r="BAG64" s="144"/>
      <c r="BAH64" s="144"/>
      <c r="BAI64" s="144"/>
      <c r="BAJ64" s="144"/>
      <c r="BAK64" s="144"/>
      <c r="BAL64" s="144"/>
      <c r="BAM64" s="144"/>
      <c r="BAN64" s="144"/>
      <c r="BAO64" s="144"/>
      <c r="BAP64" s="144"/>
      <c r="BAQ64" s="144"/>
      <c r="BAR64" s="144"/>
      <c r="BAS64" s="144"/>
      <c r="BAT64" s="144"/>
      <c r="BAU64" s="144"/>
      <c r="BAV64" s="144"/>
      <c r="BAW64" s="144"/>
      <c r="BAX64" s="144"/>
      <c r="BAY64" s="144"/>
      <c r="BAZ64" s="144"/>
      <c r="BBA64" s="144"/>
      <c r="BBB64" s="144"/>
      <c r="BBC64" s="144"/>
      <c r="BBD64" s="144"/>
      <c r="BBE64" s="144"/>
      <c r="BBF64" s="144"/>
      <c r="BBG64" s="144"/>
      <c r="BBH64" s="144"/>
      <c r="BBI64" s="144"/>
      <c r="BBJ64" s="144"/>
      <c r="BBK64" s="144"/>
      <c r="BBL64" s="144"/>
      <c r="BBM64" s="144"/>
      <c r="BBN64" s="144"/>
      <c r="BBO64" s="144"/>
      <c r="BBP64" s="144"/>
      <c r="BBQ64" s="144"/>
      <c r="BBR64" s="144"/>
      <c r="BBS64" s="144"/>
      <c r="BBT64" s="144"/>
      <c r="BBU64" s="144"/>
      <c r="BBV64" s="144"/>
      <c r="BBW64" s="144"/>
      <c r="BBX64" s="144"/>
      <c r="BBY64" s="144"/>
      <c r="BBZ64" s="144"/>
      <c r="BCA64" s="144"/>
      <c r="BCB64" s="144"/>
      <c r="BCC64" s="144"/>
      <c r="BCD64" s="144"/>
      <c r="BCE64" s="144"/>
      <c r="BCF64" s="144"/>
      <c r="BCG64" s="144"/>
      <c r="BCH64" s="144"/>
      <c r="BCI64" s="144"/>
      <c r="BCJ64" s="144"/>
      <c r="BCK64" s="144"/>
      <c r="BCL64" s="144"/>
      <c r="BCM64" s="144"/>
      <c r="BCN64" s="144"/>
      <c r="BCO64" s="144"/>
      <c r="BCP64" s="144"/>
      <c r="BCQ64" s="144"/>
      <c r="BCR64" s="144"/>
      <c r="BCS64" s="144"/>
      <c r="BCT64" s="144"/>
      <c r="BCU64" s="144"/>
      <c r="BCV64" s="144"/>
      <c r="BCW64" s="144"/>
      <c r="BCX64" s="144"/>
      <c r="BCY64" s="144"/>
      <c r="BCZ64" s="144"/>
      <c r="BDA64" s="144"/>
      <c r="BDB64" s="144"/>
      <c r="BDC64" s="144"/>
      <c r="BDD64" s="144"/>
      <c r="BDE64" s="144"/>
      <c r="BDF64" s="144"/>
      <c r="BDG64" s="144"/>
      <c r="BDH64" s="144"/>
      <c r="BDI64" s="144"/>
      <c r="BDJ64" s="144"/>
      <c r="BDK64" s="144"/>
      <c r="BDL64" s="144"/>
      <c r="BDM64" s="144"/>
      <c r="BDN64" s="144"/>
      <c r="BDO64" s="144"/>
      <c r="BDP64" s="144"/>
      <c r="BDQ64" s="144"/>
      <c r="BDR64" s="144"/>
      <c r="BDS64" s="144"/>
      <c r="BDT64" s="144"/>
      <c r="BDU64" s="144"/>
      <c r="BDV64" s="144"/>
      <c r="BDW64" s="144"/>
      <c r="BDX64" s="144"/>
      <c r="BDY64" s="144"/>
      <c r="BDZ64" s="144"/>
      <c r="BEA64" s="144"/>
      <c r="BEB64" s="144"/>
      <c r="BEC64" s="144"/>
      <c r="BED64" s="144"/>
      <c r="BEE64" s="144"/>
      <c r="BEF64" s="144"/>
      <c r="BEG64" s="144"/>
      <c r="BEH64" s="144"/>
      <c r="BEI64" s="144"/>
      <c r="BEJ64" s="144"/>
      <c r="BEK64" s="144"/>
      <c r="BEL64" s="144"/>
      <c r="BEM64" s="144"/>
      <c r="BEN64" s="144"/>
      <c r="BEO64" s="144"/>
      <c r="BEP64" s="144"/>
      <c r="BEQ64" s="144"/>
      <c r="BER64" s="144"/>
      <c r="BES64" s="144"/>
      <c r="BET64" s="144"/>
      <c r="BEU64" s="144"/>
      <c r="BEV64" s="144"/>
      <c r="BEW64" s="144"/>
      <c r="BEX64" s="144"/>
      <c r="BEY64" s="144"/>
      <c r="BEZ64" s="144"/>
      <c r="BFA64" s="144"/>
      <c r="BFB64" s="144"/>
      <c r="BFC64" s="144"/>
      <c r="BFD64" s="144"/>
      <c r="BFE64" s="144"/>
      <c r="BFF64" s="144"/>
      <c r="BFG64" s="144"/>
      <c r="BFH64" s="144"/>
      <c r="BFI64" s="144"/>
      <c r="BFJ64" s="144"/>
      <c r="BFK64" s="144"/>
      <c r="BFL64" s="144"/>
      <c r="BFM64" s="144"/>
      <c r="BFN64" s="144"/>
      <c r="BFO64" s="144"/>
      <c r="BFP64" s="144"/>
      <c r="BFQ64" s="144"/>
      <c r="BFR64" s="144"/>
      <c r="BFS64" s="144"/>
      <c r="BFT64" s="144"/>
      <c r="BFU64" s="144"/>
      <c r="BFV64" s="144"/>
      <c r="BFW64" s="144"/>
      <c r="BFX64" s="144"/>
      <c r="BFY64" s="144"/>
      <c r="BFZ64" s="144"/>
      <c r="BGA64" s="144"/>
      <c r="BGB64" s="144"/>
      <c r="BGC64" s="144"/>
      <c r="BGD64" s="144"/>
      <c r="BGE64" s="144"/>
      <c r="BGF64" s="144"/>
      <c r="BGG64" s="144"/>
      <c r="BGH64" s="144"/>
      <c r="BGI64" s="144"/>
      <c r="BGJ64" s="144"/>
      <c r="BGK64" s="144"/>
      <c r="BGL64" s="144"/>
      <c r="BGM64" s="144"/>
      <c r="BGN64" s="144"/>
      <c r="BGO64" s="144"/>
      <c r="BGP64" s="144"/>
      <c r="BGQ64" s="144"/>
      <c r="BGR64" s="144"/>
      <c r="BGS64" s="144"/>
      <c r="BGT64" s="144"/>
      <c r="BGU64" s="144"/>
      <c r="BGV64" s="144"/>
      <c r="BGW64" s="144"/>
      <c r="BGX64" s="144"/>
      <c r="BGY64" s="144"/>
      <c r="BGZ64" s="144"/>
      <c r="BHA64" s="144"/>
      <c r="BHB64" s="144"/>
      <c r="BHC64" s="144"/>
      <c r="BHD64" s="144"/>
      <c r="BHE64" s="144"/>
      <c r="BHF64" s="144"/>
      <c r="BHG64" s="144"/>
      <c r="BHH64" s="144"/>
      <c r="BHI64" s="144"/>
      <c r="BHJ64" s="144"/>
      <c r="BHK64" s="144"/>
      <c r="BHL64" s="144"/>
      <c r="BHM64" s="144"/>
      <c r="BHN64" s="144"/>
      <c r="BHO64" s="144"/>
      <c r="BHP64" s="144"/>
      <c r="BHQ64" s="144"/>
      <c r="BHR64" s="144"/>
      <c r="BHS64" s="144"/>
      <c r="BHT64" s="144"/>
      <c r="BHU64" s="144"/>
      <c r="BHV64" s="144"/>
      <c r="BHW64" s="144"/>
      <c r="BHX64" s="144"/>
      <c r="BHY64" s="144"/>
      <c r="BHZ64" s="144"/>
      <c r="BIA64" s="144"/>
      <c r="BIB64" s="144"/>
      <c r="BIC64" s="144"/>
      <c r="BID64" s="144"/>
      <c r="BIE64" s="144"/>
      <c r="BIF64" s="144"/>
      <c r="BIG64" s="144"/>
      <c r="BIH64" s="144"/>
      <c r="BII64" s="144"/>
      <c r="BIJ64" s="144"/>
      <c r="BIK64" s="144"/>
      <c r="BIL64" s="144"/>
      <c r="BIM64" s="144"/>
      <c r="BIN64" s="144"/>
      <c r="BIO64" s="144"/>
      <c r="BIP64" s="144"/>
      <c r="BIQ64" s="144"/>
      <c r="BIR64" s="144"/>
      <c r="BIS64" s="144"/>
      <c r="BIT64" s="144"/>
      <c r="BIU64" s="144"/>
      <c r="BIV64" s="144"/>
      <c r="BIW64" s="144"/>
      <c r="BIX64" s="144"/>
      <c r="BIY64" s="144"/>
      <c r="BIZ64" s="144"/>
      <c r="BJA64" s="144"/>
      <c r="BJB64" s="144"/>
      <c r="BJC64" s="144"/>
      <c r="BJD64" s="144"/>
      <c r="BJE64" s="144"/>
      <c r="BJF64" s="144"/>
      <c r="BJG64" s="144"/>
      <c r="BJH64" s="144"/>
      <c r="BJI64" s="144"/>
      <c r="BJJ64" s="144"/>
      <c r="BJK64" s="144"/>
      <c r="BJL64" s="144"/>
      <c r="BJM64" s="144"/>
      <c r="BJN64" s="144"/>
      <c r="BJO64" s="144"/>
      <c r="BJP64" s="144"/>
      <c r="BJQ64" s="144"/>
      <c r="BJR64" s="144"/>
      <c r="BJS64" s="144"/>
      <c r="BJT64" s="144"/>
      <c r="BJU64" s="144"/>
      <c r="BJV64" s="144"/>
      <c r="BJW64" s="144"/>
      <c r="BJX64" s="144"/>
      <c r="BJY64" s="144"/>
      <c r="BJZ64" s="144"/>
      <c r="BKA64" s="144"/>
      <c r="BKB64" s="144"/>
      <c r="BKC64" s="144"/>
      <c r="BKD64" s="144"/>
      <c r="BKE64" s="144"/>
      <c r="BKF64" s="144"/>
      <c r="BKG64" s="144"/>
      <c r="BKH64" s="144"/>
      <c r="BKI64" s="144"/>
      <c r="BKJ64" s="144"/>
      <c r="BKK64" s="144"/>
      <c r="BKL64" s="144"/>
      <c r="BKM64" s="144"/>
      <c r="BKN64" s="144"/>
      <c r="BKO64" s="144"/>
      <c r="BKP64" s="144"/>
      <c r="BKQ64" s="144"/>
      <c r="BKR64" s="144"/>
      <c r="BKS64" s="144"/>
      <c r="BKT64" s="144"/>
      <c r="BKU64" s="144"/>
      <c r="BKV64" s="144"/>
      <c r="BKW64" s="144"/>
      <c r="BKX64" s="144"/>
      <c r="BKY64" s="144"/>
      <c r="BKZ64" s="144"/>
      <c r="BLA64" s="144"/>
      <c r="BLB64" s="144"/>
      <c r="BLC64" s="144"/>
      <c r="BLD64" s="144"/>
      <c r="BLE64" s="144"/>
      <c r="BLF64" s="144"/>
      <c r="BLG64" s="144"/>
      <c r="BLH64" s="144"/>
      <c r="BLI64" s="144"/>
      <c r="BLJ64" s="144"/>
      <c r="BLK64" s="144"/>
      <c r="BLL64" s="144"/>
      <c r="BLM64" s="144"/>
      <c r="BLN64" s="144"/>
      <c r="BLO64" s="144"/>
      <c r="BLP64" s="144"/>
      <c r="BLQ64" s="144"/>
      <c r="BLR64" s="144"/>
      <c r="BLS64" s="144"/>
      <c r="BLT64" s="144"/>
      <c r="BLU64" s="144"/>
      <c r="BLV64" s="144"/>
      <c r="BLW64" s="144"/>
      <c r="BLX64" s="144"/>
      <c r="BLY64" s="144"/>
      <c r="BLZ64" s="144"/>
      <c r="BMA64" s="144"/>
      <c r="BMB64" s="144"/>
      <c r="BMC64" s="144"/>
      <c r="BMD64" s="144"/>
      <c r="BME64" s="144"/>
      <c r="BMF64" s="144"/>
      <c r="BMG64" s="144"/>
      <c r="BMH64" s="144"/>
      <c r="BMI64" s="144"/>
      <c r="BMJ64" s="144"/>
      <c r="BMK64" s="144"/>
      <c r="BML64" s="144"/>
      <c r="BMM64" s="144"/>
      <c r="BMN64" s="144"/>
      <c r="BMO64" s="144"/>
      <c r="BMP64" s="144"/>
      <c r="BMQ64" s="144"/>
      <c r="BMR64" s="144"/>
      <c r="BMS64" s="144"/>
      <c r="BMT64" s="144"/>
      <c r="BMU64" s="144"/>
      <c r="BMV64" s="144"/>
      <c r="BMW64" s="144"/>
      <c r="BMX64" s="144"/>
      <c r="BMY64" s="144"/>
      <c r="BMZ64" s="144"/>
      <c r="BNA64" s="144"/>
      <c r="BNB64" s="144"/>
      <c r="BNC64" s="144"/>
      <c r="BND64" s="144"/>
      <c r="BNE64" s="144"/>
      <c r="BNF64" s="144"/>
      <c r="BNG64" s="144"/>
      <c r="BNH64" s="144"/>
      <c r="BNI64" s="144"/>
      <c r="BNJ64" s="144"/>
      <c r="BNK64" s="144"/>
      <c r="BNL64" s="144"/>
      <c r="BNM64" s="144"/>
      <c r="BNN64" s="144"/>
      <c r="BNO64" s="144"/>
      <c r="BNP64" s="144"/>
      <c r="BNQ64" s="144"/>
      <c r="BNR64" s="144"/>
      <c r="BNS64" s="144"/>
      <c r="BNT64" s="144"/>
      <c r="BNU64" s="144"/>
      <c r="BNV64" s="144"/>
      <c r="BNW64" s="144"/>
      <c r="BNX64" s="144"/>
      <c r="BNY64" s="144"/>
      <c r="BNZ64" s="144"/>
      <c r="BOA64" s="144"/>
      <c r="BOB64" s="144"/>
      <c r="BOC64" s="144"/>
      <c r="BOD64" s="144"/>
      <c r="BOE64" s="144"/>
      <c r="BOF64" s="144"/>
      <c r="BOG64" s="144"/>
      <c r="BOH64" s="144"/>
      <c r="BOI64" s="144"/>
      <c r="BOJ64" s="144"/>
      <c r="BOK64" s="144"/>
      <c r="BOL64" s="144"/>
      <c r="BOM64" s="144"/>
      <c r="BON64" s="144"/>
      <c r="BOO64" s="144"/>
      <c r="BOP64" s="144"/>
      <c r="BOQ64" s="144"/>
      <c r="BOR64" s="144"/>
      <c r="BOS64" s="144"/>
      <c r="BOT64" s="144"/>
      <c r="BOU64" s="144"/>
      <c r="BOV64" s="144"/>
      <c r="BOW64" s="144"/>
      <c r="BOX64" s="144"/>
      <c r="BOY64" s="144"/>
      <c r="BOZ64" s="144"/>
      <c r="BPA64" s="144"/>
      <c r="BPB64" s="144"/>
      <c r="BPC64" s="144"/>
      <c r="BPD64" s="144"/>
      <c r="BPE64" s="144"/>
      <c r="BPF64" s="144"/>
      <c r="BPG64" s="144"/>
      <c r="BPH64" s="144"/>
      <c r="BPI64" s="144"/>
      <c r="BPJ64" s="144"/>
      <c r="BPK64" s="144"/>
      <c r="BPL64" s="144"/>
      <c r="BPM64" s="144"/>
      <c r="BPN64" s="144"/>
      <c r="BPO64" s="144"/>
      <c r="BPP64" s="144"/>
      <c r="BPQ64" s="144"/>
      <c r="BPR64" s="144"/>
      <c r="BPS64" s="144"/>
      <c r="BPT64" s="144"/>
      <c r="BPU64" s="144"/>
      <c r="BPV64" s="144"/>
      <c r="BPW64" s="144"/>
      <c r="BPX64" s="144"/>
      <c r="BPY64" s="144"/>
      <c r="BPZ64" s="144"/>
      <c r="BQA64" s="144"/>
      <c r="BQB64" s="144"/>
      <c r="BQC64" s="144"/>
      <c r="BQD64" s="144"/>
      <c r="BQE64" s="144"/>
      <c r="BQF64" s="144"/>
      <c r="BQG64" s="144"/>
      <c r="BQH64" s="144"/>
      <c r="BQI64" s="144"/>
      <c r="BQJ64" s="144"/>
      <c r="BQK64" s="144"/>
      <c r="BQL64" s="144"/>
      <c r="BQM64" s="144"/>
      <c r="BQN64" s="144"/>
      <c r="BQO64" s="144"/>
      <c r="BQP64" s="144"/>
      <c r="BQQ64" s="144"/>
      <c r="BQR64" s="144"/>
      <c r="BQS64" s="144"/>
      <c r="BQT64" s="144"/>
      <c r="BQU64" s="144"/>
      <c r="BQV64" s="144"/>
      <c r="BQW64" s="144"/>
      <c r="BQX64" s="144"/>
      <c r="BQY64" s="144"/>
      <c r="BQZ64" s="144"/>
      <c r="BRA64" s="144"/>
      <c r="BRB64" s="144"/>
      <c r="BRC64" s="144"/>
      <c r="BRD64" s="144"/>
      <c r="BRE64" s="144"/>
      <c r="BRF64" s="144"/>
      <c r="BRG64" s="144"/>
      <c r="BRH64" s="144"/>
      <c r="BRI64" s="144"/>
      <c r="BRJ64" s="144"/>
      <c r="BRK64" s="144"/>
      <c r="BRL64" s="144"/>
      <c r="BRM64" s="144"/>
      <c r="BRN64" s="144"/>
      <c r="BRO64" s="144"/>
      <c r="BRP64" s="144"/>
      <c r="BRQ64" s="144"/>
      <c r="BRR64" s="144"/>
      <c r="BRS64" s="144"/>
      <c r="BRT64" s="144"/>
      <c r="BRU64" s="144"/>
      <c r="BRV64" s="144"/>
      <c r="BRW64" s="144"/>
      <c r="BRX64" s="144"/>
      <c r="BRY64" s="144"/>
      <c r="BRZ64" s="144"/>
      <c r="BSA64" s="144"/>
      <c r="BSB64" s="144"/>
      <c r="BSC64" s="144"/>
      <c r="BSD64" s="144"/>
      <c r="BSE64" s="144"/>
      <c r="BSF64" s="144"/>
      <c r="BSG64" s="144"/>
      <c r="BSH64" s="144"/>
      <c r="BSI64" s="144"/>
      <c r="BSJ64" s="144"/>
      <c r="BSK64" s="144"/>
      <c r="BSL64" s="144"/>
      <c r="BSM64" s="144"/>
      <c r="BSN64" s="144"/>
      <c r="BSO64" s="144"/>
      <c r="BSP64" s="144"/>
      <c r="BSQ64" s="144"/>
      <c r="BSR64" s="144"/>
      <c r="BSS64" s="144"/>
      <c r="BST64" s="144"/>
      <c r="BSU64" s="144"/>
      <c r="BSV64" s="144"/>
      <c r="BSW64" s="144"/>
      <c r="BSX64" s="144"/>
      <c r="BSY64" s="144"/>
      <c r="BSZ64" s="144"/>
      <c r="BTA64" s="144"/>
      <c r="BTB64" s="144"/>
      <c r="BTC64" s="144"/>
      <c r="BTD64" s="144"/>
      <c r="BTE64" s="144"/>
      <c r="BTF64" s="144"/>
      <c r="BTG64" s="144"/>
      <c r="BTH64" s="144"/>
      <c r="BTI64" s="144"/>
      <c r="BTJ64" s="144"/>
      <c r="BTK64" s="144"/>
      <c r="BTL64" s="144"/>
      <c r="BTM64" s="144"/>
      <c r="BTN64" s="144"/>
      <c r="BTO64" s="144"/>
      <c r="BTP64" s="144"/>
      <c r="BTQ64" s="144"/>
      <c r="BTR64" s="144"/>
      <c r="BTS64" s="144"/>
      <c r="BTT64" s="144"/>
      <c r="BTU64" s="144"/>
      <c r="BTV64" s="144"/>
      <c r="BTW64" s="144"/>
      <c r="BTX64" s="144"/>
      <c r="BTY64" s="144"/>
      <c r="BTZ64" s="144"/>
      <c r="BUA64" s="144"/>
      <c r="BUB64" s="144"/>
      <c r="BUC64" s="144"/>
      <c r="BUD64" s="144"/>
      <c r="BUE64" s="144"/>
      <c r="BUF64" s="144"/>
      <c r="BUG64" s="144"/>
      <c r="BUH64" s="144"/>
      <c r="BUI64" s="144"/>
      <c r="BUJ64" s="144"/>
      <c r="BUK64" s="144"/>
      <c r="BUL64" s="144"/>
      <c r="BUM64" s="144"/>
      <c r="BUN64" s="144"/>
      <c r="BUO64" s="144"/>
      <c r="BUP64" s="144"/>
      <c r="BUQ64" s="144"/>
      <c r="BUR64" s="144"/>
      <c r="BUS64" s="144"/>
      <c r="BUT64" s="144"/>
      <c r="BUU64" s="144"/>
      <c r="BUV64" s="144"/>
      <c r="BUW64" s="144"/>
      <c r="BUX64" s="144"/>
      <c r="BUY64" s="144"/>
      <c r="BUZ64" s="144"/>
      <c r="BVA64" s="144"/>
      <c r="BVB64" s="144"/>
      <c r="BVC64" s="144"/>
      <c r="BVD64" s="144"/>
      <c r="BVE64" s="144"/>
      <c r="BVF64" s="144"/>
      <c r="BVG64" s="144"/>
      <c r="BVH64" s="144"/>
      <c r="BVI64" s="144"/>
      <c r="BVJ64" s="144"/>
      <c r="BVK64" s="144"/>
      <c r="BVL64" s="144"/>
      <c r="BVM64" s="144"/>
      <c r="BVN64" s="144"/>
      <c r="BVO64" s="144"/>
      <c r="BVP64" s="144"/>
      <c r="BVQ64" s="144"/>
      <c r="BVR64" s="144"/>
      <c r="BVS64" s="144"/>
      <c r="BVT64" s="144"/>
      <c r="BVU64" s="144"/>
      <c r="BVV64" s="144"/>
      <c r="BVW64" s="144"/>
      <c r="BVX64" s="144"/>
      <c r="BVY64" s="144"/>
      <c r="BVZ64" s="144"/>
      <c r="BWA64" s="144"/>
      <c r="BWB64" s="144"/>
      <c r="BWC64" s="144"/>
      <c r="BWD64" s="144"/>
      <c r="BWE64" s="144"/>
      <c r="BWF64" s="144"/>
      <c r="BWG64" s="144"/>
      <c r="BWH64" s="144"/>
      <c r="BWI64" s="144"/>
      <c r="BWJ64" s="144"/>
      <c r="BWK64" s="144"/>
      <c r="BWL64" s="144"/>
      <c r="BWM64" s="144"/>
      <c r="BWN64" s="144"/>
      <c r="BWO64" s="144"/>
      <c r="BWP64" s="144"/>
      <c r="BWQ64" s="144"/>
      <c r="BWR64" s="144"/>
      <c r="BWS64" s="144"/>
      <c r="BWT64" s="144"/>
      <c r="BWU64" s="144"/>
      <c r="BWV64" s="144"/>
      <c r="BWW64" s="144"/>
      <c r="BWX64" s="144"/>
      <c r="BWY64" s="144"/>
      <c r="BWZ64" s="144"/>
      <c r="BXA64" s="144"/>
      <c r="BXB64" s="144"/>
      <c r="BXC64" s="144"/>
      <c r="BXD64" s="144"/>
      <c r="BXE64" s="144"/>
      <c r="BXF64" s="144"/>
      <c r="BXG64" s="144"/>
      <c r="BXH64" s="144"/>
      <c r="BXI64" s="144"/>
      <c r="BXJ64" s="144"/>
      <c r="BXK64" s="144"/>
      <c r="BXL64" s="144"/>
      <c r="BXM64" s="144"/>
      <c r="BXN64" s="144"/>
      <c r="BXO64" s="144"/>
      <c r="BXP64" s="144"/>
      <c r="BXQ64" s="144"/>
      <c r="BXR64" s="144"/>
      <c r="BXS64" s="144"/>
      <c r="BXT64" s="144"/>
      <c r="BXU64" s="144"/>
      <c r="BXV64" s="144"/>
      <c r="BXW64" s="144"/>
      <c r="BXX64" s="144"/>
      <c r="BXY64" s="144"/>
      <c r="BXZ64" s="144"/>
      <c r="BYA64" s="144"/>
      <c r="BYB64" s="144"/>
      <c r="BYC64" s="144"/>
      <c r="BYD64" s="144"/>
      <c r="BYE64" s="144"/>
      <c r="BYF64" s="144"/>
      <c r="BYG64" s="144"/>
      <c r="BYH64" s="144"/>
      <c r="BYI64" s="144"/>
      <c r="BYJ64" s="144"/>
      <c r="BYK64" s="144"/>
      <c r="BYL64" s="144"/>
      <c r="BYM64" s="144"/>
      <c r="BYN64" s="144"/>
      <c r="BYO64" s="144"/>
      <c r="BYP64" s="144"/>
      <c r="BYQ64" s="144"/>
      <c r="BYR64" s="144"/>
      <c r="BYS64" s="144"/>
      <c r="BYT64" s="144"/>
      <c r="BYU64" s="144"/>
      <c r="BYV64" s="144"/>
      <c r="BYW64" s="144"/>
      <c r="BYX64" s="144"/>
      <c r="BYY64" s="144"/>
      <c r="BYZ64" s="144"/>
      <c r="BZA64" s="144"/>
      <c r="BZB64" s="144"/>
      <c r="BZC64" s="144"/>
      <c r="BZD64" s="144"/>
      <c r="BZE64" s="144"/>
      <c r="BZF64" s="144"/>
      <c r="BZG64" s="144"/>
      <c r="BZH64" s="144"/>
      <c r="BZI64" s="144"/>
      <c r="BZJ64" s="144"/>
      <c r="BZK64" s="144"/>
      <c r="BZL64" s="144"/>
      <c r="BZM64" s="144"/>
      <c r="BZN64" s="144"/>
      <c r="BZO64" s="144"/>
      <c r="BZP64" s="144"/>
      <c r="BZQ64" s="144"/>
      <c r="BZR64" s="144"/>
      <c r="BZS64" s="144"/>
      <c r="BZT64" s="144"/>
      <c r="BZU64" s="144"/>
      <c r="BZV64" s="144"/>
      <c r="BZW64" s="144"/>
      <c r="BZX64" s="144"/>
      <c r="BZY64" s="144"/>
      <c r="BZZ64" s="144"/>
      <c r="CAA64" s="144"/>
      <c r="CAB64" s="144"/>
      <c r="CAC64" s="144"/>
      <c r="CAD64" s="144"/>
      <c r="CAE64" s="144"/>
      <c r="CAF64" s="144"/>
      <c r="CAG64" s="144"/>
      <c r="CAH64" s="144"/>
      <c r="CAI64" s="144"/>
      <c r="CAJ64" s="144"/>
      <c r="CAK64" s="144"/>
      <c r="CAL64" s="144"/>
      <c r="CAM64" s="144"/>
      <c r="CAN64" s="144"/>
      <c r="CAO64" s="144"/>
      <c r="CAP64" s="144"/>
      <c r="CAQ64" s="144"/>
      <c r="CAR64" s="144"/>
      <c r="CAS64" s="144"/>
      <c r="CAT64" s="144"/>
      <c r="CAU64" s="144"/>
      <c r="CAV64" s="144"/>
      <c r="CAW64" s="144"/>
      <c r="CAX64" s="144"/>
      <c r="CAY64" s="144"/>
      <c r="CAZ64" s="144"/>
      <c r="CBA64" s="144"/>
      <c r="CBB64" s="144"/>
      <c r="CBC64" s="144"/>
      <c r="CBD64" s="144"/>
      <c r="CBE64" s="144"/>
      <c r="CBF64" s="144"/>
      <c r="CBG64" s="144"/>
      <c r="CBH64" s="144"/>
      <c r="CBI64" s="144"/>
      <c r="CBJ64" s="144"/>
      <c r="CBK64" s="144"/>
      <c r="CBL64" s="144"/>
      <c r="CBM64" s="144"/>
      <c r="CBN64" s="144"/>
      <c r="CBO64" s="144"/>
      <c r="CBP64" s="144"/>
      <c r="CBQ64" s="144"/>
      <c r="CBR64" s="144"/>
      <c r="CBS64" s="144"/>
      <c r="CBT64" s="144"/>
      <c r="CBU64" s="144"/>
      <c r="CBV64" s="144"/>
      <c r="CBW64" s="144"/>
      <c r="CBX64" s="144"/>
      <c r="CBY64" s="144"/>
      <c r="CBZ64" s="144"/>
      <c r="CCA64" s="144"/>
      <c r="CCB64" s="144"/>
      <c r="CCC64" s="144"/>
      <c r="CCD64" s="144"/>
      <c r="CCE64" s="144"/>
      <c r="CCF64" s="144"/>
      <c r="CCG64" s="144"/>
      <c r="CCH64" s="144"/>
      <c r="CCI64" s="144"/>
      <c r="CCJ64" s="144"/>
      <c r="CCK64" s="144"/>
      <c r="CCL64" s="144"/>
      <c r="CCM64" s="144"/>
      <c r="CCN64" s="144"/>
      <c r="CCO64" s="144"/>
      <c r="CCP64" s="144"/>
      <c r="CCQ64" s="144"/>
      <c r="CCR64" s="144"/>
      <c r="CCS64" s="144"/>
      <c r="CCT64" s="144"/>
      <c r="CCU64" s="144"/>
      <c r="CCV64" s="144"/>
      <c r="CCW64" s="144"/>
      <c r="CCX64" s="144"/>
      <c r="CCY64" s="144"/>
      <c r="CCZ64" s="144"/>
      <c r="CDA64" s="144"/>
      <c r="CDB64" s="144"/>
      <c r="CDC64" s="144"/>
      <c r="CDD64" s="144"/>
      <c r="CDE64" s="144"/>
      <c r="CDF64" s="144"/>
      <c r="CDG64" s="144"/>
      <c r="CDH64" s="144"/>
      <c r="CDI64" s="144"/>
      <c r="CDJ64" s="144"/>
      <c r="CDK64" s="144"/>
      <c r="CDL64" s="144"/>
      <c r="CDM64" s="144"/>
      <c r="CDN64" s="144"/>
      <c r="CDO64" s="144"/>
      <c r="CDP64" s="144"/>
      <c r="CDQ64" s="144"/>
      <c r="CDR64" s="144"/>
      <c r="CDS64" s="144"/>
      <c r="CDT64" s="144"/>
      <c r="CDU64" s="144"/>
      <c r="CDV64" s="144"/>
      <c r="CDW64" s="144"/>
      <c r="CDX64" s="144"/>
      <c r="CDY64" s="144"/>
      <c r="CDZ64" s="144"/>
      <c r="CEA64" s="144"/>
      <c r="CEB64" s="144"/>
      <c r="CEC64" s="144"/>
      <c r="CED64" s="144"/>
      <c r="CEE64" s="144"/>
      <c r="CEF64" s="144"/>
      <c r="CEG64" s="144"/>
      <c r="CEH64" s="144"/>
      <c r="CEI64" s="144"/>
      <c r="CEJ64" s="144"/>
      <c r="CEK64" s="144"/>
      <c r="CEL64" s="144"/>
      <c r="CEM64" s="144"/>
      <c r="CEN64" s="144"/>
      <c r="CEO64" s="144"/>
      <c r="CEP64" s="144"/>
      <c r="CEQ64" s="144"/>
      <c r="CER64" s="144"/>
      <c r="CES64" s="144"/>
      <c r="CET64" s="144"/>
      <c r="CEU64" s="144"/>
      <c r="CEV64" s="144"/>
      <c r="CEW64" s="144"/>
      <c r="CEX64" s="144"/>
      <c r="CEY64" s="144"/>
      <c r="CEZ64" s="144"/>
      <c r="CFA64" s="144"/>
      <c r="CFB64" s="144"/>
      <c r="CFC64" s="144"/>
      <c r="CFD64" s="144"/>
      <c r="CFE64" s="144"/>
      <c r="CFF64" s="144"/>
      <c r="CFG64" s="144"/>
      <c r="CFH64" s="144"/>
      <c r="CFI64" s="144"/>
      <c r="CFJ64" s="144"/>
      <c r="CFK64" s="144"/>
      <c r="CFL64" s="144"/>
      <c r="CFM64" s="144"/>
      <c r="CFN64" s="144"/>
      <c r="CFO64" s="144"/>
      <c r="CFP64" s="144"/>
      <c r="CFQ64" s="144"/>
      <c r="CFR64" s="144"/>
      <c r="CFS64" s="144"/>
      <c r="CFT64" s="144"/>
      <c r="CFU64" s="144"/>
      <c r="CFV64" s="144"/>
      <c r="CFW64" s="144"/>
      <c r="CFX64" s="144"/>
      <c r="CFY64" s="144"/>
      <c r="CFZ64" s="144"/>
      <c r="CGA64" s="144"/>
      <c r="CGB64" s="144"/>
      <c r="CGC64" s="144"/>
      <c r="CGD64" s="144"/>
      <c r="CGE64" s="144"/>
      <c r="CGF64" s="144"/>
      <c r="CGG64" s="144"/>
      <c r="CGH64" s="144"/>
      <c r="CGI64" s="144"/>
      <c r="CGJ64" s="144"/>
      <c r="CGK64" s="144"/>
      <c r="CGL64" s="144"/>
      <c r="CGM64" s="144"/>
      <c r="CGN64" s="144"/>
      <c r="CGO64" s="144"/>
      <c r="CGP64" s="144"/>
      <c r="CGQ64" s="144"/>
      <c r="CGR64" s="144"/>
      <c r="CGS64" s="144"/>
      <c r="CGT64" s="144"/>
      <c r="CGU64" s="144"/>
      <c r="CGV64" s="144"/>
      <c r="CGW64" s="144"/>
      <c r="CGX64" s="144"/>
      <c r="CGY64" s="144"/>
      <c r="CGZ64" s="144"/>
      <c r="CHA64" s="144"/>
      <c r="CHB64" s="144"/>
      <c r="CHC64" s="144"/>
      <c r="CHD64" s="144"/>
      <c r="CHE64" s="144"/>
      <c r="CHF64" s="144"/>
      <c r="CHG64" s="144"/>
      <c r="CHH64" s="144"/>
      <c r="CHI64" s="144"/>
      <c r="CHJ64" s="144"/>
      <c r="CHK64" s="144"/>
      <c r="CHL64" s="144"/>
      <c r="CHM64" s="144"/>
      <c r="CHN64" s="144"/>
      <c r="CHO64" s="144"/>
      <c r="CHP64" s="144"/>
      <c r="CHQ64" s="144"/>
      <c r="CHR64" s="144"/>
      <c r="CHS64" s="144"/>
      <c r="CHT64" s="144"/>
      <c r="CHU64" s="144"/>
      <c r="CHV64" s="144"/>
      <c r="CHW64" s="144"/>
      <c r="CHX64" s="144"/>
      <c r="CHY64" s="144"/>
      <c r="CHZ64" s="144"/>
      <c r="CIA64" s="144"/>
      <c r="CIB64" s="144"/>
      <c r="CIC64" s="144"/>
      <c r="CID64" s="144"/>
      <c r="CIE64" s="144"/>
      <c r="CIF64" s="144"/>
      <c r="CIG64" s="144"/>
      <c r="CIH64" s="144"/>
      <c r="CII64" s="144"/>
      <c r="CIJ64" s="144"/>
      <c r="CIK64" s="144"/>
      <c r="CIL64" s="144"/>
      <c r="CIM64" s="144"/>
      <c r="CIN64" s="144"/>
      <c r="CIO64" s="144"/>
      <c r="CIP64" s="144"/>
      <c r="CIQ64" s="144"/>
      <c r="CIR64" s="144"/>
      <c r="CIS64" s="144"/>
      <c r="CIT64" s="144"/>
      <c r="CIU64" s="144"/>
      <c r="CIV64" s="144"/>
      <c r="CIW64" s="144"/>
      <c r="CIX64" s="144"/>
      <c r="CIY64" s="144"/>
      <c r="CIZ64" s="144"/>
      <c r="CJA64" s="144"/>
      <c r="CJB64" s="144"/>
      <c r="CJC64" s="144"/>
      <c r="CJD64" s="144"/>
      <c r="CJE64" s="144"/>
      <c r="CJF64" s="144"/>
      <c r="CJG64" s="144"/>
      <c r="CJH64" s="144"/>
      <c r="CJI64" s="144"/>
      <c r="CJJ64" s="144"/>
      <c r="CJK64" s="144"/>
      <c r="CJL64" s="144"/>
      <c r="CJM64" s="144"/>
      <c r="CJN64" s="144"/>
      <c r="CJO64" s="144"/>
      <c r="CJP64" s="144"/>
      <c r="CJQ64" s="144"/>
      <c r="CJR64" s="144"/>
      <c r="CJS64" s="144"/>
      <c r="CJT64" s="144"/>
      <c r="CJU64" s="144"/>
      <c r="CJV64" s="144"/>
      <c r="CJW64" s="144"/>
      <c r="CJX64" s="144"/>
      <c r="CJY64" s="144"/>
      <c r="CJZ64" s="144"/>
      <c r="CKA64" s="144"/>
      <c r="CKB64" s="144"/>
      <c r="CKC64" s="144"/>
      <c r="CKD64" s="144"/>
      <c r="CKE64" s="144"/>
      <c r="CKF64" s="144"/>
      <c r="CKG64" s="144"/>
      <c r="CKH64" s="144"/>
      <c r="CKI64" s="144"/>
      <c r="CKJ64" s="144"/>
      <c r="CKK64" s="144"/>
      <c r="CKL64" s="144"/>
      <c r="CKM64" s="144"/>
      <c r="CKN64" s="144"/>
      <c r="CKO64" s="144"/>
      <c r="CKP64" s="144"/>
      <c r="CKQ64" s="144"/>
      <c r="CKR64" s="144"/>
      <c r="CKS64" s="144"/>
      <c r="CKT64" s="144"/>
      <c r="CKU64" s="144"/>
      <c r="CKV64" s="144"/>
      <c r="CKW64" s="144"/>
      <c r="CKX64" s="144"/>
      <c r="CKY64" s="144"/>
      <c r="CKZ64" s="144"/>
      <c r="CLA64" s="144"/>
      <c r="CLB64" s="144"/>
      <c r="CLC64" s="144"/>
      <c r="CLD64" s="144"/>
      <c r="CLE64" s="144"/>
      <c r="CLF64" s="144"/>
      <c r="CLG64" s="144"/>
      <c r="CLH64" s="144"/>
      <c r="CLI64" s="144"/>
      <c r="CLJ64" s="144"/>
      <c r="CLK64" s="144"/>
      <c r="CLL64" s="144"/>
      <c r="CLM64" s="144"/>
      <c r="CLN64" s="144"/>
      <c r="CLO64" s="144"/>
      <c r="CLP64" s="144"/>
      <c r="CLQ64" s="144"/>
      <c r="CLR64" s="144"/>
      <c r="CLS64" s="144"/>
      <c r="CLT64" s="144"/>
      <c r="CLU64" s="144"/>
      <c r="CLV64" s="144"/>
      <c r="CLW64" s="144"/>
      <c r="CLX64" s="144"/>
      <c r="CLY64" s="144"/>
      <c r="CLZ64" s="144"/>
      <c r="CMA64" s="144"/>
      <c r="CMB64" s="144"/>
      <c r="CMC64" s="144"/>
      <c r="CMD64" s="144"/>
      <c r="CME64" s="144"/>
      <c r="CMF64" s="144"/>
      <c r="CMG64" s="144"/>
      <c r="CMH64" s="144"/>
      <c r="CMI64" s="144"/>
      <c r="CMJ64" s="144"/>
      <c r="CMK64" s="144"/>
      <c r="CML64" s="144"/>
      <c r="CMM64" s="144"/>
      <c r="CMN64" s="144"/>
      <c r="CMO64" s="144"/>
      <c r="CMP64" s="144"/>
      <c r="CMQ64" s="144"/>
      <c r="CMR64" s="144"/>
      <c r="CMS64" s="144"/>
      <c r="CMT64" s="144"/>
      <c r="CMU64" s="144"/>
      <c r="CMV64" s="144"/>
      <c r="CMW64" s="144"/>
      <c r="CMX64" s="144"/>
      <c r="CMY64" s="144"/>
      <c r="CMZ64" s="144"/>
      <c r="CNA64" s="144"/>
      <c r="CNB64" s="144"/>
      <c r="CNC64" s="144"/>
      <c r="CND64" s="144"/>
      <c r="CNE64" s="144"/>
      <c r="CNF64" s="144"/>
      <c r="CNG64" s="144"/>
      <c r="CNH64" s="144"/>
      <c r="CNI64" s="144"/>
      <c r="CNJ64" s="144"/>
      <c r="CNK64" s="144"/>
      <c r="CNL64" s="144"/>
      <c r="CNM64" s="144"/>
      <c r="CNN64" s="144"/>
      <c r="CNO64" s="144"/>
      <c r="CNP64" s="144"/>
      <c r="CNQ64" s="144"/>
      <c r="CNR64" s="144"/>
      <c r="CNS64" s="144"/>
      <c r="CNT64" s="144"/>
      <c r="CNU64" s="144"/>
      <c r="CNV64" s="144"/>
      <c r="CNW64" s="144"/>
      <c r="CNX64" s="144"/>
      <c r="CNY64" s="144"/>
      <c r="CNZ64" s="144"/>
      <c r="COA64" s="144"/>
      <c r="COB64" s="144"/>
      <c r="COC64" s="144"/>
      <c r="COD64" s="144"/>
      <c r="COE64" s="144"/>
      <c r="COF64" s="144"/>
      <c r="COG64" s="144"/>
      <c r="COH64" s="144"/>
      <c r="COI64" s="144"/>
      <c r="COJ64" s="144"/>
      <c r="COK64" s="144"/>
      <c r="COL64" s="144"/>
      <c r="COM64" s="144"/>
      <c r="CON64" s="144"/>
      <c r="COO64" s="144"/>
      <c r="COP64" s="144"/>
      <c r="COQ64" s="144"/>
      <c r="COR64" s="144"/>
      <c r="COS64" s="144"/>
      <c r="COT64" s="144"/>
      <c r="COU64" s="144"/>
      <c r="COV64" s="144"/>
      <c r="COW64" s="144"/>
      <c r="COX64" s="144"/>
      <c r="COY64" s="144"/>
      <c r="COZ64" s="144"/>
      <c r="CPA64" s="144"/>
      <c r="CPB64" s="144"/>
      <c r="CPC64" s="144"/>
      <c r="CPD64" s="144"/>
      <c r="CPE64" s="144"/>
      <c r="CPF64" s="144"/>
      <c r="CPG64" s="144"/>
      <c r="CPH64" s="144"/>
      <c r="CPI64" s="144"/>
      <c r="CPJ64" s="144"/>
      <c r="CPK64" s="144"/>
      <c r="CPL64" s="144"/>
      <c r="CPM64" s="144"/>
      <c r="CPN64" s="144"/>
      <c r="CPO64" s="144"/>
      <c r="CPP64" s="144"/>
      <c r="CPQ64" s="144"/>
      <c r="CPR64" s="144"/>
      <c r="CPS64" s="144"/>
      <c r="CPT64" s="144"/>
      <c r="CPU64" s="144"/>
      <c r="CPV64" s="144"/>
      <c r="CPW64" s="144"/>
      <c r="CPX64" s="144"/>
      <c r="CPY64" s="144"/>
      <c r="CPZ64" s="144"/>
      <c r="CQA64" s="144"/>
      <c r="CQB64" s="144"/>
      <c r="CQC64" s="144"/>
      <c r="CQD64" s="144"/>
      <c r="CQE64" s="144"/>
      <c r="CQF64" s="144"/>
      <c r="CQG64" s="144"/>
      <c r="CQH64" s="144"/>
      <c r="CQI64" s="144"/>
      <c r="CQJ64" s="144"/>
      <c r="CQK64" s="144"/>
      <c r="CQL64" s="144"/>
      <c r="CQM64" s="144"/>
      <c r="CQN64" s="144"/>
      <c r="CQO64" s="144"/>
      <c r="CQP64" s="144"/>
      <c r="CQQ64" s="144"/>
      <c r="CQR64" s="144"/>
      <c r="CQS64" s="144"/>
      <c r="CQT64" s="144"/>
      <c r="CQU64" s="144"/>
      <c r="CQV64" s="144"/>
      <c r="CQW64" s="144"/>
      <c r="CQX64" s="144"/>
      <c r="CQY64" s="144"/>
      <c r="CQZ64" s="144"/>
      <c r="CRA64" s="144"/>
      <c r="CRB64" s="144"/>
      <c r="CRC64" s="144"/>
      <c r="CRD64" s="144"/>
      <c r="CRE64" s="144"/>
      <c r="CRF64" s="144"/>
      <c r="CRG64" s="144"/>
      <c r="CRH64" s="144"/>
      <c r="CRI64" s="144"/>
      <c r="CRJ64" s="144"/>
      <c r="CRK64" s="144"/>
      <c r="CRL64" s="144"/>
      <c r="CRM64" s="144"/>
      <c r="CRN64" s="144"/>
      <c r="CRO64" s="144"/>
      <c r="CRP64" s="144"/>
      <c r="CRQ64" s="144"/>
      <c r="CRR64" s="144"/>
      <c r="CRS64" s="144"/>
      <c r="CRT64" s="144"/>
      <c r="CRU64" s="144"/>
      <c r="CRV64" s="144"/>
      <c r="CRW64" s="144"/>
      <c r="CRX64" s="144"/>
      <c r="CRY64" s="144"/>
      <c r="CRZ64" s="144"/>
      <c r="CSA64" s="144"/>
      <c r="CSB64" s="144"/>
      <c r="CSC64" s="144"/>
      <c r="CSD64" s="144"/>
      <c r="CSE64" s="144"/>
      <c r="CSF64" s="144"/>
      <c r="CSG64" s="144"/>
      <c r="CSH64" s="144"/>
      <c r="CSI64" s="144"/>
      <c r="CSJ64" s="144"/>
      <c r="CSK64" s="144"/>
      <c r="CSL64" s="144"/>
      <c r="CSM64" s="144"/>
      <c r="CSN64" s="144"/>
      <c r="CSO64" s="144"/>
      <c r="CSP64" s="144"/>
      <c r="CSQ64" s="144"/>
      <c r="CSR64" s="144"/>
      <c r="CSS64" s="144"/>
      <c r="CST64" s="144"/>
      <c r="CSU64" s="144"/>
      <c r="CSV64" s="144"/>
      <c r="CSW64" s="144"/>
      <c r="CSX64" s="144"/>
      <c r="CSY64" s="144"/>
      <c r="CSZ64" s="144"/>
      <c r="CTA64" s="144"/>
      <c r="CTB64" s="144"/>
      <c r="CTC64" s="144"/>
      <c r="CTD64" s="144"/>
      <c r="CTE64" s="144"/>
      <c r="CTF64" s="144"/>
      <c r="CTG64" s="144"/>
      <c r="CTH64" s="144"/>
      <c r="CTI64" s="144"/>
      <c r="CTJ64" s="144"/>
      <c r="CTK64" s="144"/>
      <c r="CTL64" s="144"/>
      <c r="CTM64" s="144"/>
      <c r="CTN64" s="144"/>
      <c r="CTO64" s="144"/>
      <c r="CTP64" s="144"/>
      <c r="CTQ64" s="144"/>
      <c r="CTR64" s="144"/>
      <c r="CTS64" s="144"/>
      <c r="CTT64" s="144"/>
      <c r="CTU64" s="144"/>
      <c r="CTV64" s="144"/>
      <c r="CTW64" s="144"/>
      <c r="CTX64" s="144"/>
      <c r="CTY64" s="144"/>
      <c r="CTZ64" s="144"/>
      <c r="CUA64" s="144"/>
      <c r="CUB64" s="144"/>
      <c r="CUC64" s="144"/>
      <c r="CUD64" s="144"/>
      <c r="CUE64" s="144"/>
      <c r="CUF64" s="144"/>
      <c r="CUG64" s="144"/>
      <c r="CUH64" s="144"/>
      <c r="CUI64" s="144"/>
      <c r="CUJ64" s="144"/>
      <c r="CUK64" s="144"/>
      <c r="CUL64" s="144"/>
      <c r="CUM64" s="144"/>
      <c r="CUN64" s="144"/>
      <c r="CUO64" s="144"/>
      <c r="CUP64" s="144"/>
      <c r="CUQ64" s="144"/>
      <c r="CUR64" s="144"/>
      <c r="CUS64" s="144"/>
      <c r="CUT64" s="144"/>
      <c r="CUU64" s="144"/>
      <c r="CUV64" s="144"/>
      <c r="CUW64" s="144"/>
      <c r="CUX64" s="144"/>
      <c r="CUY64" s="144"/>
      <c r="CUZ64" s="144"/>
      <c r="CVA64" s="144"/>
      <c r="CVB64" s="144"/>
      <c r="CVC64" s="144"/>
      <c r="CVD64" s="144"/>
      <c r="CVE64" s="144"/>
      <c r="CVF64" s="144"/>
      <c r="CVG64" s="144"/>
      <c r="CVH64" s="144"/>
      <c r="CVI64" s="144"/>
      <c r="CVJ64" s="144"/>
      <c r="CVK64" s="144"/>
      <c r="CVL64" s="144"/>
      <c r="CVM64" s="144"/>
      <c r="CVN64" s="144"/>
      <c r="CVO64" s="144"/>
      <c r="CVP64" s="144"/>
      <c r="CVQ64" s="144"/>
      <c r="CVR64" s="144"/>
      <c r="CVS64" s="144"/>
      <c r="CVT64" s="144"/>
      <c r="CVU64" s="144"/>
      <c r="CVV64" s="144"/>
      <c r="CVW64" s="144"/>
      <c r="CVX64" s="144"/>
      <c r="CVY64" s="144"/>
      <c r="CVZ64" s="144"/>
      <c r="CWA64" s="144"/>
      <c r="CWB64" s="144"/>
      <c r="CWC64" s="144"/>
      <c r="CWD64" s="144"/>
      <c r="CWE64" s="144"/>
      <c r="CWF64" s="144"/>
      <c r="CWG64" s="144"/>
      <c r="CWH64" s="144"/>
      <c r="CWI64" s="144"/>
      <c r="CWJ64" s="144"/>
      <c r="CWK64" s="144"/>
      <c r="CWL64" s="144"/>
      <c r="CWM64" s="144"/>
      <c r="CWN64" s="144"/>
      <c r="CWO64" s="144"/>
      <c r="CWP64" s="144"/>
      <c r="CWQ64" s="144"/>
      <c r="CWR64" s="144"/>
      <c r="CWS64" s="144"/>
      <c r="CWT64" s="144"/>
      <c r="CWU64" s="144"/>
      <c r="CWV64" s="144"/>
      <c r="CWW64" s="144"/>
      <c r="CWX64" s="144"/>
      <c r="CWY64" s="144"/>
      <c r="CWZ64" s="144"/>
      <c r="CXA64" s="144"/>
      <c r="CXB64" s="144"/>
      <c r="CXC64" s="144"/>
      <c r="CXD64" s="144"/>
      <c r="CXE64" s="144"/>
      <c r="CXF64" s="144"/>
      <c r="CXG64" s="144"/>
      <c r="CXH64" s="144"/>
      <c r="CXI64" s="144"/>
      <c r="CXJ64" s="144"/>
      <c r="CXK64" s="144"/>
      <c r="CXL64" s="144"/>
      <c r="CXM64" s="144"/>
      <c r="CXN64" s="144"/>
      <c r="CXO64" s="144"/>
      <c r="CXP64" s="144"/>
      <c r="CXQ64" s="144"/>
      <c r="CXR64" s="144"/>
      <c r="CXS64" s="144"/>
      <c r="CXT64" s="144"/>
      <c r="CXU64" s="144"/>
      <c r="CXV64" s="144"/>
      <c r="CXW64" s="144"/>
      <c r="CXX64" s="144"/>
      <c r="CXY64" s="144"/>
      <c r="CXZ64" s="144"/>
      <c r="CYA64" s="144"/>
      <c r="CYB64" s="144"/>
      <c r="CYC64" s="144"/>
      <c r="CYD64" s="144"/>
      <c r="CYE64" s="144"/>
      <c r="CYF64" s="144"/>
      <c r="CYG64" s="144"/>
      <c r="CYH64" s="144"/>
      <c r="CYI64" s="144"/>
      <c r="CYJ64" s="144"/>
      <c r="CYK64" s="144"/>
      <c r="CYL64" s="144"/>
      <c r="CYM64" s="144"/>
      <c r="CYN64" s="144"/>
      <c r="CYO64" s="144"/>
      <c r="CYP64" s="144"/>
      <c r="CYQ64" s="144"/>
      <c r="CYR64" s="144"/>
      <c r="CYS64" s="144"/>
      <c r="CYT64" s="144"/>
      <c r="CYU64" s="144"/>
      <c r="CYV64" s="144"/>
      <c r="CYW64" s="144"/>
      <c r="CYX64" s="144"/>
      <c r="CYY64" s="144"/>
      <c r="CYZ64" s="144"/>
      <c r="CZA64" s="144"/>
      <c r="CZB64" s="144"/>
      <c r="CZC64" s="144"/>
      <c r="CZD64" s="144"/>
      <c r="CZE64" s="144"/>
      <c r="CZF64" s="144"/>
      <c r="CZG64" s="144"/>
      <c r="CZH64" s="144"/>
      <c r="CZI64" s="144"/>
      <c r="CZJ64" s="144"/>
      <c r="CZK64" s="144"/>
      <c r="CZL64" s="144"/>
      <c r="CZM64" s="144"/>
      <c r="CZN64" s="144"/>
      <c r="CZO64" s="144"/>
      <c r="CZP64" s="144"/>
      <c r="CZQ64" s="144"/>
      <c r="CZR64" s="144"/>
      <c r="CZS64" s="144"/>
      <c r="CZT64" s="144"/>
      <c r="CZU64" s="144"/>
      <c r="CZV64" s="144"/>
      <c r="CZW64" s="144"/>
      <c r="CZX64" s="144"/>
      <c r="CZY64" s="144"/>
      <c r="CZZ64" s="144"/>
      <c r="DAA64" s="144"/>
      <c r="DAB64" s="144"/>
      <c r="DAC64" s="144"/>
      <c r="DAD64" s="144"/>
      <c r="DAE64" s="144"/>
      <c r="DAF64" s="144"/>
      <c r="DAG64" s="144"/>
      <c r="DAH64" s="144"/>
      <c r="DAI64" s="144"/>
      <c r="DAJ64" s="144"/>
      <c r="DAK64" s="144"/>
      <c r="DAL64" s="144"/>
      <c r="DAM64" s="144"/>
      <c r="DAN64" s="144"/>
      <c r="DAO64" s="144"/>
      <c r="DAP64" s="144"/>
      <c r="DAQ64" s="144"/>
      <c r="DAR64" s="144"/>
      <c r="DAS64" s="144"/>
      <c r="DAT64" s="144"/>
      <c r="DAU64" s="144"/>
      <c r="DAV64" s="144"/>
      <c r="DAW64" s="144"/>
      <c r="DAX64" s="144"/>
      <c r="DAY64" s="144"/>
      <c r="DAZ64" s="144"/>
      <c r="DBA64" s="144"/>
      <c r="DBB64" s="144"/>
      <c r="DBC64" s="144"/>
      <c r="DBD64" s="144"/>
      <c r="DBE64" s="144"/>
      <c r="DBF64" s="144"/>
      <c r="DBG64" s="144"/>
      <c r="DBH64" s="144"/>
      <c r="DBI64" s="144"/>
      <c r="DBJ64" s="144"/>
      <c r="DBK64" s="144"/>
      <c r="DBL64" s="144"/>
      <c r="DBM64" s="144"/>
      <c r="DBN64" s="144"/>
      <c r="DBO64" s="144"/>
      <c r="DBP64" s="144"/>
      <c r="DBQ64" s="144"/>
      <c r="DBR64" s="144"/>
      <c r="DBS64" s="144"/>
      <c r="DBT64" s="144"/>
      <c r="DBU64" s="144"/>
      <c r="DBV64" s="144"/>
      <c r="DBW64" s="144"/>
      <c r="DBX64" s="144"/>
      <c r="DBY64" s="144"/>
      <c r="DBZ64" s="144"/>
      <c r="DCA64" s="144"/>
      <c r="DCB64" s="144"/>
      <c r="DCC64" s="144"/>
      <c r="DCD64" s="144"/>
      <c r="DCE64" s="144"/>
      <c r="DCF64" s="144"/>
      <c r="DCG64" s="144"/>
      <c r="DCH64" s="144"/>
      <c r="DCI64" s="144"/>
      <c r="DCJ64" s="144"/>
      <c r="DCK64" s="144"/>
      <c r="DCL64" s="144"/>
      <c r="DCM64" s="144"/>
      <c r="DCN64" s="144"/>
      <c r="DCO64" s="144"/>
      <c r="DCP64" s="144"/>
      <c r="DCQ64" s="144"/>
      <c r="DCR64" s="144"/>
      <c r="DCS64" s="144"/>
      <c r="DCT64" s="144"/>
      <c r="DCU64" s="144"/>
      <c r="DCV64" s="144"/>
      <c r="DCW64" s="144"/>
      <c r="DCX64" s="144"/>
      <c r="DCY64" s="144"/>
      <c r="DCZ64" s="144"/>
      <c r="DDA64" s="144"/>
      <c r="DDB64" s="144"/>
      <c r="DDC64" s="144"/>
      <c r="DDD64" s="144"/>
      <c r="DDE64" s="144"/>
      <c r="DDF64" s="144"/>
      <c r="DDG64" s="144"/>
      <c r="DDH64" s="144"/>
      <c r="DDI64" s="144"/>
      <c r="DDJ64" s="144"/>
      <c r="DDK64" s="144"/>
      <c r="DDL64" s="144"/>
      <c r="DDM64" s="144"/>
      <c r="DDN64" s="144"/>
      <c r="DDO64" s="144"/>
      <c r="DDP64" s="144"/>
      <c r="DDQ64" s="144"/>
      <c r="DDR64" s="144"/>
      <c r="DDS64" s="144"/>
      <c r="DDT64" s="144"/>
      <c r="DDU64" s="144"/>
      <c r="DDV64" s="144"/>
      <c r="DDW64" s="144"/>
      <c r="DDX64" s="144"/>
      <c r="DDY64" s="144"/>
      <c r="DDZ64" s="144"/>
      <c r="DEA64" s="144"/>
      <c r="DEB64" s="144"/>
      <c r="DEC64" s="144"/>
      <c r="DED64" s="144"/>
      <c r="DEE64" s="144"/>
      <c r="DEF64" s="144"/>
      <c r="DEG64" s="144"/>
      <c r="DEH64" s="144"/>
      <c r="DEI64" s="144"/>
      <c r="DEJ64" s="144"/>
      <c r="DEK64" s="144"/>
      <c r="DEL64" s="144"/>
      <c r="DEM64" s="144"/>
      <c r="DEN64" s="144"/>
      <c r="DEO64" s="144"/>
      <c r="DEP64" s="144"/>
      <c r="DEQ64" s="144"/>
      <c r="DER64" s="144"/>
      <c r="DES64" s="144"/>
      <c r="DET64" s="144"/>
      <c r="DEU64" s="144"/>
      <c r="DEV64" s="144"/>
      <c r="DEW64" s="144"/>
      <c r="DEX64" s="144"/>
      <c r="DEY64" s="144"/>
      <c r="DEZ64" s="144"/>
      <c r="DFA64" s="144"/>
      <c r="DFB64" s="144"/>
      <c r="DFC64" s="144"/>
      <c r="DFD64" s="144"/>
      <c r="DFE64" s="144"/>
      <c r="DFF64" s="144"/>
      <c r="DFG64" s="144"/>
      <c r="DFH64" s="144"/>
      <c r="DFI64" s="144"/>
      <c r="DFJ64" s="144"/>
      <c r="DFK64" s="144"/>
      <c r="DFL64" s="144"/>
      <c r="DFM64" s="144"/>
      <c r="DFN64" s="144"/>
      <c r="DFO64" s="144"/>
      <c r="DFP64" s="144"/>
      <c r="DFQ64" s="144"/>
      <c r="DFR64" s="144"/>
      <c r="DFS64" s="144"/>
      <c r="DFT64" s="144"/>
      <c r="DFU64" s="144"/>
      <c r="DFV64" s="144"/>
      <c r="DFW64" s="144"/>
      <c r="DFX64" s="144"/>
      <c r="DFY64" s="144"/>
      <c r="DFZ64" s="144"/>
      <c r="DGA64" s="144"/>
      <c r="DGB64" s="144"/>
      <c r="DGC64" s="144"/>
      <c r="DGD64" s="144"/>
      <c r="DGE64" s="144"/>
      <c r="DGF64" s="144"/>
      <c r="DGG64" s="144"/>
      <c r="DGH64" s="144"/>
      <c r="DGI64" s="144"/>
      <c r="DGJ64" s="144"/>
      <c r="DGK64" s="144"/>
      <c r="DGL64" s="144"/>
      <c r="DGM64" s="144"/>
      <c r="DGN64" s="144"/>
      <c r="DGO64" s="144"/>
      <c r="DGP64" s="144"/>
      <c r="DGQ64" s="144"/>
      <c r="DGR64" s="144"/>
      <c r="DGS64" s="144"/>
      <c r="DGT64" s="144"/>
      <c r="DGU64" s="144"/>
      <c r="DGV64" s="144"/>
      <c r="DGW64" s="144"/>
      <c r="DGX64" s="144"/>
      <c r="DGY64" s="144"/>
      <c r="DGZ64" s="144"/>
      <c r="DHA64" s="144"/>
      <c r="DHB64" s="144"/>
      <c r="DHC64" s="144"/>
      <c r="DHD64" s="144"/>
      <c r="DHE64" s="144"/>
      <c r="DHF64" s="144"/>
      <c r="DHG64" s="144"/>
      <c r="DHH64" s="144"/>
      <c r="DHI64" s="144"/>
      <c r="DHJ64" s="144"/>
      <c r="DHK64" s="144"/>
      <c r="DHL64" s="144"/>
      <c r="DHM64" s="144"/>
      <c r="DHN64" s="144"/>
      <c r="DHO64" s="144"/>
      <c r="DHP64" s="144"/>
      <c r="DHQ64" s="144"/>
      <c r="DHR64" s="144"/>
      <c r="DHS64" s="144"/>
      <c r="DHT64" s="144"/>
      <c r="DHU64" s="144"/>
      <c r="DHV64" s="144"/>
      <c r="DHW64" s="144"/>
      <c r="DHX64" s="144"/>
      <c r="DHY64" s="144"/>
      <c r="DHZ64" s="144"/>
      <c r="DIA64" s="144"/>
      <c r="DIB64" s="144"/>
      <c r="DIC64" s="144"/>
      <c r="DID64" s="144"/>
      <c r="DIE64" s="144"/>
      <c r="DIF64" s="144"/>
      <c r="DIG64" s="144"/>
      <c r="DIH64" s="144"/>
      <c r="DII64" s="144"/>
      <c r="DIJ64" s="144"/>
      <c r="DIK64" s="144"/>
      <c r="DIL64" s="144"/>
      <c r="DIM64" s="144"/>
      <c r="DIN64" s="144"/>
      <c r="DIO64" s="144"/>
      <c r="DIP64" s="144"/>
      <c r="DIQ64" s="144"/>
      <c r="DIR64" s="144"/>
      <c r="DIS64" s="144"/>
      <c r="DIT64" s="144"/>
      <c r="DIU64" s="144"/>
      <c r="DIV64" s="144"/>
      <c r="DIW64" s="144"/>
      <c r="DIX64" s="144"/>
      <c r="DIY64" s="144"/>
      <c r="DIZ64" s="144"/>
      <c r="DJA64" s="144"/>
      <c r="DJB64" s="144"/>
      <c r="DJC64" s="144"/>
      <c r="DJD64" s="144"/>
      <c r="DJE64" s="144"/>
      <c r="DJF64" s="144"/>
      <c r="DJG64" s="144"/>
      <c r="DJH64" s="144"/>
      <c r="DJI64" s="144"/>
      <c r="DJJ64" s="144"/>
      <c r="DJK64" s="144"/>
      <c r="DJL64" s="144"/>
      <c r="DJM64" s="144"/>
      <c r="DJN64" s="144"/>
      <c r="DJO64" s="144"/>
      <c r="DJP64" s="144"/>
      <c r="DJQ64" s="144"/>
      <c r="DJR64" s="144"/>
      <c r="DJS64" s="144"/>
      <c r="DJT64" s="144"/>
      <c r="DJU64" s="144"/>
      <c r="DJV64" s="144"/>
      <c r="DJW64" s="144"/>
      <c r="DJX64" s="144"/>
      <c r="DJY64" s="144"/>
      <c r="DJZ64" s="144"/>
      <c r="DKA64" s="144"/>
      <c r="DKB64" s="144"/>
      <c r="DKC64" s="144"/>
      <c r="DKD64" s="144"/>
      <c r="DKE64" s="144"/>
      <c r="DKF64" s="144"/>
      <c r="DKG64" s="144"/>
      <c r="DKH64" s="144"/>
      <c r="DKI64" s="144"/>
      <c r="DKJ64" s="144"/>
      <c r="DKK64" s="144"/>
      <c r="DKL64" s="144"/>
      <c r="DKM64" s="144"/>
      <c r="DKN64" s="144"/>
      <c r="DKO64" s="144"/>
      <c r="DKP64" s="144"/>
      <c r="DKQ64" s="144"/>
      <c r="DKR64" s="144"/>
      <c r="DKS64" s="144"/>
      <c r="DKT64" s="144"/>
      <c r="DKU64" s="144"/>
      <c r="DKV64" s="144"/>
      <c r="DKW64" s="144"/>
      <c r="DKX64" s="144"/>
      <c r="DKY64" s="144"/>
      <c r="DKZ64" s="144"/>
      <c r="DLA64" s="144"/>
      <c r="DLB64" s="144"/>
      <c r="DLC64" s="144"/>
      <c r="DLD64" s="144"/>
      <c r="DLE64" s="144"/>
      <c r="DLF64" s="144"/>
      <c r="DLG64" s="144"/>
      <c r="DLH64" s="144"/>
      <c r="DLI64" s="144"/>
      <c r="DLJ64" s="144"/>
      <c r="DLK64" s="144"/>
      <c r="DLL64" s="144"/>
      <c r="DLM64" s="144"/>
      <c r="DLN64" s="144"/>
      <c r="DLO64" s="144"/>
      <c r="DLP64" s="144"/>
      <c r="DLQ64" s="144"/>
      <c r="DLR64" s="144"/>
      <c r="DLS64" s="144"/>
      <c r="DLT64" s="144"/>
      <c r="DLU64" s="144"/>
      <c r="DLV64" s="144"/>
      <c r="DLW64" s="144"/>
      <c r="DLX64" s="144"/>
      <c r="DLY64" s="144"/>
      <c r="DLZ64" s="144"/>
      <c r="DMA64" s="144"/>
      <c r="DMB64" s="144"/>
      <c r="DMC64" s="144"/>
      <c r="DMD64" s="144"/>
      <c r="DME64" s="144"/>
      <c r="DMF64" s="144"/>
      <c r="DMG64" s="144"/>
      <c r="DMH64" s="144"/>
      <c r="DMI64" s="144"/>
      <c r="DMJ64" s="144"/>
      <c r="DMK64" s="144"/>
      <c r="DML64" s="144"/>
      <c r="DMM64" s="144"/>
      <c r="DMN64" s="144"/>
      <c r="DMO64" s="144"/>
      <c r="DMP64" s="144"/>
      <c r="DMQ64" s="144"/>
      <c r="DMR64" s="144"/>
      <c r="DMS64" s="144"/>
      <c r="DMT64" s="144"/>
      <c r="DMU64" s="144"/>
      <c r="DMV64" s="144"/>
      <c r="DMW64" s="144"/>
      <c r="DMX64" s="144"/>
      <c r="DMY64" s="144"/>
      <c r="DMZ64" s="144"/>
      <c r="DNA64" s="144"/>
      <c r="DNB64" s="144"/>
      <c r="DNC64" s="144"/>
      <c r="DND64" s="144"/>
      <c r="DNE64" s="144"/>
      <c r="DNF64" s="144"/>
      <c r="DNG64" s="144"/>
      <c r="DNH64" s="144"/>
      <c r="DNI64" s="144"/>
      <c r="DNJ64" s="144"/>
      <c r="DNK64" s="144"/>
      <c r="DNL64" s="144"/>
      <c r="DNM64" s="144"/>
      <c r="DNN64" s="144"/>
      <c r="DNO64" s="144"/>
      <c r="DNP64" s="144"/>
      <c r="DNQ64" s="144"/>
      <c r="DNR64" s="144"/>
      <c r="DNS64" s="144"/>
      <c r="DNT64" s="144"/>
      <c r="DNU64" s="144"/>
      <c r="DNV64" s="144"/>
      <c r="DNW64" s="144"/>
      <c r="DNX64" s="144"/>
      <c r="DNY64" s="144"/>
      <c r="DNZ64" s="144"/>
      <c r="DOA64" s="144"/>
      <c r="DOB64" s="144"/>
      <c r="DOC64" s="144"/>
      <c r="DOD64" s="144"/>
      <c r="DOE64" s="144"/>
      <c r="DOF64" s="144"/>
      <c r="DOG64" s="144"/>
      <c r="DOH64" s="144"/>
      <c r="DOI64" s="144"/>
      <c r="DOJ64" s="144"/>
      <c r="DOK64" s="144"/>
      <c r="DOL64" s="144"/>
      <c r="DOM64" s="144"/>
      <c r="DON64" s="144"/>
      <c r="DOO64" s="144"/>
      <c r="DOP64" s="144"/>
      <c r="DOQ64" s="144"/>
      <c r="DOR64" s="144"/>
      <c r="DOS64" s="144"/>
      <c r="DOT64" s="144"/>
      <c r="DOU64" s="144"/>
      <c r="DOV64" s="144"/>
      <c r="DOW64" s="144"/>
      <c r="DOX64" s="144"/>
      <c r="DOY64" s="144"/>
      <c r="DOZ64" s="144"/>
      <c r="DPA64" s="144"/>
      <c r="DPB64" s="144"/>
      <c r="DPC64" s="144"/>
      <c r="DPD64" s="144"/>
      <c r="DPE64" s="144"/>
      <c r="DPF64" s="144"/>
      <c r="DPG64" s="144"/>
      <c r="DPH64" s="144"/>
      <c r="DPI64" s="144"/>
      <c r="DPJ64" s="144"/>
      <c r="DPK64" s="144"/>
      <c r="DPL64" s="144"/>
      <c r="DPM64" s="144"/>
      <c r="DPN64" s="144"/>
      <c r="DPO64" s="144"/>
      <c r="DPP64" s="144"/>
      <c r="DPQ64" s="144"/>
      <c r="DPR64" s="144"/>
      <c r="DPS64" s="144"/>
      <c r="DPT64" s="144"/>
      <c r="DPU64" s="144"/>
      <c r="DPV64" s="144"/>
      <c r="DPW64" s="144"/>
      <c r="DPX64" s="144"/>
      <c r="DPY64" s="144"/>
      <c r="DPZ64" s="144"/>
      <c r="DQA64" s="144"/>
      <c r="DQB64" s="144"/>
      <c r="DQC64" s="144"/>
      <c r="DQD64" s="144"/>
      <c r="DQE64" s="144"/>
      <c r="DQF64" s="144"/>
      <c r="DQG64" s="144"/>
      <c r="DQH64" s="144"/>
      <c r="DQI64" s="144"/>
      <c r="DQJ64" s="144"/>
      <c r="DQK64" s="144"/>
      <c r="DQL64" s="144"/>
      <c r="DQM64" s="144"/>
      <c r="DQN64" s="144"/>
      <c r="DQO64" s="144"/>
      <c r="DQP64" s="144"/>
      <c r="DQQ64" s="144"/>
      <c r="DQR64" s="144"/>
      <c r="DQS64" s="144"/>
      <c r="DQT64" s="144"/>
      <c r="DQU64" s="144"/>
      <c r="DQV64" s="144"/>
      <c r="DQW64" s="144"/>
      <c r="DQX64" s="144"/>
      <c r="DQY64" s="144"/>
      <c r="DQZ64" s="144"/>
      <c r="DRA64" s="144"/>
      <c r="DRB64" s="144"/>
      <c r="DRC64" s="144"/>
      <c r="DRD64" s="144"/>
      <c r="DRE64" s="144"/>
      <c r="DRF64" s="144"/>
      <c r="DRG64" s="144"/>
      <c r="DRH64" s="144"/>
      <c r="DRI64" s="144"/>
      <c r="DRJ64" s="144"/>
      <c r="DRK64" s="144"/>
      <c r="DRL64" s="144"/>
      <c r="DRM64" s="144"/>
      <c r="DRN64" s="144"/>
      <c r="DRO64" s="144"/>
      <c r="DRP64" s="144"/>
      <c r="DRQ64" s="144"/>
      <c r="DRR64" s="144"/>
      <c r="DRS64" s="144"/>
      <c r="DRT64" s="144"/>
      <c r="DRU64" s="144"/>
      <c r="DRV64" s="144"/>
      <c r="DRW64" s="144"/>
      <c r="DRX64" s="144"/>
      <c r="DRY64" s="144"/>
      <c r="DRZ64" s="144"/>
      <c r="DSA64" s="144"/>
      <c r="DSB64" s="144"/>
      <c r="DSC64" s="144"/>
      <c r="DSD64" s="144"/>
      <c r="DSE64" s="144"/>
      <c r="DSF64" s="144"/>
      <c r="DSG64" s="144"/>
      <c r="DSH64" s="144"/>
      <c r="DSI64" s="144"/>
      <c r="DSJ64" s="144"/>
      <c r="DSK64" s="144"/>
      <c r="DSL64" s="144"/>
      <c r="DSM64" s="144"/>
      <c r="DSN64" s="144"/>
      <c r="DSO64" s="144"/>
      <c r="DSP64" s="144"/>
      <c r="DSQ64" s="144"/>
      <c r="DSR64" s="144"/>
      <c r="DSS64" s="144"/>
      <c r="DST64" s="144"/>
      <c r="DSU64" s="144"/>
      <c r="DSV64" s="144"/>
      <c r="DSW64" s="144"/>
      <c r="DSX64" s="144"/>
      <c r="DSY64" s="144"/>
      <c r="DSZ64" s="144"/>
      <c r="DTA64" s="144"/>
      <c r="DTB64" s="144"/>
      <c r="DTC64" s="144"/>
      <c r="DTD64" s="144"/>
      <c r="DTE64" s="144"/>
      <c r="DTF64" s="144"/>
      <c r="DTG64" s="144"/>
      <c r="DTH64" s="144"/>
      <c r="DTI64" s="144"/>
      <c r="DTJ64" s="144"/>
      <c r="DTK64" s="144"/>
      <c r="DTL64" s="144"/>
      <c r="DTM64" s="144"/>
      <c r="DTN64" s="144"/>
      <c r="DTO64" s="144"/>
      <c r="DTP64" s="144"/>
      <c r="DTQ64" s="144"/>
      <c r="DTR64" s="144"/>
      <c r="DTS64" s="144"/>
      <c r="DTT64" s="144"/>
      <c r="DTU64" s="144"/>
      <c r="DTV64" s="144"/>
      <c r="DTW64" s="144"/>
      <c r="DTX64" s="144"/>
      <c r="DTY64" s="144"/>
      <c r="DTZ64" s="144"/>
      <c r="DUA64" s="144"/>
      <c r="DUB64" s="144"/>
      <c r="DUC64" s="144"/>
      <c r="DUD64" s="144"/>
      <c r="DUE64" s="144"/>
      <c r="DUF64" s="144"/>
      <c r="DUG64" s="144"/>
      <c r="DUH64" s="144"/>
      <c r="DUI64" s="144"/>
      <c r="DUJ64" s="144"/>
      <c r="DUK64" s="144"/>
      <c r="DUL64" s="144"/>
      <c r="DUM64" s="144"/>
      <c r="DUN64" s="144"/>
      <c r="DUO64" s="144"/>
      <c r="DUP64" s="144"/>
      <c r="DUQ64" s="144"/>
      <c r="DUR64" s="144"/>
      <c r="DUS64" s="144"/>
      <c r="DUT64" s="144"/>
      <c r="DUU64" s="144"/>
      <c r="DUV64" s="144"/>
      <c r="DUW64" s="144"/>
      <c r="DUX64" s="144"/>
      <c r="DUY64" s="144"/>
      <c r="DUZ64" s="144"/>
      <c r="DVA64" s="144"/>
      <c r="DVB64" s="144"/>
      <c r="DVC64" s="144"/>
      <c r="DVD64" s="144"/>
      <c r="DVE64" s="144"/>
      <c r="DVF64" s="144"/>
      <c r="DVG64" s="144"/>
      <c r="DVH64" s="144"/>
      <c r="DVI64" s="144"/>
      <c r="DVJ64" s="144"/>
      <c r="DVK64" s="144"/>
      <c r="DVL64" s="144"/>
      <c r="DVM64" s="144"/>
      <c r="DVN64" s="144"/>
      <c r="DVO64" s="144"/>
      <c r="DVP64" s="144"/>
      <c r="DVQ64" s="144"/>
      <c r="DVR64" s="144"/>
      <c r="DVS64" s="144"/>
      <c r="DVT64" s="144"/>
      <c r="DVU64" s="144"/>
      <c r="DVV64" s="144"/>
      <c r="DVW64" s="144"/>
      <c r="DVX64" s="144"/>
      <c r="DVY64" s="144"/>
      <c r="DVZ64" s="144"/>
      <c r="DWA64" s="144"/>
      <c r="DWB64" s="144"/>
      <c r="DWC64" s="144"/>
      <c r="DWD64" s="144"/>
      <c r="DWE64" s="144"/>
      <c r="DWF64" s="144"/>
      <c r="DWG64" s="144"/>
      <c r="DWH64" s="144"/>
      <c r="DWI64" s="144"/>
      <c r="DWJ64" s="144"/>
      <c r="DWK64" s="144"/>
      <c r="DWL64" s="144"/>
      <c r="DWM64" s="144"/>
      <c r="DWN64" s="144"/>
      <c r="DWO64" s="144"/>
      <c r="DWP64" s="144"/>
      <c r="DWQ64" s="144"/>
      <c r="DWR64" s="144"/>
      <c r="DWS64" s="144"/>
      <c r="DWT64" s="144"/>
      <c r="DWU64" s="144"/>
      <c r="DWV64" s="144"/>
      <c r="DWW64" s="144"/>
      <c r="DWX64" s="144"/>
      <c r="DWY64" s="144"/>
      <c r="DWZ64" s="144"/>
      <c r="DXA64" s="144"/>
      <c r="DXB64" s="144"/>
      <c r="DXC64" s="144"/>
      <c r="DXD64" s="144"/>
      <c r="DXE64" s="144"/>
      <c r="DXF64" s="144"/>
      <c r="DXG64" s="144"/>
      <c r="DXH64" s="144"/>
      <c r="DXI64" s="144"/>
      <c r="DXJ64" s="144"/>
      <c r="DXK64" s="144"/>
      <c r="DXL64" s="144"/>
      <c r="DXM64" s="144"/>
      <c r="DXN64" s="144"/>
      <c r="DXO64" s="144"/>
      <c r="DXP64" s="144"/>
      <c r="DXQ64" s="144"/>
      <c r="DXR64" s="144"/>
      <c r="DXS64" s="144"/>
      <c r="DXT64" s="144"/>
      <c r="DXU64" s="144"/>
      <c r="DXV64" s="144"/>
      <c r="DXW64" s="144"/>
      <c r="DXX64" s="144"/>
      <c r="DXY64" s="144"/>
      <c r="DXZ64" s="144"/>
      <c r="DYA64" s="144"/>
      <c r="DYB64" s="144"/>
      <c r="DYC64" s="144"/>
      <c r="DYD64" s="144"/>
      <c r="DYE64" s="144"/>
      <c r="DYF64" s="144"/>
      <c r="DYG64" s="144"/>
      <c r="DYH64" s="144"/>
      <c r="DYI64" s="144"/>
      <c r="DYJ64" s="144"/>
      <c r="DYK64" s="144"/>
      <c r="DYL64" s="144"/>
      <c r="DYM64" s="144"/>
      <c r="DYN64" s="144"/>
      <c r="DYO64" s="144"/>
      <c r="DYP64" s="144"/>
      <c r="DYQ64" s="144"/>
      <c r="DYR64" s="144"/>
      <c r="DYS64" s="144"/>
      <c r="DYT64" s="144"/>
      <c r="DYU64" s="144"/>
      <c r="DYV64" s="144"/>
      <c r="DYW64" s="144"/>
      <c r="DYX64" s="144"/>
      <c r="DYY64" s="144"/>
      <c r="DYZ64" s="144"/>
      <c r="DZA64" s="144"/>
      <c r="DZB64" s="144"/>
      <c r="DZC64" s="144"/>
      <c r="DZD64" s="144"/>
      <c r="DZE64" s="144"/>
      <c r="DZF64" s="144"/>
      <c r="DZG64" s="144"/>
      <c r="DZH64" s="144"/>
      <c r="DZI64" s="144"/>
      <c r="DZJ64" s="144"/>
      <c r="DZK64" s="144"/>
      <c r="DZL64" s="144"/>
      <c r="DZM64" s="144"/>
      <c r="DZN64" s="144"/>
      <c r="DZO64" s="144"/>
      <c r="DZP64" s="144"/>
      <c r="DZQ64" s="144"/>
      <c r="DZR64" s="144"/>
      <c r="DZS64" s="144"/>
      <c r="DZT64" s="144"/>
      <c r="DZU64" s="144"/>
      <c r="DZV64" s="144"/>
      <c r="DZW64" s="144"/>
      <c r="DZX64" s="144"/>
      <c r="DZY64" s="144"/>
      <c r="DZZ64" s="144"/>
      <c r="EAA64" s="144"/>
      <c r="EAB64" s="144"/>
      <c r="EAC64" s="144"/>
      <c r="EAD64" s="144"/>
      <c r="EAE64" s="144"/>
      <c r="EAF64" s="144"/>
      <c r="EAG64" s="144"/>
      <c r="EAH64" s="144"/>
      <c r="EAI64" s="144"/>
      <c r="EAJ64" s="144"/>
      <c r="EAK64" s="144"/>
      <c r="EAL64" s="144"/>
      <c r="EAM64" s="144"/>
      <c r="EAN64" s="144"/>
      <c r="EAO64" s="144"/>
      <c r="EAP64" s="144"/>
      <c r="EAQ64" s="144"/>
      <c r="EAR64" s="144"/>
      <c r="EAS64" s="144"/>
      <c r="EAT64" s="144"/>
      <c r="EAU64" s="144"/>
      <c r="EAV64" s="144"/>
      <c r="EAW64" s="144"/>
      <c r="EAX64" s="144"/>
      <c r="EAY64" s="144"/>
      <c r="EAZ64" s="144"/>
      <c r="EBA64" s="144"/>
      <c r="EBB64" s="144"/>
      <c r="EBC64" s="144"/>
      <c r="EBD64" s="144"/>
      <c r="EBE64" s="144"/>
      <c r="EBF64" s="144"/>
      <c r="EBG64" s="144"/>
      <c r="EBH64" s="144"/>
      <c r="EBI64" s="144"/>
      <c r="EBJ64" s="144"/>
      <c r="EBK64" s="144"/>
      <c r="EBL64" s="144"/>
      <c r="EBM64" s="144"/>
      <c r="EBN64" s="144"/>
      <c r="EBO64" s="144"/>
      <c r="EBP64" s="144"/>
      <c r="EBQ64" s="144"/>
      <c r="EBR64" s="144"/>
      <c r="EBS64" s="144"/>
      <c r="EBT64" s="144"/>
      <c r="EBU64" s="144"/>
      <c r="EBV64" s="144"/>
      <c r="EBW64" s="144"/>
      <c r="EBX64" s="144"/>
      <c r="EBY64" s="144"/>
      <c r="EBZ64" s="144"/>
      <c r="ECA64" s="144"/>
      <c r="ECB64" s="144"/>
      <c r="ECC64" s="144"/>
      <c r="ECD64" s="144"/>
      <c r="ECE64" s="144"/>
      <c r="ECF64" s="144"/>
      <c r="ECG64" s="144"/>
      <c r="ECH64" s="144"/>
      <c r="ECI64" s="144"/>
      <c r="ECJ64" s="144"/>
      <c r="ECK64" s="144"/>
      <c r="ECL64" s="144"/>
      <c r="ECM64" s="144"/>
      <c r="ECN64" s="144"/>
      <c r="ECO64" s="144"/>
      <c r="ECP64" s="144"/>
      <c r="ECQ64" s="144"/>
      <c r="ECR64" s="144"/>
      <c r="ECS64" s="144"/>
      <c r="ECT64" s="144"/>
      <c r="ECU64" s="144"/>
      <c r="ECV64" s="144"/>
      <c r="ECW64" s="144"/>
      <c r="ECX64" s="144"/>
      <c r="ECY64" s="144"/>
      <c r="ECZ64" s="144"/>
      <c r="EDA64" s="144"/>
      <c r="EDB64" s="144"/>
      <c r="EDC64" s="144"/>
      <c r="EDD64" s="144"/>
      <c r="EDE64" s="144"/>
      <c r="EDF64" s="144"/>
      <c r="EDG64" s="144"/>
      <c r="EDH64" s="144"/>
      <c r="EDI64" s="144"/>
      <c r="EDJ64" s="144"/>
      <c r="EDK64" s="144"/>
      <c r="EDL64" s="144"/>
      <c r="EDM64" s="144"/>
      <c r="EDN64" s="144"/>
      <c r="EDO64" s="144"/>
      <c r="EDP64" s="144"/>
      <c r="EDQ64" s="144"/>
      <c r="EDR64" s="144"/>
      <c r="EDS64" s="144"/>
      <c r="EDT64" s="144"/>
      <c r="EDU64" s="144"/>
      <c r="EDV64" s="144"/>
      <c r="EDW64" s="144"/>
      <c r="EDX64" s="144"/>
      <c r="EDY64" s="144"/>
      <c r="EDZ64" s="144"/>
      <c r="EEA64" s="144"/>
      <c r="EEB64" s="144"/>
      <c r="EEC64" s="144"/>
      <c r="EED64" s="144"/>
      <c r="EEE64" s="144"/>
      <c r="EEF64" s="144"/>
      <c r="EEG64" s="144"/>
      <c r="EEH64" s="144"/>
      <c r="EEI64" s="144"/>
      <c r="EEJ64" s="144"/>
      <c r="EEK64" s="144"/>
      <c r="EEL64" s="144"/>
      <c r="EEM64" s="144"/>
      <c r="EEN64" s="144"/>
      <c r="EEO64" s="144"/>
      <c r="EEP64" s="144"/>
      <c r="EEQ64" s="144"/>
      <c r="EER64" s="144"/>
      <c r="EES64" s="144"/>
      <c r="EET64" s="144"/>
      <c r="EEU64" s="144"/>
      <c r="EEV64" s="144"/>
      <c r="EEW64" s="144"/>
      <c r="EEX64" s="144"/>
      <c r="EEY64" s="144"/>
      <c r="EEZ64" s="144"/>
      <c r="EFA64" s="144"/>
      <c r="EFB64" s="144"/>
      <c r="EFC64" s="144"/>
      <c r="EFD64" s="144"/>
      <c r="EFE64" s="144"/>
      <c r="EFF64" s="144"/>
      <c r="EFG64" s="144"/>
      <c r="EFH64" s="144"/>
      <c r="EFI64" s="144"/>
      <c r="EFJ64" s="144"/>
      <c r="EFK64" s="144"/>
      <c r="EFL64" s="144"/>
      <c r="EFM64" s="144"/>
      <c r="EFN64" s="144"/>
      <c r="EFO64" s="144"/>
      <c r="EFP64" s="144"/>
      <c r="EFQ64" s="144"/>
      <c r="EFR64" s="144"/>
      <c r="EFS64" s="144"/>
      <c r="EFT64" s="144"/>
      <c r="EFU64" s="144"/>
      <c r="EFV64" s="144"/>
      <c r="EFW64" s="144"/>
      <c r="EFX64" s="144"/>
      <c r="EFY64" s="144"/>
      <c r="EFZ64" s="144"/>
      <c r="EGA64" s="144"/>
      <c r="EGB64" s="144"/>
      <c r="EGC64" s="144"/>
      <c r="EGD64" s="144"/>
      <c r="EGE64" s="144"/>
      <c r="EGF64" s="144"/>
      <c r="EGG64" s="144"/>
      <c r="EGH64" s="144"/>
      <c r="EGI64" s="144"/>
      <c r="EGJ64" s="144"/>
      <c r="EGK64" s="144"/>
      <c r="EGL64" s="144"/>
      <c r="EGM64" s="144"/>
      <c r="EGN64" s="144"/>
      <c r="EGO64" s="144"/>
      <c r="EGP64" s="144"/>
      <c r="EGQ64" s="144"/>
      <c r="EGR64" s="144"/>
      <c r="EGS64" s="144"/>
      <c r="EGT64" s="144"/>
      <c r="EGU64" s="144"/>
      <c r="EGV64" s="144"/>
      <c r="EGW64" s="144"/>
      <c r="EGX64" s="144"/>
      <c r="EGY64" s="144"/>
      <c r="EGZ64" s="144"/>
      <c r="EHA64" s="144"/>
      <c r="EHB64" s="144"/>
      <c r="EHC64" s="144"/>
      <c r="EHD64" s="144"/>
      <c r="EHE64" s="144"/>
      <c r="EHF64" s="144"/>
      <c r="EHG64" s="144"/>
      <c r="EHH64" s="144"/>
      <c r="EHI64" s="144"/>
      <c r="EHJ64" s="144"/>
      <c r="EHK64" s="144"/>
      <c r="EHL64" s="144"/>
      <c r="EHM64" s="144"/>
      <c r="EHN64" s="144"/>
      <c r="EHO64" s="144"/>
      <c r="EHP64" s="144"/>
      <c r="EHQ64" s="144"/>
      <c r="EHR64" s="144"/>
      <c r="EHS64" s="144"/>
      <c r="EHT64" s="144"/>
      <c r="EHU64" s="144"/>
      <c r="EHV64" s="144"/>
      <c r="EHW64" s="144"/>
      <c r="EHX64" s="144"/>
      <c r="EHY64" s="144"/>
      <c r="EHZ64" s="144"/>
      <c r="EIA64" s="144"/>
      <c r="EIB64" s="144"/>
      <c r="EIC64" s="144"/>
      <c r="EID64" s="144"/>
      <c r="EIE64" s="144"/>
      <c r="EIF64" s="144"/>
      <c r="EIG64" s="144"/>
      <c r="EIH64" s="144"/>
      <c r="EII64" s="144"/>
      <c r="EIJ64" s="144"/>
      <c r="EIK64" s="144"/>
      <c r="EIL64" s="144"/>
      <c r="EIM64" s="144"/>
      <c r="EIN64" s="144"/>
      <c r="EIO64" s="144"/>
      <c r="EIP64" s="144"/>
      <c r="EIQ64" s="144"/>
      <c r="EIR64" s="144"/>
      <c r="EIS64" s="144"/>
      <c r="EIT64" s="144"/>
      <c r="EIU64" s="144"/>
      <c r="EIV64" s="144"/>
      <c r="EIW64" s="144"/>
      <c r="EIX64" s="144"/>
      <c r="EIY64" s="144"/>
      <c r="EIZ64" s="144"/>
      <c r="EJA64" s="144"/>
      <c r="EJB64" s="144"/>
      <c r="EJC64" s="144"/>
      <c r="EJD64" s="144"/>
      <c r="EJE64" s="144"/>
      <c r="EJF64" s="144"/>
      <c r="EJG64" s="144"/>
      <c r="EJH64" s="144"/>
      <c r="EJI64" s="144"/>
      <c r="EJJ64" s="144"/>
      <c r="EJK64" s="144"/>
      <c r="EJL64" s="144"/>
      <c r="EJM64" s="144"/>
      <c r="EJN64" s="144"/>
      <c r="EJO64" s="144"/>
      <c r="EJP64" s="144"/>
      <c r="EJQ64" s="144"/>
      <c r="EJR64" s="144"/>
      <c r="EJS64" s="144"/>
      <c r="EJT64" s="144"/>
      <c r="EJU64" s="144"/>
      <c r="EJV64" s="144"/>
      <c r="EJW64" s="144"/>
      <c r="EJX64" s="144"/>
      <c r="EJY64" s="144"/>
      <c r="EJZ64" s="144"/>
      <c r="EKA64" s="144"/>
      <c r="EKB64" s="144"/>
      <c r="EKC64" s="144"/>
      <c r="EKD64" s="144"/>
      <c r="EKE64" s="144"/>
      <c r="EKF64" s="144"/>
      <c r="EKG64" s="144"/>
      <c r="EKH64" s="144"/>
      <c r="EKI64" s="144"/>
      <c r="EKJ64" s="144"/>
      <c r="EKK64" s="144"/>
      <c r="EKL64" s="144"/>
      <c r="EKM64" s="144"/>
      <c r="EKN64" s="144"/>
      <c r="EKO64" s="144"/>
      <c r="EKP64" s="144"/>
      <c r="EKQ64" s="144"/>
      <c r="EKR64" s="144"/>
      <c r="EKS64" s="144"/>
      <c r="EKT64" s="144"/>
      <c r="EKU64" s="144"/>
      <c r="EKV64" s="144"/>
      <c r="EKW64" s="144"/>
      <c r="EKX64" s="144"/>
      <c r="EKY64" s="144"/>
      <c r="EKZ64" s="144"/>
      <c r="ELA64" s="144"/>
      <c r="ELB64" s="144"/>
      <c r="ELC64" s="144"/>
      <c r="ELD64" s="144"/>
      <c r="ELE64" s="144"/>
      <c r="ELF64" s="144"/>
      <c r="ELG64" s="144"/>
      <c r="ELH64" s="144"/>
      <c r="ELI64" s="144"/>
      <c r="ELJ64" s="144"/>
      <c r="ELK64" s="144"/>
      <c r="ELL64" s="144"/>
      <c r="ELM64" s="144"/>
      <c r="ELN64" s="144"/>
      <c r="ELO64" s="144"/>
      <c r="ELP64" s="144"/>
      <c r="ELQ64" s="144"/>
      <c r="ELR64" s="144"/>
      <c r="ELS64" s="144"/>
      <c r="ELT64" s="144"/>
      <c r="ELU64" s="144"/>
      <c r="ELV64" s="144"/>
      <c r="ELW64" s="144"/>
      <c r="ELX64" s="144"/>
      <c r="ELY64" s="144"/>
      <c r="ELZ64" s="144"/>
      <c r="EMA64" s="144"/>
      <c r="EMB64" s="144"/>
      <c r="EMC64" s="144"/>
      <c r="EMD64" s="144"/>
      <c r="EME64" s="144"/>
      <c r="EMF64" s="144"/>
      <c r="EMG64" s="144"/>
      <c r="EMH64" s="144"/>
      <c r="EMI64" s="144"/>
      <c r="EMJ64" s="144"/>
      <c r="EMK64" s="144"/>
      <c r="EML64" s="144"/>
      <c r="EMM64" s="144"/>
      <c r="EMN64" s="144"/>
      <c r="EMO64" s="144"/>
      <c r="EMP64" s="144"/>
      <c r="EMQ64" s="144"/>
      <c r="EMR64" s="144"/>
      <c r="EMS64" s="144"/>
      <c r="EMT64" s="144"/>
      <c r="EMU64" s="144"/>
      <c r="EMV64" s="144"/>
      <c r="EMW64" s="144"/>
      <c r="EMX64" s="144"/>
      <c r="EMY64" s="144"/>
      <c r="EMZ64" s="144"/>
      <c r="ENA64" s="144"/>
      <c r="ENB64" s="144"/>
      <c r="ENC64" s="144"/>
      <c r="END64" s="144"/>
      <c r="ENE64" s="144"/>
      <c r="ENF64" s="144"/>
      <c r="ENG64" s="144"/>
      <c r="ENH64" s="144"/>
      <c r="ENI64" s="144"/>
      <c r="ENJ64" s="144"/>
      <c r="ENK64" s="144"/>
      <c r="ENL64" s="144"/>
      <c r="ENM64" s="144"/>
      <c r="ENN64" s="144"/>
      <c r="ENO64" s="144"/>
      <c r="ENP64" s="144"/>
      <c r="ENQ64" s="144"/>
      <c r="ENR64" s="144"/>
      <c r="ENS64" s="144"/>
      <c r="ENT64" s="144"/>
      <c r="ENU64" s="144"/>
      <c r="ENV64" s="144"/>
      <c r="ENW64" s="144"/>
      <c r="ENX64" s="144"/>
      <c r="ENY64" s="144"/>
      <c r="ENZ64" s="144"/>
      <c r="EOA64" s="144"/>
      <c r="EOB64" s="144"/>
      <c r="EOC64" s="144"/>
      <c r="EOD64" s="144"/>
      <c r="EOE64" s="144"/>
      <c r="EOF64" s="144"/>
      <c r="EOG64" s="144"/>
      <c r="EOH64" s="144"/>
      <c r="EOI64" s="144"/>
      <c r="EOJ64" s="144"/>
      <c r="EOK64" s="144"/>
      <c r="EOL64" s="144"/>
      <c r="EOM64" s="144"/>
      <c r="EON64" s="144"/>
      <c r="EOO64" s="144"/>
      <c r="EOP64" s="144"/>
      <c r="EOQ64" s="144"/>
      <c r="EOR64" s="144"/>
      <c r="EOS64" s="144"/>
      <c r="EOT64" s="144"/>
      <c r="EOU64" s="144"/>
      <c r="EOV64" s="144"/>
      <c r="EOW64" s="144"/>
      <c r="EOX64" s="144"/>
      <c r="EOY64" s="144"/>
      <c r="EOZ64" s="144"/>
      <c r="EPA64" s="144"/>
      <c r="EPB64" s="144"/>
      <c r="EPC64" s="144"/>
      <c r="EPD64" s="144"/>
      <c r="EPE64" s="144"/>
      <c r="EPF64" s="144"/>
      <c r="EPG64" s="144"/>
      <c r="EPH64" s="144"/>
      <c r="EPI64" s="144"/>
      <c r="EPJ64" s="144"/>
      <c r="EPK64" s="144"/>
      <c r="EPL64" s="144"/>
      <c r="EPM64" s="144"/>
      <c r="EPN64" s="144"/>
      <c r="EPO64" s="144"/>
      <c r="EPP64" s="144"/>
      <c r="EPQ64" s="144"/>
      <c r="EPR64" s="144"/>
      <c r="EPS64" s="144"/>
      <c r="EPT64" s="144"/>
      <c r="EPU64" s="144"/>
      <c r="EPV64" s="144"/>
      <c r="EPW64" s="144"/>
      <c r="EPX64" s="144"/>
      <c r="EPY64" s="144"/>
      <c r="EPZ64" s="144"/>
      <c r="EQA64" s="144"/>
      <c r="EQB64" s="144"/>
      <c r="EQC64" s="144"/>
      <c r="EQD64" s="144"/>
      <c r="EQE64" s="144"/>
      <c r="EQF64" s="144"/>
      <c r="EQG64" s="144"/>
      <c r="EQH64" s="144"/>
      <c r="EQI64" s="144"/>
      <c r="EQJ64" s="144"/>
      <c r="EQK64" s="144"/>
      <c r="EQL64" s="144"/>
      <c r="EQM64" s="144"/>
      <c r="EQN64" s="144"/>
      <c r="EQO64" s="144"/>
      <c r="EQP64" s="144"/>
      <c r="EQQ64" s="144"/>
      <c r="EQR64" s="144"/>
      <c r="EQS64" s="144"/>
      <c r="EQT64" s="144"/>
      <c r="EQU64" s="144"/>
      <c r="EQV64" s="144"/>
      <c r="EQW64" s="144"/>
      <c r="EQX64" s="144"/>
      <c r="EQY64" s="144"/>
      <c r="EQZ64" s="144"/>
      <c r="ERA64" s="144"/>
      <c r="ERB64" s="144"/>
      <c r="ERC64" s="144"/>
      <c r="ERD64" s="144"/>
      <c r="ERE64" s="144"/>
      <c r="ERF64" s="144"/>
      <c r="ERG64" s="144"/>
      <c r="ERH64" s="144"/>
      <c r="ERI64" s="144"/>
      <c r="ERJ64" s="144"/>
      <c r="ERK64" s="144"/>
      <c r="ERL64" s="144"/>
      <c r="ERM64" s="144"/>
      <c r="ERN64" s="144"/>
      <c r="ERO64" s="144"/>
      <c r="ERP64" s="144"/>
      <c r="ERQ64" s="144"/>
      <c r="ERR64" s="144"/>
      <c r="ERS64" s="144"/>
      <c r="ERT64" s="144"/>
      <c r="ERU64" s="144"/>
      <c r="ERV64" s="144"/>
      <c r="ERW64" s="144"/>
      <c r="ERX64" s="144"/>
      <c r="ERY64" s="144"/>
      <c r="ERZ64" s="144"/>
      <c r="ESA64" s="144"/>
      <c r="ESB64" s="144"/>
      <c r="ESC64" s="144"/>
      <c r="ESD64" s="144"/>
      <c r="ESE64" s="144"/>
      <c r="ESF64" s="144"/>
      <c r="ESG64" s="144"/>
      <c r="ESH64" s="144"/>
      <c r="ESI64" s="144"/>
      <c r="ESJ64" s="144"/>
      <c r="ESK64" s="144"/>
      <c r="ESL64" s="144"/>
      <c r="ESM64" s="144"/>
      <c r="ESN64" s="144"/>
      <c r="ESO64" s="144"/>
      <c r="ESP64" s="144"/>
      <c r="ESQ64" s="144"/>
      <c r="ESR64" s="144"/>
      <c r="ESS64" s="144"/>
      <c r="EST64" s="144"/>
      <c r="ESU64" s="144"/>
      <c r="ESV64" s="144"/>
      <c r="ESW64" s="144"/>
      <c r="ESX64" s="144"/>
      <c r="ESY64" s="144"/>
      <c r="ESZ64" s="144"/>
      <c r="ETA64" s="144"/>
      <c r="ETB64" s="144"/>
      <c r="ETC64" s="144"/>
      <c r="ETD64" s="144"/>
      <c r="ETE64" s="144"/>
      <c r="ETF64" s="144"/>
      <c r="ETG64" s="144"/>
      <c r="ETH64" s="144"/>
      <c r="ETI64" s="144"/>
      <c r="ETJ64" s="144"/>
      <c r="ETK64" s="144"/>
      <c r="ETL64" s="144"/>
      <c r="ETM64" s="144"/>
      <c r="ETN64" s="144"/>
      <c r="ETO64" s="144"/>
      <c r="ETP64" s="144"/>
      <c r="ETQ64" s="144"/>
      <c r="ETR64" s="144"/>
      <c r="ETS64" s="144"/>
      <c r="ETT64" s="144"/>
      <c r="ETU64" s="144"/>
      <c r="ETV64" s="144"/>
      <c r="ETW64" s="144"/>
      <c r="ETX64" s="144"/>
      <c r="ETY64" s="144"/>
      <c r="ETZ64" s="144"/>
      <c r="EUA64" s="144"/>
      <c r="EUB64" s="144"/>
      <c r="EUC64" s="144"/>
      <c r="EUD64" s="144"/>
      <c r="EUE64" s="144"/>
      <c r="EUF64" s="144"/>
      <c r="EUG64" s="144"/>
      <c r="EUH64" s="144"/>
      <c r="EUI64" s="144"/>
      <c r="EUJ64" s="144"/>
      <c r="EUK64" s="144"/>
      <c r="EUL64" s="144"/>
      <c r="EUM64" s="144"/>
      <c r="EUN64" s="144"/>
      <c r="EUO64" s="144"/>
      <c r="EUP64" s="144"/>
      <c r="EUQ64" s="144"/>
      <c r="EUR64" s="144"/>
      <c r="EUS64" s="144"/>
      <c r="EUT64" s="144"/>
      <c r="EUU64" s="144"/>
      <c r="EUV64" s="144"/>
      <c r="EUW64" s="144"/>
      <c r="EUX64" s="144"/>
      <c r="EUY64" s="144"/>
      <c r="EUZ64" s="144"/>
      <c r="EVA64" s="144"/>
      <c r="EVB64" s="144"/>
      <c r="EVC64" s="144"/>
      <c r="EVD64" s="144"/>
      <c r="EVE64" s="144"/>
      <c r="EVF64" s="144"/>
      <c r="EVG64" s="144"/>
      <c r="EVH64" s="144"/>
      <c r="EVI64" s="144"/>
      <c r="EVJ64" s="144"/>
      <c r="EVK64" s="144"/>
      <c r="EVL64" s="144"/>
      <c r="EVM64" s="144"/>
      <c r="EVN64" s="144"/>
      <c r="EVO64" s="144"/>
      <c r="EVP64" s="144"/>
      <c r="EVQ64" s="144"/>
      <c r="EVR64" s="144"/>
      <c r="EVS64" s="144"/>
      <c r="EVT64" s="144"/>
      <c r="EVU64" s="144"/>
      <c r="EVV64" s="144"/>
      <c r="EVW64" s="144"/>
      <c r="EVX64" s="144"/>
      <c r="EVY64" s="144"/>
      <c r="EVZ64" s="144"/>
      <c r="EWA64" s="144"/>
      <c r="EWB64" s="144"/>
      <c r="EWC64" s="144"/>
      <c r="EWD64" s="144"/>
      <c r="EWE64" s="144"/>
      <c r="EWF64" s="144"/>
      <c r="EWG64" s="144"/>
      <c r="EWH64" s="144"/>
      <c r="EWI64" s="144"/>
      <c r="EWJ64" s="144"/>
      <c r="EWK64" s="144"/>
      <c r="EWL64" s="144"/>
      <c r="EWM64" s="144"/>
      <c r="EWN64" s="144"/>
      <c r="EWO64" s="144"/>
      <c r="EWP64" s="144"/>
      <c r="EWQ64" s="144"/>
      <c r="EWR64" s="144"/>
      <c r="EWS64" s="144"/>
      <c r="EWT64" s="144"/>
      <c r="EWU64" s="144"/>
      <c r="EWV64" s="144"/>
      <c r="EWW64" s="144"/>
      <c r="EWX64" s="144"/>
      <c r="EWY64" s="144"/>
      <c r="EWZ64" s="144"/>
      <c r="EXA64" s="144"/>
      <c r="EXB64" s="144"/>
      <c r="EXC64" s="144"/>
      <c r="EXD64" s="144"/>
      <c r="EXE64" s="144"/>
      <c r="EXF64" s="144"/>
      <c r="EXG64" s="144"/>
      <c r="EXH64" s="144"/>
      <c r="EXI64" s="144"/>
      <c r="EXJ64" s="144"/>
      <c r="EXK64" s="144"/>
      <c r="EXL64" s="144"/>
      <c r="EXM64" s="144"/>
      <c r="EXN64" s="144"/>
      <c r="EXO64" s="144"/>
      <c r="EXP64" s="144"/>
      <c r="EXQ64" s="144"/>
      <c r="EXR64" s="144"/>
      <c r="EXS64" s="144"/>
      <c r="EXT64" s="144"/>
      <c r="EXU64" s="144"/>
      <c r="EXV64" s="144"/>
      <c r="EXW64" s="144"/>
      <c r="EXX64" s="144"/>
      <c r="EXY64" s="144"/>
      <c r="EXZ64" s="144"/>
      <c r="EYA64" s="144"/>
      <c r="EYB64" s="144"/>
      <c r="EYC64" s="144"/>
      <c r="EYD64" s="144"/>
      <c r="EYE64" s="144"/>
      <c r="EYF64" s="144"/>
      <c r="EYG64" s="144"/>
      <c r="EYH64" s="144"/>
      <c r="EYI64" s="144"/>
      <c r="EYJ64" s="144"/>
      <c r="EYK64" s="144"/>
      <c r="EYL64" s="144"/>
      <c r="EYM64" s="144"/>
      <c r="EYN64" s="144"/>
      <c r="EYO64" s="144"/>
      <c r="EYP64" s="144"/>
      <c r="EYQ64" s="144"/>
      <c r="EYR64" s="144"/>
      <c r="EYS64" s="144"/>
      <c r="EYT64" s="144"/>
      <c r="EYU64" s="144"/>
      <c r="EYV64" s="144"/>
      <c r="EYW64" s="144"/>
      <c r="EYX64" s="144"/>
      <c r="EYY64" s="144"/>
      <c r="EYZ64" s="144"/>
      <c r="EZA64" s="144"/>
      <c r="EZB64" s="144"/>
      <c r="EZC64" s="144"/>
      <c r="EZD64" s="144"/>
      <c r="EZE64" s="144"/>
      <c r="EZF64" s="144"/>
      <c r="EZG64" s="144"/>
      <c r="EZH64" s="144"/>
      <c r="EZI64" s="144"/>
      <c r="EZJ64" s="144"/>
      <c r="EZK64" s="144"/>
      <c r="EZL64" s="144"/>
      <c r="EZM64" s="144"/>
      <c r="EZN64" s="144"/>
      <c r="EZO64" s="144"/>
      <c r="EZP64" s="144"/>
      <c r="EZQ64" s="144"/>
      <c r="EZR64" s="144"/>
      <c r="EZS64" s="144"/>
      <c r="EZT64" s="144"/>
      <c r="EZU64" s="144"/>
      <c r="EZV64" s="144"/>
      <c r="EZW64" s="144"/>
      <c r="EZX64" s="144"/>
      <c r="EZY64" s="144"/>
      <c r="EZZ64" s="144"/>
      <c r="FAA64" s="144"/>
      <c r="FAB64" s="144"/>
      <c r="FAC64" s="144"/>
      <c r="FAD64" s="144"/>
      <c r="FAE64" s="144"/>
      <c r="FAF64" s="144"/>
      <c r="FAG64" s="144"/>
      <c r="FAH64" s="144"/>
      <c r="FAI64" s="144"/>
      <c r="FAJ64" s="144"/>
      <c r="FAK64" s="144"/>
      <c r="FAL64" s="144"/>
      <c r="FAM64" s="144"/>
      <c r="FAN64" s="144"/>
      <c r="FAO64" s="144"/>
      <c r="FAP64" s="144"/>
      <c r="FAQ64" s="144"/>
      <c r="FAR64" s="144"/>
      <c r="FAS64" s="144"/>
      <c r="FAT64" s="144"/>
      <c r="FAU64" s="144"/>
      <c r="FAV64" s="144"/>
      <c r="FAW64" s="144"/>
      <c r="FAX64" s="144"/>
      <c r="FAY64" s="144"/>
      <c r="FAZ64" s="144"/>
      <c r="FBA64" s="144"/>
      <c r="FBB64" s="144"/>
      <c r="FBC64" s="144"/>
      <c r="FBD64" s="144"/>
      <c r="FBE64" s="144"/>
      <c r="FBF64" s="144"/>
      <c r="FBG64" s="144"/>
      <c r="FBH64" s="144"/>
      <c r="FBI64" s="144"/>
      <c r="FBJ64" s="144"/>
      <c r="FBK64" s="144"/>
      <c r="FBL64" s="144"/>
      <c r="FBM64" s="144"/>
      <c r="FBN64" s="144"/>
      <c r="FBO64" s="144"/>
      <c r="FBP64" s="144"/>
      <c r="FBQ64" s="144"/>
      <c r="FBR64" s="144"/>
      <c r="FBS64" s="144"/>
      <c r="FBT64" s="144"/>
      <c r="FBU64" s="144"/>
      <c r="FBV64" s="144"/>
      <c r="FBW64" s="144"/>
      <c r="FBX64" s="144"/>
      <c r="FBY64" s="144"/>
      <c r="FBZ64" s="144"/>
      <c r="FCA64" s="144"/>
      <c r="FCB64" s="144"/>
      <c r="FCC64" s="144"/>
      <c r="FCD64" s="144"/>
      <c r="FCE64" s="144"/>
      <c r="FCF64" s="144"/>
      <c r="FCG64" s="144"/>
      <c r="FCH64" s="144"/>
      <c r="FCI64" s="144"/>
      <c r="FCJ64" s="144"/>
      <c r="FCK64" s="144"/>
      <c r="FCL64" s="144"/>
      <c r="FCM64" s="144"/>
      <c r="FCN64" s="144"/>
      <c r="FCO64" s="144"/>
      <c r="FCP64" s="144"/>
      <c r="FCQ64" s="144"/>
      <c r="FCR64" s="144"/>
      <c r="FCS64" s="144"/>
      <c r="FCT64" s="144"/>
      <c r="FCU64" s="144"/>
      <c r="FCV64" s="144"/>
      <c r="FCW64" s="144"/>
      <c r="FCX64" s="144"/>
      <c r="FCY64" s="144"/>
      <c r="FCZ64" s="144"/>
      <c r="FDA64" s="144"/>
      <c r="FDB64" s="144"/>
      <c r="FDC64" s="144"/>
      <c r="FDD64" s="144"/>
      <c r="FDE64" s="144"/>
      <c r="FDF64" s="144"/>
      <c r="FDG64" s="144"/>
      <c r="FDH64" s="144"/>
      <c r="FDI64" s="144"/>
      <c r="FDJ64" s="144"/>
      <c r="FDK64" s="144"/>
      <c r="FDL64" s="144"/>
      <c r="FDM64" s="144"/>
      <c r="FDN64" s="144"/>
      <c r="FDO64" s="144"/>
      <c r="FDP64" s="144"/>
      <c r="FDQ64" s="144"/>
      <c r="FDR64" s="144"/>
      <c r="FDS64" s="144"/>
      <c r="FDT64" s="144"/>
      <c r="FDU64" s="144"/>
      <c r="FDV64" s="144"/>
      <c r="FDW64" s="144"/>
      <c r="FDX64" s="144"/>
      <c r="FDY64" s="144"/>
      <c r="FDZ64" s="144"/>
      <c r="FEA64" s="144"/>
      <c r="FEB64" s="144"/>
      <c r="FEC64" s="144"/>
      <c r="FED64" s="144"/>
      <c r="FEE64" s="144"/>
      <c r="FEF64" s="144"/>
      <c r="FEG64" s="144"/>
      <c r="FEH64" s="144"/>
      <c r="FEI64" s="144"/>
      <c r="FEJ64" s="144"/>
      <c r="FEK64" s="144"/>
      <c r="FEL64" s="144"/>
      <c r="FEM64" s="144"/>
      <c r="FEN64" s="144"/>
      <c r="FEO64" s="144"/>
      <c r="FEP64" s="144"/>
      <c r="FEQ64" s="144"/>
      <c r="FER64" s="144"/>
      <c r="FES64" s="144"/>
      <c r="FET64" s="144"/>
      <c r="FEU64" s="144"/>
      <c r="FEV64" s="144"/>
      <c r="FEW64" s="144"/>
      <c r="FEX64" s="144"/>
      <c r="FEY64" s="144"/>
      <c r="FEZ64" s="144"/>
      <c r="FFA64" s="144"/>
      <c r="FFB64" s="144"/>
      <c r="FFC64" s="144"/>
      <c r="FFD64" s="144"/>
      <c r="FFE64" s="144"/>
      <c r="FFF64" s="144"/>
      <c r="FFG64" s="144"/>
      <c r="FFH64" s="144"/>
      <c r="FFI64" s="144"/>
      <c r="FFJ64" s="144"/>
      <c r="FFK64" s="144"/>
      <c r="FFL64" s="144"/>
      <c r="FFM64" s="144"/>
      <c r="FFN64" s="144"/>
      <c r="FFO64" s="144"/>
      <c r="FFP64" s="144"/>
      <c r="FFQ64" s="144"/>
      <c r="FFR64" s="144"/>
      <c r="FFS64" s="144"/>
      <c r="FFT64" s="144"/>
      <c r="FFU64" s="144"/>
      <c r="FFV64" s="144"/>
      <c r="FFW64" s="144"/>
      <c r="FFX64" s="144"/>
      <c r="FFY64" s="144"/>
      <c r="FFZ64" s="144"/>
      <c r="FGA64" s="144"/>
      <c r="FGB64" s="144"/>
      <c r="FGC64" s="144"/>
      <c r="FGD64" s="144"/>
      <c r="FGE64" s="144"/>
      <c r="FGF64" s="144"/>
      <c r="FGG64" s="144"/>
      <c r="FGH64" s="144"/>
      <c r="FGI64" s="144"/>
      <c r="FGJ64" s="144"/>
      <c r="FGK64" s="144"/>
      <c r="FGL64" s="144"/>
      <c r="FGM64" s="144"/>
      <c r="FGN64" s="144"/>
      <c r="FGO64" s="144"/>
      <c r="FGP64" s="144"/>
      <c r="FGQ64" s="144"/>
      <c r="FGR64" s="144"/>
      <c r="FGS64" s="144"/>
      <c r="FGT64" s="144"/>
      <c r="FGU64" s="144"/>
      <c r="FGV64" s="144"/>
      <c r="FGW64" s="144"/>
      <c r="FGX64" s="144"/>
      <c r="FGY64" s="144"/>
      <c r="FGZ64" s="144"/>
      <c r="FHA64" s="144"/>
      <c r="FHB64" s="144"/>
      <c r="FHC64" s="144"/>
      <c r="FHD64" s="144"/>
      <c r="FHE64" s="144"/>
      <c r="FHF64" s="144"/>
      <c r="FHG64" s="144"/>
      <c r="FHH64" s="144"/>
      <c r="FHI64" s="144"/>
      <c r="FHJ64" s="144"/>
      <c r="FHK64" s="144"/>
      <c r="FHL64" s="144"/>
      <c r="FHM64" s="144"/>
      <c r="FHN64" s="144"/>
      <c r="FHO64" s="144"/>
      <c r="FHP64" s="144"/>
      <c r="FHQ64" s="144"/>
      <c r="FHR64" s="144"/>
      <c r="FHS64" s="144"/>
      <c r="FHT64" s="144"/>
      <c r="FHU64" s="144"/>
      <c r="FHV64" s="144"/>
      <c r="FHW64" s="144"/>
      <c r="FHX64" s="144"/>
      <c r="FHY64" s="144"/>
      <c r="FHZ64" s="144"/>
      <c r="FIA64" s="144"/>
      <c r="FIB64" s="144"/>
      <c r="FIC64" s="144"/>
      <c r="FID64" s="144"/>
      <c r="FIE64" s="144"/>
      <c r="FIF64" s="144"/>
      <c r="FIG64" s="144"/>
      <c r="FIH64" s="144"/>
      <c r="FII64" s="144"/>
      <c r="FIJ64" s="144"/>
      <c r="FIK64" s="144"/>
      <c r="FIL64" s="144"/>
      <c r="FIM64" s="144"/>
      <c r="FIN64" s="144"/>
      <c r="FIO64" s="144"/>
      <c r="FIP64" s="144"/>
      <c r="FIQ64" s="144"/>
      <c r="FIR64" s="144"/>
      <c r="FIS64" s="144"/>
      <c r="FIT64" s="144"/>
      <c r="FIU64" s="144"/>
      <c r="FIV64" s="144"/>
      <c r="FIW64" s="144"/>
      <c r="FIX64" s="144"/>
      <c r="FIY64" s="144"/>
      <c r="FIZ64" s="144"/>
      <c r="FJA64" s="144"/>
      <c r="FJB64" s="144"/>
      <c r="FJC64" s="144"/>
      <c r="FJD64" s="144"/>
      <c r="FJE64" s="144"/>
      <c r="FJF64" s="144"/>
      <c r="FJG64" s="144"/>
      <c r="FJH64" s="144"/>
      <c r="FJI64" s="144"/>
      <c r="FJJ64" s="144"/>
      <c r="FJK64" s="144"/>
      <c r="FJL64" s="144"/>
      <c r="FJM64" s="144"/>
      <c r="FJN64" s="144"/>
      <c r="FJO64" s="144"/>
      <c r="FJP64" s="144"/>
      <c r="FJQ64" s="144"/>
      <c r="FJR64" s="144"/>
      <c r="FJS64" s="144"/>
      <c r="FJT64" s="144"/>
      <c r="FJU64" s="144"/>
      <c r="FJV64" s="144"/>
      <c r="FJW64" s="144"/>
      <c r="FJX64" s="144"/>
      <c r="FJY64" s="144"/>
      <c r="FJZ64" s="144"/>
      <c r="FKA64" s="144"/>
      <c r="FKB64" s="144"/>
      <c r="FKC64" s="144"/>
      <c r="FKD64" s="144"/>
      <c r="FKE64" s="144"/>
      <c r="FKF64" s="144"/>
      <c r="FKG64" s="144"/>
      <c r="FKH64" s="144"/>
      <c r="FKI64" s="144"/>
      <c r="FKJ64" s="144"/>
      <c r="FKK64" s="144"/>
      <c r="FKL64" s="144"/>
      <c r="FKM64" s="144"/>
      <c r="FKN64" s="144"/>
      <c r="FKO64" s="144"/>
      <c r="FKP64" s="144"/>
      <c r="FKQ64" s="144"/>
      <c r="FKR64" s="144"/>
      <c r="FKS64" s="144"/>
      <c r="FKT64" s="144"/>
      <c r="FKU64" s="144"/>
      <c r="FKV64" s="144"/>
      <c r="FKW64" s="144"/>
      <c r="FKX64" s="144"/>
      <c r="FKY64" s="144"/>
      <c r="FKZ64" s="144"/>
      <c r="FLA64" s="144"/>
      <c r="FLB64" s="144"/>
      <c r="FLC64" s="144"/>
      <c r="FLD64" s="144"/>
      <c r="FLE64" s="144"/>
      <c r="FLF64" s="144"/>
      <c r="FLG64" s="144"/>
      <c r="FLH64" s="144"/>
      <c r="FLI64" s="144"/>
      <c r="FLJ64" s="144"/>
      <c r="FLK64" s="144"/>
      <c r="FLL64" s="144"/>
      <c r="FLM64" s="144"/>
      <c r="FLN64" s="144"/>
      <c r="FLO64" s="144"/>
      <c r="FLP64" s="144"/>
      <c r="FLQ64" s="144"/>
      <c r="FLR64" s="144"/>
      <c r="FLS64" s="144"/>
      <c r="FLT64" s="144"/>
      <c r="FLU64" s="144"/>
      <c r="FLV64" s="144"/>
      <c r="FLW64" s="144"/>
      <c r="FLX64" s="144"/>
      <c r="FLY64" s="144"/>
      <c r="FLZ64" s="144"/>
      <c r="FMA64" s="144"/>
      <c r="FMB64" s="144"/>
      <c r="FMC64" s="144"/>
      <c r="FMD64" s="144"/>
      <c r="FME64" s="144"/>
      <c r="FMF64" s="144"/>
      <c r="FMG64" s="144"/>
      <c r="FMH64" s="144"/>
      <c r="FMI64" s="144"/>
      <c r="FMJ64" s="144"/>
      <c r="FMK64" s="144"/>
      <c r="FML64" s="144"/>
      <c r="FMM64" s="144"/>
      <c r="FMN64" s="144"/>
      <c r="FMO64" s="144"/>
      <c r="FMP64" s="144"/>
      <c r="FMQ64" s="144"/>
      <c r="FMR64" s="144"/>
      <c r="FMS64" s="144"/>
      <c r="FMT64" s="144"/>
      <c r="FMU64" s="144"/>
      <c r="FMV64" s="144"/>
      <c r="FMW64" s="144"/>
      <c r="FMX64" s="144"/>
      <c r="FMY64" s="144"/>
      <c r="FMZ64" s="144"/>
      <c r="FNA64" s="144"/>
      <c r="FNB64" s="144"/>
      <c r="FNC64" s="144"/>
      <c r="FND64" s="144"/>
      <c r="FNE64" s="144"/>
      <c r="FNF64" s="144"/>
      <c r="FNG64" s="144"/>
      <c r="FNH64" s="144"/>
      <c r="FNI64" s="144"/>
      <c r="FNJ64" s="144"/>
      <c r="FNK64" s="144"/>
      <c r="FNL64" s="144"/>
      <c r="FNM64" s="144"/>
      <c r="FNN64" s="144"/>
      <c r="FNO64" s="144"/>
      <c r="FNP64" s="144"/>
      <c r="FNQ64" s="144"/>
      <c r="FNR64" s="144"/>
      <c r="FNS64" s="144"/>
      <c r="FNT64" s="144"/>
      <c r="FNU64" s="144"/>
      <c r="FNV64" s="144"/>
      <c r="FNW64" s="144"/>
      <c r="FNX64" s="144"/>
      <c r="FNY64" s="144"/>
      <c r="FNZ64" s="144"/>
      <c r="FOA64" s="144"/>
      <c r="FOB64" s="144"/>
      <c r="FOC64" s="144"/>
      <c r="FOD64" s="144"/>
      <c r="FOE64" s="144"/>
      <c r="FOF64" s="144"/>
      <c r="FOG64" s="144"/>
      <c r="FOH64" s="144"/>
      <c r="FOI64" s="144"/>
      <c r="FOJ64" s="144"/>
      <c r="FOK64" s="144"/>
      <c r="FOL64" s="144"/>
      <c r="FOM64" s="144"/>
      <c r="FON64" s="144"/>
      <c r="FOO64" s="144"/>
      <c r="FOP64" s="144"/>
      <c r="FOQ64" s="144"/>
      <c r="FOR64" s="144"/>
      <c r="FOS64" s="144"/>
      <c r="FOT64" s="144"/>
      <c r="FOU64" s="144"/>
      <c r="FOV64" s="144"/>
      <c r="FOW64" s="144"/>
      <c r="FOX64" s="144"/>
      <c r="FOY64" s="144"/>
      <c r="FOZ64" s="144"/>
      <c r="FPA64" s="144"/>
      <c r="FPB64" s="144"/>
      <c r="FPC64" s="144"/>
      <c r="FPD64" s="144"/>
      <c r="FPE64" s="144"/>
      <c r="FPF64" s="144"/>
      <c r="FPG64" s="144"/>
      <c r="FPH64" s="144"/>
      <c r="FPI64" s="144"/>
      <c r="FPJ64" s="144"/>
      <c r="FPK64" s="144"/>
      <c r="FPL64" s="144"/>
      <c r="FPM64" s="144"/>
      <c r="FPN64" s="144"/>
      <c r="FPO64" s="144"/>
      <c r="FPP64" s="144"/>
      <c r="FPQ64" s="144"/>
      <c r="FPR64" s="144"/>
      <c r="FPS64" s="144"/>
      <c r="FPT64" s="144"/>
      <c r="FPU64" s="144"/>
      <c r="FPV64" s="144"/>
      <c r="FPW64" s="144"/>
      <c r="FPX64" s="144"/>
      <c r="FPY64" s="144"/>
      <c r="FPZ64" s="144"/>
      <c r="FQA64" s="144"/>
      <c r="FQB64" s="144"/>
      <c r="FQC64" s="144"/>
      <c r="FQD64" s="144"/>
      <c r="FQE64" s="144"/>
      <c r="FQF64" s="144"/>
      <c r="FQG64" s="144"/>
      <c r="FQH64" s="144"/>
      <c r="FQI64" s="144"/>
      <c r="FQJ64" s="144"/>
      <c r="FQK64" s="144"/>
      <c r="FQL64" s="144"/>
      <c r="FQM64" s="144"/>
      <c r="FQN64" s="144"/>
      <c r="FQO64" s="144"/>
      <c r="FQP64" s="144"/>
      <c r="FQQ64" s="144"/>
      <c r="FQR64" s="144"/>
      <c r="FQS64" s="144"/>
      <c r="FQT64" s="144"/>
      <c r="FQU64" s="144"/>
      <c r="FQV64" s="144"/>
      <c r="FQW64" s="144"/>
      <c r="FQX64" s="144"/>
      <c r="FQY64" s="144"/>
      <c r="FQZ64" s="144"/>
      <c r="FRA64" s="144"/>
      <c r="FRB64" s="144"/>
      <c r="FRC64" s="144"/>
      <c r="FRD64" s="144"/>
      <c r="FRE64" s="144"/>
      <c r="FRF64" s="144"/>
      <c r="FRG64" s="144"/>
      <c r="FRH64" s="144"/>
      <c r="FRI64" s="144"/>
      <c r="FRJ64" s="144"/>
      <c r="FRK64" s="144"/>
      <c r="FRL64" s="144"/>
      <c r="FRM64" s="144"/>
      <c r="FRN64" s="144"/>
      <c r="FRO64" s="144"/>
      <c r="FRP64" s="144"/>
      <c r="FRQ64" s="144"/>
      <c r="FRR64" s="144"/>
      <c r="FRS64" s="144"/>
      <c r="FRT64" s="144"/>
      <c r="FRU64" s="144"/>
      <c r="FRV64" s="144"/>
      <c r="FRW64" s="144"/>
      <c r="FRX64" s="144"/>
      <c r="FRY64" s="144"/>
      <c r="FRZ64" s="144"/>
      <c r="FSA64" s="144"/>
      <c r="FSB64" s="144"/>
      <c r="FSC64" s="144"/>
      <c r="FSD64" s="144"/>
      <c r="FSE64" s="144"/>
      <c r="FSF64" s="144"/>
      <c r="FSG64" s="144"/>
      <c r="FSH64" s="144"/>
      <c r="FSI64" s="144"/>
      <c r="FSJ64" s="144"/>
      <c r="FSK64" s="144"/>
      <c r="FSL64" s="144"/>
      <c r="FSM64" s="144"/>
      <c r="FSN64" s="144"/>
      <c r="FSO64" s="144"/>
      <c r="FSP64" s="144"/>
      <c r="FSQ64" s="144"/>
      <c r="FSR64" s="144"/>
      <c r="FSS64" s="144"/>
      <c r="FST64" s="144"/>
      <c r="FSU64" s="144"/>
      <c r="FSV64" s="144"/>
      <c r="FSW64" s="144"/>
      <c r="FSX64" s="144"/>
      <c r="FSY64" s="144"/>
      <c r="FSZ64" s="144"/>
      <c r="FTA64" s="144"/>
      <c r="FTB64" s="144"/>
      <c r="FTC64" s="144"/>
      <c r="FTD64" s="144"/>
      <c r="FTE64" s="144"/>
      <c r="FTF64" s="144"/>
      <c r="FTG64" s="144"/>
      <c r="FTH64" s="144"/>
      <c r="FTI64" s="144"/>
      <c r="FTJ64" s="144"/>
      <c r="FTK64" s="144"/>
      <c r="FTL64" s="144"/>
      <c r="FTM64" s="144"/>
      <c r="FTN64" s="144"/>
      <c r="FTO64" s="144"/>
      <c r="FTP64" s="144"/>
      <c r="FTQ64" s="144"/>
      <c r="FTR64" s="144"/>
      <c r="FTS64" s="144"/>
      <c r="FTT64" s="144"/>
      <c r="FTU64" s="144"/>
      <c r="FTV64" s="144"/>
      <c r="FTW64" s="144"/>
      <c r="FTX64" s="144"/>
      <c r="FTY64" s="144"/>
      <c r="FTZ64" s="144"/>
      <c r="FUA64" s="144"/>
      <c r="FUB64" s="144"/>
      <c r="FUC64" s="144"/>
      <c r="FUD64" s="144"/>
      <c r="FUE64" s="144"/>
      <c r="FUF64" s="144"/>
      <c r="FUG64" s="144"/>
      <c r="FUH64" s="144"/>
      <c r="FUI64" s="144"/>
      <c r="FUJ64" s="144"/>
      <c r="FUK64" s="144"/>
      <c r="FUL64" s="144"/>
      <c r="FUM64" s="144"/>
      <c r="FUN64" s="144"/>
      <c r="FUO64" s="144"/>
      <c r="FUP64" s="144"/>
      <c r="FUQ64" s="144"/>
      <c r="FUR64" s="144"/>
      <c r="FUS64" s="144"/>
      <c r="FUT64" s="144"/>
      <c r="FUU64" s="144"/>
      <c r="FUV64" s="144"/>
      <c r="FUW64" s="144"/>
      <c r="FUX64" s="144"/>
      <c r="FUY64" s="144"/>
      <c r="FUZ64" s="144"/>
      <c r="FVA64" s="144"/>
      <c r="FVB64" s="144"/>
      <c r="FVC64" s="144"/>
      <c r="FVD64" s="144"/>
      <c r="FVE64" s="144"/>
      <c r="FVF64" s="144"/>
      <c r="FVG64" s="144"/>
      <c r="FVH64" s="144"/>
      <c r="FVI64" s="144"/>
      <c r="FVJ64" s="144"/>
      <c r="FVK64" s="144"/>
      <c r="FVL64" s="144"/>
      <c r="FVM64" s="144"/>
      <c r="FVN64" s="144"/>
      <c r="FVO64" s="144"/>
      <c r="FVP64" s="144"/>
      <c r="FVQ64" s="144"/>
      <c r="FVR64" s="144"/>
      <c r="FVS64" s="144"/>
      <c r="FVT64" s="144"/>
      <c r="FVU64" s="144"/>
      <c r="FVV64" s="144"/>
      <c r="FVW64" s="144"/>
      <c r="FVX64" s="144"/>
      <c r="FVY64" s="144"/>
      <c r="FVZ64" s="144"/>
      <c r="FWA64" s="144"/>
      <c r="FWB64" s="144"/>
      <c r="FWC64" s="144"/>
      <c r="FWD64" s="144"/>
      <c r="FWE64" s="144"/>
      <c r="FWF64" s="144"/>
      <c r="FWG64" s="144"/>
      <c r="FWH64" s="144"/>
      <c r="FWI64" s="144"/>
      <c r="FWJ64" s="144"/>
      <c r="FWK64" s="144"/>
      <c r="FWL64" s="144"/>
      <c r="FWM64" s="144"/>
      <c r="FWN64" s="144"/>
      <c r="FWO64" s="144"/>
      <c r="FWP64" s="144"/>
      <c r="FWQ64" s="144"/>
      <c r="FWR64" s="144"/>
      <c r="FWS64" s="144"/>
      <c r="FWT64" s="144"/>
      <c r="FWU64" s="144"/>
      <c r="FWV64" s="144"/>
      <c r="FWW64" s="144"/>
      <c r="FWX64" s="144"/>
      <c r="FWY64" s="144"/>
      <c r="FWZ64" s="144"/>
      <c r="FXA64" s="144"/>
      <c r="FXB64" s="144"/>
      <c r="FXC64" s="144"/>
      <c r="FXD64" s="144"/>
      <c r="FXE64" s="144"/>
      <c r="FXF64" s="144"/>
      <c r="FXG64" s="144"/>
      <c r="FXH64" s="144"/>
      <c r="FXI64" s="144"/>
      <c r="FXJ64" s="144"/>
      <c r="FXK64" s="144"/>
      <c r="FXL64" s="144"/>
      <c r="FXM64" s="144"/>
      <c r="FXN64" s="144"/>
      <c r="FXO64" s="144"/>
      <c r="FXP64" s="144"/>
      <c r="FXQ64" s="144"/>
      <c r="FXR64" s="144"/>
      <c r="FXS64" s="144"/>
      <c r="FXT64" s="144"/>
      <c r="FXU64" s="144"/>
      <c r="FXV64" s="144"/>
      <c r="FXW64" s="144"/>
      <c r="FXX64" s="144"/>
      <c r="FXY64" s="144"/>
      <c r="FXZ64" s="144"/>
      <c r="FYA64" s="144"/>
      <c r="FYB64" s="144"/>
      <c r="FYC64" s="144"/>
      <c r="FYD64" s="144"/>
      <c r="FYE64" s="144"/>
      <c r="FYF64" s="144"/>
      <c r="FYG64" s="144"/>
      <c r="FYH64" s="144"/>
      <c r="FYI64" s="144"/>
      <c r="FYJ64" s="144"/>
      <c r="FYK64" s="144"/>
      <c r="FYL64" s="144"/>
      <c r="FYM64" s="144"/>
      <c r="FYN64" s="144"/>
      <c r="FYO64" s="144"/>
      <c r="FYP64" s="144"/>
      <c r="FYQ64" s="144"/>
      <c r="FYR64" s="144"/>
      <c r="FYS64" s="144"/>
      <c r="FYT64" s="144"/>
      <c r="FYU64" s="144"/>
      <c r="FYV64" s="144"/>
      <c r="FYW64" s="144"/>
      <c r="FYX64" s="144"/>
      <c r="FYY64" s="144"/>
      <c r="FYZ64" s="144"/>
      <c r="FZA64" s="144"/>
      <c r="FZB64" s="144"/>
      <c r="FZC64" s="144"/>
      <c r="FZD64" s="144"/>
      <c r="FZE64" s="144"/>
      <c r="FZF64" s="144"/>
      <c r="FZG64" s="144"/>
      <c r="FZH64" s="144"/>
      <c r="FZI64" s="144"/>
      <c r="FZJ64" s="144"/>
      <c r="FZK64" s="144"/>
      <c r="FZL64" s="144"/>
      <c r="FZM64" s="144"/>
      <c r="FZN64" s="144"/>
      <c r="FZO64" s="144"/>
      <c r="FZP64" s="144"/>
      <c r="FZQ64" s="144"/>
      <c r="FZR64" s="144"/>
      <c r="FZS64" s="144"/>
      <c r="FZT64" s="144"/>
      <c r="FZU64" s="144"/>
      <c r="FZV64" s="144"/>
      <c r="FZW64" s="144"/>
      <c r="FZX64" s="144"/>
      <c r="FZY64" s="144"/>
      <c r="FZZ64" s="144"/>
      <c r="GAA64" s="144"/>
      <c r="GAB64" s="144"/>
      <c r="GAC64" s="144"/>
      <c r="GAD64" s="144"/>
      <c r="GAE64" s="144"/>
      <c r="GAF64" s="144"/>
      <c r="GAG64" s="144"/>
      <c r="GAH64" s="144"/>
      <c r="GAI64" s="144"/>
      <c r="GAJ64" s="144"/>
      <c r="GAK64" s="144"/>
      <c r="GAL64" s="144"/>
      <c r="GAM64" s="144"/>
      <c r="GAN64" s="144"/>
      <c r="GAO64" s="144"/>
      <c r="GAP64" s="144"/>
      <c r="GAQ64" s="144"/>
      <c r="GAR64" s="144"/>
      <c r="GAS64" s="144"/>
      <c r="GAT64" s="144"/>
      <c r="GAU64" s="144"/>
      <c r="GAV64" s="144"/>
      <c r="GAW64" s="144"/>
      <c r="GAX64" s="144"/>
      <c r="GAY64" s="144"/>
      <c r="GAZ64" s="144"/>
      <c r="GBA64" s="144"/>
      <c r="GBB64" s="144"/>
      <c r="GBC64" s="144"/>
      <c r="GBD64" s="144"/>
      <c r="GBE64" s="144"/>
      <c r="GBF64" s="144"/>
      <c r="GBG64" s="144"/>
      <c r="GBH64" s="144"/>
      <c r="GBI64" s="144"/>
      <c r="GBJ64" s="144"/>
      <c r="GBK64" s="144"/>
      <c r="GBL64" s="144"/>
      <c r="GBM64" s="144"/>
      <c r="GBN64" s="144"/>
      <c r="GBO64" s="144"/>
      <c r="GBP64" s="144"/>
      <c r="GBQ64" s="144"/>
      <c r="GBR64" s="144"/>
      <c r="GBS64" s="144"/>
      <c r="GBT64" s="144"/>
      <c r="GBU64" s="144"/>
      <c r="GBV64" s="144"/>
      <c r="GBW64" s="144"/>
      <c r="GBX64" s="144"/>
      <c r="GBY64" s="144"/>
      <c r="GBZ64" s="144"/>
      <c r="GCA64" s="144"/>
      <c r="GCB64" s="144"/>
      <c r="GCC64" s="144"/>
      <c r="GCD64" s="144"/>
      <c r="GCE64" s="144"/>
      <c r="GCF64" s="144"/>
      <c r="GCG64" s="144"/>
      <c r="GCH64" s="144"/>
      <c r="GCI64" s="144"/>
      <c r="GCJ64" s="144"/>
      <c r="GCK64" s="144"/>
      <c r="GCL64" s="144"/>
      <c r="GCM64" s="144"/>
      <c r="GCN64" s="144"/>
      <c r="GCO64" s="144"/>
      <c r="GCP64" s="144"/>
      <c r="GCQ64" s="144"/>
      <c r="GCR64" s="144"/>
      <c r="GCS64" s="144"/>
      <c r="GCT64" s="144"/>
      <c r="GCU64" s="144"/>
      <c r="GCV64" s="144"/>
      <c r="GCW64" s="144"/>
      <c r="GCX64" s="144"/>
      <c r="GCY64" s="144"/>
      <c r="GCZ64" s="144"/>
      <c r="GDA64" s="144"/>
      <c r="GDB64" s="144"/>
      <c r="GDC64" s="144"/>
      <c r="GDD64" s="144"/>
      <c r="GDE64" s="144"/>
      <c r="GDF64" s="144"/>
      <c r="GDG64" s="144"/>
      <c r="GDH64" s="144"/>
      <c r="GDI64" s="144"/>
      <c r="GDJ64" s="144"/>
      <c r="GDK64" s="144"/>
      <c r="GDL64" s="144"/>
      <c r="GDM64" s="144"/>
      <c r="GDN64" s="144"/>
      <c r="GDO64" s="144"/>
      <c r="GDP64" s="144"/>
      <c r="GDQ64" s="144"/>
      <c r="GDR64" s="144"/>
      <c r="GDS64" s="144"/>
      <c r="GDT64" s="144"/>
      <c r="GDU64" s="144"/>
      <c r="GDV64" s="144"/>
      <c r="GDW64" s="144"/>
      <c r="GDX64" s="144"/>
      <c r="GDY64" s="144"/>
      <c r="GDZ64" s="144"/>
      <c r="GEA64" s="144"/>
      <c r="GEB64" s="144"/>
      <c r="GEC64" s="144"/>
      <c r="GED64" s="144"/>
      <c r="GEE64" s="144"/>
      <c r="GEF64" s="144"/>
      <c r="GEG64" s="144"/>
      <c r="GEH64" s="144"/>
      <c r="GEI64" s="144"/>
      <c r="GEJ64" s="144"/>
      <c r="GEK64" s="144"/>
      <c r="GEL64" s="144"/>
      <c r="GEM64" s="144"/>
      <c r="GEN64" s="144"/>
      <c r="GEO64" s="144"/>
      <c r="GEP64" s="144"/>
      <c r="GEQ64" s="144"/>
      <c r="GER64" s="144"/>
      <c r="GES64" s="144"/>
      <c r="GET64" s="144"/>
      <c r="GEU64" s="144"/>
      <c r="GEV64" s="144"/>
      <c r="GEW64" s="144"/>
      <c r="GEX64" s="144"/>
      <c r="GEY64" s="144"/>
      <c r="GEZ64" s="144"/>
      <c r="GFA64" s="144"/>
      <c r="GFB64" s="144"/>
      <c r="GFC64" s="144"/>
      <c r="GFD64" s="144"/>
      <c r="GFE64" s="144"/>
      <c r="GFF64" s="144"/>
      <c r="GFG64" s="144"/>
      <c r="GFH64" s="144"/>
      <c r="GFI64" s="144"/>
      <c r="GFJ64" s="144"/>
      <c r="GFK64" s="144"/>
      <c r="GFL64" s="144"/>
      <c r="GFM64" s="144"/>
      <c r="GFN64" s="144"/>
      <c r="GFO64" s="144"/>
      <c r="GFP64" s="144"/>
      <c r="GFQ64" s="144"/>
      <c r="GFR64" s="144"/>
      <c r="GFS64" s="144"/>
      <c r="GFT64" s="144"/>
      <c r="GFU64" s="144"/>
      <c r="GFV64" s="144"/>
      <c r="GFW64" s="144"/>
      <c r="GFX64" s="144"/>
      <c r="GFY64" s="144"/>
      <c r="GFZ64" s="144"/>
      <c r="GGA64" s="144"/>
      <c r="GGB64" s="144"/>
      <c r="GGC64" s="144"/>
      <c r="GGD64" s="144"/>
      <c r="GGE64" s="144"/>
      <c r="GGF64" s="144"/>
      <c r="GGG64" s="144"/>
      <c r="GGH64" s="144"/>
      <c r="GGI64" s="144"/>
      <c r="GGJ64" s="144"/>
      <c r="GGK64" s="144"/>
      <c r="GGL64" s="144"/>
      <c r="GGM64" s="144"/>
      <c r="GGN64" s="144"/>
      <c r="GGO64" s="144"/>
      <c r="GGP64" s="144"/>
      <c r="GGQ64" s="144"/>
      <c r="GGR64" s="144"/>
      <c r="GGS64" s="144"/>
      <c r="GGT64" s="144"/>
      <c r="GGU64" s="144"/>
      <c r="GGV64" s="144"/>
      <c r="GGW64" s="144"/>
      <c r="GGX64" s="144"/>
      <c r="GGY64" s="144"/>
      <c r="GGZ64" s="144"/>
      <c r="GHA64" s="144"/>
      <c r="GHB64" s="144"/>
      <c r="GHC64" s="144"/>
      <c r="GHD64" s="144"/>
      <c r="GHE64" s="144"/>
      <c r="GHF64" s="144"/>
      <c r="GHG64" s="144"/>
      <c r="GHH64" s="144"/>
      <c r="GHI64" s="144"/>
      <c r="GHJ64" s="144"/>
      <c r="GHK64" s="144"/>
      <c r="GHL64" s="144"/>
      <c r="GHM64" s="144"/>
      <c r="GHN64" s="144"/>
      <c r="GHO64" s="144"/>
      <c r="GHP64" s="144"/>
      <c r="GHQ64" s="144"/>
      <c r="GHR64" s="144"/>
      <c r="GHS64" s="144"/>
      <c r="GHT64" s="144"/>
      <c r="GHU64" s="144"/>
      <c r="GHV64" s="144"/>
      <c r="GHW64" s="144"/>
      <c r="GHX64" s="144"/>
      <c r="GHY64" s="144"/>
      <c r="GHZ64" s="144"/>
      <c r="GIA64" s="144"/>
      <c r="GIB64" s="144"/>
      <c r="GIC64" s="144"/>
      <c r="GID64" s="144"/>
      <c r="GIE64" s="144"/>
      <c r="GIF64" s="144"/>
      <c r="GIG64" s="144"/>
      <c r="GIH64" s="144"/>
      <c r="GII64" s="144"/>
      <c r="GIJ64" s="144"/>
      <c r="GIK64" s="144"/>
      <c r="GIL64" s="144"/>
      <c r="GIM64" s="144"/>
      <c r="GIN64" s="144"/>
      <c r="GIO64" s="144"/>
      <c r="GIP64" s="144"/>
      <c r="GIQ64" s="144"/>
      <c r="GIR64" s="144"/>
      <c r="GIS64" s="144"/>
      <c r="GIT64" s="144"/>
      <c r="GIU64" s="144"/>
      <c r="GIV64" s="144"/>
      <c r="GIW64" s="144"/>
      <c r="GIX64" s="144"/>
      <c r="GIY64" s="144"/>
      <c r="GIZ64" s="144"/>
      <c r="GJA64" s="144"/>
      <c r="GJB64" s="144"/>
      <c r="GJC64" s="144"/>
      <c r="GJD64" s="144"/>
      <c r="GJE64" s="144"/>
      <c r="GJF64" s="144"/>
      <c r="GJG64" s="144"/>
      <c r="GJH64" s="144"/>
      <c r="GJI64" s="144"/>
      <c r="GJJ64" s="144"/>
      <c r="GJK64" s="144"/>
      <c r="GJL64" s="144"/>
      <c r="GJM64" s="144"/>
      <c r="GJN64" s="144"/>
      <c r="GJO64" s="144"/>
      <c r="GJP64" s="144"/>
      <c r="GJQ64" s="144"/>
      <c r="GJR64" s="144"/>
      <c r="GJS64" s="144"/>
      <c r="GJT64" s="144"/>
      <c r="GJU64" s="144"/>
      <c r="GJV64" s="144"/>
      <c r="GJW64" s="144"/>
      <c r="GJX64" s="144"/>
      <c r="GJY64" s="144"/>
      <c r="GJZ64" s="144"/>
      <c r="GKA64" s="144"/>
      <c r="GKB64" s="144"/>
      <c r="GKC64" s="144"/>
      <c r="GKD64" s="144"/>
      <c r="GKE64" s="144"/>
      <c r="GKF64" s="144"/>
      <c r="GKG64" s="144"/>
      <c r="GKH64" s="144"/>
      <c r="GKI64" s="144"/>
      <c r="GKJ64" s="144"/>
      <c r="GKK64" s="144"/>
      <c r="GKL64" s="144"/>
      <c r="GKM64" s="144"/>
      <c r="GKN64" s="144"/>
      <c r="GKO64" s="144"/>
      <c r="GKP64" s="144"/>
      <c r="GKQ64" s="144"/>
      <c r="GKR64" s="144"/>
      <c r="GKS64" s="144"/>
      <c r="GKT64" s="144"/>
      <c r="GKU64" s="144"/>
      <c r="GKV64" s="144"/>
      <c r="GKW64" s="144"/>
      <c r="GKX64" s="144"/>
      <c r="GKY64" s="144"/>
      <c r="GKZ64" s="144"/>
      <c r="GLA64" s="144"/>
      <c r="GLB64" s="144"/>
      <c r="GLC64" s="144"/>
      <c r="GLD64" s="144"/>
      <c r="GLE64" s="144"/>
      <c r="GLF64" s="144"/>
      <c r="GLG64" s="144"/>
      <c r="GLH64" s="144"/>
      <c r="GLI64" s="144"/>
      <c r="GLJ64" s="144"/>
      <c r="GLK64" s="144"/>
      <c r="GLL64" s="144"/>
      <c r="GLM64" s="144"/>
      <c r="GLN64" s="144"/>
      <c r="GLO64" s="144"/>
      <c r="GLP64" s="144"/>
      <c r="GLQ64" s="144"/>
      <c r="GLR64" s="144"/>
      <c r="GLS64" s="144"/>
      <c r="GLT64" s="144"/>
      <c r="GLU64" s="144"/>
      <c r="GLV64" s="144"/>
      <c r="GLW64" s="144"/>
      <c r="GLX64" s="144"/>
      <c r="GLY64" s="144"/>
      <c r="GLZ64" s="144"/>
      <c r="GMA64" s="144"/>
      <c r="GMB64" s="144"/>
      <c r="GMC64" s="144"/>
      <c r="GMD64" s="144"/>
      <c r="GME64" s="144"/>
      <c r="GMF64" s="144"/>
      <c r="GMG64" s="144"/>
      <c r="GMH64" s="144"/>
      <c r="GMI64" s="144"/>
      <c r="GMJ64" s="144"/>
      <c r="GMK64" s="144"/>
      <c r="GML64" s="144"/>
      <c r="GMM64" s="144"/>
      <c r="GMN64" s="144"/>
      <c r="GMO64" s="144"/>
      <c r="GMP64" s="144"/>
      <c r="GMQ64" s="144"/>
      <c r="GMR64" s="144"/>
      <c r="GMS64" s="144"/>
      <c r="GMT64" s="144"/>
      <c r="GMU64" s="144"/>
      <c r="GMV64" s="144"/>
      <c r="GMW64" s="144"/>
      <c r="GMX64" s="144"/>
      <c r="GMY64" s="144"/>
      <c r="GMZ64" s="144"/>
      <c r="GNA64" s="144"/>
      <c r="GNB64" s="144"/>
      <c r="GNC64" s="144"/>
      <c r="GND64" s="144"/>
      <c r="GNE64" s="144"/>
      <c r="GNF64" s="144"/>
      <c r="GNG64" s="144"/>
      <c r="GNH64" s="144"/>
      <c r="GNI64" s="144"/>
      <c r="GNJ64" s="144"/>
      <c r="GNK64" s="144"/>
      <c r="GNL64" s="144"/>
      <c r="GNM64" s="144"/>
      <c r="GNN64" s="144"/>
      <c r="GNO64" s="144"/>
      <c r="GNP64" s="144"/>
      <c r="GNQ64" s="144"/>
      <c r="GNR64" s="144"/>
      <c r="GNS64" s="144"/>
      <c r="GNT64" s="144"/>
      <c r="GNU64" s="144"/>
      <c r="GNV64" s="144"/>
      <c r="GNW64" s="144"/>
      <c r="GNX64" s="144"/>
      <c r="GNY64" s="144"/>
      <c r="GNZ64" s="144"/>
      <c r="GOA64" s="144"/>
      <c r="GOB64" s="144"/>
      <c r="GOC64" s="144"/>
      <c r="GOD64" s="144"/>
      <c r="GOE64" s="144"/>
      <c r="GOF64" s="144"/>
      <c r="GOG64" s="144"/>
      <c r="GOH64" s="144"/>
      <c r="GOI64" s="144"/>
      <c r="GOJ64" s="144"/>
      <c r="GOK64" s="144"/>
      <c r="GOL64" s="144"/>
      <c r="GOM64" s="144"/>
      <c r="GON64" s="144"/>
      <c r="GOO64" s="144"/>
      <c r="GOP64" s="144"/>
      <c r="GOQ64" s="144"/>
      <c r="GOR64" s="144"/>
      <c r="GOS64" s="144"/>
      <c r="GOT64" s="144"/>
      <c r="GOU64" s="144"/>
      <c r="GOV64" s="144"/>
      <c r="GOW64" s="144"/>
      <c r="GOX64" s="144"/>
      <c r="GOY64" s="144"/>
      <c r="GOZ64" s="144"/>
      <c r="GPA64" s="144"/>
      <c r="GPB64" s="144"/>
      <c r="GPC64" s="144"/>
      <c r="GPD64" s="144"/>
      <c r="GPE64" s="144"/>
      <c r="GPF64" s="144"/>
      <c r="GPG64" s="144"/>
      <c r="GPH64" s="144"/>
      <c r="GPI64" s="144"/>
      <c r="GPJ64" s="144"/>
      <c r="GPK64" s="144"/>
      <c r="GPL64" s="144"/>
      <c r="GPM64" s="144"/>
      <c r="GPN64" s="144"/>
      <c r="GPO64" s="144"/>
      <c r="GPP64" s="144"/>
      <c r="GPQ64" s="144"/>
      <c r="GPR64" s="144"/>
      <c r="GPS64" s="144"/>
      <c r="GPT64" s="144"/>
      <c r="GPU64" s="144"/>
      <c r="GPV64" s="144"/>
      <c r="GPW64" s="144"/>
      <c r="GPX64" s="144"/>
      <c r="GPY64" s="144"/>
      <c r="GPZ64" s="144"/>
      <c r="GQA64" s="144"/>
      <c r="GQB64" s="144"/>
      <c r="GQC64" s="144"/>
      <c r="GQD64" s="144"/>
      <c r="GQE64" s="144"/>
      <c r="GQF64" s="144"/>
      <c r="GQG64" s="144"/>
      <c r="GQH64" s="144"/>
      <c r="GQI64" s="144"/>
      <c r="GQJ64" s="144"/>
      <c r="GQK64" s="144"/>
      <c r="GQL64" s="144"/>
      <c r="GQM64" s="144"/>
      <c r="GQN64" s="144"/>
      <c r="GQO64" s="144"/>
      <c r="GQP64" s="144"/>
      <c r="GQQ64" s="144"/>
      <c r="GQR64" s="144"/>
      <c r="GQS64" s="144"/>
      <c r="GQT64" s="144"/>
      <c r="GQU64" s="144"/>
      <c r="GQV64" s="144"/>
      <c r="GQW64" s="144"/>
      <c r="GQX64" s="144"/>
      <c r="GQY64" s="144"/>
      <c r="GQZ64" s="144"/>
      <c r="GRA64" s="144"/>
      <c r="GRB64" s="144"/>
      <c r="GRC64" s="144"/>
      <c r="GRD64" s="144"/>
      <c r="GRE64" s="144"/>
      <c r="GRF64" s="144"/>
      <c r="GRG64" s="144"/>
      <c r="GRH64" s="144"/>
      <c r="GRI64" s="144"/>
      <c r="GRJ64" s="144"/>
      <c r="GRK64" s="144"/>
      <c r="GRL64" s="144"/>
      <c r="GRM64" s="144"/>
      <c r="GRN64" s="144"/>
      <c r="GRO64" s="144"/>
      <c r="GRP64" s="144"/>
      <c r="GRQ64" s="144"/>
      <c r="GRR64" s="144"/>
      <c r="GRS64" s="144"/>
      <c r="GRT64" s="144"/>
      <c r="GRU64" s="144"/>
      <c r="GRV64" s="144"/>
      <c r="GRW64" s="144"/>
      <c r="GRX64" s="144"/>
      <c r="GRY64" s="144"/>
      <c r="GRZ64" s="144"/>
      <c r="GSA64" s="144"/>
      <c r="GSB64" s="144"/>
      <c r="GSC64" s="144"/>
      <c r="GSD64" s="144"/>
      <c r="GSE64" s="144"/>
      <c r="GSF64" s="144"/>
      <c r="GSG64" s="144"/>
      <c r="GSH64" s="144"/>
      <c r="GSI64" s="144"/>
      <c r="GSJ64" s="144"/>
      <c r="GSK64" s="144"/>
      <c r="GSL64" s="144"/>
      <c r="GSM64" s="144"/>
      <c r="GSN64" s="144"/>
      <c r="GSO64" s="144"/>
      <c r="GSP64" s="144"/>
      <c r="GSQ64" s="144"/>
      <c r="GSR64" s="144"/>
      <c r="GSS64" s="144"/>
      <c r="GST64" s="144"/>
      <c r="GSU64" s="144"/>
      <c r="GSV64" s="144"/>
      <c r="GSW64" s="144"/>
      <c r="GSX64" s="144"/>
      <c r="GSY64" s="144"/>
      <c r="GSZ64" s="144"/>
      <c r="GTA64" s="144"/>
      <c r="GTB64" s="144"/>
      <c r="GTC64" s="144"/>
      <c r="GTD64" s="144"/>
      <c r="GTE64" s="144"/>
      <c r="GTF64" s="144"/>
      <c r="GTG64" s="144"/>
      <c r="GTH64" s="144"/>
      <c r="GTI64" s="144"/>
      <c r="GTJ64" s="144"/>
      <c r="GTK64" s="144"/>
      <c r="GTL64" s="144"/>
      <c r="GTM64" s="144"/>
      <c r="GTN64" s="144"/>
      <c r="GTO64" s="144"/>
      <c r="GTP64" s="144"/>
      <c r="GTQ64" s="144"/>
      <c r="GTR64" s="144"/>
      <c r="GTS64" s="144"/>
      <c r="GTT64" s="144"/>
      <c r="GTU64" s="144"/>
      <c r="GTV64" s="144"/>
      <c r="GTW64" s="144"/>
      <c r="GTX64" s="144"/>
      <c r="GTY64" s="144"/>
      <c r="GTZ64" s="144"/>
      <c r="GUA64" s="144"/>
      <c r="GUB64" s="144"/>
      <c r="GUC64" s="144"/>
      <c r="GUD64" s="144"/>
      <c r="GUE64" s="144"/>
      <c r="GUF64" s="144"/>
      <c r="GUG64" s="144"/>
      <c r="GUH64" s="144"/>
      <c r="GUI64" s="144"/>
      <c r="GUJ64" s="144"/>
      <c r="GUK64" s="144"/>
      <c r="GUL64" s="144"/>
      <c r="GUM64" s="144"/>
      <c r="GUN64" s="144"/>
      <c r="GUO64" s="144"/>
      <c r="GUP64" s="144"/>
      <c r="GUQ64" s="144"/>
      <c r="GUR64" s="144"/>
      <c r="GUS64" s="144"/>
      <c r="GUT64" s="144"/>
      <c r="GUU64" s="144"/>
      <c r="GUV64" s="144"/>
      <c r="GUW64" s="144"/>
      <c r="GUX64" s="144"/>
      <c r="GUY64" s="144"/>
      <c r="GUZ64" s="144"/>
      <c r="GVA64" s="144"/>
      <c r="GVB64" s="144"/>
      <c r="GVC64" s="144"/>
      <c r="GVD64" s="144"/>
      <c r="GVE64" s="144"/>
      <c r="GVF64" s="144"/>
      <c r="GVG64" s="144"/>
      <c r="GVH64" s="144"/>
      <c r="GVI64" s="144"/>
      <c r="GVJ64" s="144"/>
      <c r="GVK64" s="144"/>
      <c r="GVL64" s="144"/>
      <c r="GVM64" s="144"/>
      <c r="GVN64" s="144"/>
      <c r="GVO64" s="144"/>
      <c r="GVP64" s="144"/>
      <c r="GVQ64" s="144"/>
      <c r="GVR64" s="144"/>
      <c r="GVS64" s="144"/>
      <c r="GVT64" s="144"/>
      <c r="GVU64" s="144"/>
      <c r="GVV64" s="144"/>
      <c r="GVW64" s="144"/>
      <c r="GVX64" s="144"/>
      <c r="GVY64" s="144"/>
      <c r="GVZ64" s="144"/>
      <c r="GWA64" s="144"/>
      <c r="GWB64" s="144"/>
      <c r="GWC64" s="144"/>
      <c r="GWD64" s="144"/>
      <c r="GWE64" s="144"/>
      <c r="GWF64" s="144"/>
      <c r="GWG64" s="144"/>
      <c r="GWH64" s="144"/>
      <c r="GWI64" s="144"/>
      <c r="GWJ64" s="144"/>
      <c r="GWK64" s="144"/>
      <c r="GWL64" s="144"/>
      <c r="GWM64" s="144"/>
      <c r="GWN64" s="144"/>
      <c r="GWO64" s="144"/>
      <c r="GWP64" s="144"/>
      <c r="GWQ64" s="144"/>
      <c r="GWR64" s="144"/>
      <c r="GWS64" s="144"/>
      <c r="GWT64" s="144"/>
      <c r="GWU64" s="144"/>
      <c r="GWV64" s="144"/>
      <c r="GWW64" s="144"/>
      <c r="GWX64" s="144"/>
      <c r="GWY64" s="144"/>
      <c r="GWZ64" s="144"/>
      <c r="GXA64" s="144"/>
      <c r="GXB64" s="144"/>
      <c r="GXC64" s="144"/>
      <c r="GXD64" s="144"/>
      <c r="GXE64" s="144"/>
      <c r="GXF64" s="144"/>
      <c r="GXG64" s="144"/>
      <c r="GXH64" s="144"/>
      <c r="GXI64" s="144"/>
      <c r="GXJ64" s="144"/>
      <c r="GXK64" s="144"/>
      <c r="GXL64" s="144"/>
      <c r="GXM64" s="144"/>
      <c r="GXN64" s="144"/>
      <c r="GXO64" s="144"/>
      <c r="GXP64" s="144"/>
      <c r="GXQ64" s="144"/>
      <c r="GXR64" s="144"/>
      <c r="GXS64" s="144"/>
      <c r="GXT64" s="144"/>
      <c r="GXU64" s="144"/>
      <c r="GXV64" s="144"/>
      <c r="GXW64" s="144"/>
      <c r="GXX64" s="144"/>
      <c r="GXY64" s="144"/>
      <c r="GXZ64" s="144"/>
      <c r="GYA64" s="144"/>
      <c r="GYB64" s="144"/>
      <c r="GYC64" s="144"/>
      <c r="GYD64" s="144"/>
      <c r="GYE64" s="144"/>
      <c r="GYF64" s="144"/>
      <c r="GYG64" s="144"/>
      <c r="GYH64" s="144"/>
      <c r="GYI64" s="144"/>
      <c r="GYJ64" s="144"/>
      <c r="GYK64" s="144"/>
      <c r="GYL64" s="144"/>
      <c r="GYM64" s="144"/>
      <c r="GYN64" s="144"/>
      <c r="GYO64" s="144"/>
      <c r="GYP64" s="144"/>
      <c r="GYQ64" s="144"/>
      <c r="GYR64" s="144"/>
      <c r="GYS64" s="144"/>
      <c r="GYT64" s="144"/>
      <c r="GYU64" s="144"/>
      <c r="GYV64" s="144"/>
      <c r="GYW64" s="144"/>
      <c r="GYX64" s="144"/>
      <c r="GYY64" s="144"/>
      <c r="GYZ64" s="144"/>
      <c r="GZA64" s="144"/>
      <c r="GZB64" s="144"/>
      <c r="GZC64" s="144"/>
      <c r="GZD64" s="144"/>
      <c r="GZE64" s="144"/>
      <c r="GZF64" s="144"/>
      <c r="GZG64" s="144"/>
      <c r="GZH64" s="144"/>
      <c r="GZI64" s="144"/>
      <c r="GZJ64" s="144"/>
      <c r="GZK64" s="144"/>
      <c r="GZL64" s="144"/>
      <c r="GZM64" s="144"/>
      <c r="GZN64" s="144"/>
      <c r="GZO64" s="144"/>
      <c r="GZP64" s="144"/>
      <c r="GZQ64" s="144"/>
      <c r="GZR64" s="144"/>
      <c r="GZS64" s="144"/>
      <c r="GZT64" s="144"/>
      <c r="GZU64" s="144"/>
      <c r="GZV64" s="144"/>
      <c r="GZW64" s="144"/>
      <c r="GZX64" s="144"/>
      <c r="GZY64" s="144"/>
      <c r="GZZ64" s="144"/>
      <c r="HAA64" s="144"/>
      <c r="HAB64" s="144"/>
      <c r="HAC64" s="144"/>
      <c r="HAD64" s="144"/>
      <c r="HAE64" s="144"/>
      <c r="HAF64" s="144"/>
      <c r="HAG64" s="144"/>
      <c r="HAH64" s="144"/>
      <c r="HAI64" s="144"/>
      <c r="HAJ64" s="144"/>
      <c r="HAK64" s="144"/>
      <c r="HAL64" s="144"/>
      <c r="HAM64" s="144"/>
      <c r="HAN64" s="144"/>
      <c r="HAO64" s="144"/>
      <c r="HAP64" s="144"/>
      <c r="HAQ64" s="144"/>
      <c r="HAR64" s="144"/>
      <c r="HAS64" s="144"/>
      <c r="HAT64" s="144"/>
      <c r="HAU64" s="144"/>
      <c r="HAV64" s="144"/>
      <c r="HAW64" s="144"/>
      <c r="HAX64" s="144"/>
      <c r="HAY64" s="144"/>
      <c r="HAZ64" s="144"/>
      <c r="HBA64" s="144"/>
      <c r="HBB64" s="144"/>
      <c r="HBC64" s="144"/>
      <c r="HBD64" s="144"/>
      <c r="HBE64" s="144"/>
      <c r="HBF64" s="144"/>
      <c r="HBG64" s="144"/>
      <c r="HBH64" s="144"/>
      <c r="HBI64" s="144"/>
      <c r="HBJ64" s="144"/>
      <c r="HBK64" s="144"/>
      <c r="HBL64" s="144"/>
      <c r="HBM64" s="144"/>
      <c r="HBN64" s="144"/>
      <c r="HBO64" s="144"/>
      <c r="HBP64" s="144"/>
      <c r="HBQ64" s="144"/>
      <c r="HBR64" s="144"/>
      <c r="HBS64" s="144"/>
      <c r="HBT64" s="144"/>
      <c r="HBU64" s="144"/>
      <c r="HBV64" s="144"/>
      <c r="HBW64" s="144"/>
      <c r="HBX64" s="144"/>
      <c r="HBY64" s="144"/>
      <c r="HBZ64" s="144"/>
      <c r="HCA64" s="144"/>
      <c r="HCB64" s="144"/>
      <c r="HCC64" s="144"/>
      <c r="HCD64" s="144"/>
      <c r="HCE64" s="144"/>
      <c r="HCF64" s="144"/>
      <c r="HCG64" s="144"/>
      <c r="HCH64" s="144"/>
      <c r="HCI64" s="144"/>
      <c r="HCJ64" s="144"/>
      <c r="HCK64" s="144"/>
      <c r="HCL64" s="144"/>
      <c r="HCM64" s="144"/>
      <c r="HCN64" s="144"/>
      <c r="HCO64" s="144"/>
      <c r="HCP64" s="144"/>
      <c r="HCQ64" s="144"/>
      <c r="HCR64" s="144"/>
      <c r="HCS64" s="144"/>
      <c r="HCT64" s="144"/>
      <c r="HCU64" s="144"/>
      <c r="HCV64" s="144"/>
      <c r="HCW64" s="144"/>
      <c r="HCX64" s="144"/>
      <c r="HCY64" s="144"/>
      <c r="HCZ64" s="144"/>
      <c r="HDA64" s="144"/>
      <c r="HDB64" s="144"/>
      <c r="HDC64" s="144"/>
      <c r="HDD64" s="144"/>
      <c r="HDE64" s="144"/>
      <c r="HDF64" s="144"/>
      <c r="HDG64" s="144"/>
      <c r="HDH64" s="144"/>
      <c r="HDI64" s="144"/>
      <c r="HDJ64" s="144"/>
      <c r="HDK64" s="144"/>
      <c r="HDL64" s="144"/>
      <c r="HDM64" s="144"/>
      <c r="HDN64" s="144"/>
      <c r="HDO64" s="144"/>
      <c r="HDP64" s="144"/>
      <c r="HDQ64" s="144"/>
      <c r="HDR64" s="144"/>
      <c r="HDS64" s="144"/>
      <c r="HDT64" s="144"/>
      <c r="HDU64" s="144"/>
      <c r="HDV64" s="144"/>
      <c r="HDW64" s="144"/>
      <c r="HDX64" s="144"/>
      <c r="HDY64" s="144"/>
      <c r="HDZ64" s="144"/>
      <c r="HEA64" s="144"/>
      <c r="HEB64" s="144"/>
      <c r="HEC64" s="144"/>
      <c r="HED64" s="144"/>
      <c r="HEE64" s="144"/>
      <c r="HEF64" s="144"/>
      <c r="HEG64" s="144"/>
      <c r="HEH64" s="144"/>
      <c r="HEI64" s="144"/>
      <c r="HEJ64" s="144"/>
      <c r="HEK64" s="144"/>
      <c r="HEL64" s="144"/>
      <c r="HEM64" s="144"/>
      <c r="HEN64" s="144"/>
      <c r="HEO64" s="144"/>
      <c r="HEP64" s="144"/>
      <c r="HEQ64" s="144"/>
      <c r="HER64" s="144"/>
      <c r="HES64" s="144"/>
      <c r="HET64" s="144"/>
      <c r="HEU64" s="144"/>
      <c r="HEV64" s="144"/>
      <c r="HEW64" s="144"/>
      <c r="HEX64" s="144"/>
      <c r="HEY64" s="144"/>
      <c r="HEZ64" s="144"/>
      <c r="HFA64" s="144"/>
      <c r="HFB64" s="144"/>
      <c r="HFC64" s="144"/>
      <c r="HFD64" s="144"/>
      <c r="HFE64" s="144"/>
      <c r="HFF64" s="144"/>
      <c r="HFG64" s="144"/>
      <c r="HFH64" s="144"/>
      <c r="HFI64" s="144"/>
      <c r="HFJ64" s="144"/>
      <c r="HFK64" s="144"/>
      <c r="HFL64" s="144"/>
      <c r="HFM64" s="144"/>
      <c r="HFN64" s="144"/>
      <c r="HFO64" s="144"/>
      <c r="HFP64" s="144"/>
      <c r="HFQ64" s="144"/>
      <c r="HFR64" s="144"/>
      <c r="HFS64" s="144"/>
      <c r="HFT64" s="144"/>
      <c r="HFU64" s="144"/>
      <c r="HFV64" s="144"/>
      <c r="HFW64" s="144"/>
      <c r="HFX64" s="144"/>
      <c r="HFY64" s="144"/>
      <c r="HFZ64" s="144"/>
      <c r="HGA64" s="144"/>
      <c r="HGB64" s="144"/>
      <c r="HGC64" s="144"/>
      <c r="HGD64" s="144"/>
      <c r="HGE64" s="144"/>
      <c r="HGF64" s="144"/>
      <c r="HGG64" s="144"/>
      <c r="HGH64" s="144"/>
      <c r="HGI64" s="144"/>
      <c r="HGJ64" s="144"/>
      <c r="HGK64" s="144"/>
      <c r="HGL64" s="144"/>
      <c r="HGM64" s="144"/>
      <c r="HGN64" s="144"/>
      <c r="HGO64" s="144"/>
      <c r="HGP64" s="144"/>
      <c r="HGQ64" s="144"/>
      <c r="HGR64" s="144"/>
      <c r="HGS64" s="144"/>
      <c r="HGT64" s="144"/>
      <c r="HGU64" s="144"/>
      <c r="HGV64" s="144"/>
      <c r="HGW64" s="144"/>
      <c r="HGX64" s="144"/>
      <c r="HGY64" s="144"/>
      <c r="HGZ64" s="144"/>
      <c r="HHA64" s="144"/>
      <c r="HHB64" s="144"/>
      <c r="HHC64" s="144"/>
      <c r="HHD64" s="144"/>
      <c r="HHE64" s="144"/>
      <c r="HHF64" s="144"/>
      <c r="HHG64" s="144"/>
      <c r="HHH64" s="144"/>
      <c r="HHI64" s="144"/>
      <c r="HHJ64" s="144"/>
      <c r="HHK64" s="144"/>
      <c r="HHL64" s="144"/>
      <c r="HHM64" s="144"/>
      <c r="HHN64" s="144"/>
      <c r="HHO64" s="144"/>
      <c r="HHP64" s="144"/>
      <c r="HHQ64" s="144"/>
      <c r="HHR64" s="144"/>
      <c r="HHS64" s="144"/>
      <c r="HHT64" s="144"/>
      <c r="HHU64" s="144"/>
      <c r="HHV64" s="144"/>
      <c r="HHW64" s="144"/>
      <c r="HHX64" s="144"/>
      <c r="HHY64" s="144"/>
      <c r="HHZ64" s="144"/>
      <c r="HIA64" s="144"/>
      <c r="HIB64" s="144"/>
      <c r="HIC64" s="144"/>
      <c r="HID64" s="144"/>
      <c r="HIE64" s="144"/>
      <c r="HIF64" s="144"/>
      <c r="HIG64" s="144"/>
      <c r="HIH64" s="144"/>
      <c r="HII64" s="144"/>
      <c r="HIJ64" s="144"/>
      <c r="HIK64" s="144"/>
      <c r="HIL64" s="144"/>
      <c r="HIM64" s="144"/>
      <c r="HIN64" s="144"/>
      <c r="HIO64" s="144"/>
      <c r="HIP64" s="144"/>
      <c r="HIQ64" s="144"/>
      <c r="HIR64" s="144"/>
      <c r="HIS64" s="144"/>
      <c r="HIT64" s="144"/>
      <c r="HIU64" s="144"/>
      <c r="HIV64" s="144"/>
      <c r="HIW64" s="144"/>
      <c r="HIX64" s="144"/>
      <c r="HIY64" s="144"/>
      <c r="HIZ64" s="144"/>
      <c r="HJA64" s="144"/>
      <c r="HJB64" s="144"/>
      <c r="HJC64" s="144"/>
      <c r="HJD64" s="144"/>
      <c r="HJE64" s="144"/>
      <c r="HJF64" s="144"/>
      <c r="HJG64" s="144"/>
      <c r="HJH64" s="144"/>
      <c r="HJI64" s="144"/>
      <c r="HJJ64" s="144"/>
      <c r="HJK64" s="144"/>
      <c r="HJL64" s="144"/>
      <c r="HJM64" s="144"/>
      <c r="HJN64" s="144"/>
      <c r="HJO64" s="144"/>
      <c r="HJP64" s="144"/>
      <c r="HJQ64" s="144"/>
      <c r="HJR64" s="144"/>
      <c r="HJS64" s="144"/>
      <c r="HJT64" s="144"/>
      <c r="HJU64" s="144"/>
      <c r="HJV64" s="144"/>
      <c r="HJW64" s="144"/>
      <c r="HJX64" s="144"/>
      <c r="HJY64" s="144"/>
      <c r="HJZ64" s="144"/>
      <c r="HKA64" s="144"/>
      <c r="HKB64" s="144"/>
      <c r="HKC64" s="144"/>
      <c r="HKD64" s="144"/>
      <c r="HKE64" s="144"/>
      <c r="HKF64" s="144"/>
      <c r="HKG64" s="144"/>
      <c r="HKH64" s="144"/>
      <c r="HKI64" s="144"/>
      <c r="HKJ64" s="144"/>
      <c r="HKK64" s="144"/>
      <c r="HKL64" s="144"/>
      <c r="HKM64" s="144"/>
      <c r="HKN64" s="144"/>
      <c r="HKO64" s="144"/>
      <c r="HKP64" s="144"/>
      <c r="HKQ64" s="144"/>
      <c r="HKR64" s="144"/>
      <c r="HKS64" s="144"/>
      <c r="HKT64" s="144"/>
      <c r="HKU64" s="144"/>
      <c r="HKV64" s="144"/>
      <c r="HKW64" s="144"/>
      <c r="HKX64" s="144"/>
      <c r="HKY64" s="144"/>
      <c r="HKZ64" s="144"/>
      <c r="HLA64" s="144"/>
      <c r="HLB64" s="144"/>
      <c r="HLC64" s="144"/>
      <c r="HLD64" s="144"/>
      <c r="HLE64" s="144"/>
      <c r="HLF64" s="144"/>
      <c r="HLG64" s="144"/>
      <c r="HLH64" s="144"/>
      <c r="HLI64" s="144"/>
      <c r="HLJ64" s="144"/>
      <c r="HLK64" s="144"/>
      <c r="HLL64" s="144"/>
      <c r="HLM64" s="144"/>
      <c r="HLN64" s="144"/>
      <c r="HLO64" s="144"/>
      <c r="HLP64" s="144"/>
      <c r="HLQ64" s="144"/>
      <c r="HLR64" s="144"/>
      <c r="HLS64" s="144"/>
      <c r="HLT64" s="144"/>
      <c r="HLU64" s="144"/>
      <c r="HLV64" s="144"/>
      <c r="HLW64" s="144"/>
      <c r="HLX64" s="144"/>
      <c r="HLY64" s="144"/>
      <c r="HLZ64" s="144"/>
      <c r="HMA64" s="144"/>
      <c r="HMB64" s="144"/>
      <c r="HMC64" s="144"/>
      <c r="HMD64" s="144"/>
      <c r="HME64" s="144"/>
      <c r="HMF64" s="144"/>
      <c r="HMG64" s="144"/>
      <c r="HMH64" s="144"/>
      <c r="HMI64" s="144"/>
      <c r="HMJ64" s="144"/>
      <c r="HMK64" s="144"/>
      <c r="HML64" s="144"/>
      <c r="HMM64" s="144"/>
      <c r="HMN64" s="144"/>
      <c r="HMO64" s="144"/>
      <c r="HMP64" s="144"/>
      <c r="HMQ64" s="144"/>
      <c r="HMR64" s="144"/>
      <c r="HMS64" s="144"/>
      <c r="HMT64" s="144"/>
      <c r="HMU64" s="144"/>
      <c r="HMV64" s="144"/>
      <c r="HMW64" s="144"/>
      <c r="HMX64" s="144"/>
      <c r="HMY64" s="144"/>
      <c r="HMZ64" s="144"/>
      <c r="HNA64" s="144"/>
      <c r="HNB64" s="144"/>
      <c r="HNC64" s="144"/>
      <c r="HND64" s="144"/>
      <c r="HNE64" s="144"/>
      <c r="HNF64" s="144"/>
      <c r="HNG64" s="144"/>
      <c r="HNH64" s="144"/>
      <c r="HNI64" s="144"/>
      <c r="HNJ64" s="144"/>
      <c r="HNK64" s="144"/>
      <c r="HNL64" s="144"/>
      <c r="HNM64" s="144"/>
      <c r="HNN64" s="144"/>
      <c r="HNO64" s="144"/>
      <c r="HNP64" s="144"/>
      <c r="HNQ64" s="144"/>
      <c r="HNR64" s="144"/>
      <c r="HNS64" s="144"/>
      <c r="HNT64" s="144"/>
      <c r="HNU64" s="144"/>
      <c r="HNV64" s="144"/>
      <c r="HNW64" s="144"/>
      <c r="HNX64" s="144"/>
      <c r="HNY64" s="144"/>
      <c r="HNZ64" s="144"/>
      <c r="HOA64" s="144"/>
      <c r="HOB64" s="144"/>
      <c r="HOC64" s="144"/>
      <c r="HOD64" s="144"/>
      <c r="HOE64" s="144"/>
      <c r="HOF64" s="144"/>
      <c r="HOG64" s="144"/>
      <c r="HOH64" s="144"/>
      <c r="HOI64" s="144"/>
      <c r="HOJ64" s="144"/>
      <c r="HOK64" s="144"/>
      <c r="HOL64" s="144"/>
      <c r="HOM64" s="144"/>
      <c r="HON64" s="144"/>
      <c r="HOO64" s="144"/>
      <c r="HOP64" s="144"/>
      <c r="HOQ64" s="144"/>
      <c r="HOR64" s="144"/>
      <c r="HOS64" s="144"/>
      <c r="HOT64" s="144"/>
      <c r="HOU64" s="144"/>
      <c r="HOV64" s="144"/>
      <c r="HOW64" s="144"/>
      <c r="HOX64" s="144"/>
      <c r="HOY64" s="144"/>
      <c r="HOZ64" s="144"/>
      <c r="HPA64" s="144"/>
      <c r="HPB64" s="144"/>
      <c r="HPC64" s="144"/>
      <c r="HPD64" s="144"/>
      <c r="HPE64" s="144"/>
      <c r="HPF64" s="144"/>
      <c r="HPG64" s="144"/>
      <c r="HPH64" s="144"/>
      <c r="HPI64" s="144"/>
      <c r="HPJ64" s="144"/>
      <c r="HPK64" s="144"/>
      <c r="HPL64" s="144"/>
      <c r="HPM64" s="144"/>
      <c r="HPN64" s="144"/>
      <c r="HPO64" s="144"/>
      <c r="HPP64" s="144"/>
      <c r="HPQ64" s="144"/>
      <c r="HPR64" s="144"/>
      <c r="HPS64" s="144"/>
      <c r="HPT64" s="144"/>
      <c r="HPU64" s="144"/>
      <c r="HPV64" s="144"/>
      <c r="HPW64" s="144"/>
      <c r="HPX64" s="144"/>
      <c r="HPY64" s="144"/>
      <c r="HPZ64" s="144"/>
      <c r="HQA64" s="144"/>
      <c r="HQB64" s="144"/>
      <c r="HQC64" s="144"/>
      <c r="HQD64" s="144"/>
      <c r="HQE64" s="144"/>
      <c r="HQF64" s="144"/>
      <c r="HQG64" s="144"/>
      <c r="HQH64" s="144"/>
      <c r="HQI64" s="144"/>
      <c r="HQJ64" s="144"/>
      <c r="HQK64" s="144"/>
      <c r="HQL64" s="144"/>
      <c r="HQM64" s="144"/>
      <c r="HQN64" s="144"/>
      <c r="HQO64" s="144"/>
      <c r="HQP64" s="144"/>
      <c r="HQQ64" s="144"/>
      <c r="HQR64" s="144"/>
      <c r="HQS64" s="144"/>
      <c r="HQT64" s="144"/>
      <c r="HQU64" s="144"/>
      <c r="HQV64" s="144"/>
      <c r="HQW64" s="144"/>
      <c r="HQX64" s="144"/>
      <c r="HQY64" s="144"/>
      <c r="HQZ64" s="144"/>
      <c r="HRA64" s="144"/>
      <c r="HRB64" s="144"/>
      <c r="HRC64" s="144"/>
      <c r="HRD64" s="144"/>
      <c r="HRE64" s="144"/>
      <c r="HRF64" s="144"/>
      <c r="HRG64" s="144"/>
      <c r="HRH64" s="144"/>
      <c r="HRI64" s="144"/>
      <c r="HRJ64" s="144"/>
      <c r="HRK64" s="144"/>
      <c r="HRL64" s="144"/>
      <c r="HRM64" s="144"/>
      <c r="HRN64" s="144"/>
      <c r="HRO64" s="144"/>
      <c r="HRP64" s="144"/>
      <c r="HRQ64" s="144"/>
      <c r="HRR64" s="144"/>
      <c r="HRS64" s="144"/>
      <c r="HRT64" s="144"/>
      <c r="HRU64" s="144"/>
      <c r="HRV64" s="144"/>
      <c r="HRW64" s="144"/>
      <c r="HRX64" s="144"/>
      <c r="HRY64" s="144"/>
      <c r="HRZ64" s="144"/>
      <c r="HSA64" s="144"/>
      <c r="HSB64" s="144"/>
      <c r="HSC64" s="144"/>
      <c r="HSD64" s="144"/>
      <c r="HSE64" s="144"/>
      <c r="HSF64" s="144"/>
      <c r="HSG64" s="144"/>
      <c r="HSH64" s="144"/>
      <c r="HSI64" s="144"/>
      <c r="HSJ64" s="144"/>
      <c r="HSK64" s="144"/>
      <c r="HSL64" s="144"/>
      <c r="HSM64" s="144"/>
      <c r="HSN64" s="144"/>
      <c r="HSO64" s="144"/>
      <c r="HSP64" s="144"/>
      <c r="HSQ64" s="144"/>
      <c r="HSR64" s="144"/>
      <c r="HSS64" s="144"/>
      <c r="HST64" s="144"/>
      <c r="HSU64" s="144"/>
      <c r="HSV64" s="144"/>
      <c r="HSW64" s="144"/>
      <c r="HSX64" s="144"/>
      <c r="HSY64" s="144"/>
      <c r="HSZ64" s="144"/>
      <c r="HTA64" s="144"/>
      <c r="HTB64" s="144"/>
      <c r="HTC64" s="144"/>
      <c r="HTD64" s="144"/>
      <c r="HTE64" s="144"/>
      <c r="HTF64" s="144"/>
      <c r="HTG64" s="144"/>
      <c r="HTH64" s="144"/>
      <c r="HTI64" s="144"/>
      <c r="HTJ64" s="144"/>
      <c r="HTK64" s="144"/>
      <c r="HTL64" s="144"/>
      <c r="HTM64" s="144"/>
      <c r="HTN64" s="144"/>
      <c r="HTO64" s="144"/>
      <c r="HTP64" s="144"/>
      <c r="HTQ64" s="144"/>
      <c r="HTR64" s="144"/>
      <c r="HTS64" s="144"/>
      <c r="HTT64" s="144"/>
      <c r="HTU64" s="144"/>
      <c r="HTV64" s="144"/>
      <c r="HTW64" s="144"/>
      <c r="HTX64" s="144"/>
      <c r="HTY64" s="144"/>
      <c r="HTZ64" s="144"/>
      <c r="HUA64" s="144"/>
      <c r="HUB64" s="144"/>
      <c r="HUC64" s="144"/>
      <c r="HUD64" s="144"/>
      <c r="HUE64" s="144"/>
      <c r="HUF64" s="144"/>
      <c r="HUG64" s="144"/>
      <c r="HUH64" s="144"/>
      <c r="HUI64" s="144"/>
      <c r="HUJ64" s="144"/>
      <c r="HUK64" s="144"/>
      <c r="HUL64" s="144"/>
      <c r="HUM64" s="144"/>
      <c r="HUN64" s="144"/>
      <c r="HUO64" s="144"/>
      <c r="HUP64" s="144"/>
      <c r="HUQ64" s="144"/>
      <c r="HUR64" s="144"/>
      <c r="HUS64" s="144"/>
      <c r="HUT64" s="144"/>
      <c r="HUU64" s="144"/>
      <c r="HUV64" s="144"/>
      <c r="HUW64" s="144"/>
      <c r="HUX64" s="144"/>
      <c r="HUY64" s="144"/>
      <c r="HUZ64" s="144"/>
      <c r="HVA64" s="144"/>
      <c r="HVB64" s="144"/>
      <c r="HVC64" s="144"/>
      <c r="HVD64" s="144"/>
      <c r="HVE64" s="144"/>
      <c r="HVF64" s="144"/>
      <c r="HVG64" s="144"/>
      <c r="HVH64" s="144"/>
      <c r="HVI64" s="144"/>
      <c r="HVJ64" s="144"/>
      <c r="HVK64" s="144"/>
      <c r="HVL64" s="144"/>
      <c r="HVM64" s="144"/>
      <c r="HVN64" s="144"/>
      <c r="HVO64" s="144"/>
      <c r="HVP64" s="144"/>
      <c r="HVQ64" s="144"/>
      <c r="HVR64" s="144"/>
      <c r="HVS64" s="144"/>
      <c r="HVT64" s="144"/>
      <c r="HVU64" s="144"/>
      <c r="HVV64" s="144"/>
      <c r="HVW64" s="144"/>
      <c r="HVX64" s="144"/>
      <c r="HVY64" s="144"/>
      <c r="HVZ64" s="144"/>
      <c r="HWA64" s="144"/>
      <c r="HWB64" s="144"/>
      <c r="HWC64" s="144"/>
      <c r="HWD64" s="144"/>
      <c r="HWE64" s="144"/>
      <c r="HWF64" s="144"/>
      <c r="HWG64" s="144"/>
      <c r="HWH64" s="144"/>
      <c r="HWI64" s="144"/>
      <c r="HWJ64" s="144"/>
      <c r="HWK64" s="144"/>
      <c r="HWL64" s="144"/>
      <c r="HWM64" s="144"/>
      <c r="HWN64" s="144"/>
      <c r="HWO64" s="144"/>
      <c r="HWP64" s="144"/>
      <c r="HWQ64" s="144"/>
      <c r="HWR64" s="144"/>
      <c r="HWS64" s="144"/>
      <c r="HWT64" s="144"/>
      <c r="HWU64" s="144"/>
      <c r="HWV64" s="144"/>
      <c r="HWW64" s="144"/>
      <c r="HWX64" s="144"/>
      <c r="HWY64" s="144"/>
      <c r="HWZ64" s="144"/>
      <c r="HXA64" s="144"/>
      <c r="HXB64" s="144"/>
      <c r="HXC64" s="144"/>
      <c r="HXD64" s="144"/>
      <c r="HXE64" s="144"/>
      <c r="HXF64" s="144"/>
      <c r="HXG64" s="144"/>
      <c r="HXH64" s="144"/>
      <c r="HXI64" s="144"/>
      <c r="HXJ64" s="144"/>
      <c r="HXK64" s="144"/>
      <c r="HXL64" s="144"/>
      <c r="HXM64" s="144"/>
      <c r="HXN64" s="144"/>
      <c r="HXO64" s="144"/>
      <c r="HXP64" s="144"/>
      <c r="HXQ64" s="144"/>
      <c r="HXR64" s="144"/>
      <c r="HXS64" s="144"/>
      <c r="HXT64" s="144"/>
      <c r="HXU64" s="144"/>
      <c r="HXV64" s="144"/>
      <c r="HXW64" s="144"/>
      <c r="HXX64" s="144"/>
      <c r="HXY64" s="144"/>
      <c r="HXZ64" s="144"/>
      <c r="HYA64" s="144"/>
      <c r="HYB64" s="144"/>
      <c r="HYC64" s="144"/>
      <c r="HYD64" s="144"/>
      <c r="HYE64" s="144"/>
      <c r="HYF64" s="144"/>
      <c r="HYG64" s="144"/>
      <c r="HYH64" s="144"/>
      <c r="HYI64" s="144"/>
      <c r="HYJ64" s="144"/>
      <c r="HYK64" s="144"/>
      <c r="HYL64" s="144"/>
      <c r="HYM64" s="144"/>
      <c r="HYN64" s="144"/>
      <c r="HYO64" s="144"/>
      <c r="HYP64" s="144"/>
      <c r="HYQ64" s="144"/>
      <c r="HYR64" s="144"/>
      <c r="HYS64" s="144"/>
      <c r="HYT64" s="144"/>
      <c r="HYU64" s="144"/>
      <c r="HYV64" s="144"/>
      <c r="HYW64" s="144"/>
      <c r="HYX64" s="144"/>
      <c r="HYY64" s="144"/>
      <c r="HYZ64" s="144"/>
      <c r="HZA64" s="144"/>
      <c r="HZB64" s="144"/>
      <c r="HZC64" s="144"/>
      <c r="HZD64" s="144"/>
      <c r="HZE64" s="144"/>
      <c r="HZF64" s="144"/>
      <c r="HZG64" s="144"/>
      <c r="HZH64" s="144"/>
      <c r="HZI64" s="144"/>
      <c r="HZJ64" s="144"/>
      <c r="HZK64" s="144"/>
      <c r="HZL64" s="144"/>
      <c r="HZM64" s="144"/>
      <c r="HZN64" s="144"/>
      <c r="HZO64" s="144"/>
      <c r="HZP64" s="144"/>
      <c r="HZQ64" s="144"/>
      <c r="HZR64" s="144"/>
      <c r="HZS64" s="144"/>
      <c r="HZT64" s="144"/>
      <c r="HZU64" s="144"/>
      <c r="HZV64" s="144"/>
      <c r="HZW64" s="144"/>
      <c r="HZX64" s="144"/>
      <c r="HZY64" s="144"/>
      <c r="HZZ64" s="144"/>
      <c r="IAA64" s="144"/>
      <c r="IAB64" s="144"/>
      <c r="IAC64" s="144"/>
      <c r="IAD64" s="144"/>
      <c r="IAE64" s="144"/>
      <c r="IAF64" s="144"/>
      <c r="IAG64" s="144"/>
      <c r="IAH64" s="144"/>
      <c r="IAI64" s="144"/>
      <c r="IAJ64" s="144"/>
      <c r="IAK64" s="144"/>
      <c r="IAL64" s="144"/>
      <c r="IAM64" s="144"/>
      <c r="IAN64" s="144"/>
      <c r="IAO64" s="144"/>
      <c r="IAP64" s="144"/>
      <c r="IAQ64" s="144"/>
      <c r="IAR64" s="144"/>
      <c r="IAS64" s="144"/>
      <c r="IAT64" s="144"/>
      <c r="IAU64" s="144"/>
      <c r="IAV64" s="144"/>
      <c r="IAW64" s="144"/>
      <c r="IAX64" s="144"/>
      <c r="IAY64" s="144"/>
      <c r="IAZ64" s="144"/>
      <c r="IBA64" s="144"/>
      <c r="IBB64" s="144"/>
      <c r="IBC64" s="144"/>
      <c r="IBD64" s="144"/>
      <c r="IBE64" s="144"/>
      <c r="IBF64" s="144"/>
      <c r="IBG64" s="144"/>
      <c r="IBH64" s="144"/>
      <c r="IBI64" s="144"/>
      <c r="IBJ64" s="144"/>
      <c r="IBK64" s="144"/>
      <c r="IBL64" s="144"/>
      <c r="IBM64" s="144"/>
      <c r="IBN64" s="144"/>
      <c r="IBO64" s="144"/>
      <c r="IBP64" s="144"/>
      <c r="IBQ64" s="144"/>
      <c r="IBR64" s="144"/>
      <c r="IBS64" s="144"/>
      <c r="IBT64" s="144"/>
      <c r="IBU64" s="144"/>
      <c r="IBV64" s="144"/>
      <c r="IBW64" s="144"/>
      <c r="IBX64" s="144"/>
      <c r="IBY64" s="144"/>
      <c r="IBZ64" s="144"/>
      <c r="ICA64" s="144"/>
      <c r="ICB64" s="144"/>
      <c r="ICC64" s="144"/>
      <c r="ICD64" s="144"/>
      <c r="ICE64" s="144"/>
      <c r="ICF64" s="144"/>
      <c r="ICG64" s="144"/>
      <c r="ICH64" s="144"/>
      <c r="ICI64" s="144"/>
      <c r="ICJ64" s="144"/>
      <c r="ICK64" s="144"/>
      <c r="ICL64" s="144"/>
      <c r="ICM64" s="144"/>
      <c r="ICN64" s="144"/>
      <c r="ICO64" s="144"/>
      <c r="ICP64" s="144"/>
      <c r="ICQ64" s="144"/>
      <c r="ICR64" s="144"/>
      <c r="ICS64" s="144"/>
      <c r="ICT64" s="144"/>
      <c r="ICU64" s="144"/>
      <c r="ICV64" s="144"/>
      <c r="ICW64" s="144"/>
      <c r="ICX64" s="144"/>
      <c r="ICY64" s="144"/>
      <c r="ICZ64" s="144"/>
      <c r="IDA64" s="144"/>
      <c r="IDB64" s="144"/>
      <c r="IDC64" s="144"/>
      <c r="IDD64" s="144"/>
      <c r="IDE64" s="144"/>
      <c r="IDF64" s="144"/>
      <c r="IDG64" s="144"/>
      <c r="IDH64" s="144"/>
      <c r="IDI64" s="144"/>
      <c r="IDJ64" s="144"/>
      <c r="IDK64" s="144"/>
      <c r="IDL64" s="144"/>
      <c r="IDM64" s="144"/>
      <c r="IDN64" s="144"/>
      <c r="IDO64" s="144"/>
      <c r="IDP64" s="144"/>
      <c r="IDQ64" s="144"/>
      <c r="IDR64" s="144"/>
      <c r="IDS64" s="144"/>
      <c r="IDT64" s="144"/>
      <c r="IDU64" s="144"/>
      <c r="IDV64" s="144"/>
      <c r="IDW64" s="144"/>
      <c r="IDX64" s="144"/>
      <c r="IDY64" s="144"/>
      <c r="IDZ64" s="144"/>
      <c r="IEA64" s="144"/>
      <c r="IEB64" s="144"/>
      <c r="IEC64" s="144"/>
      <c r="IED64" s="144"/>
      <c r="IEE64" s="144"/>
      <c r="IEF64" s="144"/>
      <c r="IEG64" s="144"/>
      <c r="IEH64" s="144"/>
      <c r="IEI64" s="144"/>
      <c r="IEJ64" s="144"/>
      <c r="IEK64" s="144"/>
      <c r="IEL64" s="144"/>
      <c r="IEM64" s="144"/>
      <c r="IEN64" s="144"/>
      <c r="IEO64" s="144"/>
      <c r="IEP64" s="144"/>
      <c r="IEQ64" s="144"/>
      <c r="IER64" s="144"/>
      <c r="IES64" s="144"/>
      <c r="IET64" s="144"/>
      <c r="IEU64" s="144"/>
      <c r="IEV64" s="144"/>
      <c r="IEW64" s="144"/>
      <c r="IEX64" s="144"/>
      <c r="IEY64" s="144"/>
      <c r="IEZ64" s="144"/>
      <c r="IFA64" s="144"/>
      <c r="IFB64" s="144"/>
      <c r="IFC64" s="144"/>
      <c r="IFD64" s="144"/>
      <c r="IFE64" s="144"/>
      <c r="IFF64" s="144"/>
      <c r="IFG64" s="144"/>
      <c r="IFH64" s="144"/>
      <c r="IFI64" s="144"/>
      <c r="IFJ64" s="144"/>
      <c r="IFK64" s="144"/>
      <c r="IFL64" s="144"/>
      <c r="IFM64" s="144"/>
      <c r="IFN64" s="144"/>
      <c r="IFO64" s="144"/>
      <c r="IFP64" s="144"/>
      <c r="IFQ64" s="144"/>
      <c r="IFR64" s="144"/>
      <c r="IFS64" s="144"/>
      <c r="IFT64" s="144"/>
      <c r="IFU64" s="144"/>
      <c r="IFV64" s="144"/>
      <c r="IFW64" s="144"/>
      <c r="IFX64" s="144"/>
      <c r="IFY64" s="144"/>
      <c r="IFZ64" s="144"/>
      <c r="IGA64" s="144"/>
      <c r="IGB64" s="144"/>
      <c r="IGC64" s="144"/>
      <c r="IGD64" s="144"/>
      <c r="IGE64" s="144"/>
      <c r="IGF64" s="144"/>
      <c r="IGG64" s="144"/>
      <c r="IGH64" s="144"/>
      <c r="IGI64" s="144"/>
      <c r="IGJ64" s="144"/>
      <c r="IGK64" s="144"/>
      <c r="IGL64" s="144"/>
      <c r="IGM64" s="144"/>
      <c r="IGN64" s="144"/>
      <c r="IGO64" s="144"/>
      <c r="IGP64" s="144"/>
      <c r="IGQ64" s="144"/>
      <c r="IGR64" s="144"/>
      <c r="IGS64" s="144"/>
      <c r="IGT64" s="144"/>
      <c r="IGU64" s="144"/>
      <c r="IGV64" s="144"/>
      <c r="IGW64" s="144"/>
      <c r="IGX64" s="144"/>
      <c r="IGY64" s="144"/>
      <c r="IGZ64" s="144"/>
      <c r="IHA64" s="144"/>
      <c r="IHB64" s="144"/>
      <c r="IHC64" s="144"/>
      <c r="IHD64" s="144"/>
      <c r="IHE64" s="144"/>
      <c r="IHF64" s="144"/>
      <c r="IHG64" s="144"/>
      <c r="IHH64" s="144"/>
      <c r="IHI64" s="144"/>
      <c r="IHJ64" s="144"/>
      <c r="IHK64" s="144"/>
      <c r="IHL64" s="144"/>
      <c r="IHM64" s="144"/>
      <c r="IHN64" s="144"/>
      <c r="IHO64" s="144"/>
      <c r="IHP64" s="144"/>
      <c r="IHQ64" s="144"/>
      <c r="IHR64" s="144"/>
      <c r="IHS64" s="144"/>
      <c r="IHT64" s="144"/>
      <c r="IHU64" s="144"/>
      <c r="IHV64" s="144"/>
      <c r="IHW64" s="144"/>
      <c r="IHX64" s="144"/>
      <c r="IHY64" s="144"/>
      <c r="IHZ64" s="144"/>
      <c r="IIA64" s="144"/>
      <c r="IIB64" s="144"/>
      <c r="IIC64" s="144"/>
      <c r="IID64" s="144"/>
      <c r="IIE64" s="144"/>
      <c r="IIF64" s="144"/>
      <c r="IIG64" s="144"/>
      <c r="IIH64" s="144"/>
      <c r="III64" s="144"/>
      <c r="IIJ64" s="144"/>
      <c r="IIK64" s="144"/>
      <c r="IIL64" s="144"/>
      <c r="IIM64" s="144"/>
      <c r="IIN64" s="144"/>
      <c r="IIO64" s="144"/>
      <c r="IIP64" s="144"/>
      <c r="IIQ64" s="144"/>
      <c r="IIR64" s="144"/>
      <c r="IIS64" s="144"/>
      <c r="IIT64" s="144"/>
      <c r="IIU64" s="144"/>
      <c r="IIV64" s="144"/>
      <c r="IIW64" s="144"/>
      <c r="IIX64" s="144"/>
      <c r="IIY64" s="144"/>
      <c r="IIZ64" s="144"/>
      <c r="IJA64" s="144"/>
      <c r="IJB64" s="144"/>
      <c r="IJC64" s="144"/>
      <c r="IJD64" s="144"/>
      <c r="IJE64" s="144"/>
      <c r="IJF64" s="144"/>
      <c r="IJG64" s="144"/>
      <c r="IJH64" s="144"/>
      <c r="IJI64" s="144"/>
      <c r="IJJ64" s="144"/>
      <c r="IJK64" s="144"/>
      <c r="IJL64" s="144"/>
      <c r="IJM64" s="144"/>
      <c r="IJN64" s="144"/>
      <c r="IJO64" s="144"/>
      <c r="IJP64" s="144"/>
      <c r="IJQ64" s="144"/>
      <c r="IJR64" s="144"/>
      <c r="IJS64" s="144"/>
      <c r="IJT64" s="144"/>
      <c r="IJU64" s="144"/>
      <c r="IJV64" s="144"/>
      <c r="IJW64" s="144"/>
      <c r="IJX64" s="144"/>
      <c r="IJY64" s="144"/>
      <c r="IJZ64" s="144"/>
      <c r="IKA64" s="144"/>
      <c r="IKB64" s="144"/>
      <c r="IKC64" s="144"/>
      <c r="IKD64" s="144"/>
      <c r="IKE64" s="144"/>
      <c r="IKF64" s="144"/>
      <c r="IKG64" s="144"/>
      <c r="IKH64" s="144"/>
      <c r="IKI64" s="144"/>
      <c r="IKJ64" s="144"/>
      <c r="IKK64" s="144"/>
      <c r="IKL64" s="144"/>
      <c r="IKM64" s="144"/>
      <c r="IKN64" s="144"/>
      <c r="IKO64" s="144"/>
      <c r="IKP64" s="144"/>
      <c r="IKQ64" s="144"/>
      <c r="IKR64" s="144"/>
      <c r="IKS64" s="144"/>
      <c r="IKT64" s="144"/>
      <c r="IKU64" s="144"/>
      <c r="IKV64" s="144"/>
      <c r="IKW64" s="144"/>
      <c r="IKX64" s="144"/>
      <c r="IKY64" s="144"/>
      <c r="IKZ64" s="144"/>
      <c r="ILA64" s="144"/>
      <c r="ILB64" s="144"/>
      <c r="ILC64" s="144"/>
      <c r="ILD64" s="144"/>
      <c r="ILE64" s="144"/>
      <c r="ILF64" s="144"/>
      <c r="ILG64" s="144"/>
      <c r="ILH64" s="144"/>
      <c r="ILI64" s="144"/>
      <c r="ILJ64" s="144"/>
      <c r="ILK64" s="144"/>
      <c r="ILL64" s="144"/>
      <c r="ILM64" s="144"/>
      <c r="ILN64" s="144"/>
      <c r="ILO64" s="144"/>
      <c r="ILP64" s="144"/>
      <c r="ILQ64" s="144"/>
      <c r="ILR64" s="144"/>
      <c r="ILS64" s="144"/>
      <c r="ILT64" s="144"/>
      <c r="ILU64" s="144"/>
      <c r="ILV64" s="144"/>
      <c r="ILW64" s="144"/>
      <c r="ILX64" s="144"/>
      <c r="ILY64" s="144"/>
      <c r="ILZ64" s="144"/>
      <c r="IMA64" s="144"/>
      <c r="IMB64" s="144"/>
      <c r="IMC64" s="144"/>
      <c r="IMD64" s="144"/>
      <c r="IME64" s="144"/>
      <c r="IMF64" s="144"/>
      <c r="IMG64" s="144"/>
      <c r="IMH64" s="144"/>
      <c r="IMI64" s="144"/>
      <c r="IMJ64" s="144"/>
      <c r="IMK64" s="144"/>
      <c r="IML64" s="144"/>
      <c r="IMM64" s="144"/>
      <c r="IMN64" s="144"/>
      <c r="IMO64" s="144"/>
      <c r="IMP64" s="144"/>
      <c r="IMQ64" s="144"/>
      <c r="IMR64" s="144"/>
      <c r="IMS64" s="144"/>
      <c r="IMT64" s="144"/>
      <c r="IMU64" s="144"/>
      <c r="IMV64" s="144"/>
      <c r="IMW64" s="144"/>
      <c r="IMX64" s="144"/>
      <c r="IMY64" s="144"/>
      <c r="IMZ64" s="144"/>
      <c r="INA64" s="144"/>
      <c r="INB64" s="144"/>
      <c r="INC64" s="144"/>
      <c r="IND64" s="144"/>
      <c r="INE64" s="144"/>
      <c r="INF64" s="144"/>
      <c r="ING64" s="144"/>
      <c r="INH64" s="144"/>
      <c r="INI64" s="144"/>
      <c r="INJ64" s="144"/>
      <c r="INK64" s="144"/>
      <c r="INL64" s="144"/>
      <c r="INM64" s="144"/>
      <c r="INN64" s="144"/>
      <c r="INO64" s="144"/>
      <c r="INP64" s="144"/>
      <c r="INQ64" s="144"/>
      <c r="INR64" s="144"/>
      <c r="INS64" s="144"/>
      <c r="INT64" s="144"/>
      <c r="INU64" s="144"/>
      <c r="INV64" s="144"/>
      <c r="INW64" s="144"/>
      <c r="INX64" s="144"/>
      <c r="INY64" s="144"/>
      <c r="INZ64" s="144"/>
      <c r="IOA64" s="144"/>
      <c r="IOB64" s="144"/>
      <c r="IOC64" s="144"/>
      <c r="IOD64" s="144"/>
      <c r="IOE64" s="144"/>
      <c r="IOF64" s="144"/>
      <c r="IOG64" s="144"/>
      <c r="IOH64" s="144"/>
      <c r="IOI64" s="144"/>
      <c r="IOJ64" s="144"/>
      <c r="IOK64" s="144"/>
      <c r="IOL64" s="144"/>
      <c r="IOM64" s="144"/>
      <c r="ION64" s="144"/>
      <c r="IOO64" s="144"/>
      <c r="IOP64" s="144"/>
      <c r="IOQ64" s="144"/>
      <c r="IOR64" s="144"/>
      <c r="IOS64" s="144"/>
      <c r="IOT64" s="144"/>
      <c r="IOU64" s="144"/>
      <c r="IOV64" s="144"/>
      <c r="IOW64" s="144"/>
      <c r="IOX64" s="144"/>
      <c r="IOY64" s="144"/>
      <c r="IOZ64" s="144"/>
      <c r="IPA64" s="144"/>
      <c r="IPB64" s="144"/>
      <c r="IPC64" s="144"/>
      <c r="IPD64" s="144"/>
      <c r="IPE64" s="144"/>
      <c r="IPF64" s="144"/>
      <c r="IPG64" s="144"/>
      <c r="IPH64" s="144"/>
      <c r="IPI64" s="144"/>
      <c r="IPJ64" s="144"/>
      <c r="IPK64" s="144"/>
      <c r="IPL64" s="144"/>
      <c r="IPM64" s="144"/>
      <c r="IPN64" s="144"/>
      <c r="IPO64" s="144"/>
      <c r="IPP64" s="144"/>
      <c r="IPQ64" s="144"/>
      <c r="IPR64" s="144"/>
      <c r="IPS64" s="144"/>
      <c r="IPT64" s="144"/>
      <c r="IPU64" s="144"/>
      <c r="IPV64" s="144"/>
      <c r="IPW64" s="144"/>
      <c r="IPX64" s="144"/>
      <c r="IPY64" s="144"/>
      <c r="IPZ64" s="144"/>
      <c r="IQA64" s="144"/>
      <c r="IQB64" s="144"/>
      <c r="IQC64" s="144"/>
      <c r="IQD64" s="144"/>
      <c r="IQE64" s="144"/>
      <c r="IQF64" s="144"/>
      <c r="IQG64" s="144"/>
      <c r="IQH64" s="144"/>
      <c r="IQI64" s="144"/>
      <c r="IQJ64" s="144"/>
      <c r="IQK64" s="144"/>
      <c r="IQL64" s="144"/>
      <c r="IQM64" s="144"/>
      <c r="IQN64" s="144"/>
      <c r="IQO64" s="144"/>
      <c r="IQP64" s="144"/>
      <c r="IQQ64" s="144"/>
      <c r="IQR64" s="144"/>
      <c r="IQS64" s="144"/>
      <c r="IQT64" s="144"/>
      <c r="IQU64" s="144"/>
      <c r="IQV64" s="144"/>
      <c r="IQW64" s="144"/>
      <c r="IQX64" s="144"/>
      <c r="IQY64" s="144"/>
      <c r="IQZ64" s="144"/>
      <c r="IRA64" s="144"/>
      <c r="IRB64" s="144"/>
      <c r="IRC64" s="144"/>
      <c r="IRD64" s="144"/>
      <c r="IRE64" s="144"/>
      <c r="IRF64" s="144"/>
      <c r="IRG64" s="144"/>
      <c r="IRH64" s="144"/>
      <c r="IRI64" s="144"/>
      <c r="IRJ64" s="144"/>
      <c r="IRK64" s="144"/>
      <c r="IRL64" s="144"/>
      <c r="IRM64" s="144"/>
      <c r="IRN64" s="144"/>
      <c r="IRO64" s="144"/>
      <c r="IRP64" s="144"/>
      <c r="IRQ64" s="144"/>
      <c r="IRR64" s="144"/>
      <c r="IRS64" s="144"/>
      <c r="IRT64" s="144"/>
      <c r="IRU64" s="144"/>
      <c r="IRV64" s="144"/>
      <c r="IRW64" s="144"/>
      <c r="IRX64" s="144"/>
      <c r="IRY64" s="144"/>
      <c r="IRZ64" s="144"/>
      <c r="ISA64" s="144"/>
      <c r="ISB64" s="144"/>
      <c r="ISC64" s="144"/>
      <c r="ISD64" s="144"/>
      <c r="ISE64" s="144"/>
      <c r="ISF64" s="144"/>
      <c r="ISG64" s="144"/>
      <c r="ISH64" s="144"/>
      <c r="ISI64" s="144"/>
      <c r="ISJ64" s="144"/>
      <c r="ISK64" s="144"/>
      <c r="ISL64" s="144"/>
      <c r="ISM64" s="144"/>
      <c r="ISN64" s="144"/>
      <c r="ISO64" s="144"/>
      <c r="ISP64" s="144"/>
      <c r="ISQ64" s="144"/>
      <c r="ISR64" s="144"/>
      <c r="ISS64" s="144"/>
      <c r="IST64" s="144"/>
      <c r="ISU64" s="144"/>
      <c r="ISV64" s="144"/>
      <c r="ISW64" s="144"/>
      <c r="ISX64" s="144"/>
      <c r="ISY64" s="144"/>
      <c r="ISZ64" s="144"/>
      <c r="ITA64" s="144"/>
      <c r="ITB64" s="144"/>
      <c r="ITC64" s="144"/>
      <c r="ITD64" s="144"/>
      <c r="ITE64" s="144"/>
      <c r="ITF64" s="144"/>
      <c r="ITG64" s="144"/>
      <c r="ITH64" s="144"/>
      <c r="ITI64" s="144"/>
      <c r="ITJ64" s="144"/>
      <c r="ITK64" s="144"/>
      <c r="ITL64" s="144"/>
      <c r="ITM64" s="144"/>
      <c r="ITN64" s="144"/>
      <c r="ITO64" s="144"/>
      <c r="ITP64" s="144"/>
      <c r="ITQ64" s="144"/>
      <c r="ITR64" s="144"/>
      <c r="ITS64" s="144"/>
      <c r="ITT64" s="144"/>
      <c r="ITU64" s="144"/>
      <c r="ITV64" s="144"/>
      <c r="ITW64" s="144"/>
      <c r="ITX64" s="144"/>
      <c r="ITY64" s="144"/>
      <c r="ITZ64" s="144"/>
      <c r="IUA64" s="144"/>
      <c r="IUB64" s="144"/>
      <c r="IUC64" s="144"/>
      <c r="IUD64" s="144"/>
      <c r="IUE64" s="144"/>
      <c r="IUF64" s="144"/>
      <c r="IUG64" s="144"/>
      <c r="IUH64" s="144"/>
      <c r="IUI64" s="144"/>
      <c r="IUJ64" s="144"/>
      <c r="IUK64" s="144"/>
      <c r="IUL64" s="144"/>
      <c r="IUM64" s="144"/>
      <c r="IUN64" s="144"/>
      <c r="IUO64" s="144"/>
      <c r="IUP64" s="144"/>
      <c r="IUQ64" s="144"/>
      <c r="IUR64" s="144"/>
      <c r="IUS64" s="144"/>
      <c r="IUT64" s="144"/>
      <c r="IUU64" s="144"/>
      <c r="IUV64" s="144"/>
      <c r="IUW64" s="144"/>
      <c r="IUX64" s="144"/>
      <c r="IUY64" s="144"/>
      <c r="IUZ64" s="144"/>
      <c r="IVA64" s="144"/>
      <c r="IVB64" s="144"/>
      <c r="IVC64" s="144"/>
      <c r="IVD64" s="144"/>
      <c r="IVE64" s="144"/>
      <c r="IVF64" s="144"/>
      <c r="IVG64" s="144"/>
      <c r="IVH64" s="144"/>
      <c r="IVI64" s="144"/>
      <c r="IVJ64" s="144"/>
      <c r="IVK64" s="144"/>
      <c r="IVL64" s="144"/>
      <c r="IVM64" s="144"/>
      <c r="IVN64" s="144"/>
      <c r="IVO64" s="144"/>
      <c r="IVP64" s="144"/>
      <c r="IVQ64" s="144"/>
      <c r="IVR64" s="144"/>
      <c r="IVS64" s="144"/>
      <c r="IVT64" s="144"/>
      <c r="IVU64" s="144"/>
      <c r="IVV64" s="144"/>
      <c r="IVW64" s="144"/>
      <c r="IVX64" s="144"/>
      <c r="IVY64" s="144"/>
      <c r="IVZ64" s="144"/>
      <c r="IWA64" s="144"/>
      <c r="IWB64" s="144"/>
      <c r="IWC64" s="144"/>
      <c r="IWD64" s="144"/>
      <c r="IWE64" s="144"/>
      <c r="IWF64" s="144"/>
      <c r="IWG64" s="144"/>
      <c r="IWH64" s="144"/>
      <c r="IWI64" s="144"/>
      <c r="IWJ64" s="144"/>
      <c r="IWK64" s="144"/>
      <c r="IWL64" s="144"/>
      <c r="IWM64" s="144"/>
      <c r="IWN64" s="144"/>
      <c r="IWO64" s="144"/>
      <c r="IWP64" s="144"/>
      <c r="IWQ64" s="144"/>
      <c r="IWR64" s="144"/>
      <c r="IWS64" s="144"/>
      <c r="IWT64" s="144"/>
      <c r="IWU64" s="144"/>
      <c r="IWV64" s="144"/>
      <c r="IWW64" s="144"/>
      <c r="IWX64" s="144"/>
      <c r="IWY64" s="144"/>
      <c r="IWZ64" s="144"/>
      <c r="IXA64" s="144"/>
      <c r="IXB64" s="144"/>
      <c r="IXC64" s="144"/>
      <c r="IXD64" s="144"/>
      <c r="IXE64" s="144"/>
      <c r="IXF64" s="144"/>
      <c r="IXG64" s="144"/>
      <c r="IXH64" s="144"/>
      <c r="IXI64" s="144"/>
      <c r="IXJ64" s="144"/>
      <c r="IXK64" s="144"/>
      <c r="IXL64" s="144"/>
      <c r="IXM64" s="144"/>
      <c r="IXN64" s="144"/>
      <c r="IXO64" s="144"/>
      <c r="IXP64" s="144"/>
      <c r="IXQ64" s="144"/>
      <c r="IXR64" s="144"/>
      <c r="IXS64" s="144"/>
      <c r="IXT64" s="144"/>
      <c r="IXU64" s="144"/>
      <c r="IXV64" s="144"/>
      <c r="IXW64" s="144"/>
      <c r="IXX64" s="144"/>
      <c r="IXY64" s="144"/>
      <c r="IXZ64" s="144"/>
      <c r="IYA64" s="144"/>
      <c r="IYB64" s="144"/>
      <c r="IYC64" s="144"/>
      <c r="IYD64" s="144"/>
      <c r="IYE64" s="144"/>
      <c r="IYF64" s="144"/>
      <c r="IYG64" s="144"/>
      <c r="IYH64" s="144"/>
      <c r="IYI64" s="144"/>
      <c r="IYJ64" s="144"/>
      <c r="IYK64" s="144"/>
      <c r="IYL64" s="144"/>
      <c r="IYM64" s="144"/>
      <c r="IYN64" s="144"/>
      <c r="IYO64" s="144"/>
      <c r="IYP64" s="144"/>
      <c r="IYQ64" s="144"/>
      <c r="IYR64" s="144"/>
      <c r="IYS64" s="144"/>
      <c r="IYT64" s="144"/>
      <c r="IYU64" s="144"/>
      <c r="IYV64" s="144"/>
      <c r="IYW64" s="144"/>
      <c r="IYX64" s="144"/>
      <c r="IYY64" s="144"/>
      <c r="IYZ64" s="144"/>
      <c r="IZA64" s="144"/>
      <c r="IZB64" s="144"/>
      <c r="IZC64" s="144"/>
      <c r="IZD64" s="144"/>
      <c r="IZE64" s="144"/>
      <c r="IZF64" s="144"/>
      <c r="IZG64" s="144"/>
      <c r="IZH64" s="144"/>
      <c r="IZI64" s="144"/>
      <c r="IZJ64" s="144"/>
      <c r="IZK64" s="144"/>
      <c r="IZL64" s="144"/>
      <c r="IZM64" s="144"/>
      <c r="IZN64" s="144"/>
      <c r="IZO64" s="144"/>
      <c r="IZP64" s="144"/>
      <c r="IZQ64" s="144"/>
      <c r="IZR64" s="144"/>
      <c r="IZS64" s="144"/>
      <c r="IZT64" s="144"/>
      <c r="IZU64" s="144"/>
      <c r="IZV64" s="144"/>
      <c r="IZW64" s="144"/>
      <c r="IZX64" s="144"/>
      <c r="IZY64" s="144"/>
      <c r="IZZ64" s="144"/>
      <c r="JAA64" s="144"/>
      <c r="JAB64" s="144"/>
      <c r="JAC64" s="144"/>
      <c r="JAD64" s="144"/>
      <c r="JAE64" s="144"/>
      <c r="JAF64" s="144"/>
      <c r="JAG64" s="144"/>
      <c r="JAH64" s="144"/>
      <c r="JAI64" s="144"/>
      <c r="JAJ64" s="144"/>
      <c r="JAK64" s="144"/>
      <c r="JAL64" s="144"/>
      <c r="JAM64" s="144"/>
      <c r="JAN64" s="144"/>
      <c r="JAO64" s="144"/>
      <c r="JAP64" s="144"/>
      <c r="JAQ64" s="144"/>
      <c r="JAR64" s="144"/>
      <c r="JAS64" s="144"/>
      <c r="JAT64" s="144"/>
      <c r="JAU64" s="144"/>
      <c r="JAV64" s="144"/>
      <c r="JAW64" s="144"/>
      <c r="JAX64" s="144"/>
      <c r="JAY64" s="144"/>
      <c r="JAZ64" s="144"/>
      <c r="JBA64" s="144"/>
      <c r="JBB64" s="144"/>
      <c r="JBC64" s="144"/>
      <c r="JBD64" s="144"/>
      <c r="JBE64" s="144"/>
      <c r="JBF64" s="144"/>
      <c r="JBG64" s="144"/>
      <c r="JBH64" s="144"/>
      <c r="JBI64" s="144"/>
      <c r="JBJ64" s="144"/>
      <c r="JBK64" s="144"/>
      <c r="JBL64" s="144"/>
      <c r="JBM64" s="144"/>
      <c r="JBN64" s="144"/>
      <c r="JBO64" s="144"/>
      <c r="JBP64" s="144"/>
      <c r="JBQ64" s="144"/>
      <c r="JBR64" s="144"/>
      <c r="JBS64" s="144"/>
      <c r="JBT64" s="144"/>
      <c r="JBU64" s="144"/>
      <c r="JBV64" s="144"/>
      <c r="JBW64" s="144"/>
      <c r="JBX64" s="144"/>
      <c r="JBY64" s="144"/>
      <c r="JBZ64" s="144"/>
      <c r="JCA64" s="144"/>
      <c r="JCB64" s="144"/>
      <c r="JCC64" s="144"/>
      <c r="JCD64" s="144"/>
      <c r="JCE64" s="144"/>
      <c r="JCF64" s="144"/>
      <c r="JCG64" s="144"/>
      <c r="JCH64" s="144"/>
      <c r="JCI64" s="144"/>
      <c r="JCJ64" s="144"/>
      <c r="JCK64" s="144"/>
      <c r="JCL64" s="144"/>
      <c r="JCM64" s="144"/>
      <c r="JCN64" s="144"/>
      <c r="JCO64" s="144"/>
      <c r="JCP64" s="144"/>
      <c r="JCQ64" s="144"/>
      <c r="JCR64" s="144"/>
      <c r="JCS64" s="144"/>
      <c r="JCT64" s="144"/>
      <c r="JCU64" s="144"/>
      <c r="JCV64" s="144"/>
      <c r="JCW64" s="144"/>
      <c r="JCX64" s="144"/>
      <c r="JCY64" s="144"/>
      <c r="JCZ64" s="144"/>
      <c r="JDA64" s="144"/>
      <c r="JDB64" s="144"/>
      <c r="JDC64" s="144"/>
      <c r="JDD64" s="144"/>
      <c r="JDE64" s="144"/>
      <c r="JDF64" s="144"/>
      <c r="JDG64" s="144"/>
      <c r="JDH64" s="144"/>
      <c r="JDI64" s="144"/>
      <c r="JDJ64" s="144"/>
      <c r="JDK64" s="144"/>
      <c r="JDL64" s="144"/>
      <c r="JDM64" s="144"/>
      <c r="JDN64" s="144"/>
      <c r="JDO64" s="144"/>
      <c r="JDP64" s="144"/>
      <c r="JDQ64" s="144"/>
      <c r="JDR64" s="144"/>
      <c r="JDS64" s="144"/>
      <c r="JDT64" s="144"/>
      <c r="JDU64" s="144"/>
      <c r="JDV64" s="144"/>
      <c r="JDW64" s="144"/>
      <c r="JDX64" s="144"/>
      <c r="JDY64" s="144"/>
      <c r="JDZ64" s="144"/>
      <c r="JEA64" s="144"/>
      <c r="JEB64" s="144"/>
      <c r="JEC64" s="144"/>
      <c r="JED64" s="144"/>
      <c r="JEE64" s="144"/>
      <c r="JEF64" s="144"/>
      <c r="JEG64" s="144"/>
      <c r="JEH64" s="144"/>
      <c r="JEI64" s="144"/>
      <c r="JEJ64" s="144"/>
      <c r="JEK64" s="144"/>
      <c r="JEL64" s="144"/>
      <c r="JEM64" s="144"/>
      <c r="JEN64" s="144"/>
      <c r="JEO64" s="144"/>
      <c r="JEP64" s="144"/>
      <c r="JEQ64" s="144"/>
      <c r="JER64" s="144"/>
      <c r="JES64" s="144"/>
      <c r="JET64" s="144"/>
      <c r="JEU64" s="144"/>
      <c r="JEV64" s="144"/>
      <c r="JEW64" s="144"/>
      <c r="JEX64" s="144"/>
      <c r="JEY64" s="144"/>
      <c r="JEZ64" s="144"/>
      <c r="JFA64" s="144"/>
      <c r="JFB64" s="144"/>
      <c r="JFC64" s="144"/>
      <c r="JFD64" s="144"/>
      <c r="JFE64" s="144"/>
      <c r="JFF64" s="144"/>
      <c r="JFG64" s="144"/>
      <c r="JFH64" s="144"/>
      <c r="JFI64" s="144"/>
      <c r="JFJ64" s="144"/>
      <c r="JFK64" s="144"/>
      <c r="JFL64" s="144"/>
      <c r="JFM64" s="144"/>
      <c r="JFN64" s="144"/>
      <c r="JFO64" s="144"/>
      <c r="JFP64" s="144"/>
      <c r="JFQ64" s="144"/>
      <c r="JFR64" s="144"/>
      <c r="JFS64" s="144"/>
      <c r="JFT64" s="144"/>
      <c r="JFU64" s="144"/>
      <c r="JFV64" s="144"/>
      <c r="JFW64" s="144"/>
      <c r="JFX64" s="144"/>
      <c r="JFY64" s="144"/>
      <c r="JFZ64" s="144"/>
      <c r="JGA64" s="144"/>
      <c r="JGB64" s="144"/>
      <c r="JGC64" s="144"/>
      <c r="JGD64" s="144"/>
      <c r="JGE64" s="144"/>
      <c r="JGF64" s="144"/>
      <c r="JGG64" s="144"/>
      <c r="JGH64" s="144"/>
      <c r="JGI64" s="144"/>
      <c r="JGJ64" s="144"/>
      <c r="JGK64" s="144"/>
      <c r="JGL64" s="144"/>
      <c r="JGM64" s="144"/>
      <c r="JGN64" s="144"/>
      <c r="JGO64" s="144"/>
      <c r="JGP64" s="144"/>
      <c r="JGQ64" s="144"/>
      <c r="JGR64" s="144"/>
      <c r="JGS64" s="144"/>
      <c r="JGT64" s="144"/>
      <c r="JGU64" s="144"/>
      <c r="JGV64" s="144"/>
      <c r="JGW64" s="144"/>
      <c r="JGX64" s="144"/>
      <c r="JGY64" s="144"/>
      <c r="JGZ64" s="144"/>
      <c r="JHA64" s="144"/>
      <c r="JHB64" s="144"/>
      <c r="JHC64" s="144"/>
      <c r="JHD64" s="144"/>
      <c r="JHE64" s="144"/>
      <c r="JHF64" s="144"/>
      <c r="JHG64" s="144"/>
      <c r="JHH64" s="144"/>
      <c r="JHI64" s="144"/>
      <c r="JHJ64" s="144"/>
      <c r="JHK64" s="144"/>
      <c r="JHL64" s="144"/>
      <c r="JHM64" s="144"/>
      <c r="JHN64" s="144"/>
      <c r="JHO64" s="144"/>
      <c r="JHP64" s="144"/>
      <c r="JHQ64" s="144"/>
      <c r="JHR64" s="144"/>
      <c r="JHS64" s="144"/>
      <c r="JHT64" s="144"/>
      <c r="JHU64" s="144"/>
      <c r="JHV64" s="144"/>
      <c r="JHW64" s="144"/>
      <c r="JHX64" s="144"/>
      <c r="JHY64" s="144"/>
      <c r="JHZ64" s="144"/>
      <c r="JIA64" s="144"/>
      <c r="JIB64" s="144"/>
      <c r="JIC64" s="144"/>
      <c r="JID64" s="144"/>
      <c r="JIE64" s="144"/>
      <c r="JIF64" s="144"/>
      <c r="JIG64" s="144"/>
      <c r="JIH64" s="144"/>
      <c r="JII64" s="144"/>
      <c r="JIJ64" s="144"/>
      <c r="JIK64" s="144"/>
      <c r="JIL64" s="144"/>
      <c r="JIM64" s="144"/>
      <c r="JIN64" s="144"/>
      <c r="JIO64" s="144"/>
      <c r="JIP64" s="144"/>
      <c r="JIQ64" s="144"/>
      <c r="JIR64" s="144"/>
      <c r="JIS64" s="144"/>
      <c r="JIT64" s="144"/>
      <c r="JIU64" s="144"/>
      <c r="JIV64" s="144"/>
      <c r="JIW64" s="144"/>
      <c r="JIX64" s="144"/>
      <c r="JIY64" s="144"/>
      <c r="JIZ64" s="144"/>
      <c r="JJA64" s="144"/>
      <c r="JJB64" s="144"/>
      <c r="JJC64" s="144"/>
      <c r="JJD64" s="144"/>
      <c r="JJE64" s="144"/>
      <c r="JJF64" s="144"/>
      <c r="JJG64" s="144"/>
      <c r="JJH64" s="144"/>
      <c r="JJI64" s="144"/>
      <c r="JJJ64" s="144"/>
      <c r="JJK64" s="144"/>
      <c r="JJL64" s="144"/>
      <c r="JJM64" s="144"/>
      <c r="JJN64" s="144"/>
      <c r="JJO64" s="144"/>
      <c r="JJP64" s="144"/>
      <c r="JJQ64" s="144"/>
      <c r="JJR64" s="144"/>
      <c r="JJS64" s="144"/>
      <c r="JJT64" s="144"/>
      <c r="JJU64" s="144"/>
      <c r="JJV64" s="144"/>
      <c r="JJW64" s="144"/>
      <c r="JJX64" s="144"/>
      <c r="JJY64" s="144"/>
      <c r="JJZ64" s="144"/>
      <c r="JKA64" s="144"/>
      <c r="JKB64" s="144"/>
      <c r="JKC64" s="144"/>
      <c r="JKD64" s="144"/>
      <c r="JKE64" s="144"/>
      <c r="JKF64" s="144"/>
      <c r="JKG64" s="144"/>
      <c r="JKH64" s="144"/>
      <c r="JKI64" s="144"/>
      <c r="JKJ64" s="144"/>
      <c r="JKK64" s="144"/>
      <c r="JKL64" s="144"/>
      <c r="JKM64" s="144"/>
      <c r="JKN64" s="144"/>
      <c r="JKO64" s="144"/>
      <c r="JKP64" s="144"/>
      <c r="JKQ64" s="144"/>
      <c r="JKR64" s="144"/>
      <c r="JKS64" s="144"/>
      <c r="JKT64" s="144"/>
      <c r="JKU64" s="144"/>
      <c r="JKV64" s="144"/>
      <c r="JKW64" s="144"/>
      <c r="JKX64" s="144"/>
      <c r="JKY64" s="144"/>
      <c r="JKZ64" s="144"/>
      <c r="JLA64" s="144"/>
      <c r="JLB64" s="144"/>
      <c r="JLC64" s="144"/>
      <c r="JLD64" s="144"/>
      <c r="JLE64" s="144"/>
      <c r="JLF64" s="144"/>
      <c r="JLG64" s="144"/>
      <c r="JLH64" s="144"/>
      <c r="JLI64" s="144"/>
      <c r="JLJ64" s="144"/>
      <c r="JLK64" s="144"/>
      <c r="JLL64" s="144"/>
      <c r="JLM64" s="144"/>
      <c r="JLN64" s="144"/>
      <c r="JLO64" s="144"/>
      <c r="JLP64" s="144"/>
      <c r="JLQ64" s="144"/>
      <c r="JLR64" s="144"/>
      <c r="JLS64" s="144"/>
      <c r="JLT64" s="144"/>
      <c r="JLU64" s="144"/>
      <c r="JLV64" s="144"/>
      <c r="JLW64" s="144"/>
      <c r="JLX64" s="144"/>
      <c r="JLY64" s="144"/>
      <c r="JLZ64" s="144"/>
      <c r="JMA64" s="144"/>
      <c r="JMB64" s="144"/>
      <c r="JMC64" s="144"/>
      <c r="JMD64" s="144"/>
      <c r="JME64" s="144"/>
      <c r="JMF64" s="144"/>
      <c r="JMG64" s="144"/>
      <c r="JMH64" s="144"/>
      <c r="JMI64" s="144"/>
      <c r="JMJ64" s="144"/>
      <c r="JMK64" s="144"/>
      <c r="JML64" s="144"/>
      <c r="JMM64" s="144"/>
      <c r="JMN64" s="144"/>
      <c r="JMO64" s="144"/>
      <c r="JMP64" s="144"/>
      <c r="JMQ64" s="144"/>
      <c r="JMR64" s="144"/>
      <c r="JMS64" s="144"/>
      <c r="JMT64" s="144"/>
      <c r="JMU64" s="144"/>
      <c r="JMV64" s="144"/>
      <c r="JMW64" s="144"/>
      <c r="JMX64" s="144"/>
      <c r="JMY64" s="144"/>
      <c r="JMZ64" s="144"/>
      <c r="JNA64" s="144"/>
      <c r="JNB64" s="144"/>
      <c r="JNC64" s="144"/>
      <c r="JND64" s="144"/>
      <c r="JNE64" s="144"/>
      <c r="JNF64" s="144"/>
      <c r="JNG64" s="144"/>
      <c r="JNH64" s="144"/>
      <c r="JNI64" s="144"/>
      <c r="JNJ64" s="144"/>
      <c r="JNK64" s="144"/>
      <c r="JNL64" s="144"/>
      <c r="JNM64" s="144"/>
      <c r="JNN64" s="144"/>
      <c r="JNO64" s="144"/>
      <c r="JNP64" s="144"/>
      <c r="JNQ64" s="144"/>
      <c r="JNR64" s="144"/>
      <c r="JNS64" s="144"/>
      <c r="JNT64" s="144"/>
      <c r="JNU64" s="144"/>
      <c r="JNV64" s="144"/>
      <c r="JNW64" s="144"/>
      <c r="JNX64" s="144"/>
      <c r="JNY64" s="144"/>
      <c r="JNZ64" s="144"/>
      <c r="JOA64" s="144"/>
      <c r="JOB64" s="144"/>
      <c r="JOC64" s="144"/>
      <c r="JOD64" s="144"/>
      <c r="JOE64" s="144"/>
      <c r="JOF64" s="144"/>
      <c r="JOG64" s="144"/>
      <c r="JOH64" s="144"/>
      <c r="JOI64" s="144"/>
      <c r="JOJ64" s="144"/>
      <c r="JOK64" s="144"/>
      <c r="JOL64" s="144"/>
      <c r="JOM64" s="144"/>
      <c r="JON64" s="144"/>
      <c r="JOO64" s="144"/>
      <c r="JOP64" s="144"/>
      <c r="JOQ64" s="144"/>
      <c r="JOR64" s="144"/>
      <c r="JOS64" s="144"/>
      <c r="JOT64" s="144"/>
      <c r="JOU64" s="144"/>
      <c r="JOV64" s="144"/>
      <c r="JOW64" s="144"/>
      <c r="JOX64" s="144"/>
      <c r="JOY64" s="144"/>
      <c r="JOZ64" s="144"/>
      <c r="JPA64" s="144"/>
      <c r="JPB64" s="144"/>
      <c r="JPC64" s="144"/>
      <c r="JPD64" s="144"/>
      <c r="JPE64" s="144"/>
      <c r="JPF64" s="144"/>
      <c r="JPG64" s="144"/>
      <c r="JPH64" s="144"/>
      <c r="JPI64" s="144"/>
      <c r="JPJ64" s="144"/>
      <c r="JPK64" s="144"/>
      <c r="JPL64" s="144"/>
      <c r="JPM64" s="144"/>
      <c r="JPN64" s="144"/>
      <c r="JPO64" s="144"/>
      <c r="JPP64" s="144"/>
      <c r="JPQ64" s="144"/>
      <c r="JPR64" s="144"/>
      <c r="JPS64" s="144"/>
      <c r="JPT64" s="144"/>
      <c r="JPU64" s="144"/>
      <c r="JPV64" s="144"/>
      <c r="JPW64" s="144"/>
      <c r="JPX64" s="144"/>
      <c r="JPY64" s="144"/>
      <c r="JPZ64" s="144"/>
      <c r="JQA64" s="144"/>
      <c r="JQB64" s="144"/>
      <c r="JQC64" s="144"/>
      <c r="JQD64" s="144"/>
      <c r="JQE64" s="144"/>
      <c r="JQF64" s="144"/>
      <c r="JQG64" s="144"/>
      <c r="JQH64" s="144"/>
      <c r="JQI64" s="144"/>
      <c r="JQJ64" s="144"/>
      <c r="JQK64" s="144"/>
      <c r="JQL64" s="144"/>
      <c r="JQM64" s="144"/>
      <c r="JQN64" s="144"/>
      <c r="JQO64" s="144"/>
      <c r="JQP64" s="144"/>
      <c r="JQQ64" s="144"/>
      <c r="JQR64" s="144"/>
      <c r="JQS64" s="144"/>
      <c r="JQT64" s="144"/>
      <c r="JQU64" s="144"/>
      <c r="JQV64" s="144"/>
      <c r="JQW64" s="144"/>
      <c r="JQX64" s="144"/>
      <c r="JQY64" s="144"/>
      <c r="JQZ64" s="144"/>
      <c r="JRA64" s="144"/>
      <c r="JRB64" s="144"/>
      <c r="JRC64" s="144"/>
      <c r="JRD64" s="144"/>
      <c r="JRE64" s="144"/>
      <c r="JRF64" s="144"/>
      <c r="JRG64" s="144"/>
      <c r="JRH64" s="144"/>
      <c r="JRI64" s="144"/>
      <c r="JRJ64" s="144"/>
      <c r="JRK64" s="144"/>
      <c r="JRL64" s="144"/>
      <c r="JRM64" s="144"/>
      <c r="JRN64" s="144"/>
      <c r="JRO64" s="144"/>
      <c r="JRP64" s="144"/>
      <c r="JRQ64" s="144"/>
      <c r="JRR64" s="144"/>
      <c r="JRS64" s="144"/>
      <c r="JRT64" s="144"/>
      <c r="JRU64" s="144"/>
      <c r="JRV64" s="144"/>
      <c r="JRW64" s="144"/>
      <c r="JRX64" s="144"/>
      <c r="JRY64" s="144"/>
      <c r="JRZ64" s="144"/>
      <c r="JSA64" s="144"/>
      <c r="JSB64" s="144"/>
      <c r="JSC64" s="144"/>
      <c r="JSD64" s="144"/>
      <c r="JSE64" s="144"/>
      <c r="JSF64" s="144"/>
      <c r="JSG64" s="144"/>
      <c r="JSH64" s="144"/>
      <c r="JSI64" s="144"/>
      <c r="JSJ64" s="144"/>
      <c r="JSK64" s="144"/>
      <c r="JSL64" s="144"/>
      <c r="JSM64" s="144"/>
      <c r="JSN64" s="144"/>
      <c r="JSO64" s="144"/>
      <c r="JSP64" s="144"/>
      <c r="JSQ64" s="144"/>
      <c r="JSR64" s="144"/>
      <c r="JSS64" s="144"/>
      <c r="JST64" s="144"/>
      <c r="JSU64" s="144"/>
      <c r="JSV64" s="144"/>
      <c r="JSW64" s="144"/>
      <c r="JSX64" s="144"/>
      <c r="JSY64" s="144"/>
      <c r="JSZ64" s="144"/>
      <c r="JTA64" s="144"/>
      <c r="JTB64" s="144"/>
      <c r="JTC64" s="144"/>
      <c r="JTD64" s="144"/>
      <c r="JTE64" s="144"/>
      <c r="JTF64" s="144"/>
      <c r="JTG64" s="144"/>
      <c r="JTH64" s="144"/>
      <c r="JTI64" s="144"/>
      <c r="JTJ64" s="144"/>
      <c r="JTK64" s="144"/>
      <c r="JTL64" s="144"/>
      <c r="JTM64" s="144"/>
      <c r="JTN64" s="144"/>
      <c r="JTO64" s="144"/>
      <c r="JTP64" s="144"/>
      <c r="JTQ64" s="144"/>
      <c r="JTR64" s="144"/>
      <c r="JTS64" s="144"/>
      <c r="JTT64" s="144"/>
      <c r="JTU64" s="144"/>
      <c r="JTV64" s="144"/>
      <c r="JTW64" s="144"/>
      <c r="JTX64" s="144"/>
      <c r="JTY64" s="144"/>
      <c r="JTZ64" s="144"/>
      <c r="JUA64" s="144"/>
      <c r="JUB64" s="144"/>
      <c r="JUC64" s="144"/>
      <c r="JUD64" s="144"/>
      <c r="JUE64" s="144"/>
      <c r="JUF64" s="144"/>
      <c r="JUG64" s="144"/>
      <c r="JUH64" s="144"/>
      <c r="JUI64" s="144"/>
      <c r="JUJ64" s="144"/>
      <c r="JUK64" s="144"/>
      <c r="JUL64" s="144"/>
      <c r="JUM64" s="144"/>
      <c r="JUN64" s="144"/>
      <c r="JUO64" s="144"/>
      <c r="JUP64" s="144"/>
      <c r="JUQ64" s="144"/>
      <c r="JUR64" s="144"/>
      <c r="JUS64" s="144"/>
      <c r="JUT64" s="144"/>
      <c r="JUU64" s="144"/>
      <c r="JUV64" s="144"/>
      <c r="JUW64" s="144"/>
      <c r="JUX64" s="144"/>
      <c r="JUY64" s="144"/>
      <c r="JUZ64" s="144"/>
      <c r="JVA64" s="144"/>
      <c r="JVB64" s="144"/>
      <c r="JVC64" s="144"/>
      <c r="JVD64" s="144"/>
      <c r="JVE64" s="144"/>
      <c r="JVF64" s="144"/>
      <c r="JVG64" s="144"/>
      <c r="JVH64" s="144"/>
      <c r="JVI64" s="144"/>
      <c r="JVJ64" s="144"/>
      <c r="JVK64" s="144"/>
      <c r="JVL64" s="144"/>
      <c r="JVM64" s="144"/>
      <c r="JVN64" s="144"/>
      <c r="JVO64" s="144"/>
      <c r="JVP64" s="144"/>
      <c r="JVQ64" s="144"/>
      <c r="JVR64" s="144"/>
      <c r="JVS64" s="144"/>
      <c r="JVT64" s="144"/>
      <c r="JVU64" s="144"/>
      <c r="JVV64" s="144"/>
      <c r="JVW64" s="144"/>
      <c r="JVX64" s="144"/>
      <c r="JVY64" s="144"/>
      <c r="JVZ64" s="144"/>
      <c r="JWA64" s="144"/>
      <c r="JWB64" s="144"/>
      <c r="JWC64" s="144"/>
      <c r="JWD64" s="144"/>
      <c r="JWE64" s="144"/>
      <c r="JWF64" s="144"/>
      <c r="JWG64" s="144"/>
      <c r="JWH64" s="144"/>
      <c r="JWI64" s="144"/>
      <c r="JWJ64" s="144"/>
      <c r="JWK64" s="144"/>
      <c r="JWL64" s="144"/>
      <c r="JWM64" s="144"/>
      <c r="JWN64" s="144"/>
      <c r="JWO64" s="144"/>
      <c r="JWP64" s="144"/>
      <c r="JWQ64" s="144"/>
      <c r="JWR64" s="144"/>
      <c r="JWS64" s="144"/>
      <c r="JWT64" s="144"/>
      <c r="JWU64" s="144"/>
      <c r="JWV64" s="144"/>
      <c r="JWW64" s="144"/>
      <c r="JWX64" s="144"/>
      <c r="JWY64" s="144"/>
      <c r="JWZ64" s="144"/>
      <c r="JXA64" s="144"/>
      <c r="JXB64" s="144"/>
      <c r="JXC64" s="144"/>
      <c r="JXD64" s="144"/>
      <c r="JXE64" s="144"/>
      <c r="JXF64" s="144"/>
      <c r="JXG64" s="144"/>
      <c r="JXH64" s="144"/>
      <c r="JXI64" s="144"/>
      <c r="JXJ64" s="144"/>
      <c r="JXK64" s="144"/>
      <c r="JXL64" s="144"/>
      <c r="JXM64" s="144"/>
      <c r="JXN64" s="144"/>
      <c r="JXO64" s="144"/>
      <c r="JXP64" s="144"/>
      <c r="JXQ64" s="144"/>
      <c r="JXR64" s="144"/>
      <c r="JXS64" s="144"/>
      <c r="JXT64" s="144"/>
      <c r="JXU64" s="144"/>
      <c r="JXV64" s="144"/>
      <c r="JXW64" s="144"/>
      <c r="JXX64" s="144"/>
      <c r="JXY64" s="144"/>
      <c r="JXZ64" s="144"/>
      <c r="JYA64" s="144"/>
      <c r="JYB64" s="144"/>
      <c r="JYC64" s="144"/>
      <c r="JYD64" s="144"/>
      <c r="JYE64" s="144"/>
      <c r="JYF64" s="144"/>
      <c r="JYG64" s="144"/>
      <c r="JYH64" s="144"/>
      <c r="JYI64" s="144"/>
      <c r="JYJ64" s="144"/>
      <c r="JYK64" s="144"/>
      <c r="JYL64" s="144"/>
      <c r="JYM64" s="144"/>
      <c r="JYN64" s="144"/>
      <c r="JYO64" s="144"/>
      <c r="JYP64" s="144"/>
      <c r="JYQ64" s="144"/>
      <c r="JYR64" s="144"/>
      <c r="JYS64" s="144"/>
      <c r="JYT64" s="144"/>
      <c r="JYU64" s="144"/>
      <c r="JYV64" s="144"/>
      <c r="JYW64" s="144"/>
      <c r="JYX64" s="144"/>
      <c r="JYY64" s="144"/>
      <c r="JYZ64" s="144"/>
      <c r="JZA64" s="144"/>
      <c r="JZB64" s="144"/>
      <c r="JZC64" s="144"/>
      <c r="JZD64" s="144"/>
      <c r="JZE64" s="144"/>
      <c r="JZF64" s="144"/>
      <c r="JZG64" s="144"/>
      <c r="JZH64" s="144"/>
      <c r="JZI64" s="144"/>
      <c r="JZJ64" s="144"/>
      <c r="JZK64" s="144"/>
      <c r="JZL64" s="144"/>
      <c r="JZM64" s="144"/>
      <c r="JZN64" s="144"/>
      <c r="JZO64" s="144"/>
      <c r="JZP64" s="144"/>
      <c r="JZQ64" s="144"/>
      <c r="JZR64" s="144"/>
      <c r="JZS64" s="144"/>
      <c r="JZT64" s="144"/>
      <c r="JZU64" s="144"/>
      <c r="JZV64" s="144"/>
      <c r="JZW64" s="144"/>
      <c r="JZX64" s="144"/>
      <c r="JZY64" s="144"/>
      <c r="JZZ64" s="144"/>
      <c r="KAA64" s="144"/>
      <c r="KAB64" s="144"/>
      <c r="KAC64" s="144"/>
      <c r="KAD64" s="144"/>
      <c r="KAE64" s="144"/>
      <c r="KAF64" s="144"/>
      <c r="KAG64" s="144"/>
      <c r="KAH64" s="144"/>
      <c r="KAI64" s="144"/>
      <c r="KAJ64" s="144"/>
      <c r="KAK64" s="144"/>
      <c r="KAL64" s="144"/>
      <c r="KAM64" s="144"/>
      <c r="KAN64" s="144"/>
      <c r="KAO64" s="144"/>
      <c r="KAP64" s="144"/>
      <c r="KAQ64" s="144"/>
      <c r="KAR64" s="144"/>
      <c r="KAS64" s="144"/>
      <c r="KAT64" s="144"/>
      <c r="KAU64" s="144"/>
      <c r="KAV64" s="144"/>
      <c r="KAW64" s="144"/>
      <c r="KAX64" s="144"/>
      <c r="KAY64" s="144"/>
      <c r="KAZ64" s="144"/>
      <c r="KBA64" s="144"/>
      <c r="KBB64" s="144"/>
      <c r="KBC64" s="144"/>
      <c r="KBD64" s="144"/>
      <c r="KBE64" s="144"/>
      <c r="KBF64" s="144"/>
      <c r="KBG64" s="144"/>
      <c r="KBH64" s="144"/>
      <c r="KBI64" s="144"/>
      <c r="KBJ64" s="144"/>
      <c r="KBK64" s="144"/>
      <c r="KBL64" s="144"/>
      <c r="KBM64" s="144"/>
      <c r="KBN64" s="144"/>
      <c r="KBO64" s="144"/>
      <c r="KBP64" s="144"/>
      <c r="KBQ64" s="144"/>
      <c r="KBR64" s="144"/>
      <c r="KBS64" s="144"/>
      <c r="KBT64" s="144"/>
      <c r="KBU64" s="144"/>
      <c r="KBV64" s="144"/>
      <c r="KBW64" s="144"/>
      <c r="KBX64" s="144"/>
      <c r="KBY64" s="144"/>
      <c r="KBZ64" s="144"/>
      <c r="KCA64" s="144"/>
      <c r="KCB64" s="144"/>
      <c r="KCC64" s="144"/>
      <c r="KCD64" s="144"/>
      <c r="KCE64" s="144"/>
      <c r="KCF64" s="144"/>
      <c r="KCG64" s="144"/>
      <c r="KCH64" s="144"/>
      <c r="KCI64" s="144"/>
      <c r="KCJ64" s="144"/>
      <c r="KCK64" s="144"/>
      <c r="KCL64" s="144"/>
      <c r="KCM64" s="144"/>
      <c r="KCN64" s="144"/>
      <c r="KCO64" s="144"/>
      <c r="KCP64" s="144"/>
      <c r="KCQ64" s="144"/>
      <c r="KCR64" s="144"/>
      <c r="KCS64" s="144"/>
      <c r="KCT64" s="144"/>
      <c r="KCU64" s="144"/>
      <c r="KCV64" s="144"/>
      <c r="KCW64" s="144"/>
      <c r="KCX64" s="144"/>
      <c r="KCY64" s="144"/>
      <c r="KCZ64" s="144"/>
      <c r="KDA64" s="144"/>
      <c r="KDB64" s="144"/>
      <c r="KDC64" s="144"/>
      <c r="KDD64" s="144"/>
      <c r="KDE64" s="144"/>
      <c r="KDF64" s="144"/>
      <c r="KDG64" s="144"/>
      <c r="KDH64" s="144"/>
      <c r="KDI64" s="144"/>
      <c r="KDJ64" s="144"/>
      <c r="KDK64" s="144"/>
      <c r="KDL64" s="144"/>
      <c r="KDM64" s="144"/>
      <c r="KDN64" s="144"/>
      <c r="KDO64" s="144"/>
      <c r="KDP64" s="144"/>
      <c r="KDQ64" s="144"/>
      <c r="KDR64" s="144"/>
      <c r="KDS64" s="144"/>
      <c r="KDT64" s="144"/>
      <c r="KDU64" s="144"/>
      <c r="KDV64" s="144"/>
      <c r="KDW64" s="144"/>
      <c r="KDX64" s="144"/>
      <c r="KDY64" s="144"/>
      <c r="KDZ64" s="144"/>
      <c r="KEA64" s="144"/>
      <c r="KEB64" s="144"/>
      <c r="KEC64" s="144"/>
      <c r="KED64" s="144"/>
      <c r="KEE64" s="144"/>
      <c r="KEF64" s="144"/>
      <c r="KEG64" s="144"/>
      <c r="KEH64" s="144"/>
      <c r="KEI64" s="144"/>
      <c r="KEJ64" s="144"/>
      <c r="KEK64" s="144"/>
      <c r="KEL64" s="144"/>
      <c r="KEM64" s="144"/>
      <c r="KEN64" s="144"/>
      <c r="KEO64" s="144"/>
      <c r="KEP64" s="144"/>
      <c r="KEQ64" s="144"/>
      <c r="KER64" s="144"/>
      <c r="KES64" s="144"/>
      <c r="KET64" s="144"/>
      <c r="KEU64" s="144"/>
      <c r="KEV64" s="144"/>
      <c r="KEW64" s="144"/>
      <c r="KEX64" s="144"/>
      <c r="KEY64" s="144"/>
      <c r="KEZ64" s="144"/>
      <c r="KFA64" s="144"/>
      <c r="KFB64" s="144"/>
      <c r="KFC64" s="144"/>
      <c r="KFD64" s="144"/>
      <c r="KFE64" s="144"/>
      <c r="KFF64" s="144"/>
      <c r="KFG64" s="144"/>
      <c r="KFH64" s="144"/>
      <c r="KFI64" s="144"/>
      <c r="KFJ64" s="144"/>
      <c r="KFK64" s="144"/>
      <c r="KFL64" s="144"/>
      <c r="KFM64" s="144"/>
      <c r="KFN64" s="144"/>
      <c r="KFO64" s="144"/>
      <c r="KFP64" s="144"/>
      <c r="KFQ64" s="144"/>
      <c r="KFR64" s="144"/>
      <c r="KFS64" s="144"/>
      <c r="KFT64" s="144"/>
      <c r="KFU64" s="144"/>
      <c r="KFV64" s="144"/>
      <c r="KFW64" s="144"/>
      <c r="KFX64" s="144"/>
      <c r="KFY64" s="144"/>
      <c r="KFZ64" s="144"/>
      <c r="KGA64" s="144"/>
      <c r="KGB64" s="144"/>
      <c r="KGC64" s="144"/>
      <c r="KGD64" s="144"/>
      <c r="KGE64" s="144"/>
      <c r="KGF64" s="144"/>
      <c r="KGG64" s="144"/>
      <c r="KGH64" s="144"/>
      <c r="KGI64" s="144"/>
      <c r="KGJ64" s="144"/>
      <c r="KGK64" s="144"/>
      <c r="KGL64" s="144"/>
      <c r="KGM64" s="144"/>
      <c r="KGN64" s="144"/>
      <c r="KGO64" s="144"/>
      <c r="KGP64" s="144"/>
      <c r="KGQ64" s="144"/>
      <c r="KGR64" s="144"/>
      <c r="KGS64" s="144"/>
      <c r="KGT64" s="144"/>
      <c r="KGU64" s="144"/>
      <c r="KGV64" s="144"/>
      <c r="KGW64" s="144"/>
      <c r="KGX64" s="144"/>
      <c r="KGY64" s="144"/>
      <c r="KGZ64" s="144"/>
      <c r="KHA64" s="144"/>
      <c r="KHB64" s="144"/>
      <c r="KHC64" s="144"/>
      <c r="KHD64" s="144"/>
      <c r="KHE64" s="144"/>
      <c r="KHF64" s="144"/>
      <c r="KHG64" s="144"/>
      <c r="KHH64" s="144"/>
      <c r="KHI64" s="144"/>
      <c r="KHJ64" s="144"/>
      <c r="KHK64" s="144"/>
      <c r="KHL64" s="144"/>
      <c r="KHM64" s="144"/>
      <c r="KHN64" s="144"/>
      <c r="KHO64" s="144"/>
      <c r="KHP64" s="144"/>
      <c r="KHQ64" s="144"/>
      <c r="KHR64" s="144"/>
      <c r="KHS64" s="144"/>
      <c r="KHT64" s="144"/>
      <c r="KHU64" s="144"/>
      <c r="KHV64" s="144"/>
      <c r="KHW64" s="144"/>
      <c r="KHX64" s="144"/>
      <c r="KHY64" s="144"/>
      <c r="KHZ64" s="144"/>
      <c r="KIA64" s="144"/>
      <c r="KIB64" s="144"/>
      <c r="KIC64" s="144"/>
      <c r="KID64" s="144"/>
      <c r="KIE64" s="144"/>
      <c r="KIF64" s="144"/>
      <c r="KIG64" s="144"/>
      <c r="KIH64" s="144"/>
      <c r="KII64" s="144"/>
      <c r="KIJ64" s="144"/>
      <c r="KIK64" s="144"/>
      <c r="KIL64" s="144"/>
      <c r="KIM64" s="144"/>
      <c r="KIN64" s="144"/>
      <c r="KIO64" s="144"/>
      <c r="KIP64" s="144"/>
      <c r="KIQ64" s="144"/>
      <c r="KIR64" s="144"/>
      <c r="KIS64" s="144"/>
      <c r="KIT64" s="144"/>
      <c r="KIU64" s="144"/>
      <c r="KIV64" s="144"/>
      <c r="KIW64" s="144"/>
      <c r="KIX64" s="144"/>
      <c r="KIY64" s="144"/>
      <c r="KIZ64" s="144"/>
      <c r="KJA64" s="144"/>
      <c r="KJB64" s="144"/>
      <c r="KJC64" s="144"/>
      <c r="KJD64" s="144"/>
      <c r="KJE64" s="144"/>
      <c r="KJF64" s="144"/>
      <c r="KJG64" s="144"/>
      <c r="KJH64" s="144"/>
      <c r="KJI64" s="144"/>
      <c r="KJJ64" s="144"/>
      <c r="KJK64" s="144"/>
      <c r="KJL64" s="144"/>
      <c r="KJM64" s="144"/>
      <c r="KJN64" s="144"/>
      <c r="KJO64" s="144"/>
      <c r="KJP64" s="144"/>
      <c r="KJQ64" s="144"/>
      <c r="KJR64" s="144"/>
      <c r="KJS64" s="144"/>
      <c r="KJT64" s="144"/>
      <c r="KJU64" s="144"/>
      <c r="KJV64" s="144"/>
      <c r="KJW64" s="144"/>
      <c r="KJX64" s="144"/>
      <c r="KJY64" s="144"/>
      <c r="KJZ64" s="144"/>
      <c r="KKA64" s="144"/>
      <c r="KKB64" s="144"/>
      <c r="KKC64" s="144"/>
      <c r="KKD64" s="144"/>
      <c r="KKE64" s="144"/>
      <c r="KKF64" s="144"/>
      <c r="KKG64" s="144"/>
      <c r="KKH64" s="144"/>
      <c r="KKI64" s="144"/>
      <c r="KKJ64" s="144"/>
      <c r="KKK64" s="144"/>
      <c r="KKL64" s="144"/>
      <c r="KKM64" s="144"/>
      <c r="KKN64" s="144"/>
      <c r="KKO64" s="144"/>
      <c r="KKP64" s="144"/>
      <c r="KKQ64" s="144"/>
      <c r="KKR64" s="144"/>
      <c r="KKS64" s="144"/>
      <c r="KKT64" s="144"/>
      <c r="KKU64" s="144"/>
      <c r="KKV64" s="144"/>
      <c r="KKW64" s="144"/>
      <c r="KKX64" s="144"/>
      <c r="KKY64" s="144"/>
      <c r="KKZ64" s="144"/>
      <c r="KLA64" s="144"/>
      <c r="KLB64" s="144"/>
      <c r="KLC64" s="144"/>
      <c r="KLD64" s="144"/>
      <c r="KLE64" s="144"/>
      <c r="KLF64" s="144"/>
      <c r="KLG64" s="144"/>
      <c r="KLH64" s="144"/>
      <c r="KLI64" s="144"/>
      <c r="KLJ64" s="144"/>
      <c r="KLK64" s="144"/>
      <c r="KLL64" s="144"/>
      <c r="KLM64" s="144"/>
      <c r="KLN64" s="144"/>
      <c r="KLO64" s="144"/>
      <c r="KLP64" s="144"/>
      <c r="KLQ64" s="144"/>
      <c r="KLR64" s="144"/>
      <c r="KLS64" s="144"/>
      <c r="KLT64" s="144"/>
      <c r="KLU64" s="144"/>
      <c r="KLV64" s="144"/>
      <c r="KLW64" s="144"/>
      <c r="KLX64" s="144"/>
      <c r="KLY64" s="144"/>
      <c r="KLZ64" s="144"/>
      <c r="KMA64" s="144"/>
      <c r="KMB64" s="144"/>
      <c r="KMC64" s="144"/>
      <c r="KMD64" s="144"/>
      <c r="KME64" s="144"/>
      <c r="KMF64" s="144"/>
      <c r="KMG64" s="144"/>
      <c r="KMH64" s="144"/>
      <c r="KMI64" s="144"/>
      <c r="KMJ64" s="144"/>
      <c r="KMK64" s="144"/>
      <c r="KML64" s="144"/>
      <c r="KMM64" s="144"/>
      <c r="KMN64" s="144"/>
      <c r="KMO64" s="144"/>
      <c r="KMP64" s="144"/>
      <c r="KMQ64" s="144"/>
      <c r="KMR64" s="144"/>
      <c r="KMS64" s="144"/>
      <c r="KMT64" s="144"/>
      <c r="KMU64" s="144"/>
      <c r="KMV64" s="144"/>
      <c r="KMW64" s="144"/>
      <c r="KMX64" s="144"/>
      <c r="KMY64" s="144"/>
      <c r="KMZ64" s="144"/>
      <c r="KNA64" s="144"/>
      <c r="KNB64" s="144"/>
      <c r="KNC64" s="144"/>
      <c r="KND64" s="144"/>
      <c r="KNE64" s="144"/>
      <c r="KNF64" s="144"/>
      <c r="KNG64" s="144"/>
      <c r="KNH64" s="144"/>
      <c r="KNI64" s="144"/>
      <c r="KNJ64" s="144"/>
      <c r="KNK64" s="144"/>
      <c r="KNL64" s="144"/>
      <c r="KNM64" s="144"/>
      <c r="KNN64" s="144"/>
      <c r="KNO64" s="144"/>
      <c r="KNP64" s="144"/>
      <c r="KNQ64" s="144"/>
      <c r="KNR64" s="144"/>
      <c r="KNS64" s="144"/>
      <c r="KNT64" s="144"/>
      <c r="KNU64" s="144"/>
      <c r="KNV64" s="144"/>
      <c r="KNW64" s="144"/>
      <c r="KNX64" s="144"/>
      <c r="KNY64" s="144"/>
      <c r="KNZ64" s="144"/>
      <c r="KOA64" s="144"/>
      <c r="KOB64" s="144"/>
      <c r="KOC64" s="144"/>
      <c r="KOD64" s="144"/>
      <c r="KOE64" s="144"/>
      <c r="KOF64" s="144"/>
      <c r="KOG64" s="144"/>
      <c r="KOH64" s="144"/>
      <c r="KOI64" s="144"/>
      <c r="KOJ64" s="144"/>
      <c r="KOK64" s="144"/>
      <c r="KOL64" s="144"/>
      <c r="KOM64" s="144"/>
      <c r="KON64" s="144"/>
      <c r="KOO64" s="144"/>
      <c r="KOP64" s="144"/>
      <c r="KOQ64" s="144"/>
      <c r="KOR64" s="144"/>
      <c r="KOS64" s="144"/>
      <c r="KOT64" s="144"/>
      <c r="KOU64" s="144"/>
      <c r="KOV64" s="144"/>
      <c r="KOW64" s="144"/>
      <c r="KOX64" s="144"/>
      <c r="KOY64" s="144"/>
      <c r="KOZ64" s="144"/>
      <c r="KPA64" s="144"/>
      <c r="KPB64" s="144"/>
      <c r="KPC64" s="144"/>
      <c r="KPD64" s="144"/>
      <c r="KPE64" s="144"/>
      <c r="KPF64" s="144"/>
      <c r="KPG64" s="144"/>
      <c r="KPH64" s="144"/>
      <c r="KPI64" s="144"/>
      <c r="KPJ64" s="144"/>
      <c r="KPK64" s="144"/>
      <c r="KPL64" s="144"/>
      <c r="KPM64" s="144"/>
      <c r="KPN64" s="144"/>
      <c r="KPO64" s="144"/>
      <c r="KPP64" s="144"/>
      <c r="KPQ64" s="144"/>
      <c r="KPR64" s="144"/>
      <c r="KPS64" s="144"/>
      <c r="KPT64" s="144"/>
      <c r="KPU64" s="144"/>
      <c r="KPV64" s="144"/>
      <c r="KPW64" s="144"/>
      <c r="KPX64" s="144"/>
      <c r="KPY64" s="144"/>
      <c r="KPZ64" s="144"/>
      <c r="KQA64" s="144"/>
      <c r="KQB64" s="144"/>
      <c r="KQC64" s="144"/>
      <c r="KQD64" s="144"/>
      <c r="KQE64" s="144"/>
      <c r="KQF64" s="144"/>
      <c r="KQG64" s="144"/>
      <c r="KQH64" s="144"/>
      <c r="KQI64" s="144"/>
      <c r="KQJ64" s="144"/>
      <c r="KQK64" s="144"/>
      <c r="KQL64" s="144"/>
      <c r="KQM64" s="144"/>
      <c r="KQN64" s="144"/>
      <c r="KQO64" s="144"/>
      <c r="KQP64" s="144"/>
      <c r="KQQ64" s="144"/>
      <c r="KQR64" s="144"/>
      <c r="KQS64" s="144"/>
      <c r="KQT64" s="144"/>
      <c r="KQU64" s="144"/>
      <c r="KQV64" s="144"/>
      <c r="KQW64" s="144"/>
      <c r="KQX64" s="144"/>
      <c r="KQY64" s="144"/>
      <c r="KQZ64" s="144"/>
      <c r="KRA64" s="144"/>
      <c r="KRB64" s="144"/>
      <c r="KRC64" s="144"/>
      <c r="KRD64" s="144"/>
      <c r="KRE64" s="144"/>
      <c r="KRF64" s="144"/>
      <c r="KRG64" s="144"/>
      <c r="KRH64" s="144"/>
      <c r="KRI64" s="144"/>
      <c r="KRJ64" s="144"/>
      <c r="KRK64" s="144"/>
      <c r="KRL64" s="144"/>
      <c r="KRM64" s="144"/>
      <c r="KRN64" s="144"/>
      <c r="KRO64" s="144"/>
      <c r="KRP64" s="144"/>
      <c r="KRQ64" s="144"/>
      <c r="KRR64" s="144"/>
      <c r="KRS64" s="144"/>
      <c r="KRT64" s="144"/>
      <c r="KRU64" s="144"/>
      <c r="KRV64" s="144"/>
      <c r="KRW64" s="144"/>
      <c r="KRX64" s="144"/>
      <c r="KRY64" s="144"/>
      <c r="KRZ64" s="144"/>
      <c r="KSA64" s="144"/>
      <c r="KSB64" s="144"/>
      <c r="KSC64" s="144"/>
      <c r="KSD64" s="144"/>
      <c r="KSE64" s="144"/>
      <c r="KSF64" s="144"/>
      <c r="KSG64" s="144"/>
      <c r="KSH64" s="144"/>
      <c r="KSI64" s="144"/>
      <c r="KSJ64" s="144"/>
      <c r="KSK64" s="144"/>
      <c r="KSL64" s="144"/>
      <c r="KSM64" s="144"/>
      <c r="KSN64" s="144"/>
      <c r="KSO64" s="144"/>
      <c r="KSP64" s="144"/>
      <c r="KSQ64" s="144"/>
      <c r="KSR64" s="144"/>
      <c r="KSS64" s="144"/>
      <c r="KST64" s="144"/>
      <c r="KSU64" s="144"/>
      <c r="KSV64" s="144"/>
      <c r="KSW64" s="144"/>
      <c r="KSX64" s="144"/>
      <c r="KSY64" s="144"/>
      <c r="KSZ64" s="144"/>
      <c r="KTA64" s="144"/>
      <c r="KTB64" s="144"/>
      <c r="KTC64" s="144"/>
      <c r="KTD64" s="144"/>
      <c r="KTE64" s="144"/>
      <c r="KTF64" s="144"/>
      <c r="KTG64" s="144"/>
      <c r="KTH64" s="144"/>
      <c r="KTI64" s="144"/>
      <c r="KTJ64" s="144"/>
      <c r="KTK64" s="144"/>
      <c r="KTL64" s="144"/>
      <c r="KTM64" s="144"/>
      <c r="KTN64" s="144"/>
      <c r="KTO64" s="144"/>
      <c r="KTP64" s="144"/>
      <c r="KTQ64" s="144"/>
      <c r="KTR64" s="144"/>
      <c r="KTS64" s="144"/>
      <c r="KTT64" s="144"/>
      <c r="KTU64" s="144"/>
      <c r="KTV64" s="144"/>
      <c r="KTW64" s="144"/>
      <c r="KTX64" s="144"/>
      <c r="KTY64" s="144"/>
      <c r="KTZ64" s="144"/>
      <c r="KUA64" s="144"/>
      <c r="KUB64" s="144"/>
      <c r="KUC64" s="144"/>
      <c r="KUD64" s="144"/>
      <c r="KUE64" s="144"/>
      <c r="KUF64" s="144"/>
      <c r="KUG64" s="144"/>
      <c r="KUH64" s="144"/>
      <c r="KUI64" s="144"/>
      <c r="KUJ64" s="144"/>
      <c r="KUK64" s="144"/>
      <c r="KUL64" s="144"/>
      <c r="KUM64" s="144"/>
      <c r="KUN64" s="144"/>
      <c r="KUO64" s="144"/>
      <c r="KUP64" s="144"/>
      <c r="KUQ64" s="144"/>
      <c r="KUR64" s="144"/>
      <c r="KUS64" s="144"/>
      <c r="KUT64" s="144"/>
      <c r="KUU64" s="144"/>
      <c r="KUV64" s="144"/>
      <c r="KUW64" s="144"/>
      <c r="KUX64" s="144"/>
      <c r="KUY64" s="144"/>
      <c r="KUZ64" s="144"/>
      <c r="KVA64" s="144"/>
      <c r="KVB64" s="144"/>
      <c r="KVC64" s="144"/>
      <c r="KVD64" s="144"/>
      <c r="KVE64" s="144"/>
      <c r="KVF64" s="144"/>
      <c r="KVG64" s="144"/>
      <c r="KVH64" s="144"/>
      <c r="KVI64" s="144"/>
      <c r="KVJ64" s="144"/>
      <c r="KVK64" s="144"/>
      <c r="KVL64" s="144"/>
      <c r="KVM64" s="144"/>
      <c r="KVN64" s="144"/>
      <c r="KVO64" s="144"/>
      <c r="KVP64" s="144"/>
      <c r="KVQ64" s="144"/>
      <c r="KVR64" s="144"/>
      <c r="KVS64" s="144"/>
      <c r="KVT64" s="144"/>
      <c r="KVU64" s="144"/>
      <c r="KVV64" s="144"/>
      <c r="KVW64" s="144"/>
      <c r="KVX64" s="144"/>
      <c r="KVY64" s="144"/>
      <c r="KVZ64" s="144"/>
      <c r="KWA64" s="144"/>
      <c r="KWB64" s="144"/>
      <c r="KWC64" s="144"/>
      <c r="KWD64" s="144"/>
      <c r="KWE64" s="144"/>
      <c r="KWF64" s="144"/>
      <c r="KWG64" s="144"/>
      <c r="KWH64" s="144"/>
      <c r="KWI64" s="144"/>
      <c r="KWJ64" s="144"/>
      <c r="KWK64" s="144"/>
      <c r="KWL64" s="144"/>
      <c r="KWM64" s="144"/>
      <c r="KWN64" s="144"/>
      <c r="KWO64" s="144"/>
      <c r="KWP64" s="144"/>
      <c r="KWQ64" s="144"/>
      <c r="KWR64" s="144"/>
      <c r="KWS64" s="144"/>
      <c r="KWT64" s="144"/>
      <c r="KWU64" s="144"/>
      <c r="KWV64" s="144"/>
      <c r="KWW64" s="144"/>
      <c r="KWX64" s="144"/>
      <c r="KWY64" s="144"/>
      <c r="KWZ64" s="144"/>
      <c r="KXA64" s="144"/>
      <c r="KXB64" s="144"/>
      <c r="KXC64" s="144"/>
      <c r="KXD64" s="144"/>
      <c r="KXE64" s="144"/>
      <c r="KXF64" s="144"/>
      <c r="KXG64" s="144"/>
      <c r="KXH64" s="144"/>
      <c r="KXI64" s="144"/>
      <c r="KXJ64" s="144"/>
      <c r="KXK64" s="144"/>
      <c r="KXL64" s="144"/>
      <c r="KXM64" s="144"/>
      <c r="KXN64" s="144"/>
      <c r="KXO64" s="144"/>
      <c r="KXP64" s="144"/>
      <c r="KXQ64" s="144"/>
      <c r="KXR64" s="144"/>
      <c r="KXS64" s="144"/>
      <c r="KXT64" s="144"/>
      <c r="KXU64" s="144"/>
      <c r="KXV64" s="144"/>
      <c r="KXW64" s="144"/>
      <c r="KXX64" s="144"/>
      <c r="KXY64" s="144"/>
      <c r="KXZ64" s="144"/>
      <c r="KYA64" s="144"/>
      <c r="KYB64" s="144"/>
      <c r="KYC64" s="144"/>
      <c r="KYD64" s="144"/>
      <c r="KYE64" s="144"/>
      <c r="KYF64" s="144"/>
      <c r="KYG64" s="144"/>
      <c r="KYH64" s="144"/>
      <c r="KYI64" s="144"/>
      <c r="KYJ64" s="144"/>
      <c r="KYK64" s="144"/>
      <c r="KYL64" s="144"/>
      <c r="KYM64" s="144"/>
      <c r="KYN64" s="144"/>
      <c r="KYO64" s="144"/>
      <c r="KYP64" s="144"/>
      <c r="KYQ64" s="144"/>
      <c r="KYR64" s="144"/>
      <c r="KYS64" s="144"/>
      <c r="KYT64" s="144"/>
      <c r="KYU64" s="144"/>
      <c r="KYV64" s="144"/>
      <c r="KYW64" s="144"/>
      <c r="KYX64" s="144"/>
      <c r="KYY64" s="144"/>
      <c r="KYZ64" s="144"/>
      <c r="KZA64" s="144"/>
      <c r="KZB64" s="144"/>
      <c r="KZC64" s="144"/>
      <c r="KZD64" s="144"/>
      <c r="KZE64" s="144"/>
      <c r="KZF64" s="144"/>
      <c r="KZG64" s="144"/>
      <c r="KZH64" s="144"/>
      <c r="KZI64" s="144"/>
      <c r="KZJ64" s="144"/>
      <c r="KZK64" s="144"/>
      <c r="KZL64" s="144"/>
      <c r="KZM64" s="144"/>
      <c r="KZN64" s="144"/>
      <c r="KZO64" s="144"/>
      <c r="KZP64" s="144"/>
      <c r="KZQ64" s="144"/>
      <c r="KZR64" s="144"/>
      <c r="KZS64" s="144"/>
      <c r="KZT64" s="144"/>
      <c r="KZU64" s="144"/>
      <c r="KZV64" s="144"/>
      <c r="KZW64" s="144"/>
      <c r="KZX64" s="144"/>
      <c r="KZY64" s="144"/>
      <c r="KZZ64" s="144"/>
      <c r="LAA64" s="144"/>
      <c r="LAB64" s="144"/>
      <c r="LAC64" s="144"/>
      <c r="LAD64" s="144"/>
      <c r="LAE64" s="144"/>
      <c r="LAF64" s="144"/>
      <c r="LAG64" s="144"/>
      <c r="LAH64" s="144"/>
      <c r="LAI64" s="144"/>
      <c r="LAJ64" s="144"/>
      <c r="LAK64" s="144"/>
      <c r="LAL64" s="144"/>
      <c r="LAM64" s="144"/>
      <c r="LAN64" s="144"/>
      <c r="LAO64" s="144"/>
      <c r="LAP64" s="144"/>
      <c r="LAQ64" s="144"/>
      <c r="LAR64" s="144"/>
      <c r="LAS64" s="144"/>
      <c r="LAT64" s="144"/>
      <c r="LAU64" s="144"/>
      <c r="LAV64" s="144"/>
      <c r="LAW64" s="144"/>
      <c r="LAX64" s="144"/>
      <c r="LAY64" s="144"/>
      <c r="LAZ64" s="144"/>
      <c r="LBA64" s="144"/>
      <c r="LBB64" s="144"/>
      <c r="LBC64" s="144"/>
      <c r="LBD64" s="144"/>
      <c r="LBE64" s="144"/>
      <c r="LBF64" s="144"/>
      <c r="LBG64" s="144"/>
      <c r="LBH64" s="144"/>
      <c r="LBI64" s="144"/>
      <c r="LBJ64" s="144"/>
      <c r="LBK64" s="144"/>
      <c r="LBL64" s="144"/>
      <c r="LBM64" s="144"/>
      <c r="LBN64" s="144"/>
      <c r="LBO64" s="144"/>
      <c r="LBP64" s="144"/>
      <c r="LBQ64" s="144"/>
      <c r="LBR64" s="144"/>
      <c r="LBS64" s="144"/>
      <c r="LBT64" s="144"/>
      <c r="LBU64" s="144"/>
      <c r="LBV64" s="144"/>
      <c r="LBW64" s="144"/>
      <c r="LBX64" s="144"/>
      <c r="LBY64" s="144"/>
      <c r="LBZ64" s="144"/>
      <c r="LCA64" s="144"/>
      <c r="LCB64" s="144"/>
      <c r="LCC64" s="144"/>
      <c r="LCD64" s="144"/>
      <c r="LCE64" s="144"/>
      <c r="LCF64" s="144"/>
      <c r="LCG64" s="144"/>
      <c r="LCH64" s="144"/>
      <c r="LCI64" s="144"/>
      <c r="LCJ64" s="144"/>
      <c r="LCK64" s="144"/>
      <c r="LCL64" s="144"/>
      <c r="LCM64" s="144"/>
      <c r="LCN64" s="144"/>
      <c r="LCO64" s="144"/>
      <c r="LCP64" s="144"/>
      <c r="LCQ64" s="144"/>
      <c r="LCR64" s="144"/>
      <c r="LCS64" s="144"/>
      <c r="LCT64" s="144"/>
      <c r="LCU64" s="144"/>
      <c r="LCV64" s="144"/>
      <c r="LCW64" s="144"/>
      <c r="LCX64" s="144"/>
      <c r="LCY64" s="144"/>
      <c r="LCZ64" s="144"/>
      <c r="LDA64" s="144"/>
      <c r="LDB64" s="144"/>
      <c r="LDC64" s="144"/>
      <c r="LDD64" s="144"/>
      <c r="LDE64" s="144"/>
      <c r="LDF64" s="144"/>
      <c r="LDG64" s="144"/>
      <c r="LDH64" s="144"/>
      <c r="LDI64" s="144"/>
      <c r="LDJ64" s="144"/>
      <c r="LDK64" s="144"/>
      <c r="LDL64" s="144"/>
      <c r="LDM64" s="144"/>
      <c r="LDN64" s="144"/>
      <c r="LDO64" s="144"/>
      <c r="LDP64" s="144"/>
      <c r="LDQ64" s="144"/>
      <c r="LDR64" s="144"/>
      <c r="LDS64" s="144"/>
      <c r="LDT64" s="144"/>
      <c r="LDU64" s="144"/>
      <c r="LDV64" s="144"/>
      <c r="LDW64" s="144"/>
      <c r="LDX64" s="144"/>
      <c r="LDY64" s="144"/>
      <c r="LDZ64" s="144"/>
      <c r="LEA64" s="144"/>
      <c r="LEB64" s="144"/>
      <c r="LEC64" s="144"/>
      <c r="LED64" s="144"/>
      <c r="LEE64" s="144"/>
      <c r="LEF64" s="144"/>
      <c r="LEG64" s="144"/>
      <c r="LEH64" s="144"/>
      <c r="LEI64" s="144"/>
      <c r="LEJ64" s="144"/>
      <c r="LEK64" s="144"/>
      <c r="LEL64" s="144"/>
      <c r="LEM64" s="144"/>
      <c r="LEN64" s="144"/>
      <c r="LEO64" s="144"/>
      <c r="LEP64" s="144"/>
      <c r="LEQ64" s="144"/>
      <c r="LER64" s="144"/>
      <c r="LES64" s="144"/>
      <c r="LET64" s="144"/>
      <c r="LEU64" s="144"/>
      <c r="LEV64" s="144"/>
      <c r="LEW64" s="144"/>
      <c r="LEX64" s="144"/>
      <c r="LEY64" s="144"/>
      <c r="LEZ64" s="144"/>
      <c r="LFA64" s="144"/>
      <c r="LFB64" s="144"/>
      <c r="LFC64" s="144"/>
      <c r="LFD64" s="144"/>
      <c r="LFE64" s="144"/>
      <c r="LFF64" s="144"/>
      <c r="LFG64" s="144"/>
      <c r="LFH64" s="144"/>
      <c r="LFI64" s="144"/>
      <c r="LFJ64" s="144"/>
      <c r="LFK64" s="144"/>
      <c r="LFL64" s="144"/>
      <c r="LFM64" s="144"/>
      <c r="LFN64" s="144"/>
      <c r="LFO64" s="144"/>
      <c r="LFP64" s="144"/>
      <c r="LFQ64" s="144"/>
      <c r="LFR64" s="144"/>
      <c r="LFS64" s="144"/>
      <c r="LFT64" s="144"/>
      <c r="LFU64" s="144"/>
      <c r="LFV64" s="144"/>
      <c r="LFW64" s="144"/>
      <c r="LFX64" s="144"/>
      <c r="LFY64" s="144"/>
      <c r="LFZ64" s="144"/>
      <c r="LGA64" s="144"/>
      <c r="LGB64" s="144"/>
      <c r="LGC64" s="144"/>
      <c r="LGD64" s="144"/>
      <c r="LGE64" s="144"/>
      <c r="LGF64" s="144"/>
      <c r="LGG64" s="144"/>
      <c r="LGH64" s="144"/>
      <c r="LGI64" s="144"/>
      <c r="LGJ64" s="144"/>
      <c r="LGK64" s="144"/>
      <c r="LGL64" s="144"/>
      <c r="LGM64" s="144"/>
      <c r="LGN64" s="144"/>
      <c r="LGO64" s="144"/>
      <c r="LGP64" s="144"/>
      <c r="LGQ64" s="144"/>
      <c r="LGR64" s="144"/>
      <c r="LGS64" s="144"/>
      <c r="LGT64" s="144"/>
      <c r="LGU64" s="144"/>
      <c r="LGV64" s="144"/>
      <c r="LGW64" s="144"/>
      <c r="LGX64" s="144"/>
      <c r="LGY64" s="144"/>
      <c r="LGZ64" s="144"/>
      <c r="LHA64" s="144"/>
      <c r="LHB64" s="144"/>
      <c r="LHC64" s="144"/>
      <c r="LHD64" s="144"/>
      <c r="LHE64" s="144"/>
      <c r="LHF64" s="144"/>
      <c r="LHG64" s="144"/>
      <c r="LHH64" s="144"/>
      <c r="LHI64" s="144"/>
      <c r="LHJ64" s="144"/>
      <c r="LHK64" s="144"/>
      <c r="LHL64" s="144"/>
      <c r="LHM64" s="144"/>
      <c r="LHN64" s="144"/>
      <c r="LHO64" s="144"/>
      <c r="LHP64" s="144"/>
      <c r="LHQ64" s="144"/>
      <c r="LHR64" s="144"/>
      <c r="LHS64" s="144"/>
      <c r="LHT64" s="144"/>
      <c r="LHU64" s="144"/>
      <c r="LHV64" s="144"/>
      <c r="LHW64" s="144"/>
      <c r="LHX64" s="144"/>
      <c r="LHY64" s="144"/>
      <c r="LHZ64" s="144"/>
      <c r="LIA64" s="144"/>
      <c r="LIB64" s="144"/>
      <c r="LIC64" s="144"/>
      <c r="LID64" s="144"/>
      <c r="LIE64" s="144"/>
      <c r="LIF64" s="144"/>
      <c r="LIG64" s="144"/>
      <c r="LIH64" s="144"/>
      <c r="LII64" s="144"/>
      <c r="LIJ64" s="144"/>
      <c r="LIK64" s="144"/>
      <c r="LIL64" s="144"/>
      <c r="LIM64" s="144"/>
      <c r="LIN64" s="144"/>
      <c r="LIO64" s="144"/>
      <c r="LIP64" s="144"/>
      <c r="LIQ64" s="144"/>
      <c r="LIR64" s="144"/>
      <c r="LIS64" s="144"/>
      <c r="LIT64" s="144"/>
      <c r="LIU64" s="144"/>
      <c r="LIV64" s="144"/>
      <c r="LIW64" s="144"/>
      <c r="LIX64" s="144"/>
      <c r="LIY64" s="144"/>
      <c r="LIZ64" s="144"/>
      <c r="LJA64" s="144"/>
      <c r="LJB64" s="144"/>
      <c r="LJC64" s="144"/>
      <c r="LJD64" s="144"/>
      <c r="LJE64" s="144"/>
      <c r="LJF64" s="144"/>
      <c r="LJG64" s="144"/>
      <c r="LJH64" s="144"/>
      <c r="LJI64" s="144"/>
      <c r="LJJ64" s="144"/>
      <c r="LJK64" s="144"/>
      <c r="LJL64" s="144"/>
      <c r="LJM64" s="144"/>
      <c r="LJN64" s="144"/>
      <c r="LJO64" s="144"/>
      <c r="LJP64" s="144"/>
      <c r="LJQ64" s="144"/>
      <c r="LJR64" s="144"/>
      <c r="LJS64" s="144"/>
      <c r="LJT64" s="144"/>
      <c r="LJU64" s="144"/>
      <c r="LJV64" s="144"/>
      <c r="LJW64" s="144"/>
      <c r="LJX64" s="144"/>
      <c r="LJY64" s="144"/>
      <c r="LJZ64" s="144"/>
      <c r="LKA64" s="144"/>
      <c r="LKB64" s="144"/>
      <c r="LKC64" s="144"/>
      <c r="LKD64" s="144"/>
      <c r="LKE64" s="144"/>
      <c r="LKF64" s="144"/>
      <c r="LKG64" s="144"/>
      <c r="LKH64" s="144"/>
      <c r="LKI64" s="144"/>
      <c r="LKJ64" s="144"/>
      <c r="LKK64" s="144"/>
      <c r="LKL64" s="144"/>
      <c r="LKM64" s="144"/>
      <c r="LKN64" s="144"/>
      <c r="LKO64" s="144"/>
      <c r="LKP64" s="144"/>
      <c r="LKQ64" s="144"/>
      <c r="LKR64" s="144"/>
      <c r="LKS64" s="144"/>
      <c r="LKT64" s="144"/>
      <c r="LKU64" s="144"/>
      <c r="LKV64" s="144"/>
      <c r="LKW64" s="144"/>
      <c r="LKX64" s="144"/>
      <c r="LKY64" s="144"/>
      <c r="LKZ64" s="144"/>
      <c r="LLA64" s="144"/>
      <c r="LLB64" s="144"/>
      <c r="LLC64" s="144"/>
      <c r="LLD64" s="144"/>
      <c r="LLE64" s="144"/>
      <c r="LLF64" s="144"/>
      <c r="LLG64" s="144"/>
      <c r="LLH64" s="144"/>
      <c r="LLI64" s="144"/>
      <c r="LLJ64" s="144"/>
      <c r="LLK64" s="144"/>
      <c r="LLL64" s="144"/>
      <c r="LLM64" s="144"/>
      <c r="LLN64" s="144"/>
      <c r="LLO64" s="144"/>
      <c r="LLP64" s="144"/>
      <c r="LLQ64" s="144"/>
      <c r="LLR64" s="144"/>
      <c r="LLS64" s="144"/>
      <c r="LLT64" s="144"/>
      <c r="LLU64" s="144"/>
      <c r="LLV64" s="144"/>
      <c r="LLW64" s="144"/>
      <c r="LLX64" s="144"/>
      <c r="LLY64" s="144"/>
      <c r="LLZ64" s="144"/>
      <c r="LMA64" s="144"/>
      <c r="LMB64" s="144"/>
      <c r="LMC64" s="144"/>
      <c r="LMD64" s="144"/>
      <c r="LME64" s="144"/>
      <c r="LMF64" s="144"/>
      <c r="LMG64" s="144"/>
      <c r="LMH64" s="144"/>
      <c r="LMI64" s="144"/>
      <c r="LMJ64" s="144"/>
      <c r="LMK64" s="144"/>
      <c r="LML64" s="144"/>
      <c r="LMM64" s="144"/>
      <c r="LMN64" s="144"/>
      <c r="LMO64" s="144"/>
      <c r="LMP64" s="144"/>
      <c r="LMQ64" s="144"/>
      <c r="LMR64" s="144"/>
      <c r="LMS64" s="144"/>
      <c r="LMT64" s="144"/>
      <c r="LMU64" s="144"/>
      <c r="LMV64" s="144"/>
      <c r="LMW64" s="144"/>
      <c r="LMX64" s="144"/>
      <c r="LMY64" s="144"/>
      <c r="LMZ64" s="144"/>
      <c r="LNA64" s="144"/>
      <c r="LNB64" s="144"/>
      <c r="LNC64" s="144"/>
      <c r="LND64" s="144"/>
      <c r="LNE64" s="144"/>
      <c r="LNF64" s="144"/>
      <c r="LNG64" s="144"/>
      <c r="LNH64" s="144"/>
      <c r="LNI64" s="144"/>
      <c r="LNJ64" s="144"/>
      <c r="LNK64" s="144"/>
      <c r="LNL64" s="144"/>
      <c r="LNM64" s="144"/>
      <c r="LNN64" s="144"/>
      <c r="LNO64" s="144"/>
      <c r="LNP64" s="144"/>
      <c r="LNQ64" s="144"/>
      <c r="LNR64" s="144"/>
      <c r="LNS64" s="144"/>
      <c r="LNT64" s="144"/>
      <c r="LNU64" s="144"/>
      <c r="LNV64" s="144"/>
      <c r="LNW64" s="144"/>
      <c r="LNX64" s="144"/>
      <c r="LNY64" s="144"/>
      <c r="LNZ64" s="144"/>
      <c r="LOA64" s="144"/>
      <c r="LOB64" s="144"/>
      <c r="LOC64" s="144"/>
      <c r="LOD64" s="144"/>
      <c r="LOE64" s="144"/>
      <c r="LOF64" s="144"/>
      <c r="LOG64" s="144"/>
      <c r="LOH64" s="144"/>
      <c r="LOI64" s="144"/>
      <c r="LOJ64" s="144"/>
      <c r="LOK64" s="144"/>
      <c r="LOL64" s="144"/>
      <c r="LOM64" s="144"/>
      <c r="LON64" s="144"/>
      <c r="LOO64" s="144"/>
      <c r="LOP64" s="144"/>
      <c r="LOQ64" s="144"/>
      <c r="LOR64" s="144"/>
      <c r="LOS64" s="144"/>
      <c r="LOT64" s="144"/>
      <c r="LOU64" s="144"/>
      <c r="LOV64" s="144"/>
      <c r="LOW64" s="144"/>
      <c r="LOX64" s="144"/>
      <c r="LOY64" s="144"/>
      <c r="LOZ64" s="144"/>
      <c r="LPA64" s="144"/>
      <c r="LPB64" s="144"/>
      <c r="LPC64" s="144"/>
      <c r="LPD64" s="144"/>
      <c r="LPE64" s="144"/>
      <c r="LPF64" s="144"/>
      <c r="LPG64" s="144"/>
      <c r="LPH64" s="144"/>
      <c r="LPI64" s="144"/>
      <c r="LPJ64" s="144"/>
      <c r="LPK64" s="144"/>
      <c r="LPL64" s="144"/>
      <c r="LPM64" s="144"/>
      <c r="LPN64" s="144"/>
      <c r="LPO64" s="144"/>
      <c r="LPP64" s="144"/>
      <c r="LPQ64" s="144"/>
      <c r="LPR64" s="144"/>
      <c r="LPS64" s="144"/>
      <c r="LPT64" s="144"/>
      <c r="LPU64" s="144"/>
      <c r="LPV64" s="144"/>
      <c r="LPW64" s="144"/>
      <c r="LPX64" s="144"/>
      <c r="LPY64" s="144"/>
      <c r="LPZ64" s="144"/>
      <c r="LQA64" s="144"/>
      <c r="LQB64" s="144"/>
      <c r="LQC64" s="144"/>
      <c r="LQD64" s="144"/>
      <c r="LQE64" s="144"/>
      <c r="LQF64" s="144"/>
      <c r="LQG64" s="144"/>
      <c r="LQH64" s="144"/>
      <c r="LQI64" s="144"/>
      <c r="LQJ64" s="144"/>
      <c r="LQK64" s="144"/>
      <c r="LQL64" s="144"/>
      <c r="LQM64" s="144"/>
      <c r="LQN64" s="144"/>
      <c r="LQO64" s="144"/>
      <c r="LQP64" s="144"/>
      <c r="LQQ64" s="144"/>
      <c r="LQR64" s="144"/>
      <c r="LQS64" s="144"/>
      <c r="LQT64" s="144"/>
      <c r="LQU64" s="144"/>
      <c r="LQV64" s="144"/>
      <c r="LQW64" s="144"/>
      <c r="LQX64" s="144"/>
      <c r="LQY64" s="144"/>
      <c r="LQZ64" s="144"/>
      <c r="LRA64" s="144"/>
      <c r="LRB64" s="144"/>
      <c r="LRC64" s="144"/>
      <c r="LRD64" s="144"/>
      <c r="LRE64" s="144"/>
      <c r="LRF64" s="144"/>
      <c r="LRG64" s="144"/>
      <c r="LRH64" s="144"/>
      <c r="LRI64" s="144"/>
      <c r="LRJ64" s="144"/>
      <c r="LRK64" s="144"/>
      <c r="LRL64" s="144"/>
      <c r="LRM64" s="144"/>
      <c r="LRN64" s="144"/>
      <c r="LRO64" s="144"/>
      <c r="LRP64" s="144"/>
      <c r="LRQ64" s="144"/>
      <c r="LRR64" s="144"/>
      <c r="LRS64" s="144"/>
      <c r="LRT64" s="144"/>
      <c r="LRU64" s="144"/>
      <c r="LRV64" s="144"/>
      <c r="LRW64" s="144"/>
      <c r="LRX64" s="144"/>
      <c r="LRY64" s="144"/>
      <c r="LRZ64" s="144"/>
      <c r="LSA64" s="144"/>
      <c r="LSB64" s="144"/>
      <c r="LSC64" s="144"/>
      <c r="LSD64" s="144"/>
      <c r="LSE64" s="144"/>
      <c r="LSF64" s="144"/>
      <c r="LSG64" s="144"/>
      <c r="LSH64" s="144"/>
      <c r="LSI64" s="144"/>
      <c r="LSJ64" s="144"/>
      <c r="LSK64" s="144"/>
      <c r="LSL64" s="144"/>
      <c r="LSM64" s="144"/>
      <c r="LSN64" s="144"/>
      <c r="LSO64" s="144"/>
      <c r="LSP64" s="144"/>
      <c r="LSQ64" s="144"/>
      <c r="LSR64" s="144"/>
      <c r="LSS64" s="144"/>
      <c r="LST64" s="144"/>
      <c r="LSU64" s="144"/>
      <c r="LSV64" s="144"/>
      <c r="LSW64" s="144"/>
      <c r="LSX64" s="144"/>
      <c r="LSY64" s="144"/>
      <c r="LSZ64" s="144"/>
      <c r="LTA64" s="144"/>
      <c r="LTB64" s="144"/>
      <c r="LTC64" s="144"/>
      <c r="LTD64" s="144"/>
      <c r="LTE64" s="144"/>
      <c r="LTF64" s="144"/>
      <c r="LTG64" s="144"/>
      <c r="LTH64" s="144"/>
      <c r="LTI64" s="144"/>
      <c r="LTJ64" s="144"/>
      <c r="LTK64" s="144"/>
      <c r="LTL64" s="144"/>
      <c r="LTM64" s="144"/>
      <c r="LTN64" s="144"/>
      <c r="LTO64" s="144"/>
      <c r="LTP64" s="144"/>
      <c r="LTQ64" s="144"/>
      <c r="LTR64" s="144"/>
      <c r="LTS64" s="144"/>
      <c r="LTT64" s="144"/>
      <c r="LTU64" s="144"/>
      <c r="LTV64" s="144"/>
      <c r="LTW64" s="144"/>
      <c r="LTX64" s="144"/>
      <c r="LTY64" s="144"/>
      <c r="LTZ64" s="144"/>
      <c r="LUA64" s="144"/>
      <c r="LUB64" s="144"/>
      <c r="LUC64" s="144"/>
      <c r="LUD64" s="144"/>
      <c r="LUE64" s="144"/>
      <c r="LUF64" s="144"/>
      <c r="LUG64" s="144"/>
      <c r="LUH64" s="144"/>
      <c r="LUI64" s="144"/>
      <c r="LUJ64" s="144"/>
      <c r="LUK64" s="144"/>
      <c r="LUL64" s="144"/>
      <c r="LUM64" s="144"/>
      <c r="LUN64" s="144"/>
      <c r="LUO64" s="144"/>
      <c r="LUP64" s="144"/>
      <c r="LUQ64" s="144"/>
      <c r="LUR64" s="144"/>
      <c r="LUS64" s="144"/>
      <c r="LUT64" s="144"/>
      <c r="LUU64" s="144"/>
      <c r="LUV64" s="144"/>
      <c r="LUW64" s="144"/>
      <c r="LUX64" s="144"/>
      <c r="LUY64" s="144"/>
      <c r="LUZ64" s="144"/>
      <c r="LVA64" s="144"/>
      <c r="LVB64" s="144"/>
      <c r="LVC64" s="144"/>
      <c r="LVD64" s="144"/>
      <c r="LVE64" s="144"/>
      <c r="LVF64" s="144"/>
      <c r="LVG64" s="144"/>
      <c r="LVH64" s="144"/>
      <c r="LVI64" s="144"/>
      <c r="LVJ64" s="144"/>
      <c r="LVK64" s="144"/>
      <c r="LVL64" s="144"/>
      <c r="LVM64" s="144"/>
      <c r="LVN64" s="144"/>
      <c r="LVO64" s="144"/>
      <c r="LVP64" s="144"/>
      <c r="LVQ64" s="144"/>
      <c r="LVR64" s="144"/>
      <c r="LVS64" s="144"/>
      <c r="LVT64" s="144"/>
      <c r="LVU64" s="144"/>
      <c r="LVV64" s="144"/>
      <c r="LVW64" s="144"/>
      <c r="LVX64" s="144"/>
      <c r="LVY64" s="144"/>
      <c r="LVZ64" s="144"/>
      <c r="LWA64" s="144"/>
      <c r="LWB64" s="144"/>
      <c r="LWC64" s="144"/>
      <c r="LWD64" s="144"/>
      <c r="LWE64" s="144"/>
      <c r="LWF64" s="144"/>
      <c r="LWG64" s="144"/>
      <c r="LWH64" s="144"/>
      <c r="LWI64" s="144"/>
      <c r="LWJ64" s="144"/>
      <c r="LWK64" s="144"/>
      <c r="LWL64" s="144"/>
      <c r="LWM64" s="144"/>
      <c r="LWN64" s="144"/>
      <c r="LWO64" s="144"/>
      <c r="LWP64" s="144"/>
      <c r="LWQ64" s="144"/>
      <c r="LWR64" s="144"/>
      <c r="LWS64" s="144"/>
      <c r="LWT64" s="144"/>
      <c r="LWU64" s="144"/>
      <c r="LWV64" s="144"/>
      <c r="LWW64" s="144"/>
      <c r="LWX64" s="144"/>
      <c r="LWY64" s="144"/>
      <c r="LWZ64" s="144"/>
      <c r="LXA64" s="144"/>
      <c r="LXB64" s="144"/>
      <c r="LXC64" s="144"/>
      <c r="LXD64" s="144"/>
      <c r="LXE64" s="144"/>
      <c r="LXF64" s="144"/>
      <c r="LXG64" s="144"/>
      <c r="LXH64" s="144"/>
      <c r="LXI64" s="144"/>
      <c r="LXJ64" s="144"/>
      <c r="LXK64" s="144"/>
      <c r="LXL64" s="144"/>
      <c r="LXM64" s="144"/>
      <c r="LXN64" s="144"/>
      <c r="LXO64" s="144"/>
      <c r="LXP64" s="144"/>
      <c r="LXQ64" s="144"/>
      <c r="LXR64" s="144"/>
      <c r="LXS64" s="144"/>
      <c r="LXT64" s="144"/>
      <c r="LXU64" s="144"/>
      <c r="LXV64" s="144"/>
      <c r="LXW64" s="144"/>
      <c r="LXX64" s="144"/>
      <c r="LXY64" s="144"/>
      <c r="LXZ64" s="144"/>
      <c r="LYA64" s="144"/>
      <c r="LYB64" s="144"/>
      <c r="LYC64" s="144"/>
      <c r="LYD64" s="144"/>
      <c r="LYE64" s="144"/>
      <c r="LYF64" s="144"/>
      <c r="LYG64" s="144"/>
      <c r="LYH64" s="144"/>
      <c r="LYI64" s="144"/>
      <c r="LYJ64" s="144"/>
      <c r="LYK64" s="144"/>
      <c r="LYL64" s="144"/>
      <c r="LYM64" s="144"/>
      <c r="LYN64" s="144"/>
      <c r="LYO64" s="144"/>
      <c r="LYP64" s="144"/>
      <c r="LYQ64" s="144"/>
      <c r="LYR64" s="144"/>
      <c r="LYS64" s="144"/>
      <c r="LYT64" s="144"/>
      <c r="LYU64" s="144"/>
      <c r="LYV64" s="144"/>
      <c r="LYW64" s="144"/>
      <c r="LYX64" s="144"/>
      <c r="LYY64" s="144"/>
      <c r="LYZ64" s="144"/>
      <c r="LZA64" s="144"/>
      <c r="LZB64" s="144"/>
      <c r="LZC64" s="144"/>
      <c r="LZD64" s="144"/>
      <c r="LZE64" s="144"/>
      <c r="LZF64" s="144"/>
      <c r="LZG64" s="144"/>
      <c r="LZH64" s="144"/>
      <c r="LZI64" s="144"/>
      <c r="LZJ64" s="144"/>
      <c r="LZK64" s="144"/>
      <c r="LZL64" s="144"/>
      <c r="LZM64" s="144"/>
      <c r="LZN64" s="144"/>
      <c r="LZO64" s="144"/>
      <c r="LZP64" s="144"/>
      <c r="LZQ64" s="144"/>
      <c r="LZR64" s="144"/>
      <c r="LZS64" s="144"/>
      <c r="LZT64" s="144"/>
      <c r="LZU64" s="144"/>
      <c r="LZV64" s="144"/>
      <c r="LZW64" s="144"/>
      <c r="LZX64" s="144"/>
      <c r="LZY64" s="144"/>
      <c r="LZZ64" s="144"/>
      <c r="MAA64" s="144"/>
      <c r="MAB64" s="144"/>
      <c r="MAC64" s="144"/>
      <c r="MAD64" s="144"/>
      <c r="MAE64" s="144"/>
      <c r="MAF64" s="144"/>
      <c r="MAG64" s="144"/>
      <c r="MAH64" s="144"/>
      <c r="MAI64" s="144"/>
      <c r="MAJ64" s="144"/>
      <c r="MAK64" s="144"/>
      <c r="MAL64" s="144"/>
      <c r="MAM64" s="144"/>
      <c r="MAN64" s="144"/>
      <c r="MAO64" s="144"/>
      <c r="MAP64" s="144"/>
      <c r="MAQ64" s="144"/>
      <c r="MAR64" s="144"/>
      <c r="MAS64" s="144"/>
      <c r="MAT64" s="144"/>
      <c r="MAU64" s="144"/>
      <c r="MAV64" s="144"/>
      <c r="MAW64" s="144"/>
      <c r="MAX64" s="144"/>
      <c r="MAY64" s="144"/>
      <c r="MAZ64" s="144"/>
      <c r="MBA64" s="144"/>
      <c r="MBB64" s="144"/>
      <c r="MBC64" s="144"/>
      <c r="MBD64" s="144"/>
      <c r="MBE64" s="144"/>
      <c r="MBF64" s="144"/>
      <c r="MBG64" s="144"/>
      <c r="MBH64" s="144"/>
      <c r="MBI64" s="144"/>
      <c r="MBJ64" s="144"/>
      <c r="MBK64" s="144"/>
      <c r="MBL64" s="144"/>
      <c r="MBM64" s="144"/>
      <c r="MBN64" s="144"/>
      <c r="MBO64" s="144"/>
      <c r="MBP64" s="144"/>
      <c r="MBQ64" s="144"/>
      <c r="MBR64" s="144"/>
      <c r="MBS64" s="144"/>
      <c r="MBT64" s="144"/>
      <c r="MBU64" s="144"/>
      <c r="MBV64" s="144"/>
      <c r="MBW64" s="144"/>
      <c r="MBX64" s="144"/>
      <c r="MBY64" s="144"/>
      <c r="MBZ64" s="144"/>
      <c r="MCA64" s="144"/>
      <c r="MCB64" s="144"/>
      <c r="MCC64" s="144"/>
      <c r="MCD64" s="144"/>
      <c r="MCE64" s="144"/>
      <c r="MCF64" s="144"/>
      <c r="MCG64" s="144"/>
      <c r="MCH64" s="144"/>
      <c r="MCI64" s="144"/>
      <c r="MCJ64" s="144"/>
      <c r="MCK64" s="144"/>
      <c r="MCL64" s="144"/>
      <c r="MCM64" s="144"/>
      <c r="MCN64" s="144"/>
      <c r="MCO64" s="144"/>
      <c r="MCP64" s="144"/>
      <c r="MCQ64" s="144"/>
      <c r="MCR64" s="144"/>
      <c r="MCS64" s="144"/>
      <c r="MCT64" s="144"/>
      <c r="MCU64" s="144"/>
      <c r="MCV64" s="144"/>
      <c r="MCW64" s="144"/>
      <c r="MCX64" s="144"/>
      <c r="MCY64" s="144"/>
      <c r="MCZ64" s="144"/>
      <c r="MDA64" s="144"/>
      <c r="MDB64" s="144"/>
      <c r="MDC64" s="144"/>
      <c r="MDD64" s="144"/>
      <c r="MDE64" s="144"/>
      <c r="MDF64" s="144"/>
      <c r="MDG64" s="144"/>
      <c r="MDH64" s="144"/>
      <c r="MDI64" s="144"/>
      <c r="MDJ64" s="144"/>
      <c r="MDK64" s="144"/>
      <c r="MDL64" s="144"/>
      <c r="MDM64" s="144"/>
      <c r="MDN64" s="144"/>
      <c r="MDO64" s="144"/>
      <c r="MDP64" s="144"/>
      <c r="MDQ64" s="144"/>
      <c r="MDR64" s="144"/>
      <c r="MDS64" s="144"/>
      <c r="MDT64" s="144"/>
      <c r="MDU64" s="144"/>
      <c r="MDV64" s="144"/>
      <c r="MDW64" s="144"/>
      <c r="MDX64" s="144"/>
      <c r="MDY64" s="144"/>
      <c r="MDZ64" s="144"/>
      <c r="MEA64" s="144"/>
      <c r="MEB64" s="144"/>
      <c r="MEC64" s="144"/>
      <c r="MED64" s="144"/>
      <c r="MEE64" s="144"/>
      <c r="MEF64" s="144"/>
      <c r="MEG64" s="144"/>
      <c r="MEH64" s="144"/>
      <c r="MEI64" s="144"/>
      <c r="MEJ64" s="144"/>
      <c r="MEK64" s="144"/>
      <c r="MEL64" s="144"/>
      <c r="MEM64" s="144"/>
      <c r="MEN64" s="144"/>
      <c r="MEO64" s="144"/>
      <c r="MEP64" s="144"/>
      <c r="MEQ64" s="144"/>
      <c r="MER64" s="144"/>
      <c r="MES64" s="144"/>
      <c r="MET64" s="144"/>
      <c r="MEU64" s="144"/>
      <c r="MEV64" s="144"/>
      <c r="MEW64" s="144"/>
      <c r="MEX64" s="144"/>
      <c r="MEY64" s="144"/>
      <c r="MEZ64" s="144"/>
      <c r="MFA64" s="144"/>
      <c r="MFB64" s="144"/>
      <c r="MFC64" s="144"/>
      <c r="MFD64" s="144"/>
      <c r="MFE64" s="144"/>
      <c r="MFF64" s="144"/>
      <c r="MFG64" s="144"/>
      <c r="MFH64" s="144"/>
      <c r="MFI64" s="144"/>
      <c r="MFJ64" s="144"/>
      <c r="MFK64" s="144"/>
      <c r="MFL64" s="144"/>
      <c r="MFM64" s="144"/>
      <c r="MFN64" s="144"/>
      <c r="MFO64" s="144"/>
      <c r="MFP64" s="144"/>
      <c r="MFQ64" s="144"/>
      <c r="MFR64" s="144"/>
      <c r="MFS64" s="144"/>
      <c r="MFT64" s="144"/>
      <c r="MFU64" s="144"/>
      <c r="MFV64" s="144"/>
      <c r="MFW64" s="144"/>
      <c r="MFX64" s="144"/>
      <c r="MFY64" s="144"/>
      <c r="MFZ64" s="144"/>
      <c r="MGA64" s="144"/>
      <c r="MGB64" s="144"/>
      <c r="MGC64" s="144"/>
      <c r="MGD64" s="144"/>
      <c r="MGE64" s="144"/>
      <c r="MGF64" s="144"/>
      <c r="MGG64" s="144"/>
      <c r="MGH64" s="144"/>
      <c r="MGI64" s="144"/>
      <c r="MGJ64" s="144"/>
      <c r="MGK64" s="144"/>
      <c r="MGL64" s="144"/>
      <c r="MGM64" s="144"/>
      <c r="MGN64" s="144"/>
      <c r="MGO64" s="144"/>
      <c r="MGP64" s="144"/>
      <c r="MGQ64" s="144"/>
      <c r="MGR64" s="144"/>
      <c r="MGS64" s="144"/>
      <c r="MGT64" s="144"/>
      <c r="MGU64" s="144"/>
      <c r="MGV64" s="144"/>
      <c r="MGW64" s="144"/>
      <c r="MGX64" s="144"/>
      <c r="MGY64" s="144"/>
      <c r="MGZ64" s="144"/>
      <c r="MHA64" s="144"/>
      <c r="MHB64" s="144"/>
      <c r="MHC64" s="144"/>
      <c r="MHD64" s="144"/>
      <c r="MHE64" s="144"/>
      <c r="MHF64" s="144"/>
      <c r="MHG64" s="144"/>
      <c r="MHH64" s="144"/>
      <c r="MHI64" s="144"/>
      <c r="MHJ64" s="144"/>
      <c r="MHK64" s="144"/>
      <c r="MHL64" s="144"/>
      <c r="MHM64" s="144"/>
      <c r="MHN64" s="144"/>
      <c r="MHO64" s="144"/>
      <c r="MHP64" s="144"/>
      <c r="MHQ64" s="144"/>
      <c r="MHR64" s="144"/>
      <c r="MHS64" s="144"/>
      <c r="MHT64" s="144"/>
      <c r="MHU64" s="144"/>
      <c r="MHV64" s="144"/>
      <c r="MHW64" s="144"/>
      <c r="MHX64" s="144"/>
      <c r="MHY64" s="144"/>
      <c r="MHZ64" s="144"/>
      <c r="MIA64" s="144"/>
      <c r="MIB64" s="144"/>
      <c r="MIC64" s="144"/>
      <c r="MID64" s="144"/>
      <c r="MIE64" s="144"/>
      <c r="MIF64" s="144"/>
      <c r="MIG64" s="144"/>
      <c r="MIH64" s="144"/>
      <c r="MII64" s="144"/>
      <c r="MIJ64" s="144"/>
      <c r="MIK64" s="144"/>
      <c r="MIL64" s="144"/>
      <c r="MIM64" s="144"/>
      <c r="MIN64" s="144"/>
      <c r="MIO64" s="144"/>
      <c r="MIP64" s="144"/>
      <c r="MIQ64" s="144"/>
      <c r="MIR64" s="144"/>
      <c r="MIS64" s="144"/>
      <c r="MIT64" s="144"/>
      <c r="MIU64" s="144"/>
      <c r="MIV64" s="144"/>
      <c r="MIW64" s="144"/>
      <c r="MIX64" s="144"/>
      <c r="MIY64" s="144"/>
      <c r="MIZ64" s="144"/>
      <c r="MJA64" s="144"/>
      <c r="MJB64" s="144"/>
      <c r="MJC64" s="144"/>
      <c r="MJD64" s="144"/>
      <c r="MJE64" s="144"/>
      <c r="MJF64" s="144"/>
      <c r="MJG64" s="144"/>
      <c r="MJH64" s="144"/>
      <c r="MJI64" s="144"/>
      <c r="MJJ64" s="144"/>
      <c r="MJK64" s="144"/>
      <c r="MJL64" s="144"/>
      <c r="MJM64" s="144"/>
      <c r="MJN64" s="144"/>
      <c r="MJO64" s="144"/>
      <c r="MJP64" s="144"/>
      <c r="MJQ64" s="144"/>
      <c r="MJR64" s="144"/>
      <c r="MJS64" s="144"/>
      <c r="MJT64" s="144"/>
      <c r="MJU64" s="144"/>
      <c r="MJV64" s="144"/>
      <c r="MJW64" s="144"/>
      <c r="MJX64" s="144"/>
      <c r="MJY64" s="144"/>
      <c r="MJZ64" s="144"/>
      <c r="MKA64" s="144"/>
      <c r="MKB64" s="144"/>
      <c r="MKC64" s="144"/>
      <c r="MKD64" s="144"/>
      <c r="MKE64" s="144"/>
      <c r="MKF64" s="144"/>
      <c r="MKG64" s="144"/>
      <c r="MKH64" s="144"/>
      <c r="MKI64" s="144"/>
      <c r="MKJ64" s="144"/>
      <c r="MKK64" s="144"/>
      <c r="MKL64" s="144"/>
      <c r="MKM64" s="144"/>
      <c r="MKN64" s="144"/>
      <c r="MKO64" s="144"/>
      <c r="MKP64" s="144"/>
      <c r="MKQ64" s="144"/>
      <c r="MKR64" s="144"/>
      <c r="MKS64" s="144"/>
      <c r="MKT64" s="144"/>
      <c r="MKU64" s="144"/>
      <c r="MKV64" s="144"/>
      <c r="MKW64" s="144"/>
      <c r="MKX64" s="144"/>
      <c r="MKY64" s="144"/>
      <c r="MKZ64" s="144"/>
      <c r="MLA64" s="144"/>
      <c r="MLB64" s="144"/>
      <c r="MLC64" s="144"/>
      <c r="MLD64" s="144"/>
      <c r="MLE64" s="144"/>
      <c r="MLF64" s="144"/>
      <c r="MLG64" s="144"/>
      <c r="MLH64" s="144"/>
      <c r="MLI64" s="144"/>
      <c r="MLJ64" s="144"/>
      <c r="MLK64" s="144"/>
      <c r="MLL64" s="144"/>
      <c r="MLM64" s="144"/>
      <c r="MLN64" s="144"/>
      <c r="MLO64" s="144"/>
      <c r="MLP64" s="144"/>
      <c r="MLQ64" s="144"/>
      <c r="MLR64" s="144"/>
      <c r="MLS64" s="144"/>
      <c r="MLT64" s="144"/>
      <c r="MLU64" s="144"/>
      <c r="MLV64" s="144"/>
      <c r="MLW64" s="144"/>
      <c r="MLX64" s="144"/>
      <c r="MLY64" s="144"/>
      <c r="MLZ64" s="144"/>
      <c r="MMA64" s="144"/>
      <c r="MMB64" s="144"/>
      <c r="MMC64" s="144"/>
      <c r="MMD64" s="144"/>
      <c r="MME64" s="144"/>
      <c r="MMF64" s="144"/>
      <c r="MMG64" s="144"/>
      <c r="MMH64" s="144"/>
      <c r="MMI64" s="144"/>
      <c r="MMJ64" s="144"/>
      <c r="MMK64" s="144"/>
      <c r="MML64" s="144"/>
      <c r="MMM64" s="144"/>
      <c r="MMN64" s="144"/>
      <c r="MMO64" s="144"/>
      <c r="MMP64" s="144"/>
      <c r="MMQ64" s="144"/>
      <c r="MMR64" s="144"/>
      <c r="MMS64" s="144"/>
      <c r="MMT64" s="144"/>
      <c r="MMU64" s="144"/>
      <c r="MMV64" s="144"/>
      <c r="MMW64" s="144"/>
      <c r="MMX64" s="144"/>
      <c r="MMY64" s="144"/>
      <c r="MMZ64" s="144"/>
      <c r="MNA64" s="144"/>
      <c r="MNB64" s="144"/>
      <c r="MNC64" s="144"/>
      <c r="MND64" s="144"/>
      <c r="MNE64" s="144"/>
      <c r="MNF64" s="144"/>
      <c r="MNG64" s="144"/>
      <c r="MNH64" s="144"/>
      <c r="MNI64" s="144"/>
      <c r="MNJ64" s="144"/>
      <c r="MNK64" s="144"/>
      <c r="MNL64" s="144"/>
      <c r="MNM64" s="144"/>
      <c r="MNN64" s="144"/>
      <c r="MNO64" s="144"/>
      <c r="MNP64" s="144"/>
      <c r="MNQ64" s="144"/>
      <c r="MNR64" s="144"/>
      <c r="MNS64" s="144"/>
      <c r="MNT64" s="144"/>
      <c r="MNU64" s="144"/>
      <c r="MNV64" s="144"/>
      <c r="MNW64" s="144"/>
      <c r="MNX64" s="144"/>
      <c r="MNY64" s="144"/>
      <c r="MNZ64" s="144"/>
      <c r="MOA64" s="144"/>
      <c r="MOB64" s="144"/>
      <c r="MOC64" s="144"/>
      <c r="MOD64" s="144"/>
      <c r="MOE64" s="144"/>
      <c r="MOF64" s="144"/>
      <c r="MOG64" s="144"/>
      <c r="MOH64" s="144"/>
      <c r="MOI64" s="144"/>
      <c r="MOJ64" s="144"/>
      <c r="MOK64" s="144"/>
      <c r="MOL64" s="144"/>
      <c r="MOM64" s="144"/>
      <c r="MON64" s="144"/>
      <c r="MOO64" s="144"/>
      <c r="MOP64" s="144"/>
      <c r="MOQ64" s="144"/>
      <c r="MOR64" s="144"/>
      <c r="MOS64" s="144"/>
      <c r="MOT64" s="144"/>
      <c r="MOU64" s="144"/>
      <c r="MOV64" s="144"/>
      <c r="MOW64" s="144"/>
      <c r="MOX64" s="144"/>
      <c r="MOY64" s="144"/>
      <c r="MOZ64" s="144"/>
      <c r="MPA64" s="144"/>
      <c r="MPB64" s="144"/>
      <c r="MPC64" s="144"/>
      <c r="MPD64" s="144"/>
      <c r="MPE64" s="144"/>
      <c r="MPF64" s="144"/>
      <c r="MPG64" s="144"/>
      <c r="MPH64" s="144"/>
      <c r="MPI64" s="144"/>
      <c r="MPJ64" s="144"/>
      <c r="MPK64" s="144"/>
      <c r="MPL64" s="144"/>
      <c r="MPM64" s="144"/>
      <c r="MPN64" s="144"/>
      <c r="MPO64" s="144"/>
      <c r="MPP64" s="144"/>
      <c r="MPQ64" s="144"/>
      <c r="MPR64" s="144"/>
      <c r="MPS64" s="144"/>
      <c r="MPT64" s="144"/>
      <c r="MPU64" s="144"/>
      <c r="MPV64" s="144"/>
      <c r="MPW64" s="144"/>
      <c r="MPX64" s="144"/>
      <c r="MPY64" s="144"/>
      <c r="MPZ64" s="144"/>
      <c r="MQA64" s="144"/>
      <c r="MQB64" s="144"/>
      <c r="MQC64" s="144"/>
      <c r="MQD64" s="144"/>
      <c r="MQE64" s="144"/>
      <c r="MQF64" s="144"/>
      <c r="MQG64" s="144"/>
      <c r="MQH64" s="144"/>
      <c r="MQI64" s="144"/>
      <c r="MQJ64" s="144"/>
      <c r="MQK64" s="144"/>
      <c r="MQL64" s="144"/>
      <c r="MQM64" s="144"/>
      <c r="MQN64" s="144"/>
      <c r="MQO64" s="144"/>
      <c r="MQP64" s="144"/>
      <c r="MQQ64" s="144"/>
      <c r="MQR64" s="144"/>
      <c r="MQS64" s="144"/>
      <c r="MQT64" s="144"/>
      <c r="MQU64" s="144"/>
      <c r="MQV64" s="144"/>
      <c r="MQW64" s="144"/>
      <c r="MQX64" s="144"/>
      <c r="MQY64" s="144"/>
      <c r="MQZ64" s="144"/>
      <c r="MRA64" s="144"/>
      <c r="MRB64" s="144"/>
      <c r="MRC64" s="144"/>
      <c r="MRD64" s="144"/>
      <c r="MRE64" s="144"/>
      <c r="MRF64" s="144"/>
      <c r="MRG64" s="144"/>
      <c r="MRH64" s="144"/>
      <c r="MRI64" s="144"/>
      <c r="MRJ64" s="144"/>
      <c r="MRK64" s="144"/>
      <c r="MRL64" s="144"/>
      <c r="MRM64" s="144"/>
      <c r="MRN64" s="144"/>
      <c r="MRO64" s="144"/>
      <c r="MRP64" s="144"/>
      <c r="MRQ64" s="144"/>
      <c r="MRR64" s="144"/>
      <c r="MRS64" s="144"/>
      <c r="MRT64" s="144"/>
      <c r="MRU64" s="144"/>
      <c r="MRV64" s="144"/>
      <c r="MRW64" s="144"/>
      <c r="MRX64" s="144"/>
      <c r="MRY64" s="144"/>
      <c r="MRZ64" s="144"/>
      <c r="MSA64" s="144"/>
      <c r="MSB64" s="144"/>
      <c r="MSC64" s="144"/>
      <c r="MSD64" s="144"/>
      <c r="MSE64" s="144"/>
      <c r="MSF64" s="144"/>
      <c r="MSG64" s="144"/>
      <c r="MSH64" s="144"/>
      <c r="MSI64" s="144"/>
      <c r="MSJ64" s="144"/>
      <c r="MSK64" s="144"/>
      <c r="MSL64" s="144"/>
      <c r="MSM64" s="144"/>
      <c r="MSN64" s="144"/>
      <c r="MSO64" s="144"/>
      <c r="MSP64" s="144"/>
      <c r="MSQ64" s="144"/>
      <c r="MSR64" s="144"/>
      <c r="MSS64" s="144"/>
      <c r="MST64" s="144"/>
      <c r="MSU64" s="144"/>
      <c r="MSV64" s="144"/>
      <c r="MSW64" s="144"/>
      <c r="MSX64" s="144"/>
      <c r="MSY64" s="144"/>
      <c r="MSZ64" s="144"/>
      <c r="MTA64" s="144"/>
      <c r="MTB64" s="144"/>
      <c r="MTC64" s="144"/>
      <c r="MTD64" s="144"/>
      <c r="MTE64" s="144"/>
      <c r="MTF64" s="144"/>
      <c r="MTG64" s="144"/>
      <c r="MTH64" s="144"/>
      <c r="MTI64" s="144"/>
      <c r="MTJ64" s="144"/>
      <c r="MTK64" s="144"/>
      <c r="MTL64" s="144"/>
      <c r="MTM64" s="144"/>
      <c r="MTN64" s="144"/>
      <c r="MTO64" s="144"/>
      <c r="MTP64" s="144"/>
      <c r="MTQ64" s="144"/>
      <c r="MTR64" s="144"/>
      <c r="MTS64" s="144"/>
      <c r="MTT64" s="144"/>
      <c r="MTU64" s="144"/>
      <c r="MTV64" s="144"/>
      <c r="MTW64" s="144"/>
      <c r="MTX64" s="144"/>
      <c r="MTY64" s="144"/>
      <c r="MTZ64" s="144"/>
      <c r="MUA64" s="144"/>
      <c r="MUB64" s="144"/>
      <c r="MUC64" s="144"/>
      <c r="MUD64" s="144"/>
      <c r="MUE64" s="144"/>
      <c r="MUF64" s="144"/>
      <c r="MUG64" s="144"/>
      <c r="MUH64" s="144"/>
      <c r="MUI64" s="144"/>
      <c r="MUJ64" s="144"/>
      <c r="MUK64" s="144"/>
      <c r="MUL64" s="144"/>
      <c r="MUM64" s="144"/>
      <c r="MUN64" s="144"/>
      <c r="MUO64" s="144"/>
      <c r="MUP64" s="144"/>
      <c r="MUQ64" s="144"/>
      <c r="MUR64" s="144"/>
      <c r="MUS64" s="144"/>
      <c r="MUT64" s="144"/>
      <c r="MUU64" s="144"/>
      <c r="MUV64" s="144"/>
      <c r="MUW64" s="144"/>
      <c r="MUX64" s="144"/>
      <c r="MUY64" s="144"/>
      <c r="MUZ64" s="144"/>
      <c r="MVA64" s="144"/>
      <c r="MVB64" s="144"/>
      <c r="MVC64" s="144"/>
      <c r="MVD64" s="144"/>
      <c r="MVE64" s="144"/>
      <c r="MVF64" s="144"/>
      <c r="MVG64" s="144"/>
      <c r="MVH64" s="144"/>
      <c r="MVI64" s="144"/>
      <c r="MVJ64" s="144"/>
      <c r="MVK64" s="144"/>
      <c r="MVL64" s="144"/>
      <c r="MVM64" s="144"/>
      <c r="MVN64" s="144"/>
      <c r="MVO64" s="144"/>
      <c r="MVP64" s="144"/>
      <c r="MVQ64" s="144"/>
      <c r="MVR64" s="144"/>
      <c r="MVS64" s="144"/>
      <c r="MVT64" s="144"/>
      <c r="MVU64" s="144"/>
      <c r="MVV64" s="144"/>
      <c r="MVW64" s="144"/>
      <c r="MVX64" s="144"/>
      <c r="MVY64" s="144"/>
      <c r="MVZ64" s="144"/>
      <c r="MWA64" s="144"/>
      <c r="MWB64" s="144"/>
      <c r="MWC64" s="144"/>
      <c r="MWD64" s="144"/>
      <c r="MWE64" s="144"/>
      <c r="MWF64" s="144"/>
      <c r="MWG64" s="144"/>
      <c r="MWH64" s="144"/>
      <c r="MWI64" s="144"/>
      <c r="MWJ64" s="144"/>
      <c r="MWK64" s="144"/>
      <c r="MWL64" s="144"/>
      <c r="MWM64" s="144"/>
      <c r="MWN64" s="144"/>
      <c r="MWO64" s="144"/>
      <c r="MWP64" s="144"/>
      <c r="MWQ64" s="144"/>
      <c r="MWR64" s="144"/>
      <c r="MWS64" s="144"/>
      <c r="MWT64" s="144"/>
      <c r="MWU64" s="144"/>
      <c r="MWV64" s="144"/>
      <c r="MWW64" s="144"/>
      <c r="MWX64" s="144"/>
      <c r="MWY64" s="144"/>
      <c r="MWZ64" s="144"/>
      <c r="MXA64" s="144"/>
      <c r="MXB64" s="144"/>
      <c r="MXC64" s="144"/>
      <c r="MXD64" s="144"/>
      <c r="MXE64" s="144"/>
      <c r="MXF64" s="144"/>
      <c r="MXG64" s="144"/>
      <c r="MXH64" s="144"/>
      <c r="MXI64" s="144"/>
      <c r="MXJ64" s="144"/>
      <c r="MXK64" s="144"/>
      <c r="MXL64" s="144"/>
      <c r="MXM64" s="144"/>
      <c r="MXN64" s="144"/>
      <c r="MXO64" s="144"/>
      <c r="MXP64" s="144"/>
      <c r="MXQ64" s="144"/>
      <c r="MXR64" s="144"/>
      <c r="MXS64" s="144"/>
      <c r="MXT64" s="144"/>
      <c r="MXU64" s="144"/>
      <c r="MXV64" s="144"/>
      <c r="MXW64" s="144"/>
      <c r="MXX64" s="144"/>
      <c r="MXY64" s="144"/>
      <c r="MXZ64" s="144"/>
      <c r="MYA64" s="144"/>
      <c r="MYB64" s="144"/>
      <c r="MYC64" s="144"/>
      <c r="MYD64" s="144"/>
      <c r="MYE64" s="144"/>
      <c r="MYF64" s="144"/>
      <c r="MYG64" s="144"/>
      <c r="MYH64" s="144"/>
      <c r="MYI64" s="144"/>
      <c r="MYJ64" s="144"/>
      <c r="MYK64" s="144"/>
      <c r="MYL64" s="144"/>
      <c r="MYM64" s="144"/>
      <c r="MYN64" s="144"/>
      <c r="MYO64" s="144"/>
      <c r="MYP64" s="144"/>
      <c r="MYQ64" s="144"/>
      <c r="MYR64" s="144"/>
      <c r="MYS64" s="144"/>
      <c r="MYT64" s="144"/>
      <c r="MYU64" s="144"/>
      <c r="MYV64" s="144"/>
      <c r="MYW64" s="144"/>
      <c r="MYX64" s="144"/>
      <c r="MYY64" s="144"/>
      <c r="MYZ64" s="144"/>
      <c r="MZA64" s="144"/>
      <c r="MZB64" s="144"/>
      <c r="MZC64" s="144"/>
      <c r="MZD64" s="144"/>
      <c r="MZE64" s="144"/>
      <c r="MZF64" s="144"/>
      <c r="MZG64" s="144"/>
      <c r="MZH64" s="144"/>
      <c r="MZI64" s="144"/>
      <c r="MZJ64" s="144"/>
      <c r="MZK64" s="144"/>
      <c r="MZL64" s="144"/>
      <c r="MZM64" s="144"/>
      <c r="MZN64" s="144"/>
      <c r="MZO64" s="144"/>
      <c r="MZP64" s="144"/>
      <c r="MZQ64" s="144"/>
      <c r="MZR64" s="144"/>
      <c r="MZS64" s="144"/>
      <c r="MZT64" s="144"/>
      <c r="MZU64" s="144"/>
      <c r="MZV64" s="144"/>
      <c r="MZW64" s="144"/>
      <c r="MZX64" s="144"/>
      <c r="MZY64" s="144"/>
      <c r="MZZ64" s="144"/>
      <c r="NAA64" s="144"/>
      <c r="NAB64" s="144"/>
      <c r="NAC64" s="144"/>
      <c r="NAD64" s="144"/>
      <c r="NAE64" s="144"/>
      <c r="NAF64" s="144"/>
      <c r="NAG64" s="144"/>
      <c r="NAH64" s="144"/>
      <c r="NAI64" s="144"/>
      <c r="NAJ64" s="144"/>
      <c r="NAK64" s="144"/>
      <c r="NAL64" s="144"/>
      <c r="NAM64" s="144"/>
      <c r="NAN64" s="144"/>
      <c r="NAO64" s="144"/>
      <c r="NAP64" s="144"/>
      <c r="NAQ64" s="144"/>
      <c r="NAR64" s="144"/>
      <c r="NAS64" s="144"/>
      <c r="NAT64" s="144"/>
      <c r="NAU64" s="144"/>
      <c r="NAV64" s="144"/>
      <c r="NAW64" s="144"/>
      <c r="NAX64" s="144"/>
      <c r="NAY64" s="144"/>
      <c r="NAZ64" s="144"/>
      <c r="NBA64" s="144"/>
      <c r="NBB64" s="144"/>
      <c r="NBC64" s="144"/>
      <c r="NBD64" s="144"/>
      <c r="NBE64" s="144"/>
      <c r="NBF64" s="144"/>
      <c r="NBG64" s="144"/>
      <c r="NBH64" s="144"/>
      <c r="NBI64" s="144"/>
      <c r="NBJ64" s="144"/>
      <c r="NBK64" s="144"/>
      <c r="NBL64" s="144"/>
      <c r="NBM64" s="144"/>
      <c r="NBN64" s="144"/>
      <c r="NBO64" s="144"/>
      <c r="NBP64" s="144"/>
      <c r="NBQ64" s="144"/>
      <c r="NBR64" s="144"/>
      <c r="NBS64" s="144"/>
      <c r="NBT64" s="144"/>
      <c r="NBU64" s="144"/>
      <c r="NBV64" s="144"/>
      <c r="NBW64" s="144"/>
      <c r="NBX64" s="144"/>
      <c r="NBY64" s="144"/>
      <c r="NBZ64" s="144"/>
      <c r="NCA64" s="144"/>
      <c r="NCB64" s="144"/>
      <c r="NCC64" s="144"/>
      <c r="NCD64" s="144"/>
      <c r="NCE64" s="144"/>
      <c r="NCF64" s="144"/>
      <c r="NCG64" s="144"/>
      <c r="NCH64" s="144"/>
      <c r="NCI64" s="144"/>
      <c r="NCJ64" s="144"/>
      <c r="NCK64" s="144"/>
      <c r="NCL64" s="144"/>
      <c r="NCM64" s="144"/>
      <c r="NCN64" s="144"/>
      <c r="NCO64" s="144"/>
      <c r="NCP64" s="144"/>
      <c r="NCQ64" s="144"/>
      <c r="NCR64" s="144"/>
      <c r="NCS64" s="144"/>
      <c r="NCT64" s="144"/>
      <c r="NCU64" s="144"/>
      <c r="NCV64" s="144"/>
      <c r="NCW64" s="144"/>
      <c r="NCX64" s="144"/>
      <c r="NCY64" s="144"/>
      <c r="NCZ64" s="144"/>
      <c r="NDA64" s="144"/>
      <c r="NDB64" s="144"/>
      <c r="NDC64" s="144"/>
      <c r="NDD64" s="144"/>
      <c r="NDE64" s="144"/>
      <c r="NDF64" s="144"/>
      <c r="NDG64" s="144"/>
      <c r="NDH64" s="144"/>
      <c r="NDI64" s="144"/>
      <c r="NDJ64" s="144"/>
      <c r="NDK64" s="144"/>
      <c r="NDL64" s="144"/>
      <c r="NDM64" s="144"/>
      <c r="NDN64" s="144"/>
      <c r="NDO64" s="144"/>
      <c r="NDP64" s="144"/>
      <c r="NDQ64" s="144"/>
      <c r="NDR64" s="144"/>
      <c r="NDS64" s="144"/>
      <c r="NDT64" s="144"/>
      <c r="NDU64" s="144"/>
      <c r="NDV64" s="144"/>
      <c r="NDW64" s="144"/>
      <c r="NDX64" s="144"/>
      <c r="NDY64" s="144"/>
      <c r="NDZ64" s="144"/>
      <c r="NEA64" s="144"/>
      <c r="NEB64" s="144"/>
      <c r="NEC64" s="144"/>
      <c r="NED64" s="144"/>
      <c r="NEE64" s="144"/>
      <c r="NEF64" s="144"/>
      <c r="NEG64" s="144"/>
      <c r="NEH64" s="144"/>
      <c r="NEI64" s="144"/>
      <c r="NEJ64" s="144"/>
      <c r="NEK64" s="144"/>
      <c r="NEL64" s="144"/>
      <c r="NEM64" s="144"/>
      <c r="NEN64" s="144"/>
      <c r="NEO64" s="144"/>
      <c r="NEP64" s="144"/>
      <c r="NEQ64" s="144"/>
      <c r="NER64" s="144"/>
      <c r="NES64" s="144"/>
      <c r="NET64" s="144"/>
      <c r="NEU64" s="144"/>
      <c r="NEV64" s="144"/>
      <c r="NEW64" s="144"/>
      <c r="NEX64" s="144"/>
      <c r="NEY64" s="144"/>
      <c r="NEZ64" s="144"/>
      <c r="NFA64" s="144"/>
      <c r="NFB64" s="144"/>
      <c r="NFC64" s="144"/>
      <c r="NFD64" s="144"/>
      <c r="NFE64" s="144"/>
      <c r="NFF64" s="144"/>
      <c r="NFG64" s="144"/>
      <c r="NFH64" s="144"/>
      <c r="NFI64" s="144"/>
      <c r="NFJ64" s="144"/>
      <c r="NFK64" s="144"/>
      <c r="NFL64" s="144"/>
      <c r="NFM64" s="144"/>
      <c r="NFN64" s="144"/>
      <c r="NFO64" s="144"/>
      <c r="NFP64" s="144"/>
      <c r="NFQ64" s="144"/>
      <c r="NFR64" s="144"/>
      <c r="NFS64" s="144"/>
      <c r="NFT64" s="144"/>
      <c r="NFU64" s="144"/>
      <c r="NFV64" s="144"/>
      <c r="NFW64" s="144"/>
      <c r="NFX64" s="144"/>
      <c r="NFY64" s="144"/>
      <c r="NFZ64" s="144"/>
      <c r="NGA64" s="144"/>
      <c r="NGB64" s="144"/>
      <c r="NGC64" s="144"/>
      <c r="NGD64" s="144"/>
      <c r="NGE64" s="144"/>
      <c r="NGF64" s="144"/>
      <c r="NGG64" s="144"/>
      <c r="NGH64" s="144"/>
      <c r="NGI64" s="144"/>
      <c r="NGJ64" s="144"/>
      <c r="NGK64" s="144"/>
      <c r="NGL64" s="144"/>
      <c r="NGM64" s="144"/>
      <c r="NGN64" s="144"/>
      <c r="NGO64" s="144"/>
      <c r="NGP64" s="144"/>
      <c r="NGQ64" s="144"/>
      <c r="NGR64" s="144"/>
      <c r="NGS64" s="144"/>
      <c r="NGT64" s="144"/>
      <c r="NGU64" s="144"/>
      <c r="NGV64" s="144"/>
      <c r="NGW64" s="144"/>
      <c r="NGX64" s="144"/>
      <c r="NGY64" s="144"/>
      <c r="NGZ64" s="144"/>
      <c r="NHA64" s="144"/>
      <c r="NHB64" s="144"/>
      <c r="NHC64" s="144"/>
      <c r="NHD64" s="144"/>
      <c r="NHE64" s="144"/>
      <c r="NHF64" s="144"/>
      <c r="NHG64" s="144"/>
      <c r="NHH64" s="144"/>
      <c r="NHI64" s="144"/>
      <c r="NHJ64" s="144"/>
      <c r="NHK64" s="144"/>
      <c r="NHL64" s="144"/>
      <c r="NHM64" s="144"/>
      <c r="NHN64" s="144"/>
      <c r="NHO64" s="144"/>
      <c r="NHP64" s="144"/>
      <c r="NHQ64" s="144"/>
      <c r="NHR64" s="144"/>
      <c r="NHS64" s="144"/>
      <c r="NHT64" s="144"/>
      <c r="NHU64" s="144"/>
      <c r="NHV64" s="144"/>
      <c r="NHW64" s="144"/>
      <c r="NHX64" s="144"/>
      <c r="NHY64" s="144"/>
      <c r="NHZ64" s="144"/>
      <c r="NIA64" s="144"/>
      <c r="NIB64" s="144"/>
      <c r="NIC64" s="144"/>
      <c r="NID64" s="144"/>
      <c r="NIE64" s="144"/>
      <c r="NIF64" s="144"/>
      <c r="NIG64" s="144"/>
      <c r="NIH64" s="144"/>
      <c r="NII64" s="144"/>
      <c r="NIJ64" s="144"/>
      <c r="NIK64" s="144"/>
      <c r="NIL64" s="144"/>
      <c r="NIM64" s="144"/>
      <c r="NIN64" s="144"/>
      <c r="NIO64" s="144"/>
      <c r="NIP64" s="144"/>
      <c r="NIQ64" s="144"/>
      <c r="NIR64" s="144"/>
      <c r="NIS64" s="144"/>
      <c r="NIT64" s="144"/>
      <c r="NIU64" s="144"/>
      <c r="NIV64" s="144"/>
      <c r="NIW64" s="144"/>
      <c r="NIX64" s="144"/>
      <c r="NIY64" s="144"/>
      <c r="NIZ64" s="144"/>
      <c r="NJA64" s="144"/>
      <c r="NJB64" s="144"/>
      <c r="NJC64" s="144"/>
      <c r="NJD64" s="144"/>
      <c r="NJE64" s="144"/>
      <c r="NJF64" s="144"/>
      <c r="NJG64" s="144"/>
      <c r="NJH64" s="144"/>
      <c r="NJI64" s="144"/>
      <c r="NJJ64" s="144"/>
      <c r="NJK64" s="144"/>
      <c r="NJL64" s="144"/>
      <c r="NJM64" s="144"/>
      <c r="NJN64" s="144"/>
      <c r="NJO64" s="144"/>
      <c r="NJP64" s="144"/>
      <c r="NJQ64" s="144"/>
      <c r="NJR64" s="144"/>
      <c r="NJS64" s="144"/>
      <c r="NJT64" s="144"/>
      <c r="NJU64" s="144"/>
      <c r="NJV64" s="144"/>
      <c r="NJW64" s="144"/>
      <c r="NJX64" s="144"/>
      <c r="NJY64" s="144"/>
      <c r="NJZ64" s="144"/>
      <c r="NKA64" s="144"/>
      <c r="NKB64" s="144"/>
      <c r="NKC64" s="144"/>
      <c r="NKD64" s="144"/>
      <c r="NKE64" s="144"/>
      <c r="NKF64" s="144"/>
      <c r="NKG64" s="144"/>
      <c r="NKH64" s="144"/>
      <c r="NKI64" s="144"/>
      <c r="NKJ64" s="144"/>
      <c r="NKK64" s="144"/>
      <c r="NKL64" s="144"/>
      <c r="NKM64" s="144"/>
      <c r="NKN64" s="144"/>
      <c r="NKO64" s="144"/>
      <c r="NKP64" s="144"/>
      <c r="NKQ64" s="144"/>
      <c r="NKR64" s="144"/>
      <c r="NKS64" s="144"/>
      <c r="NKT64" s="144"/>
      <c r="NKU64" s="144"/>
      <c r="NKV64" s="144"/>
      <c r="NKW64" s="144"/>
      <c r="NKX64" s="144"/>
      <c r="NKY64" s="144"/>
      <c r="NKZ64" s="144"/>
      <c r="NLA64" s="144"/>
      <c r="NLB64" s="144"/>
      <c r="NLC64" s="144"/>
      <c r="NLD64" s="144"/>
      <c r="NLE64" s="144"/>
      <c r="NLF64" s="144"/>
      <c r="NLG64" s="144"/>
      <c r="NLH64" s="144"/>
      <c r="NLI64" s="144"/>
      <c r="NLJ64" s="144"/>
      <c r="NLK64" s="144"/>
      <c r="NLL64" s="144"/>
      <c r="NLM64" s="144"/>
      <c r="NLN64" s="144"/>
      <c r="NLO64" s="144"/>
      <c r="NLP64" s="144"/>
      <c r="NLQ64" s="144"/>
      <c r="NLR64" s="144"/>
      <c r="NLS64" s="144"/>
      <c r="NLT64" s="144"/>
      <c r="NLU64" s="144"/>
      <c r="NLV64" s="144"/>
      <c r="NLW64" s="144"/>
      <c r="NLX64" s="144"/>
      <c r="NLY64" s="144"/>
      <c r="NLZ64" s="144"/>
      <c r="NMA64" s="144"/>
      <c r="NMB64" s="144"/>
      <c r="NMC64" s="144"/>
      <c r="NMD64" s="144"/>
      <c r="NME64" s="144"/>
      <c r="NMF64" s="144"/>
      <c r="NMG64" s="144"/>
      <c r="NMH64" s="144"/>
      <c r="NMI64" s="144"/>
      <c r="NMJ64" s="144"/>
      <c r="NMK64" s="144"/>
      <c r="NML64" s="144"/>
      <c r="NMM64" s="144"/>
      <c r="NMN64" s="144"/>
      <c r="NMO64" s="144"/>
      <c r="NMP64" s="144"/>
      <c r="NMQ64" s="144"/>
      <c r="NMR64" s="144"/>
      <c r="NMS64" s="144"/>
      <c r="NMT64" s="144"/>
      <c r="NMU64" s="144"/>
      <c r="NMV64" s="144"/>
      <c r="NMW64" s="144"/>
      <c r="NMX64" s="144"/>
      <c r="NMY64" s="144"/>
      <c r="NMZ64" s="144"/>
      <c r="NNA64" s="144"/>
      <c r="NNB64" s="144"/>
      <c r="NNC64" s="144"/>
      <c r="NND64" s="144"/>
      <c r="NNE64" s="144"/>
      <c r="NNF64" s="144"/>
      <c r="NNG64" s="144"/>
      <c r="NNH64" s="144"/>
      <c r="NNI64" s="144"/>
      <c r="NNJ64" s="144"/>
      <c r="NNK64" s="144"/>
      <c r="NNL64" s="144"/>
      <c r="NNM64" s="144"/>
      <c r="NNN64" s="144"/>
      <c r="NNO64" s="144"/>
      <c r="NNP64" s="144"/>
      <c r="NNQ64" s="144"/>
      <c r="NNR64" s="144"/>
      <c r="NNS64" s="144"/>
      <c r="NNT64" s="144"/>
      <c r="NNU64" s="144"/>
      <c r="NNV64" s="144"/>
      <c r="NNW64" s="144"/>
      <c r="NNX64" s="144"/>
      <c r="NNY64" s="144"/>
      <c r="NNZ64" s="144"/>
      <c r="NOA64" s="144"/>
      <c r="NOB64" s="144"/>
      <c r="NOC64" s="144"/>
      <c r="NOD64" s="144"/>
      <c r="NOE64" s="144"/>
      <c r="NOF64" s="144"/>
      <c r="NOG64" s="144"/>
      <c r="NOH64" s="144"/>
      <c r="NOI64" s="144"/>
      <c r="NOJ64" s="144"/>
      <c r="NOK64" s="144"/>
      <c r="NOL64" s="144"/>
      <c r="NOM64" s="144"/>
      <c r="NON64" s="144"/>
      <c r="NOO64" s="144"/>
      <c r="NOP64" s="144"/>
      <c r="NOQ64" s="144"/>
      <c r="NOR64" s="144"/>
      <c r="NOS64" s="144"/>
      <c r="NOT64" s="144"/>
      <c r="NOU64" s="144"/>
      <c r="NOV64" s="144"/>
      <c r="NOW64" s="144"/>
      <c r="NOX64" s="144"/>
      <c r="NOY64" s="144"/>
      <c r="NOZ64" s="144"/>
      <c r="NPA64" s="144"/>
      <c r="NPB64" s="144"/>
      <c r="NPC64" s="144"/>
      <c r="NPD64" s="144"/>
      <c r="NPE64" s="144"/>
      <c r="NPF64" s="144"/>
      <c r="NPG64" s="144"/>
      <c r="NPH64" s="144"/>
      <c r="NPI64" s="144"/>
      <c r="NPJ64" s="144"/>
      <c r="NPK64" s="144"/>
      <c r="NPL64" s="144"/>
      <c r="NPM64" s="144"/>
      <c r="NPN64" s="144"/>
      <c r="NPO64" s="144"/>
      <c r="NPP64" s="144"/>
      <c r="NPQ64" s="144"/>
      <c r="NPR64" s="144"/>
      <c r="NPS64" s="144"/>
      <c r="NPT64" s="144"/>
      <c r="NPU64" s="144"/>
      <c r="NPV64" s="144"/>
      <c r="NPW64" s="144"/>
      <c r="NPX64" s="144"/>
      <c r="NPY64" s="144"/>
      <c r="NPZ64" s="144"/>
      <c r="NQA64" s="144"/>
      <c r="NQB64" s="144"/>
      <c r="NQC64" s="144"/>
      <c r="NQD64" s="144"/>
      <c r="NQE64" s="144"/>
      <c r="NQF64" s="144"/>
      <c r="NQG64" s="144"/>
      <c r="NQH64" s="144"/>
      <c r="NQI64" s="144"/>
      <c r="NQJ64" s="144"/>
      <c r="NQK64" s="144"/>
      <c r="NQL64" s="144"/>
      <c r="NQM64" s="144"/>
      <c r="NQN64" s="144"/>
      <c r="NQO64" s="144"/>
      <c r="NQP64" s="144"/>
      <c r="NQQ64" s="144"/>
      <c r="NQR64" s="144"/>
      <c r="NQS64" s="144"/>
      <c r="NQT64" s="144"/>
      <c r="NQU64" s="144"/>
      <c r="NQV64" s="144"/>
      <c r="NQW64" s="144"/>
      <c r="NQX64" s="144"/>
      <c r="NQY64" s="144"/>
      <c r="NQZ64" s="144"/>
      <c r="NRA64" s="144"/>
      <c r="NRB64" s="144"/>
      <c r="NRC64" s="144"/>
      <c r="NRD64" s="144"/>
      <c r="NRE64" s="144"/>
      <c r="NRF64" s="144"/>
      <c r="NRG64" s="144"/>
      <c r="NRH64" s="144"/>
      <c r="NRI64" s="144"/>
      <c r="NRJ64" s="144"/>
      <c r="NRK64" s="144"/>
      <c r="NRL64" s="144"/>
      <c r="NRM64" s="144"/>
      <c r="NRN64" s="144"/>
      <c r="NRO64" s="144"/>
      <c r="NRP64" s="144"/>
      <c r="NRQ64" s="144"/>
      <c r="NRR64" s="144"/>
      <c r="NRS64" s="144"/>
      <c r="NRT64" s="144"/>
      <c r="NRU64" s="144"/>
      <c r="NRV64" s="144"/>
      <c r="NRW64" s="144"/>
      <c r="NRX64" s="144"/>
      <c r="NRY64" s="144"/>
      <c r="NRZ64" s="144"/>
      <c r="NSA64" s="144"/>
      <c r="NSB64" s="144"/>
      <c r="NSC64" s="144"/>
      <c r="NSD64" s="144"/>
      <c r="NSE64" s="144"/>
      <c r="NSF64" s="144"/>
      <c r="NSG64" s="144"/>
      <c r="NSH64" s="144"/>
      <c r="NSI64" s="144"/>
      <c r="NSJ64" s="144"/>
      <c r="NSK64" s="144"/>
      <c r="NSL64" s="144"/>
      <c r="NSM64" s="144"/>
      <c r="NSN64" s="144"/>
      <c r="NSO64" s="144"/>
      <c r="NSP64" s="144"/>
      <c r="NSQ64" s="144"/>
      <c r="NSR64" s="144"/>
      <c r="NSS64" s="144"/>
      <c r="NST64" s="144"/>
      <c r="NSU64" s="144"/>
      <c r="NSV64" s="144"/>
      <c r="NSW64" s="144"/>
      <c r="NSX64" s="144"/>
      <c r="NSY64" s="144"/>
      <c r="NSZ64" s="144"/>
      <c r="NTA64" s="144"/>
      <c r="NTB64" s="144"/>
      <c r="NTC64" s="144"/>
      <c r="NTD64" s="144"/>
      <c r="NTE64" s="144"/>
      <c r="NTF64" s="144"/>
      <c r="NTG64" s="144"/>
      <c r="NTH64" s="144"/>
      <c r="NTI64" s="144"/>
      <c r="NTJ64" s="144"/>
      <c r="NTK64" s="144"/>
      <c r="NTL64" s="144"/>
      <c r="NTM64" s="144"/>
      <c r="NTN64" s="144"/>
      <c r="NTO64" s="144"/>
      <c r="NTP64" s="144"/>
      <c r="NTQ64" s="144"/>
      <c r="NTR64" s="144"/>
      <c r="NTS64" s="144"/>
      <c r="NTT64" s="144"/>
      <c r="NTU64" s="144"/>
      <c r="NTV64" s="144"/>
      <c r="NTW64" s="144"/>
      <c r="NTX64" s="144"/>
      <c r="NTY64" s="144"/>
      <c r="NTZ64" s="144"/>
      <c r="NUA64" s="144"/>
      <c r="NUB64" s="144"/>
      <c r="NUC64" s="144"/>
      <c r="NUD64" s="144"/>
      <c r="NUE64" s="144"/>
      <c r="NUF64" s="144"/>
      <c r="NUG64" s="144"/>
      <c r="NUH64" s="144"/>
      <c r="NUI64" s="144"/>
      <c r="NUJ64" s="144"/>
      <c r="NUK64" s="144"/>
      <c r="NUL64" s="144"/>
      <c r="NUM64" s="144"/>
      <c r="NUN64" s="144"/>
      <c r="NUO64" s="144"/>
      <c r="NUP64" s="144"/>
      <c r="NUQ64" s="144"/>
      <c r="NUR64" s="144"/>
      <c r="NUS64" s="144"/>
      <c r="NUT64" s="144"/>
      <c r="NUU64" s="144"/>
      <c r="NUV64" s="144"/>
      <c r="NUW64" s="144"/>
      <c r="NUX64" s="144"/>
      <c r="NUY64" s="144"/>
      <c r="NUZ64" s="144"/>
      <c r="NVA64" s="144"/>
      <c r="NVB64" s="144"/>
      <c r="NVC64" s="144"/>
      <c r="NVD64" s="144"/>
      <c r="NVE64" s="144"/>
      <c r="NVF64" s="144"/>
      <c r="NVG64" s="144"/>
      <c r="NVH64" s="144"/>
      <c r="NVI64" s="144"/>
      <c r="NVJ64" s="144"/>
      <c r="NVK64" s="144"/>
      <c r="NVL64" s="144"/>
      <c r="NVM64" s="144"/>
      <c r="NVN64" s="144"/>
      <c r="NVO64" s="144"/>
      <c r="NVP64" s="144"/>
      <c r="NVQ64" s="144"/>
      <c r="NVR64" s="144"/>
      <c r="NVS64" s="144"/>
      <c r="NVT64" s="144"/>
      <c r="NVU64" s="144"/>
      <c r="NVV64" s="144"/>
      <c r="NVW64" s="144"/>
      <c r="NVX64" s="144"/>
      <c r="NVY64" s="144"/>
      <c r="NVZ64" s="144"/>
      <c r="NWA64" s="144"/>
      <c r="NWB64" s="144"/>
      <c r="NWC64" s="144"/>
      <c r="NWD64" s="144"/>
      <c r="NWE64" s="144"/>
      <c r="NWF64" s="144"/>
      <c r="NWG64" s="144"/>
      <c r="NWH64" s="144"/>
      <c r="NWI64" s="144"/>
      <c r="NWJ64" s="144"/>
      <c r="NWK64" s="144"/>
      <c r="NWL64" s="144"/>
      <c r="NWM64" s="144"/>
      <c r="NWN64" s="144"/>
      <c r="NWO64" s="144"/>
      <c r="NWP64" s="144"/>
      <c r="NWQ64" s="144"/>
      <c r="NWR64" s="144"/>
      <c r="NWS64" s="144"/>
      <c r="NWT64" s="144"/>
      <c r="NWU64" s="144"/>
      <c r="NWV64" s="144"/>
      <c r="NWW64" s="144"/>
      <c r="NWX64" s="144"/>
      <c r="NWY64" s="144"/>
      <c r="NWZ64" s="144"/>
      <c r="NXA64" s="144"/>
      <c r="NXB64" s="144"/>
      <c r="NXC64" s="144"/>
      <c r="NXD64" s="144"/>
      <c r="NXE64" s="144"/>
      <c r="NXF64" s="144"/>
      <c r="NXG64" s="144"/>
      <c r="NXH64" s="144"/>
      <c r="NXI64" s="144"/>
      <c r="NXJ64" s="144"/>
      <c r="NXK64" s="144"/>
      <c r="NXL64" s="144"/>
      <c r="NXM64" s="144"/>
      <c r="NXN64" s="144"/>
      <c r="NXO64" s="144"/>
      <c r="NXP64" s="144"/>
      <c r="NXQ64" s="144"/>
      <c r="NXR64" s="144"/>
      <c r="NXS64" s="144"/>
      <c r="NXT64" s="144"/>
      <c r="NXU64" s="144"/>
      <c r="NXV64" s="144"/>
      <c r="NXW64" s="144"/>
      <c r="NXX64" s="144"/>
      <c r="NXY64" s="144"/>
      <c r="NXZ64" s="144"/>
      <c r="NYA64" s="144"/>
      <c r="NYB64" s="144"/>
      <c r="NYC64" s="144"/>
      <c r="NYD64" s="144"/>
      <c r="NYE64" s="144"/>
      <c r="NYF64" s="144"/>
      <c r="NYG64" s="144"/>
      <c r="NYH64" s="144"/>
      <c r="NYI64" s="144"/>
      <c r="NYJ64" s="144"/>
      <c r="NYK64" s="144"/>
      <c r="NYL64" s="144"/>
      <c r="NYM64" s="144"/>
      <c r="NYN64" s="144"/>
      <c r="NYO64" s="144"/>
      <c r="NYP64" s="144"/>
      <c r="NYQ64" s="144"/>
      <c r="NYR64" s="144"/>
      <c r="NYS64" s="144"/>
      <c r="NYT64" s="144"/>
      <c r="NYU64" s="144"/>
      <c r="NYV64" s="144"/>
      <c r="NYW64" s="144"/>
      <c r="NYX64" s="144"/>
      <c r="NYY64" s="144"/>
      <c r="NYZ64" s="144"/>
      <c r="NZA64" s="144"/>
      <c r="NZB64" s="144"/>
      <c r="NZC64" s="144"/>
      <c r="NZD64" s="144"/>
      <c r="NZE64" s="144"/>
      <c r="NZF64" s="144"/>
      <c r="NZG64" s="144"/>
      <c r="NZH64" s="144"/>
      <c r="NZI64" s="144"/>
      <c r="NZJ64" s="144"/>
      <c r="NZK64" s="144"/>
      <c r="NZL64" s="144"/>
      <c r="NZM64" s="144"/>
      <c r="NZN64" s="144"/>
      <c r="NZO64" s="144"/>
      <c r="NZP64" s="144"/>
      <c r="NZQ64" s="144"/>
      <c r="NZR64" s="144"/>
      <c r="NZS64" s="144"/>
      <c r="NZT64" s="144"/>
      <c r="NZU64" s="144"/>
      <c r="NZV64" s="144"/>
      <c r="NZW64" s="144"/>
      <c r="NZX64" s="144"/>
      <c r="NZY64" s="144"/>
      <c r="NZZ64" s="144"/>
      <c r="OAA64" s="144"/>
      <c r="OAB64" s="144"/>
      <c r="OAC64" s="144"/>
      <c r="OAD64" s="144"/>
      <c r="OAE64" s="144"/>
      <c r="OAF64" s="144"/>
      <c r="OAG64" s="144"/>
      <c r="OAH64" s="144"/>
      <c r="OAI64" s="144"/>
      <c r="OAJ64" s="144"/>
      <c r="OAK64" s="144"/>
      <c r="OAL64" s="144"/>
      <c r="OAM64" s="144"/>
      <c r="OAN64" s="144"/>
      <c r="OAO64" s="144"/>
      <c r="OAP64" s="144"/>
      <c r="OAQ64" s="144"/>
      <c r="OAR64" s="144"/>
      <c r="OAS64" s="144"/>
      <c r="OAT64" s="144"/>
      <c r="OAU64" s="144"/>
      <c r="OAV64" s="144"/>
      <c r="OAW64" s="144"/>
      <c r="OAX64" s="144"/>
      <c r="OAY64" s="144"/>
      <c r="OAZ64" s="144"/>
      <c r="OBA64" s="144"/>
      <c r="OBB64" s="144"/>
      <c r="OBC64" s="144"/>
      <c r="OBD64" s="144"/>
      <c r="OBE64" s="144"/>
      <c r="OBF64" s="144"/>
      <c r="OBG64" s="144"/>
      <c r="OBH64" s="144"/>
      <c r="OBI64" s="144"/>
      <c r="OBJ64" s="144"/>
      <c r="OBK64" s="144"/>
      <c r="OBL64" s="144"/>
      <c r="OBM64" s="144"/>
      <c r="OBN64" s="144"/>
      <c r="OBO64" s="144"/>
      <c r="OBP64" s="144"/>
      <c r="OBQ64" s="144"/>
      <c r="OBR64" s="144"/>
      <c r="OBS64" s="144"/>
      <c r="OBT64" s="144"/>
      <c r="OBU64" s="144"/>
      <c r="OBV64" s="144"/>
      <c r="OBW64" s="144"/>
      <c r="OBX64" s="144"/>
      <c r="OBY64" s="144"/>
      <c r="OBZ64" s="144"/>
      <c r="OCA64" s="144"/>
      <c r="OCB64" s="144"/>
      <c r="OCC64" s="144"/>
      <c r="OCD64" s="144"/>
      <c r="OCE64" s="144"/>
      <c r="OCF64" s="144"/>
      <c r="OCG64" s="144"/>
      <c r="OCH64" s="144"/>
      <c r="OCI64" s="144"/>
      <c r="OCJ64" s="144"/>
      <c r="OCK64" s="144"/>
      <c r="OCL64" s="144"/>
      <c r="OCM64" s="144"/>
      <c r="OCN64" s="144"/>
      <c r="OCO64" s="144"/>
      <c r="OCP64" s="144"/>
      <c r="OCQ64" s="144"/>
      <c r="OCR64" s="144"/>
      <c r="OCS64" s="144"/>
      <c r="OCT64" s="144"/>
      <c r="OCU64" s="144"/>
      <c r="OCV64" s="144"/>
      <c r="OCW64" s="144"/>
      <c r="OCX64" s="144"/>
      <c r="OCY64" s="144"/>
      <c r="OCZ64" s="144"/>
      <c r="ODA64" s="144"/>
      <c r="ODB64" s="144"/>
      <c r="ODC64" s="144"/>
      <c r="ODD64" s="144"/>
      <c r="ODE64" s="144"/>
      <c r="ODF64" s="144"/>
      <c r="ODG64" s="144"/>
      <c r="ODH64" s="144"/>
      <c r="ODI64" s="144"/>
      <c r="ODJ64" s="144"/>
      <c r="ODK64" s="144"/>
      <c r="ODL64" s="144"/>
      <c r="ODM64" s="144"/>
      <c r="ODN64" s="144"/>
      <c r="ODO64" s="144"/>
      <c r="ODP64" s="144"/>
      <c r="ODQ64" s="144"/>
      <c r="ODR64" s="144"/>
      <c r="ODS64" s="144"/>
      <c r="ODT64" s="144"/>
      <c r="ODU64" s="144"/>
      <c r="ODV64" s="144"/>
      <c r="ODW64" s="144"/>
      <c r="ODX64" s="144"/>
      <c r="ODY64" s="144"/>
      <c r="ODZ64" s="144"/>
      <c r="OEA64" s="144"/>
      <c r="OEB64" s="144"/>
      <c r="OEC64" s="144"/>
      <c r="OED64" s="144"/>
      <c r="OEE64" s="144"/>
      <c r="OEF64" s="144"/>
      <c r="OEG64" s="144"/>
      <c r="OEH64" s="144"/>
      <c r="OEI64" s="144"/>
      <c r="OEJ64" s="144"/>
      <c r="OEK64" s="144"/>
      <c r="OEL64" s="144"/>
      <c r="OEM64" s="144"/>
      <c r="OEN64" s="144"/>
      <c r="OEO64" s="144"/>
      <c r="OEP64" s="144"/>
      <c r="OEQ64" s="144"/>
      <c r="OER64" s="144"/>
      <c r="OES64" s="144"/>
      <c r="OET64" s="144"/>
      <c r="OEU64" s="144"/>
      <c r="OEV64" s="144"/>
      <c r="OEW64" s="144"/>
      <c r="OEX64" s="144"/>
      <c r="OEY64" s="144"/>
      <c r="OEZ64" s="144"/>
      <c r="OFA64" s="144"/>
      <c r="OFB64" s="144"/>
      <c r="OFC64" s="144"/>
      <c r="OFD64" s="144"/>
      <c r="OFE64" s="144"/>
      <c r="OFF64" s="144"/>
      <c r="OFG64" s="144"/>
      <c r="OFH64" s="144"/>
      <c r="OFI64" s="144"/>
      <c r="OFJ64" s="144"/>
      <c r="OFK64" s="144"/>
      <c r="OFL64" s="144"/>
      <c r="OFM64" s="144"/>
      <c r="OFN64" s="144"/>
      <c r="OFO64" s="144"/>
      <c r="OFP64" s="144"/>
      <c r="OFQ64" s="144"/>
      <c r="OFR64" s="144"/>
      <c r="OFS64" s="144"/>
      <c r="OFT64" s="144"/>
      <c r="OFU64" s="144"/>
      <c r="OFV64" s="144"/>
      <c r="OFW64" s="144"/>
      <c r="OFX64" s="144"/>
      <c r="OFY64" s="144"/>
      <c r="OFZ64" s="144"/>
      <c r="OGA64" s="144"/>
      <c r="OGB64" s="144"/>
      <c r="OGC64" s="144"/>
      <c r="OGD64" s="144"/>
      <c r="OGE64" s="144"/>
      <c r="OGF64" s="144"/>
      <c r="OGG64" s="144"/>
      <c r="OGH64" s="144"/>
      <c r="OGI64" s="144"/>
      <c r="OGJ64" s="144"/>
      <c r="OGK64" s="144"/>
      <c r="OGL64" s="144"/>
      <c r="OGM64" s="144"/>
      <c r="OGN64" s="144"/>
      <c r="OGO64" s="144"/>
      <c r="OGP64" s="144"/>
      <c r="OGQ64" s="144"/>
      <c r="OGR64" s="144"/>
      <c r="OGS64" s="144"/>
      <c r="OGT64" s="144"/>
      <c r="OGU64" s="144"/>
      <c r="OGV64" s="144"/>
      <c r="OGW64" s="144"/>
      <c r="OGX64" s="144"/>
      <c r="OGY64" s="144"/>
      <c r="OGZ64" s="144"/>
      <c r="OHA64" s="144"/>
      <c r="OHB64" s="144"/>
      <c r="OHC64" s="144"/>
      <c r="OHD64" s="144"/>
      <c r="OHE64" s="144"/>
      <c r="OHF64" s="144"/>
      <c r="OHG64" s="144"/>
      <c r="OHH64" s="144"/>
      <c r="OHI64" s="144"/>
      <c r="OHJ64" s="144"/>
      <c r="OHK64" s="144"/>
      <c r="OHL64" s="144"/>
      <c r="OHM64" s="144"/>
      <c r="OHN64" s="144"/>
      <c r="OHO64" s="144"/>
      <c r="OHP64" s="144"/>
      <c r="OHQ64" s="144"/>
      <c r="OHR64" s="144"/>
      <c r="OHS64" s="144"/>
      <c r="OHT64" s="144"/>
      <c r="OHU64" s="144"/>
      <c r="OHV64" s="144"/>
      <c r="OHW64" s="144"/>
      <c r="OHX64" s="144"/>
      <c r="OHY64" s="144"/>
      <c r="OHZ64" s="144"/>
      <c r="OIA64" s="144"/>
      <c r="OIB64" s="144"/>
      <c r="OIC64" s="144"/>
      <c r="OID64" s="144"/>
      <c r="OIE64" s="144"/>
      <c r="OIF64" s="144"/>
      <c r="OIG64" s="144"/>
      <c r="OIH64" s="144"/>
      <c r="OII64" s="144"/>
      <c r="OIJ64" s="144"/>
      <c r="OIK64" s="144"/>
      <c r="OIL64" s="144"/>
      <c r="OIM64" s="144"/>
      <c r="OIN64" s="144"/>
      <c r="OIO64" s="144"/>
      <c r="OIP64" s="144"/>
      <c r="OIQ64" s="144"/>
      <c r="OIR64" s="144"/>
      <c r="OIS64" s="144"/>
      <c r="OIT64" s="144"/>
      <c r="OIU64" s="144"/>
      <c r="OIV64" s="144"/>
      <c r="OIW64" s="144"/>
      <c r="OIX64" s="144"/>
      <c r="OIY64" s="144"/>
      <c r="OIZ64" s="144"/>
      <c r="OJA64" s="144"/>
      <c r="OJB64" s="144"/>
      <c r="OJC64" s="144"/>
      <c r="OJD64" s="144"/>
      <c r="OJE64" s="144"/>
      <c r="OJF64" s="144"/>
      <c r="OJG64" s="144"/>
      <c r="OJH64" s="144"/>
      <c r="OJI64" s="144"/>
      <c r="OJJ64" s="144"/>
      <c r="OJK64" s="144"/>
      <c r="OJL64" s="144"/>
      <c r="OJM64" s="144"/>
      <c r="OJN64" s="144"/>
      <c r="OJO64" s="144"/>
      <c r="OJP64" s="144"/>
      <c r="OJQ64" s="144"/>
      <c r="OJR64" s="144"/>
      <c r="OJS64" s="144"/>
      <c r="OJT64" s="144"/>
      <c r="OJU64" s="144"/>
      <c r="OJV64" s="144"/>
      <c r="OJW64" s="144"/>
      <c r="OJX64" s="144"/>
      <c r="OJY64" s="144"/>
      <c r="OJZ64" s="144"/>
      <c r="OKA64" s="144"/>
      <c r="OKB64" s="144"/>
      <c r="OKC64" s="144"/>
      <c r="OKD64" s="144"/>
      <c r="OKE64" s="144"/>
      <c r="OKF64" s="144"/>
      <c r="OKG64" s="144"/>
      <c r="OKH64" s="144"/>
      <c r="OKI64" s="144"/>
      <c r="OKJ64" s="144"/>
      <c r="OKK64" s="144"/>
      <c r="OKL64" s="144"/>
      <c r="OKM64" s="144"/>
      <c r="OKN64" s="144"/>
      <c r="OKO64" s="144"/>
      <c r="OKP64" s="144"/>
      <c r="OKQ64" s="144"/>
      <c r="OKR64" s="144"/>
      <c r="OKS64" s="144"/>
      <c r="OKT64" s="144"/>
      <c r="OKU64" s="144"/>
      <c r="OKV64" s="144"/>
      <c r="OKW64" s="144"/>
      <c r="OKX64" s="144"/>
      <c r="OKY64" s="144"/>
      <c r="OKZ64" s="144"/>
      <c r="OLA64" s="144"/>
      <c r="OLB64" s="144"/>
      <c r="OLC64" s="144"/>
      <c r="OLD64" s="144"/>
      <c r="OLE64" s="144"/>
      <c r="OLF64" s="144"/>
      <c r="OLG64" s="144"/>
      <c r="OLH64" s="144"/>
      <c r="OLI64" s="144"/>
      <c r="OLJ64" s="144"/>
      <c r="OLK64" s="144"/>
      <c r="OLL64" s="144"/>
      <c r="OLM64" s="144"/>
      <c r="OLN64" s="144"/>
      <c r="OLO64" s="144"/>
      <c r="OLP64" s="144"/>
      <c r="OLQ64" s="144"/>
      <c r="OLR64" s="144"/>
      <c r="OLS64" s="144"/>
      <c r="OLT64" s="144"/>
      <c r="OLU64" s="144"/>
      <c r="OLV64" s="144"/>
      <c r="OLW64" s="144"/>
      <c r="OLX64" s="144"/>
      <c r="OLY64" s="144"/>
      <c r="OLZ64" s="144"/>
      <c r="OMA64" s="144"/>
      <c r="OMB64" s="144"/>
      <c r="OMC64" s="144"/>
      <c r="OMD64" s="144"/>
      <c r="OME64" s="144"/>
      <c r="OMF64" s="144"/>
      <c r="OMG64" s="144"/>
      <c r="OMH64" s="144"/>
      <c r="OMI64" s="144"/>
      <c r="OMJ64" s="144"/>
      <c r="OMK64" s="144"/>
      <c r="OML64" s="144"/>
      <c r="OMM64" s="144"/>
      <c r="OMN64" s="144"/>
      <c r="OMO64" s="144"/>
      <c r="OMP64" s="144"/>
      <c r="OMQ64" s="144"/>
      <c r="OMR64" s="144"/>
      <c r="OMS64" s="144"/>
      <c r="OMT64" s="144"/>
      <c r="OMU64" s="144"/>
      <c r="OMV64" s="144"/>
      <c r="OMW64" s="144"/>
      <c r="OMX64" s="144"/>
      <c r="OMY64" s="144"/>
      <c r="OMZ64" s="144"/>
      <c r="ONA64" s="144"/>
      <c r="ONB64" s="144"/>
      <c r="ONC64" s="144"/>
      <c r="OND64" s="144"/>
      <c r="ONE64" s="144"/>
      <c r="ONF64" s="144"/>
      <c r="ONG64" s="144"/>
      <c r="ONH64" s="144"/>
      <c r="ONI64" s="144"/>
      <c r="ONJ64" s="144"/>
      <c r="ONK64" s="144"/>
      <c r="ONL64" s="144"/>
      <c r="ONM64" s="144"/>
      <c r="ONN64" s="144"/>
      <c r="ONO64" s="144"/>
      <c r="ONP64" s="144"/>
      <c r="ONQ64" s="144"/>
      <c r="ONR64" s="144"/>
      <c r="ONS64" s="144"/>
      <c r="ONT64" s="144"/>
      <c r="ONU64" s="144"/>
      <c r="ONV64" s="144"/>
      <c r="ONW64" s="144"/>
      <c r="ONX64" s="144"/>
      <c r="ONY64" s="144"/>
      <c r="ONZ64" s="144"/>
      <c r="OOA64" s="144"/>
      <c r="OOB64" s="144"/>
      <c r="OOC64" s="144"/>
      <c r="OOD64" s="144"/>
      <c r="OOE64" s="144"/>
      <c r="OOF64" s="144"/>
      <c r="OOG64" s="144"/>
      <c r="OOH64" s="144"/>
      <c r="OOI64" s="144"/>
      <c r="OOJ64" s="144"/>
      <c r="OOK64" s="144"/>
      <c r="OOL64" s="144"/>
      <c r="OOM64" s="144"/>
      <c r="OON64" s="144"/>
      <c r="OOO64" s="144"/>
      <c r="OOP64" s="144"/>
      <c r="OOQ64" s="144"/>
      <c r="OOR64" s="144"/>
      <c r="OOS64" s="144"/>
      <c r="OOT64" s="144"/>
      <c r="OOU64" s="144"/>
      <c r="OOV64" s="144"/>
      <c r="OOW64" s="144"/>
      <c r="OOX64" s="144"/>
      <c r="OOY64" s="144"/>
      <c r="OOZ64" s="144"/>
      <c r="OPA64" s="144"/>
      <c r="OPB64" s="144"/>
      <c r="OPC64" s="144"/>
      <c r="OPD64" s="144"/>
      <c r="OPE64" s="144"/>
      <c r="OPF64" s="144"/>
      <c r="OPG64" s="144"/>
      <c r="OPH64" s="144"/>
      <c r="OPI64" s="144"/>
      <c r="OPJ64" s="144"/>
      <c r="OPK64" s="144"/>
      <c r="OPL64" s="144"/>
      <c r="OPM64" s="144"/>
      <c r="OPN64" s="144"/>
      <c r="OPO64" s="144"/>
      <c r="OPP64" s="144"/>
      <c r="OPQ64" s="144"/>
      <c r="OPR64" s="144"/>
      <c r="OPS64" s="144"/>
      <c r="OPT64" s="144"/>
      <c r="OPU64" s="144"/>
      <c r="OPV64" s="144"/>
      <c r="OPW64" s="144"/>
      <c r="OPX64" s="144"/>
      <c r="OPY64" s="144"/>
      <c r="OPZ64" s="144"/>
      <c r="OQA64" s="144"/>
      <c r="OQB64" s="144"/>
      <c r="OQC64" s="144"/>
      <c r="OQD64" s="144"/>
      <c r="OQE64" s="144"/>
      <c r="OQF64" s="144"/>
      <c r="OQG64" s="144"/>
      <c r="OQH64" s="144"/>
      <c r="OQI64" s="144"/>
      <c r="OQJ64" s="144"/>
      <c r="OQK64" s="144"/>
      <c r="OQL64" s="144"/>
      <c r="OQM64" s="144"/>
      <c r="OQN64" s="144"/>
      <c r="OQO64" s="144"/>
      <c r="OQP64" s="144"/>
      <c r="OQQ64" s="144"/>
      <c r="OQR64" s="144"/>
      <c r="OQS64" s="144"/>
      <c r="OQT64" s="144"/>
      <c r="OQU64" s="144"/>
      <c r="OQV64" s="144"/>
      <c r="OQW64" s="144"/>
      <c r="OQX64" s="144"/>
      <c r="OQY64" s="144"/>
      <c r="OQZ64" s="144"/>
      <c r="ORA64" s="144"/>
      <c r="ORB64" s="144"/>
      <c r="ORC64" s="144"/>
      <c r="ORD64" s="144"/>
      <c r="ORE64" s="144"/>
      <c r="ORF64" s="144"/>
      <c r="ORG64" s="144"/>
      <c r="ORH64" s="144"/>
      <c r="ORI64" s="144"/>
      <c r="ORJ64" s="144"/>
      <c r="ORK64" s="144"/>
      <c r="ORL64" s="144"/>
      <c r="ORM64" s="144"/>
      <c r="ORN64" s="144"/>
      <c r="ORO64" s="144"/>
      <c r="ORP64" s="144"/>
      <c r="ORQ64" s="144"/>
      <c r="ORR64" s="144"/>
      <c r="ORS64" s="144"/>
      <c r="ORT64" s="144"/>
      <c r="ORU64" s="144"/>
      <c r="ORV64" s="144"/>
      <c r="ORW64" s="144"/>
      <c r="ORX64" s="144"/>
      <c r="ORY64" s="144"/>
      <c r="ORZ64" s="144"/>
      <c r="OSA64" s="144"/>
      <c r="OSB64" s="144"/>
      <c r="OSC64" s="144"/>
      <c r="OSD64" s="144"/>
      <c r="OSE64" s="144"/>
      <c r="OSF64" s="144"/>
      <c r="OSG64" s="144"/>
      <c r="OSH64" s="144"/>
      <c r="OSI64" s="144"/>
      <c r="OSJ64" s="144"/>
      <c r="OSK64" s="144"/>
      <c r="OSL64" s="144"/>
      <c r="OSM64" s="144"/>
      <c r="OSN64" s="144"/>
      <c r="OSO64" s="144"/>
      <c r="OSP64" s="144"/>
      <c r="OSQ64" s="144"/>
      <c r="OSR64" s="144"/>
      <c r="OSS64" s="144"/>
      <c r="OST64" s="144"/>
      <c r="OSU64" s="144"/>
      <c r="OSV64" s="144"/>
      <c r="OSW64" s="144"/>
      <c r="OSX64" s="144"/>
      <c r="OSY64" s="144"/>
      <c r="OSZ64" s="144"/>
      <c r="OTA64" s="144"/>
      <c r="OTB64" s="144"/>
      <c r="OTC64" s="144"/>
      <c r="OTD64" s="144"/>
      <c r="OTE64" s="144"/>
      <c r="OTF64" s="144"/>
      <c r="OTG64" s="144"/>
      <c r="OTH64" s="144"/>
      <c r="OTI64" s="144"/>
      <c r="OTJ64" s="144"/>
      <c r="OTK64" s="144"/>
      <c r="OTL64" s="144"/>
      <c r="OTM64" s="144"/>
      <c r="OTN64" s="144"/>
      <c r="OTO64" s="144"/>
      <c r="OTP64" s="144"/>
      <c r="OTQ64" s="144"/>
      <c r="OTR64" s="144"/>
      <c r="OTS64" s="144"/>
      <c r="OTT64" s="144"/>
      <c r="OTU64" s="144"/>
      <c r="OTV64" s="144"/>
      <c r="OTW64" s="144"/>
      <c r="OTX64" s="144"/>
      <c r="OTY64" s="144"/>
      <c r="OTZ64" s="144"/>
      <c r="OUA64" s="144"/>
      <c r="OUB64" s="144"/>
      <c r="OUC64" s="144"/>
      <c r="OUD64" s="144"/>
      <c r="OUE64" s="144"/>
      <c r="OUF64" s="144"/>
      <c r="OUG64" s="144"/>
      <c r="OUH64" s="144"/>
      <c r="OUI64" s="144"/>
      <c r="OUJ64" s="144"/>
      <c r="OUK64" s="144"/>
      <c r="OUL64" s="144"/>
      <c r="OUM64" s="144"/>
      <c r="OUN64" s="144"/>
      <c r="OUO64" s="144"/>
      <c r="OUP64" s="144"/>
      <c r="OUQ64" s="144"/>
      <c r="OUR64" s="144"/>
      <c r="OUS64" s="144"/>
      <c r="OUT64" s="144"/>
      <c r="OUU64" s="144"/>
      <c r="OUV64" s="144"/>
      <c r="OUW64" s="144"/>
      <c r="OUX64" s="144"/>
      <c r="OUY64" s="144"/>
      <c r="OUZ64" s="144"/>
      <c r="OVA64" s="144"/>
      <c r="OVB64" s="144"/>
      <c r="OVC64" s="144"/>
      <c r="OVD64" s="144"/>
      <c r="OVE64" s="144"/>
      <c r="OVF64" s="144"/>
      <c r="OVG64" s="144"/>
      <c r="OVH64" s="144"/>
      <c r="OVI64" s="144"/>
      <c r="OVJ64" s="144"/>
      <c r="OVK64" s="144"/>
      <c r="OVL64" s="144"/>
      <c r="OVM64" s="144"/>
      <c r="OVN64" s="144"/>
      <c r="OVO64" s="144"/>
      <c r="OVP64" s="144"/>
      <c r="OVQ64" s="144"/>
      <c r="OVR64" s="144"/>
      <c r="OVS64" s="144"/>
      <c r="OVT64" s="144"/>
      <c r="OVU64" s="144"/>
      <c r="OVV64" s="144"/>
      <c r="OVW64" s="144"/>
      <c r="OVX64" s="144"/>
      <c r="OVY64" s="144"/>
      <c r="OVZ64" s="144"/>
      <c r="OWA64" s="144"/>
      <c r="OWB64" s="144"/>
      <c r="OWC64" s="144"/>
      <c r="OWD64" s="144"/>
      <c r="OWE64" s="144"/>
      <c r="OWF64" s="144"/>
      <c r="OWG64" s="144"/>
      <c r="OWH64" s="144"/>
      <c r="OWI64" s="144"/>
      <c r="OWJ64" s="144"/>
      <c r="OWK64" s="144"/>
      <c r="OWL64" s="144"/>
      <c r="OWM64" s="144"/>
      <c r="OWN64" s="144"/>
      <c r="OWO64" s="144"/>
      <c r="OWP64" s="144"/>
      <c r="OWQ64" s="144"/>
      <c r="OWR64" s="144"/>
      <c r="OWS64" s="144"/>
      <c r="OWT64" s="144"/>
      <c r="OWU64" s="144"/>
      <c r="OWV64" s="144"/>
      <c r="OWW64" s="144"/>
      <c r="OWX64" s="144"/>
      <c r="OWY64" s="144"/>
      <c r="OWZ64" s="144"/>
      <c r="OXA64" s="144"/>
      <c r="OXB64" s="144"/>
      <c r="OXC64" s="144"/>
      <c r="OXD64" s="144"/>
      <c r="OXE64" s="144"/>
      <c r="OXF64" s="144"/>
      <c r="OXG64" s="144"/>
      <c r="OXH64" s="144"/>
      <c r="OXI64" s="144"/>
      <c r="OXJ64" s="144"/>
      <c r="OXK64" s="144"/>
      <c r="OXL64" s="144"/>
      <c r="OXM64" s="144"/>
      <c r="OXN64" s="144"/>
      <c r="OXO64" s="144"/>
      <c r="OXP64" s="144"/>
      <c r="OXQ64" s="144"/>
      <c r="OXR64" s="144"/>
      <c r="OXS64" s="144"/>
      <c r="OXT64" s="144"/>
      <c r="OXU64" s="144"/>
      <c r="OXV64" s="144"/>
      <c r="OXW64" s="144"/>
      <c r="OXX64" s="144"/>
      <c r="OXY64" s="144"/>
      <c r="OXZ64" s="144"/>
      <c r="OYA64" s="144"/>
      <c r="OYB64" s="144"/>
      <c r="OYC64" s="144"/>
      <c r="OYD64" s="144"/>
      <c r="OYE64" s="144"/>
      <c r="OYF64" s="144"/>
      <c r="OYG64" s="144"/>
      <c r="OYH64" s="144"/>
      <c r="OYI64" s="144"/>
      <c r="OYJ64" s="144"/>
      <c r="OYK64" s="144"/>
      <c r="OYL64" s="144"/>
      <c r="OYM64" s="144"/>
      <c r="OYN64" s="144"/>
      <c r="OYO64" s="144"/>
      <c r="OYP64" s="144"/>
      <c r="OYQ64" s="144"/>
      <c r="OYR64" s="144"/>
      <c r="OYS64" s="144"/>
      <c r="OYT64" s="144"/>
      <c r="OYU64" s="144"/>
      <c r="OYV64" s="144"/>
      <c r="OYW64" s="144"/>
      <c r="OYX64" s="144"/>
      <c r="OYY64" s="144"/>
      <c r="OYZ64" s="144"/>
      <c r="OZA64" s="144"/>
      <c r="OZB64" s="144"/>
      <c r="OZC64" s="144"/>
      <c r="OZD64" s="144"/>
      <c r="OZE64" s="144"/>
      <c r="OZF64" s="144"/>
      <c r="OZG64" s="144"/>
      <c r="OZH64" s="144"/>
      <c r="OZI64" s="144"/>
      <c r="OZJ64" s="144"/>
      <c r="OZK64" s="144"/>
      <c r="OZL64" s="144"/>
      <c r="OZM64" s="144"/>
      <c r="OZN64" s="144"/>
      <c r="OZO64" s="144"/>
      <c r="OZP64" s="144"/>
      <c r="OZQ64" s="144"/>
      <c r="OZR64" s="144"/>
      <c r="OZS64" s="144"/>
      <c r="OZT64" s="144"/>
      <c r="OZU64" s="144"/>
      <c r="OZV64" s="144"/>
      <c r="OZW64" s="144"/>
      <c r="OZX64" s="144"/>
      <c r="OZY64" s="144"/>
      <c r="OZZ64" s="144"/>
      <c r="PAA64" s="144"/>
      <c r="PAB64" s="144"/>
      <c r="PAC64" s="144"/>
      <c r="PAD64" s="144"/>
      <c r="PAE64" s="144"/>
      <c r="PAF64" s="144"/>
      <c r="PAG64" s="144"/>
      <c r="PAH64" s="144"/>
      <c r="PAI64" s="144"/>
      <c r="PAJ64" s="144"/>
      <c r="PAK64" s="144"/>
      <c r="PAL64" s="144"/>
      <c r="PAM64" s="144"/>
      <c r="PAN64" s="144"/>
      <c r="PAO64" s="144"/>
      <c r="PAP64" s="144"/>
      <c r="PAQ64" s="144"/>
      <c r="PAR64" s="144"/>
      <c r="PAS64" s="144"/>
      <c r="PAT64" s="144"/>
      <c r="PAU64" s="144"/>
      <c r="PAV64" s="144"/>
      <c r="PAW64" s="144"/>
      <c r="PAX64" s="144"/>
      <c r="PAY64" s="144"/>
      <c r="PAZ64" s="144"/>
      <c r="PBA64" s="144"/>
      <c r="PBB64" s="144"/>
      <c r="PBC64" s="144"/>
      <c r="PBD64" s="144"/>
      <c r="PBE64" s="144"/>
      <c r="PBF64" s="144"/>
      <c r="PBG64" s="144"/>
      <c r="PBH64" s="144"/>
      <c r="PBI64" s="144"/>
      <c r="PBJ64" s="144"/>
      <c r="PBK64" s="144"/>
      <c r="PBL64" s="144"/>
      <c r="PBM64" s="144"/>
      <c r="PBN64" s="144"/>
      <c r="PBO64" s="144"/>
      <c r="PBP64" s="144"/>
      <c r="PBQ64" s="144"/>
      <c r="PBR64" s="144"/>
      <c r="PBS64" s="144"/>
      <c r="PBT64" s="144"/>
      <c r="PBU64" s="144"/>
      <c r="PBV64" s="144"/>
      <c r="PBW64" s="144"/>
      <c r="PBX64" s="144"/>
      <c r="PBY64" s="144"/>
      <c r="PBZ64" s="144"/>
      <c r="PCA64" s="144"/>
      <c r="PCB64" s="144"/>
      <c r="PCC64" s="144"/>
      <c r="PCD64" s="144"/>
      <c r="PCE64" s="144"/>
      <c r="PCF64" s="144"/>
      <c r="PCG64" s="144"/>
      <c r="PCH64" s="144"/>
      <c r="PCI64" s="144"/>
      <c r="PCJ64" s="144"/>
      <c r="PCK64" s="144"/>
      <c r="PCL64" s="144"/>
      <c r="PCM64" s="144"/>
      <c r="PCN64" s="144"/>
      <c r="PCO64" s="144"/>
      <c r="PCP64" s="144"/>
      <c r="PCQ64" s="144"/>
      <c r="PCR64" s="144"/>
      <c r="PCS64" s="144"/>
      <c r="PCT64" s="144"/>
      <c r="PCU64" s="144"/>
      <c r="PCV64" s="144"/>
      <c r="PCW64" s="144"/>
      <c r="PCX64" s="144"/>
      <c r="PCY64" s="144"/>
      <c r="PCZ64" s="144"/>
      <c r="PDA64" s="144"/>
      <c r="PDB64" s="144"/>
      <c r="PDC64" s="144"/>
      <c r="PDD64" s="144"/>
      <c r="PDE64" s="144"/>
      <c r="PDF64" s="144"/>
      <c r="PDG64" s="144"/>
      <c r="PDH64" s="144"/>
      <c r="PDI64" s="144"/>
      <c r="PDJ64" s="144"/>
      <c r="PDK64" s="144"/>
      <c r="PDL64" s="144"/>
      <c r="PDM64" s="144"/>
      <c r="PDN64" s="144"/>
      <c r="PDO64" s="144"/>
      <c r="PDP64" s="144"/>
      <c r="PDQ64" s="144"/>
      <c r="PDR64" s="144"/>
      <c r="PDS64" s="144"/>
      <c r="PDT64" s="144"/>
      <c r="PDU64" s="144"/>
      <c r="PDV64" s="144"/>
      <c r="PDW64" s="144"/>
      <c r="PDX64" s="144"/>
      <c r="PDY64" s="144"/>
      <c r="PDZ64" s="144"/>
      <c r="PEA64" s="144"/>
      <c r="PEB64" s="144"/>
      <c r="PEC64" s="144"/>
      <c r="PED64" s="144"/>
      <c r="PEE64" s="144"/>
      <c r="PEF64" s="144"/>
      <c r="PEG64" s="144"/>
      <c r="PEH64" s="144"/>
      <c r="PEI64" s="144"/>
      <c r="PEJ64" s="144"/>
      <c r="PEK64" s="144"/>
      <c r="PEL64" s="144"/>
      <c r="PEM64" s="144"/>
      <c r="PEN64" s="144"/>
      <c r="PEO64" s="144"/>
      <c r="PEP64" s="144"/>
      <c r="PEQ64" s="144"/>
      <c r="PER64" s="144"/>
      <c r="PES64" s="144"/>
      <c r="PET64" s="144"/>
      <c r="PEU64" s="144"/>
      <c r="PEV64" s="144"/>
      <c r="PEW64" s="144"/>
      <c r="PEX64" s="144"/>
      <c r="PEY64" s="144"/>
      <c r="PEZ64" s="144"/>
      <c r="PFA64" s="144"/>
      <c r="PFB64" s="144"/>
      <c r="PFC64" s="144"/>
      <c r="PFD64" s="144"/>
      <c r="PFE64" s="144"/>
      <c r="PFF64" s="144"/>
      <c r="PFG64" s="144"/>
      <c r="PFH64" s="144"/>
      <c r="PFI64" s="144"/>
      <c r="PFJ64" s="144"/>
      <c r="PFK64" s="144"/>
      <c r="PFL64" s="144"/>
      <c r="PFM64" s="144"/>
      <c r="PFN64" s="144"/>
      <c r="PFO64" s="144"/>
      <c r="PFP64" s="144"/>
      <c r="PFQ64" s="144"/>
      <c r="PFR64" s="144"/>
      <c r="PFS64" s="144"/>
      <c r="PFT64" s="144"/>
      <c r="PFU64" s="144"/>
      <c r="PFV64" s="144"/>
      <c r="PFW64" s="144"/>
      <c r="PFX64" s="144"/>
      <c r="PFY64" s="144"/>
      <c r="PFZ64" s="144"/>
      <c r="PGA64" s="144"/>
      <c r="PGB64" s="144"/>
      <c r="PGC64" s="144"/>
      <c r="PGD64" s="144"/>
      <c r="PGE64" s="144"/>
      <c r="PGF64" s="144"/>
      <c r="PGG64" s="144"/>
      <c r="PGH64" s="144"/>
      <c r="PGI64" s="144"/>
      <c r="PGJ64" s="144"/>
      <c r="PGK64" s="144"/>
      <c r="PGL64" s="144"/>
      <c r="PGM64" s="144"/>
      <c r="PGN64" s="144"/>
      <c r="PGO64" s="144"/>
      <c r="PGP64" s="144"/>
      <c r="PGQ64" s="144"/>
      <c r="PGR64" s="144"/>
      <c r="PGS64" s="144"/>
      <c r="PGT64" s="144"/>
      <c r="PGU64" s="144"/>
      <c r="PGV64" s="144"/>
      <c r="PGW64" s="144"/>
      <c r="PGX64" s="144"/>
      <c r="PGY64" s="144"/>
      <c r="PGZ64" s="144"/>
      <c r="PHA64" s="144"/>
      <c r="PHB64" s="144"/>
      <c r="PHC64" s="144"/>
      <c r="PHD64" s="144"/>
      <c r="PHE64" s="144"/>
      <c r="PHF64" s="144"/>
      <c r="PHG64" s="144"/>
      <c r="PHH64" s="144"/>
      <c r="PHI64" s="144"/>
      <c r="PHJ64" s="144"/>
      <c r="PHK64" s="144"/>
      <c r="PHL64" s="144"/>
      <c r="PHM64" s="144"/>
      <c r="PHN64" s="144"/>
      <c r="PHO64" s="144"/>
      <c r="PHP64" s="144"/>
      <c r="PHQ64" s="144"/>
      <c r="PHR64" s="144"/>
      <c r="PHS64" s="144"/>
      <c r="PHT64" s="144"/>
      <c r="PHU64" s="144"/>
      <c r="PHV64" s="144"/>
      <c r="PHW64" s="144"/>
      <c r="PHX64" s="144"/>
      <c r="PHY64" s="144"/>
      <c r="PHZ64" s="144"/>
      <c r="PIA64" s="144"/>
      <c r="PIB64" s="144"/>
      <c r="PIC64" s="144"/>
      <c r="PID64" s="144"/>
      <c r="PIE64" s="144"/>
      <c r="PIF64" s="144"/>
      <c r="PIG64" s="144"/>
      <c r="PIH64" s="144"/>
      <c r="PII64" s="144"/>
      <c r="PIJ64" s="144"/>
      <c r="PIK64" s="144"/>
      <c r="PIL64" s="144"/>
      <c r="PIM64" s="144"/>
      <c r="PIN64" s="144"/>
      <c r="PIO64" s="144"/>
      <c r="PIP64" s="144"/>
      <c r="PIQ64" s="144"/>
      <c r="PIR64" s="144"/>
      <c r="PIS64" s="144"/>
      <c r="PIT64" s="144"/>
      <c r="PIU64" s="144"/>
      <c r="PIV64" s="144"/>
      <c r="PIW64" s="144"/>
      <c r="PIX64" s="144"/>
      <c r="PIY64" s="144"/>
      <c r="PIZ64" s="144"/>
      <c r="PJA64" s="144"/>
      <c r="PJB64" s="144"/>
      <c r="PJC64" s="144"/>
      <c r="PJD64" s="144"/>
      <c r="PJE64" s="144"/>
      <c r="PJF64" s="144"/>
      <c r="PJG64" s="144"/>
      <c r="PJH64" s="144"/>
      <c r="PJI64" s="144"/>
      <c r="PJJ64" s="144"/>
      <c r="PJK64" s="144"/>
      <c r="PJL64" s="144"/>
      <c r="PJM64" s="144"/>
      <c r="PJN64" s="144"/>
      <c r="PJO64" s="144"/>
      <c r="PJP64" s="144"/>
      <c r="PJQ64" s="144"/>
      <c r="PJR64" s="144"/>
      <c r="PJS64" s="144"/>
      <c r="PJT64" s="144"/>
      <c r="PJU64" s="144"/>
      <c r="PJV64" s="144"/>
      <c r="PJW64" s="144"/>
      <c r="PJX64" s="144"/>
      <c r="PJY64" s="144"/>
      <c r="PJZ64" s="144"/>
      <c r="PKA64" s="144"/>
      <c r="PKB64" s="144"/>
      <c r="PKC64" s="144"/>
      <c r="PKD64" s="144"/>
      <c r="PKE64" s="144"/>
      <c r="PKF64" s="144"/>
      <c r="PKG64" s="144"/>
      <c r="PKH64" s="144"/>
      <c r="PKI64" s="144"/>
      <c r="PKJ64" s="144"/>
      <c r="PKK64" s="144"/>
      <c r="PKL64" s="144"/>
      <c r="PKM64" s="144"/>
      <c r="PKN64" s="144"/>
      <c r="PKO64" s="144"/>
      <c r="PKP64" s="144"/>
      <c r="PKQ64" s="144"/>
      <c r="PKR64" s="144"/>
      <c r="PKS64" s="144"/>
      <c r="PKT64" s="144"/>
      <c r="PKU64" s="144"/>
      <c r="PKV64" s="144"/>
      <c r="PKW64" s="144"/>
      <c r="PKX64" s="144"/>
      <c r="PKY64" s="144"/>
      <c r="PKZ64" s="144"/>
      <c r="PLA64" s="144"/>
      <c r="PLB64" s="144"/>
      <c r="PLC64" s="144"/>
      <c r="PLD64" s="144"/>
      <c r="PLE64" s="144"/>
      <c r="PLF64" s="144"/>
      <c r="PLG64" s="144"/>
      <c r="PLH64" s="144"/>
      <c r="PLI64" s="144"/>
      <c r="PLJ64" s="144"/>
      <c r="PLK64" s="144"/>
      <c r="PLL64" s="144"/>
      <c r="PLM64" s="144"/>
      <c r="PLN64" s="144"/>
      <c r="PLO64" s="144"/>
      <c r="PLP64" s="144"/>
      <c r="PLQ64" s="144"/>
      <c r="PLR64" s="144"/>
      <c r="PLS64" s="144"/>
      <c r="PLT64" s="144"/>
      <c r="PLU64" s="144"/>
      <c r="PLV64" s="144"/>
      <c r="PLW64" s="144"/>
      <c r="PLX64" s="144"/>
      <c r="PLY64" s="144"/>
      <c r="PLZ64" s="144"/>
      <c r="PMA64" s="144"/>
      <c r="PMB64" s="144"/>
      <c r="PMC64" s="144"/>
      <c r="PMD64" s="144"/>
      <c r="PME64" s="144"/>
      <c r="PMF64" s="144"/>
      <c r="PMG64" s="144"/>
      <c r="PMH64" s="144"/>
      <c r="PMI64" s="144"/>
      <c r="PMJ64" s="144"/>
      <c r="PMK64" s="144"/>
      <c r="PML64" s="144"/>
      <c r="PMM64" s="144"/>
      <c r="PMN64" s="144"/>
      <c r="PMO64" s="144"/>
      <c r="PMP64" s="144"/>
      <c r="PMQ64" s="144"/>
      <c r="PMR64" s="144"/>
      <c r="PMS64" s="144"/>
      <c r="PMT64" s="144"/>
      <c r="PMU64" s="144"/>
      <c r="PMV64" s="144"/>
      <c r="PMW64" s="144"/>
      <c r="PMX64" s="144"/>
      <c r="PMY64" s="144"/>
      <c r="PMZ64" s="144"/>
      <c r="PNA64" s="144"/>
      <c r="PNB64" s="144"/>
      <c r="PNC64" s="144"/>
      <c r="PND64" s="144"/>
      <c r="PNE64" s="144"/>
      <c r="PNF64" s="144"/>
      <c r="PNG64" s="144"/>
      <c r="PNH64" s="144"/>
      <c r="PNI64" s="144"/>
      <c r="PNJ64" s="144"/>
      <c r="PNK64" s="144"/>
      <c r="PNL64" s="144"/>
      <c r="PNM64" s="144"/>
      <c r="PNN64" s="144"/>
      <c r="PNO64" s="144"/>
      <c r="PNP64" s="144"/>
      <c r="PNQ64" s="144"/>
      <c r="PNR64" s="144"/>
      <c r="PNS64" s="144"/>
      <c r="PNT64" s="144"/>
      <c r="PNU64" s="144"/>
      <c r="PNV64" s="144"/>
      <c r="PNW64" s="144"/>
      <c r="PNX64" s="144"/>
      <c r="PNY64" s="144"/>
      <c r="PNZ64" s="144"/>
      <c r="POA64" s="144"/>
      <c r="POB64" s="144"/>
      <c r="POC64" s="144"/>
      <c r="POD64" s="144"/>
      <c r="POE64" s="144"/>
      <c r="POF64" s="144"/>
      <c r="POG64" s="144"/>
      <c r="POH64" s="144"/>
      <c r="POI64" s="144"/>
      <c r="POJ64" s="144"/>
      <c r="POK64" s="144"/>
      <c r="POL64" s="144"/>
      <c r="POM64" s="144"/>
      <c r="PON64" s="144"/>
      <c r="POO64" s="144"/>
      <c r="POP64" s="144"/>
      <c r="POQ64" s="144"/>
      <c r="POR64" s="144"/>
      <c r="POS64" s="144"/>
      <c r="POT64" s="144"/>
      <c r="POU64" s="144"/>
      <c r="POV64" s="144"/>
      <c r="POW64" s="144"/>
      <c r="POX64" s="144"/>
      <c r="POY64" s="144"/>
      <c r="POZ64" s="144"/>
      <c r="PPA64" s="144"/>
      <c r="PPB64" s="144"/>
      <c r="PPC64" s="144"/>
      <c r="PPD64" s="144"/>
      <c r="PPE64" s="144"/>
      <c r="PPF64" s="144"/>
      <c r="PPG64" s="144"/>
      <c r="PPH64" s="144"/>
      <c r="PPI64" s="144"/>
      <c r="PPJ64" s="144"/>
      <c r="PPK64" s="144"/>
      <c r="PPL64" s="144"/>
      <c r="PPM64" s="144"/>
      <c r="PPN64" s="144"/>
      <c r="PPO64" s="144"/>
      <c r="PPP64" s="144"/>
      <c r="PPQ64" s="144"/>
      <c r="PPR64" s="144"/>
      <c r="PPS64" s="144"/>
      <c r="PPT64" s="144"/>
      <c r="PPU64" s="144"/>
      <c r="PPV64" s="144"/>
      <c r="PPW64" s="144"/>
      <c r="PPX64" s="144"/>
      <c r="PPY64" s="144"/>
      <c r="PPZ64" s="144"/>
      <c r="PQA64" s="144"/>
      <c r="PQB64" s="144"/>
      <c r="PQC64" s="144"/>
      <c r="PQD64" s="144"/>
      <c r="PQE64" s="144"/>
      <c r="PQF64" s="144"/>
      <c r="PQG64" s="144"/>
      <c r="PQH64" s="144"/>
      <c r="PQI64" s="144"/>
      <c r="PQJ64" s="144"/>
      <c r="PQK64" s="144"/>
      <c r="PQL64" s="144"/>
      <c r="PQM64" s="144"/>
      <c r="PQN64" s="144"/>
      <c r="PQO64" s="144"/>
      <c r="PQP64" s="144"/>
      <c r="PQQ64" s="144"/>
      <c r="PQR64" s="144"/>
      <c r="PQS64" s="144"/>
      <c r="PQT64" s="144"/>
      <c r="PQU64" s="144"/>
      <c r="PQV64" s="144"/>
      <c r="PQW64" s="144"/>
      <c r="PQX64" s="144"/>
      <c r="PQY64" s="144"/>
      <c r="PQZ64" s="144"/>
      <c r="PRA64" s="144"/>
      <c r="PRB64" s="144"/>
      <c r="PRC64" s="144"/>
      <c r="PRD64" s="144"/>
      <c r="PRE64" s="144"/>
      <c r="PRF64" s="144"/>
      <c r="PRG64" s="144"/>
      <c r="PRH64" s="144"/>
      <c r="PRI64" s="144"/>
      <c r="PRJ64" s="144"/>
      <c r="PRK64" s="144"/>
      <c r="PRL64" s="144"/>
      <c r="PRM64" s="144"/>
      <c r="PRN64" s="144"/>
      <c r="PRO64" s="144"/>
      <c r="PRP64" s="144"/>
      <c r="PRQ64" s="144"/>
      <c r="PRR64" s="144"/>
      <c r="PRS64" s="144"/>
      <c r="PRT64" s="144"/>
      <c r="PRU64" s="144"/>
      <c r="PRV64" s="144"/>
      <c r="PRW64" s="144"/>
      <c r="PRX64" s="144"/>
      <c r="PRY64" s="144"/>
      <c r="PRZ64" s="144"/>
      <c r="PSA64" s="144"/>
      <c r="PSB64" s="144"/>
      <c r="PSC64" s="144"/>
      <c r="PSD64" s="144"/>
      <c r="PSE64" s="144"/>
      <c r="PSF64" s="144"/>
      <c r="PSG64" s="144"/>
      <c r="PSH64" s="144"/>
      <c r="PSI64" s="144"/>
      <c r="PSJ64" s="144"/>
      <c r="PSK64" s="144"/>
      <c r="PSL64" s="144"/>
      <c r="PSM64" s="144"/>
      <c r="PSN64" s="144"/>
      <c r="PSO64" s="144"/>
      <c r="PSP64" s="144"/>
      <c r="PSQ64" s="144"/>
      <c r="PSR64" s="144"/>
      <c r="PSS64" s="144"/>
      <c r="PST64" s="144"/>
      <c r="PSU64" s="144"/>
      <c r="PSV64" s="144"/>
      <c r="PSW64" s="144"/>
      <c r="PSX64" s="144"/>
      <c r="PSY64" s="144"/>
      <c r="PSZ64" s="144"/>
      <c r="PTA64" s="144"/>
      <c r="PTB64" s="144"/>
      <c r="PTC64" s="144"/>
      <c r="PTD64" s="144"/>
      <c r="PTE64" s="144"/>
      <c r="PTF64" s="144"/>
      <c r="PTG64" s="144"/>
      <c r="PTH64" s="144"/>
      <c r="PTI64" s="144"/>
      <c r="PTJ64" s="144"/>
      <c r="PTK64" s="144"/>
      <c r="PTL64" s="144"/>
      <c r="PTM64" s="144"/>
      <c r="PTN64" s="144"/>
      <c r="PTO64" s="144"/>
      <c r="PTP64" s="144"/>
      <c r="PTQ64" s="144"/>
      <c r="PTR64" s="144"/>
      <c r="PTS64" s="144"/>
      <c r="PTT64" s="144"/>
      <c r="PTU64" s="144"/>
      <c r="PTV64" s="144"/>
      <c r="PTW64" s="144"/>
      <c r="PTX64" s="144"/>
      <c r="PTY64" s="144"/>
      <c r="PTZ64" s="144"/>
      <c r="PUA64" s="144"/>
      <c r="PUB64" s="144"/>
      <c r="PUC64" s="144"/>
      <c r="PUD64" s="144"/>
      <c r="PUE64" s="144"/>
      <c r="PUF64" s="144"/>
      <c r="PUG64" s="144"/>
      <c r="PUH64" s="144"/>
      <c r="PUI64" s="144"/>
      <c r="PUJ64" s="144"/>
      <c r="PUK64" s="144"/>
      <c r="PUL64" s="144"/>
      <c r="PUM64" s="144"/>
      <c r="PUN64" s="144"/>
      <c r="PUO64" s="144"/>
      <c r="PUP64" s="144"/>
      <c r="PUQ64" s="144"/>
      <c r="PUR64" s="144"/>
      <c r="PUS64" s="144"/>
      <c r="PUT64" s="144"/>
      <c r="PUU64" s="144"/>
      <c r="PUV64" s="144"/>
      <c r="PUW64" s="144"/>
      <c r="PUX64" s="144"/>
      <c r="PUY64" s="144"/>
      <c r="PUZ64" s="144"/>
      <c r="PVA64" s="144"/>
      <c r="PVB64" s="144"/>
      <c r="PVC64" s="144"/>
      <c r="PVD64" s="144"/>
      <c r="PVE64" s="144"/>
      <c r="PVF64" s="144"/>
      <c r="PVG64" s="144"/>
      <c r="PVH64" s="144"/>
      <c r="PVI64" s="144"/>
      <c r="PVJ64" s="144"/>
      <c r="PVK64" s="144"/>
      <c r="PVL64" s="144"/>
      <c r="PVM64" s="144"/>
      <c r="PVN64" s="144"/>
      <c r="PVO64" s="144"/>
      <c r="PVP64" s="144"/>
      <c r="PVQ64" s="144"/>
      <c r="PVR64" s="144"/>
      <c r="PVS64" s="144"/>
      <c r="PVT64" s="144"/>
      <c r="PVU64" s="144"/>
      <c r="PVV64" s="144"/>
      <c r="PVW64" s="144"/>
      <c r="PVX64" s="144"/>
      <c r="PVY64" s="144"/>
      <c r="PVZ64" s="144"/>
      <c r="PWA64" s="144"/>
      <c r="PWB64" s="144"/>
      <c r="PWC64" s="144"/>
      <c r="PWD64" s="144"/>
      <c r="PWE64" s="144"/>
      <c r="PWF64" s="144"/>
      <c r="PWG64" s="144"/>
      <c r="PWH64" s="144"/>
      <c r="PWI64" s="144"/>
      <c r="PWJ64" s="144"/>
      <c r="PWK64" s="144"/>
      <c r="PWL64" s="144"/>
      <c r="PWM64" s="144"/>
      <c r="PWN64" s="144"/>
      <c r="PWO64" s="144"/>
      <c r="PWP64" s="144"/>
      <c r="PWQ64" s="144"/>
      <c r="PWR64" s="144"/>
      <c r="PWS64" s="144"/>
      <c r="PWT64" s="144"/>
      <c r="PWU64" s="144"/>
      <c r="PWV64" s="144"/>
      <c r="PWW64" s="144"/>
      <c r="PWX64" s="144"/>
      <c r="PWY64" s="144"/>
      <c r="PWZ64" s="144"/>
      <c r="PXA64" s="144"/>
      <c r="PXB64" s="144"/>
      <c r="PXC64" s="144"/>
      <c r="PXD64" s="144"/>
      <c r="PXE64" s="144"/>
      <c r="PXF64" s="144"/>
      <c r="PXG64" s="144"/>
      <c r="PXH64" s="144"/>
      <c r="PXI64" s="144"/>
      <c r="PXJ64" s="144"/>
      <c r="PXK64" s="144"/>
      <c r="PXL64" s="144"/>
      <c r="PXM64" s="144"/>
      <c r="PXN64" s="144"/>
      <c r="PXO64" s="144"/>
      <c r="PXP64" s="144"/>
      <c r="PXQ64" s="144"/>
      <c r="PXR64" s="144"/>
      <c r="PXS64" s="144"/>
      <c r="PXT64" s="144"/>
      <c r="PXU64" s="144"/>
      <c r="PXV64" s="144"/>
      <c r="PXW64" s="144"/>
      <c r="PXX64" s="144"/>
      <c r="PXY64" s="144"/>
      <c r="PXZ64" s="144"/>
      <c r="PYA64" s="144"/>
      <c r="PYB64" s="144"/>
      <c r="PYC64" s="144"/>
      <c r="PYD64" s="144"/>
      <c r="PYE64" s="144"/>
      <c r="PYF64" s="144"/>
      <c r="PYG64" s="144"/>
      <c r="PYH64" s="144"/>
      <c r="PYI64" s="144"/>
      <c r="PYJ64" s="144"/>
      <c r="PYK64" s="144"/>
      <c r="PYL64" s="144"/>
      <c r="PYM64" s="144"/>
      <c r="PYN64" s="144"/>
      <c r="PYO64" s="144"/>
      <c r="PYP64" s="144"/>
      <c r="PYQ64" s="144"/>
      <c r="PYR64" s="144"/>
      <c r="PYS64" s="144"/>
      <c r="PYT64" s="144"/>
      <c r="PYU64" s="144"/>
      <c r="PYV64" s="144"/>
      <c r="PYW64" s="144"/>
      <c r="PYX64" s="144"/>
      <c r="PYY64" s="144"/>
      <c r="PYZ64" s="144"/>
      <c r="PZA64" s="144"/>
      <c r="PZB64" s="144"/>
      <c r="PZC64" s="144"/>
      <c r="PZD64" s="144"/>
      <c r="PZE64" s="144"/>
      <c r="PZF64" s="144"/>
      <c r="PZG64" s="144"/>
      <c r="PZH64" s="144"/>
      <c r="PZI64" s="144"/>
      <c r="PZJ64" s="144"/>
      <c r="PZK64" s="144"/>
      <c r="PZL64" s="144"/>
      <c r="PZM64" s="144"/>
      <c r="PZN64" s="144"/>
      <c r="PZO64" s="144"/>
      <c r="PZP64" s="144"/>
      <c r="PZQ64" s="144"/>
      <c r="PZR64" s="144"/>
      <c r="PZS64" s="144"/>
      <c r="PZT64" s="144"/>
      <c r="PZU64" s="144"/>
      <c r="PZV64" s="144"/>
      <c r="PZW64" s="144"/>
      <c r="PZX64" s="144"/>
      <c r="PZY64" s="144"/>
      <c r="PZZ64" s="144"/>
      <c r="QAA64" s="144"/>
      <c r="QAB64" s="144"/>
      <c r="QAC64" s="144"/>
      <c r="QAD64" s="144"/>
      <c r="QAE64" s="144"/>
      <c r="QAF64" s="144"/>
      <c r="QAG64" s="144"/>
      <c r="QAH64" s="144"/>
      <c r="QAI64" s="144"/>
      <c r="QAJ64" s="144"/>
      <c r="QAK64" s="144"/>
      <c r="QAL64" s="144"/>
      <c r="QAM64" s="144"/>
      <c r="QAN64" s="144"/>
      <c r="QAO64" s="144"/>
      <c r="QAP64" s="144"/>
      <c r="QAQ64" s="144"/>
      <c r="QAR64" s="144"/>
      <c r="QAS64" s="144"/>
      <c r="QAT64" s="144"/>
      <c r="QAU64" s="144"/>
      <c r="QAV64" s="144"/>
      <c r="QAW64" s="144"/>
      <c r="QAX64" s="144"/>
      <c r="QAY64" s="144"/>
      <c r="QAZ64" s="144"/>
      <c r="QBA64" s="144"/>
      <c r="QBB64" s="144"/>
      <c r="QBC64" s="144"/>
      <c r="QBD64" s="144"/>
      <c r="QBE64" s="144"/>
      <c r="QBF64" s="144"/>
      <c r="QBG64" s="144"/>
      <c r="QBH64" s="144"/>
      <c r="QBI64" s="144"/>
      <c r="QBJ64" s="144"/>
      <c r="QBK64" s="144"/>
      <c r="QBL64" s="144"/>
      <c r="QBM64" s="144"/>
      <c r="QBN64" s="144"/>
      <c r="QBO64" s="144"/>
      <c r="QBP64" s="144"/>
      <c r="QBQ64" s="144"/>
      <c r="QBR64" s="144"/>
      <c r="QBS64" s="144"/>
      <c r="QBT64" s="144"/>
      <c r="QBU64" s="144"/>
      <c r="QBV64" s="144"/>
      <c r="QBW64" s="144"/>
      <c r="QBX64" s="144"/>
      <c r="QBY64" s="144"/>
      <c r="QBZ64" s="144"/>
      <c r="QCA64" s="144"/>
      <c r="QCB64" s="144"/>
      <c r="QCC64" s="144"/>
      <c r="QCD64" s="144"/>
      <c r="QCE64" s="144"/>
      <c r="QCF64" s="144"/>
      <c r="QCG64" s="144"/>
      <c r="QCH64" s="144"/>
      <c r="QCI64" s="144"/>
      <c r="QCJ64" s="144"/>
      <c r="QCK64" s="144"/>
      <c r="QCL64" s="144"/>
      <c r="QCM64" s="144"/>
      <c r="QCN64" s="144"/>
      <c r="QCO64" s="144"/>
      <c r="QCP64" s="144"/>
      <c r="QCQ64" s="144"/>
      <c r="QCR64" s="144"/>
      <c r="QCS64" s="144"/>
      <c r="QCT64" s="144"/>
      <c r="QCU64" s="144"/>
      <c r="QCV64" s="144"/>
      <c r="QCW64" s="144"/>
      <c r="QCX64" s="144"/>
      <c r="QCY64" s="144"/>
      <c r="QCZ64" s="144"/>
      <c r="QDA64" s="144"/>
      <c r="QDB64" s="144"/>
      <c r="QDC64" s="144"/>
      <c r="QDD64" s="144"/>
      <c r="QDE64" s="144"/>
      <c r="QDF64" s="144"/>
      <c r="QDG64" s="144"/>
      <c r="QDH64" s="144"/>
      <c r="QDI64" s="144"/>
      <c r="QDJ64" s="144"/>
      <c r="QDK64" s="144"/>
      <c r="QDL64" s="144"/>
      <c r="QDM64" s="144"/>
      <c r="QDN64" s="144"/>
      <c r="QDO64" s="144"/>
      <c r="QDP64" s="144"/>
      <c r="QDQ64" s="144"/>
      <c r="QDR64" s="144"/>
      <c r="QDS64" s="144"/>
      <c r="QDT64" s="144"/>
      <c r="QDU64" s="144"/>
      <c r="QDV64" s="144"/>
      <c r="QDW64" s="144"/>
      <c r="QDX64" s="144"/>
      <c r="QDY64" s="144"/>
      <c r="QDZ64" s="144"/>
      <c r="QEA64" s="144"/>
      <c r="QEB64" s="144"/>
      <c r="QEC64" s="144"/>
      <c r="QED64" s="144"/>
      <c r="QEE64" s="144"/>
      <c r="QEF64" s="144"/>
      <c r="QEG64" s="144"/>
      <c r="QEH64" s="144"/>
      <c r="QEI64" s="144"/>
      <c r="QEJ64" s="144"/>
      <c r="QEK64" s="144"/>
      <c r="QEL64" s="144"/>
      <c r="QEM64" s="144"/>
      <c r="QEN64" s="144"/>
      <c r="QEO64" s="144"/>
      <c r="QEP64" s="144"/>
      <c r="QEQ64" s="144"/>
      <c r="QER64" s="144"/>
      <c r="QES64" s="144"/>
      <c r="QET64" s="144"/>
      <c r="QEU64" s="144"/>
      <c r="QEV64" s="144"/>
      <c r="QEW64" s="144"/>
      <c r="QEX64" s="144"/>
      <c r="QEY64" s="144"/>
      <c r="QEZ64" s="144"/>
      <c r="QFA64" s="144"/>
      <c r="QFB64" s="144"/>
      <c r="QFC64" s="144"/>
      <c r="QFD64" s="144"/>
      <c r="QFE64" s="144"/>
      <c r="QFF64" s="144"/>
      <c r="QFG64" s="144"/>
      <c r="QFH64" s="144"/>
      <c r="QFI64" s="144"/>
      <c r="QFJ64" s="144"/>
      <c r="QFK64" s="144"/>
      <c r="QFL64" s="144"/>
      <c r="QFM64" s="144"/>
      <c r="QFN64" s="144"/>
      <c r="QFO64" s="144"/>
      <c r="QFP64" s="144"/>
      <c r="QFQ64" s="144"/>
      <c r="QFR64" s="144"/>
      <c r="QFS64" s="144"/>
      <c r="QFT64" s="144"/>
      <c r="QFU64" s="144"/>
      <c r="QFV64" s="144"/>
      <c r="QFW64" s="144"/>
      <c r="QFX64" s="144"/>
      <c r="QFY64" s="144"/>
      <c r="QFZ64" s="144"/>
      <c r="QGA64" s="144"/>
      <c r="QGB64" s="144"/>
      <c r="QGC64" s="144"/>
      <c r="QGD64" s="144"/>
      <c r="QGE64" s="144"/>
      <c r="QGF64" s="144"/>
      <c r="QGG64" s="144"/>
      <c r="QGH64" s="144"/>
      <c r="QGI64" s="144"/>
      <c r="QGJ64" s="144"/>
      <c r="QGK64" s="144"/>
      <c r="QGL64" s="144"/>
      <c r="QGM64" s="144"/>
      <c r="QGN64" s="144"/>
      <c r="QGO64" s="144"/>
      <c r="QGP64" s="144"/>
      <c r="QGQ64" s="144"/>
      <c r="QGR64" s="144"/>
      <c r="QGS64" s="144"/>
      <c r="QGT64" s="144"/>
      <c r="QGU64" s="144"/>
      <c r="QGV64" s="144"/>
      <c r="QGW64" s="144"/>
      <c r="QGX64" s="144"/>
      <c r="QGY64" s="144"/>
      <c r="QGZ64" s="144"/>
      <c r="QHA64" s="144"/>
      <c r="QHB64" s="144"/>
      <c r="QHC64" s="144"/>
      <c r="QHD64" s="144"/>
      <c r="QHE64" s="144"/>
      <c r="QHF64" s="144"/>
      <c r="QHG64" s="144"/>
      <c r="QHH64" s="144"/>
      <c r="QHI64" s="144"/>
      <c r="QHJ64" s="144"/>
      <c r="QHK64" s="144"/>
      <c r="QHL64" s="144"/>
      <c r="QHM64" s="144"/>
      <c r="QHN64" s="144"/>
      <c r="QHO64" s="144"/>
      <c r="QHP64" s="144"/>
      <c r="QHQ64" s="144"/>
      <c r="QHR64" s="144"/>
      <c r="QHS64" s="144"/>
      <c r="QHT64" s="144"/>
      <c r="QHU64" s="144"/>
      <c r="QHV64" s="144"/>
      <c r="QHW64" s="144"/>
      <c r="QHX64" s="144"/>
      <c r="QHY64" s="144"/>
      <c r="QHZ64" s="144"/>
      <c r="QIA64" s="144"/>
      <c r="QIB64" s="144"/>
      <c r="QIC64" s="144"/>
      <c r="QID64" s="144"/>
      <c r="QIE64" s="144"/>
      <c r="QIF64" s="144"/>
      <c r="QIG64" s="144"/>
      <c r="QIH64" s="144"/>
      <c r="QII64" s="144"/>
      <c r="QIJ64" s="144"/>
      <c r="QIK64" s="144"/>
      <c r="QIL64" s="144"/>
      <c r="QIM64" s="144"/>
      <c r="QIN64" s="144"/>
      <c r="QIO64" s="144"/>
      <c r="QIP64" s="144"/>
      <c r="QIQ64" s="144"/>
      <c r="QIR64" s="144"/>
      <c r="QIS64" s="144"/>
      <c r="QIT64" s="144"/>
      <c r="QIU64" s="144"/>
      <c r="QIV64" s="144"/>
      <c r="QIW64" s="144"/>
      <c r="QIX64" s="144"/>
      <c r="QIY64" s="144"/>
      <c r="QIZ64" s="144"/>
      <c r="QJA64" s="144"/>
      <c r="QJB64" s="144"/>
      <c r="QJC64" s="144"/>
      <c r="QJD64" s="144"/>
      <c r="QJE64" s="144"/>
      <c r="QJF64" s="144"/>
      <c r="QJG64" s="144"/>
      <c r="QJH64" s="144"/>
      <c r="QJI64" s="144"/>
      <c r="QJJ64" s="144"/>
      <c r="QJK64" s="144"/>
      <c r="QJL64" s="144"/>
      <c r="QJM64" s="144"/>
      <c r="QJN64" s="144"/>
      <c r="QJO64" s="144"/>
      <c r="QJP64" s="144"/>
      <c r="QJQ64" s="144"/>
      <c r="QJR64" s="144"/>
      <c r="QJS64" s="144"/>
      <c r="QJT64" s="144"/>
      <c r="QJU64" s="144"/>
      <c r="QJV64" s="144"/>
      <c r="QJW64" s="144"/>
      <c r="QJX64" s="144"/>
      <c r="QJY64" s="144"/>
      <c r="QJZ64" s="144"/>
      <c r="QKA64" s="144"/>
      <c r="QKB64" s="144"/>
      <c r="QKC64" s="144"/>
      <c r="QKD64" s="144"/>
      <c r="QKE64" s="144"/>
      <c r="QKF64" s="144"/>
      <c r="QKG64" s="144"/>
      <c r="QKH64" s="144"/>
      <c r="QKI64" s="144"/>
      <c r="QKJ64" s="144"/>
      <c r="QKK64" s="144"/>
      <c r="QKL64" s="144"/>
      <c r="QKM64" s="144"/>
      <c r="QKN64" s="144"/>
      <c r="QKO64" s="144"/>
      <c r="QKP64" s="144"/>
      <c r="QKQ64" s="144"/>
      <c r="QKR64" s="144"/>
      <c r="QKS64" s="144"/>
      <c r="QKT64" s="144"/>
      <c r="QKU64" s="144"/>
      <c r="QKV64" s="144"/>
      <c r="QKW64" s="144"/>
      <c r="QKX64" s="144"/>
      <c r="QKY64" s="144"/>
      <c r="QKZ64" s="144"/>
      <c r="QLA64" s="144"/>
      <c r="QLB64" s="144"/>
      <c r="QLC64" s="144"/>
      <c r="QLD64" s="144"/>
      <c r="QLE64" s="144"/>
      <c r="QLF64" s="144"/>
      <c r="QLG64" s="144"/>
      <c r="QLH64" s="144"/>
      <c r="QLI64" s="144"/>
      <c r="QLJ64" s="144"/>
      <c r="QLK64" s="144"/>
      <c r="QLL64" s="144"/>
      <c r="QLM64" s="144"/>
      <c r="QLN64" s="144"/>
      <c r="QLO64" s="144"/>
      <c r="QLP64" s="144"/>
      <c r="QLQ64" s="144"/>
      <c r="QLR64" s="144"/>
      <c r="QLS64" s="144"/>
      <c r="QLT64" s="144"/>
      <c r="QLU64" s="144"/>
      <c r="QLV64" s="144"/>
      <c r="QLW64" s="144"/>
      <c r="QLX64" s="144"/>
      <c r="QLY64" s="144"/>
      <c r="QLZ64" s="144"/>
      <c r="QMA64" s="144"/>
      <c r="QMB64" s="144"/>
      <c r="QMC64" s="144"/>
      <c r="QMD64" s="144"/>
      <c r="QME64" s="144"/>
      <c r="QMF64" s="144"/>
      <c r="QMG64" s="144"/>
      <c r="QMH64" s="144"/>
      <c r="QMI64" s="144"/>
      <c r="QMJ64" s="144"/>
      <c r="QMK64" s="144"/>
      <c r="QML64" s="144"/>
      <c r="QMM64" s="144"/>
      <c r="QMN64" s="144"/>
      <c r="QMO64" s="144"/>
      <c r="QMP64" s="144"/>
      <c r="QMQ64" s="144"/>
      <c r="QMR64" s="144"/>
      <c r="QMS64" s="144"/>
      <c r="QMT64" s="144"/>
      <c r="QMU64" s="144"/>
      <c r="QMV64" s="144"/>
      <c r="QMW64" s="144"/>
      <c r="QMX64" s="144"/>
      <c r="QMY64" s="144"/>
      <c r="QMZ64" s="144"/>
      <c r="QNA64" s="144"/>
      <c r="QNB64" s="144"/>
      <c r="QNC64" s="144"/>
      <c r="QND64" s="144"/>
      <c r="QNE64" s="144"/>
      <c r="QNF64" s="144"/>
      <c r="QNG64" s="144"/>
      <c r="QNH64" s="144"/>
      <c r="QNI64" s="144"/>
      <c r="QNJ64" s="144"/>
      <c r="QNK64" s="144"/>
      <c r="QNL64" s="144"/>
      <c r="QNM64" s="144"/>
      <c r="QNN64" s="144"/>
      <c r="QNO64" s="144"/>
      <c r="QNP64" s="144"/>
      <c r="QNQ64" s="144"/>
      <c r="QNR64" s="144"/>
      <c r="QNS64" s="144"/>
      <c r="QNT64" s="144"/>
      <c r="QNU64" s="144"/>
      <c r="QNV64" s="144"/>
      <c r="QNW64" s="144"/>
      <c r="QNX64" s="144"/>
      <c r="QNY64" s="144"/>
      <c r="QNZ64" s="144"/>
      <c r="QOA64" s="144"/>
      <c r="QOB64" s="144"/>
      <c r="QOC64" s="144"/>
      <c r="QOD64" s="144"/>
      <c r="QOE64" s="144"/>
      <c r="QOF64" s="144"/>
      <c r="QOG64" s="144"/>
      <c r="QOH64" s="144"/>
      <c r="QOI64" s="144"/>
      <c r="QOJ64" s="144"/>
      <c r="QOK64" s="144"/>
      <c r="QOL64" s="144"/>
      <c r="QOM64" s="144"/>
      <c r="QON64" s="144"/>
      <c r="QOO64" s="144"/>
      <c r="QOP64" s="144"/>
      <c r="QOQ64" s="144"/>
      <c r="QOR64" s="144"/>
      <c r="QOS64" s="144"/>
      <c r="QOT64" s="144"/>
      <c r="QOU64" s="144"/>
      <c r="QOV64" s="144"/>
      <c r="QOW64" s="144"/>
      <c r="QOX64" s="144"/>
      <c r="QOY64" s="144"/>
      <c r="QOZ64" s="144"/>
      <c r="QPA64" s="144"/>
      <c r="QPB64" s="144"/>
      <c r="QPC64" s="144"/>
      <c r="QPD64" s="144"/>
      <c r="QPE64" s="144"/>
      <c r="QPF64" s="144"/>
      <c r="QPG64" s="144"/>
      <c r="QPH64" s="144"/>
      <c r="QPI64" s="144"/>
      <c r="QPJ64" s="144"/>
      <c r="QPK64" s="144"/>
      <c r="QPL64" s="144"/>
      <c r="QPM64" s="144"/>
      <c r="QPN64" s="144"/>
      <c r="QPO64" s="144"/>
      <c r="QPP64" s="144"/>
      <c r="QPQ64" s="144"/>
      <c r="QPR64" s="144"/>
      <c r="QPS64" s="144"/>
      <c r="QPT64" s="144"/>
      <c r="QPU64" s="144"/>
      <c r="QPV64" s="144"/>
      <c r="QPW64" s="144"/>
      <c r="QPX64" s="144"/>
      <c r="QPY64" s="144"/>
      <c r="QPZ64" s="144"/>
      <c r="QQA64" s="144"/>
      <c r="QQB64" s="144"/>
      <c r="QQC64" s="144"/>
      <c r="QQD64" s="144"/>
      <c r="QQE64" s="144"/>
      <c r="QQF64" s="144"/>
      <c r="QQG64" s="144"/>
      <c r="QQH64" s="144"/>
      <c r="QQI64" s="144"/>
      <c r="QQJ64" s="144"/>
      <c r="QQK64" s="144"/>
      <c r="QQL64" s="144"/>
      <c r="QQM64" s="144"/>
      <c r="QQN64" s="144"/>
      <c r="QQO64" s="144"/>
      <c r="QQP64" s="144"/>
      <c r="QQQ64" s="144"/>
      <c r="QQR64" s="144"/>
      <c r="QQS64" s="144"/>
      <c r="QQT64" s="144"/>
      <c r="QQU64" s="144"/>
      <c r="QQV64" s="144"/>
      <c r="QQW64" s="144"/>
      <c r="QQX64" s="144"/>
      <c r="QQY64" s="144"/>
      <c r="QQZ64" s="144"/>
      <c r="QRA64" s="144"/>
      <c r="QRB64" s="144"/>
      <c r="QRC64" s="144"/>
      <c r="QRD64" s="144"/>
      <c r="QRE64" s="144"/>
      <c r="QRF64" s="144"/>
      <c r="QRG64" s="144"/>
      <c r="QRH64" s="144"/>
      <c r="QRI64" s="144"/>
      <c r="QRJ64" s="144"/>
      <c r="QRK64" s="144"/>
      <c r="QRL64" s="144"/>
      <c r="QRM64" s="144"/>
      <c r="QRN64" s="144"/>
      <c r="QRO64" s="144"/>
      <c r="QRP64" s="144"/>
      <c r="QRQ64" s="144"/>
      <c r="QRR64" s="144"/>
      <c r="QRS64" s="144"/>
      <c r="QRT64" s="144"/>
      <c r="QRU64" s="144"/>
      <c r="QRV64" s="144"/>
      <c r="QRW64" s="144"/>
      <c r="QRX64" s="144"/>
      <c r="QRY64" s="144"/>
      <c r="QRZ64" s="144"/>
      <c r="QSA64" s="144"/>
      <c r="QSB64" s="144"/>
      <c r="QSC64" s="144"/>
      <c r="QSD64" s="144"/>
      <c r="QSE64" s="144"/>
      <c r="QSF64" s="144"/>
      <c r="QSG64" s="144"/>
      <c r="QSH64" s="144"/>
      <c r="QSI64" s="144"/>
      <c r="QSJ64" s="144"/>
      <c r="QSK64" s="144"/>
      <c r="QSL64" s="144"/>
      <c r="QSM64" s="144"/>
      <c r="QSN64" s="144"/>
      <c r="QSO64" s="144"/>
      <c r="QSP64" s="144"/>
      <c r="QSQ64" s="144"/>
      <c r="QSR64" s="144"/>
      <c r="QSS64" s="144"/>
      <c r="QST64" s="144"/>
      <c r="QSU64" s="144"/>
      <c r="QSV64" s="144"/>
      <c r="QSW64" s="144"/>
      <c r="QSX64" s="144"/>
      <c r="QSY64" s="144"/>
      <c r="QSZ64" s="144"/>
      <c r="QTA64" s="144"/>
      <c r="QTB64" s="144"/>
      <c r="QTC64" s="144"/>
      <c r="QTD64" s="144"/>
      <c r="QTE64" s="144"/>
      <c r="QTF64" s="144"/>
      <c r="QTG64" s="144"/>
      <c r="QTH64" s="144"/>
      <c r="QTI64" s="144"/>
      <c r="QTJ64" s="144"/>
      <c r="QTK64" s="144"/>
      <c r="QTL64" s="144"/>
      <c r="QTM64" s="144"/>
      <c r="QTN64" s="144"/>
      <c r="QTO64" s="144"/>
      <c r="QTP64" s="144"/>
      <c r="QTQ64" s="144"/>
      <c r="QTR64" s="144"/>
      <c r="QTS64" s="144"/>
      <c r="QTT64" s="144"/>
      <c r="QTU64" s="144"/>
      <c r="QTV64" s="144"/>
      <c r="QTW64" s="144"/>
      <c r="QTX64" s="144"/>
      <c r="QTY64" s="144"/>
      <c r="QTZ64" s="144"/>
      <c r="QUA64" s="144"/>
      <c r="QUB64" s="144"/>
      <c r="QUC64" s="144"/>
      <c r="QUD64" s="144"/>
      <c r="QUE64" s="144"/>
      <c r="QUF64" s="144"/>
      <c r="QUG64" s="144"/>
      <c r="QUH64" s="144"/>
      <c r="QUI64" s="144"/>
      <c r="QUJ64" s="144"/>
      <c r="QUK64" s="144"/>
      <c r="QUL64" s="144"/>
      <c r="QUM64" s="144"/>
      <c r="QUN64" s="144"/>
      <c r="QUO64" s="144"/>
      <c r="QUP64" s="144"/>
      <c r="QUQ64" s="144"/>
      <c r="QUR64" s="144"/>
      <c r="QUS64" s="144"/>
      <c r="QUT64" s="144"/>
      <c r="QUU64" s="144"/>
      <c r="QUV64" s="144"/>
      <c r="QUW64" s="144"/>
      <c r="QUX64" s="144"/>
      <c r="QUY64" s="144"/>
      <c r="QUZ64" s="144"/>
      <c r="QVA64" s="144"/>
      <c r="QVB64" s="144"/>
      <c r="QVC64" s="144"/>
      <c r="QVD64" s="144"/>
      <c r="QVE64" s="144"/>
      <c r="QVF64" s="144"/>
      <c r="QVG64" s="144"/>
      <c r="QVH64" s="144"/>
      <c r="QVI64" s="144"/>
      <c r="QVJ64" s="144"/>
      <c r="QVK64" s="144"/>
      <c r="QVL64" s="144"/>
      <c r="QVM64" s="144"/>
      <c r="QVN64" s="144"/>
      <c r="QVO64" s="144"/>
      <c r="QVP64" s="144"/>
      <c r="QVQ64" s="144"/>
      <c r="QVR64" s="144"/>
      <c r="QVS64" s="144"/>
      <c r="QVT64" s="144"/>
      <c r="QVU64" s="144"/>
      <c r="QVV64" s="144"/>
      <c r="QVW64" s="144"/>
      <c r="QVX64" s="144"/>
      <c r="QVY64" s="144"/>
      <c r="QVZ64" s="144"/>
      <c r="QWA64" s="144"/>
      <c r="QWB64" s="144"/>
      <c r="QWC64" s="144"/>
      <c r="QWD64" s="144"/>
      <c r="QWE64" s="144"/>
      <c r="QWF64" s="144"/>
      <c r="QWG64" s="144"/>
      <c r="QWH64" s="144"/>
      <c r="QWI64" s="144"/>
      <c r="QWJ64" s="144"/>
      <c r="QWK64" s="144"/>
      <c r="QWL64" s="144"/>
      <c r="QWM64" s="144"/>
      <c r="QWN64" s="144"/>
      <c r="QWO64" s="144"/>
      <c r="QWP64" s="144"/>
      <c r="QWQ64" s="144"/>
      <c r="QWR64" s="144"/>
      <c r="QWS64" s="144"/>
      <c r="QWT64" s="144"/>
      <c r="QWU64" s="144"/>
      <c r="QWV64" s="144"/>
      <c r="QWW64" s="144"/>
      <c r="QWX64" s="144"/>
      <c r="QWY64" s="144"/>
      <c r="QWZ64" s="144"/>
      <c r="QXA64" s="144"/>
      <c r="QXB64" s="144"/>
      <c r="QXC64" s="144"/>
      <c r="QXD64" s="144"/>
      <c r="QXE64" s="144"/>
      <c r="QXF64" s="144"/>
      <c r="QXG64" s="144"/>
      <c r="QXH64" s="144"/>
      <c r="QXI64" s="144"/>
      <c r="QXJ64" s="144"/>
      <c r="QXK64" s="144"/>
      <c r="QXL64" s="144"/>
      <c r="QXM64" s="144"/>
      <c r="QXN64" s="144"/>
      <c r="QXO64" s="144"/>
      <c r="QXP64" s="144"/>
      <c r="QXQ64" s="144"/>
      <c r="QXR64" s="144"/>
      <c r="QXS64" s="144"/>
      <c r="QXT64" s="144"/>
      <c r="QXU64" s="144"/>
      <c r="QXV64" s="144"/>
      <c r="QXW64" s="144"/>
      <c r="QXX64" s="144"/>
      <c r="QXY64" s="144"/>
      <c r="QXZ64" s="144"/>
      <c r="QYA64" s="144"/>
      <c r="QYB64" s="144"/>
      <c r="QYC64" s="144"/>
      <c r="QYD64" s="144"/>
      <c r="QYE64" s="144"/>
      <c r="QYF64" s="144"/>
      <c r="QYG64" s="144"/>
      <c r="QYH64" s="144"/>
      <c r="QYI64" s="144"/>
      <c r="QYJ64" s="144"/>
      <c r="QYK64" s="144"/>
      <c r="QYL64" s="144"/>
      <c r="QYM64" s="144"/>
      <c r="QYN64" s="144"/>
      <c r="QYO64" s="144"/>
      <c r="QYP64" s="144"/>
      <c r="QYQ64" s="144"/>
      <c r="QYR64" s="144"/>
      <c r="QYS64" s="144"/>
      <c r="QYT64" s="144"/>
      <c r="QYU64" s="144"/>
      <c r="QYV64" s="144"/>
      <c r="QYW64" s="144"/>
      <c r="QYX64" s="144"/>
      <c r="QYY64" s="144"/>
      <c r="QYZ64" s="144"/>
      <c r="QZA64" s="144"/>
      <c r="QZB64" s="144"/>
      <c r="QZC64" s="144"/>
      <c r="QZD64" s="144"/>
      <c r="QZE64" s="144"/>
      <c r="QZF64" s="144"/>
      <c r="QZG64" s="144"/>
      <c r="QZH64" s="144"/>
      <c r="QZI64" s="144"/>
      <c r="QZJ64" s="144"/>
      <c r="QZK64" s="144"/>
      <c r="QZL64" s="144"/>
      <c r="QZM64" s="144"/>
      <c r="QZN64" s="144"/>
      <c r="QZO64" s="144"/>
      <c r="QZP64" s="144"/>
      <c r="QZQ64" s="144"/>
      <c r="QZR64" s="144"/>
      <c r="QZS64" s="144"/>
      <c r="QZT64" s="144"/>
      <c r="QZU64" s="144"/>
      <c r="QZV64" s="144"/>
      <c r="QZW64" s="144"/>
      <c r="QZX64" s="144"/>
      <c r="QZY64" s="144"/>
      <c r="QZZ64" s="144"/>
      <c r="RAA64" s="144"/>
      <c r="RAB64" s="144"/>
      <c r="RAC64" s="144"/>
      <c r="RAD64" s="144"/>
      <c r="RAE64" s="144"/>
      <c r="RAF64" s="144"/>
      <c r="RAG64" s="144"/>
      <c r="RAH64" s="144"/>
      <c r="RAI64" s="144"/>
      <c r="RAJ64" s="144"/>
      <c r="RAK64" s="144"/>
      <c r="RAL64" s="144"/>
      <c r="RAM64" s="144"/>
      <c r="RAN64" s="144"/>
      <c r="RAO64" s="144"/>
      <c r="RAP64" s="144"/>
      <c r="RAQ64" s="144"/>
      <c r="RAR64" s="144"/>
      <c r="RAS64" s="144"/>
      <c r="RAT64" s="144"/>
      <c r="RAU64" s="144"/>
      <c r="RAV64" s="144"/>
      <c r="RAW64" s="144"/>
      <c r="RAX64" s="144"/>
      <c r="RAY64" s="144"/>
      <c r="RAZ64" s="144"/>
      <c r="RBA64" s="144"/>
      <c r="RBB64" s="144"/>
      <c r="RBC64" s="144"/>
      <c r="RBD64" s="144"/>
      <c r="RBE64" s="144"/>
      <c r="RBF64" s="144"/>
      <c r="RBG64" s="144"/>
      <c r="RBH64" s="144"/>
      <c r="RBI64" s="144"/>
      <c r="RBJ64" s="144"/>
      <c r="RBK64" s="144"/>
      <c r="RBL64" s="144"/>
      <c r="RBM64" s="144"/>
      <c r="RBN64" s="144"/>
      <c r="RBO64" s="144"/>
      <c r="RBP64" s="144"/>
      <c r="RBQ64" s="144"/>
      <c r="RBR64" s="144"/>
      <c r="RBS64" s="144"/>
      <c r="RBT64" s="144"/>
      <c r="RBU64" s="144"/>
      <c r="RBV64" s="144"/>
      <c r="RBW64" s="144"/>
      <c r="RBX64" s="144"/>
      <c r="RBY64" s="144"/>
      <c r="RBZ64" s="144"/>
      <c r="RCA64" s="144"/>
      <c r="RCB64" s="144"/>
      <c r="RCC64" s="144"/>
      <c r="RCD64" s="144"/>
      <c r="RCE64" s="144"/>
      <c r="RCF64" s="144"/>
      <c r="RCG64" s="144"/>
      <c r="RCH64" s="144"/>
      <c r="RCI64" s="144"/>
      <c r="RCJ64" s="144"/>
      <c r="RCK64" s="144"/>
      <c r="RCL64" s="144"/>
      <c r="RCM64" s="144"/>
      <c r="RCN64" s="144"/>
      <c r="RCO64" s="144"/>
      <c r="RCP64" s="144"/>
      <c r="RCQ64" s="144"/>
      <c r="RCR64" s="144"/>
      <c r="RCS64" s="144"/>
      <c r="RCT64" s="144"/>
      <c r="RCU64" s="144"/>
      <c r="RCV64" s="144"/>
      <c r="RCW64" s="144"/>
      <c r="RCX64" s="144"/>
      <c r="RCY64" s="144"/>
      <c r="RCZ64" s="144"/>
      <c r="RDA64" s="144"/>
      <c r="RDB64" s="144"/>
      <c r="RDC64" s="144"/>
      <c r="RDD64" s="144"/>
      <c r="RDE64" s="144"/>
      <c r="RDF64" s="144"/>
      <c r="RDG64" s="144"/>
      <c r="RDH64" s="144"/>
      <c r="RDI64" s="144"/>
      <c r="RDJ64" s="144"/>
      <c r="RDK64" s="144"/>
      <c r="RDL64" s="144"/>
      <c r="RDM64" s="144"/>
      <c r="RDN64" s="144"/>
      <c r="RDO64" s="144"/>
      <c r="RDP64" s="144"/>
      <c r="RDQ64" s="144"/>
      <c r="RDR64" s="144"/>
      <c r="RDS64" s="144"/>
      <c r="RDT64" s="144"/>
      <c r="RDU64" s="144"/>
      <c r="RDV64" s="144"/>
      <c r="RDW64" s="144"/>
      <c r="RDX64" s="144"/>
      <c r="RDY64" s="144"/>
      <c r="RDZ64" s="144"/>
      <c r="REA64" s="144"/>
      <c r="REB64" s="144"/>
      <c r="REC64" s="144"/>
      <c r="RED64" s="144"/>
      <c r="REE64" s="144"/>
      <c r="REF64" s="144"/>
      <c r="REG64" s="144"/>
      <c r="REH64" s="144"/>
      <c r="REI64" s="144"/>
      <c r="REJ64" s="144"/>
      <c r="REK64" s="144"/>
      <c r="REL64" s="144"/>
      <c r="REM64" s="144"/>
      <c r="REN64" s="144"/>
      <c r="REO64" s="144"/>
      <c r="REP64" s="144"/>
      <c r="REQ64" s="144"/>
      <c r="RER64" s="144"/>
      <c r="RES64" s="144"/>
      <c r="RET64" s="144"/>
      <c r="REU64" s="144"/>
      <c r="REV64" s="144"/>
      <c r="REW64" s="144"/>
      <c r="REX64" s="144"/>
      <c r="REY64" s="144"/>
      <c r="REZ64" s="144"/>
      <c r="RFA64" s="144"/>
      <c r="RFB64" s="144"/>
      <c r="RFC64" s="144"/>
      <c r="RFD64" s="144"/>
      <c r="RFE64" s="144"/>
      <c r="RFF64" s="144"/>
      <c r="RFG64" s="144"/>
      <c r="RFH64" s="144"/>
      <c r="RFI64" s="144"/>
      <c r="RFJ64" s="144"/>
      <c r="RFK64" s="144"/>
      <c r="RFL64" s="144"/>
      <c r="RFM64" s="144"/>
      <c r="RFN64" s="144"/>
      <c r="RFO64" s="144"/>
      <c r="RFP64" s="144"/>
      <c r="RFQ64" s="144"/>
      <c r="RFR64" s="144"/>
      <c r="RFS64" s="144"/>
      <c r="RFT64" s="144"/>
      <c r="RFU64" s="144"/>
      <c r="RFV64" s="144"/>
      <c r="RFW64" s="144"/>
      <c r="RFX64" s="144"/>
      <c r="RFY64" s="144"/>
      <c r="RFZ64" s="144"/>
      <c r="RGA64" s="144"/>
      <c r="RGB64" s="144"/>
      <c r="RGC64" s="144"/>
      <c r="RGD64" s="144"/>
      <c r="RGE64" s="144"/>
      <c r="RGF64" s="144"/>
      <c r="RGG64" s="144"/>
      <c r="RGH64" s="144"/>
      <c r="RGI64" s="144"/>
      <c r="RGJ64" s="144"/>
      <c r="RGK64" s="144"/>
      <c r="RGL64" s="144"/>
      <c r="RGM64" s="144"/>
      <c r="RGN64" s="144"/>
      <c r="RGO64" s="144"/>
      <c r="RGP64" s="144"/>
      <c r="RGQ64" s="144"/>
      <c r="RGR64" s="144"/>
      <c r="RGS64" s="144"/>
      <c r="RGT64" s="144"/>
      <c r="RGU64" s="144"/>
      <c r="RGV64" s="144"/>
      <c r="RGW64" s="144"/>
      <c r="RGX64" s="144"/>
      <c r="RGY64" s="144"/>
      <c r="RGZ64" s="144"/>
      <c r="RHA64" s="144"/>
      <c r="RHB64" s="144"/>
      <c r="RHC64" s="144"/>
      <c r="RHD64" s="144"/>
      <c r="RHE64" s="144"/>
      <c r="RHF64" s="144"/>
      <c r="RHG64" s="144"/>
      <c r="RHH64" s="144"/>
      <c r="RHI64" s="144"/>
      <c r="RHJ64" s="144"/>
      <c r="RHK64" s="144"/>
      <c r="RHL64" s="144"/>
      <c r="RHM64" s="144"/>
      <c r="RHN64" s="144"/>
      <c r="RHO64" s="144"/>
      <c r="RHP64" s="144"/>
      <c r="RHQ64" s="144"/>
      <c r="RHR64" s="144"/>
      <c r="RHS64" s="144"/>
      <c r="RHT64" s="144"/>
      <c r="RHU64" s="144"/>
      <c r="RHV64" s="144"/>
      <c r="RHW64" s="144"/>
      <c r="RHX64" s="144"/>
      <c r="RHY64" s="144"/>
      <c r="RHZ64" s="144"/>
      <c r="RIA64" s="144"/>
      <c r="RIB64" s="144"/>
      <c r="RIC64" s="144"/>
      <c r="RID64" s="144"/>
      <c r="RIE64" s="144"/>
      <c r="RIF64" s="144"/>
      <c r="RIG64" s="144"/>
      <c r="RIH64" s="144"/>
      <c r="RII64" s="144"/>
      <c r="RIJ64" s="144"/>
      <c r="RIK64" s="144"/>
      <c r="RIL64" s="144"/>
      <c r="RIM64" s="144"/>
      <c r="RIN64" s="144"/>
      <c r="RIO64" s="144"/>
      <c r="RIP64" s="144"/>
      <c r="RIQ64" s="144"/>
      <c r="RIR64" s="144"/>
      <c r="RIS64" s="144"/>
      <c r="RIT64" s="144"/>
      <c r="RIU64" s="144"/>
      <c r="RIV64" s="144"/>
      <c r="RIW64" s="144"/>
      <c r="RIX64" s="144"/>
      <c r="RIY64" s="144"/>
      <c r="RIZ64" s="144"/>
      <c r="RJA64" s="144"/>
      <c r="RJB64" s="144"/>
      <c r="RJC64" s="144"/>
      <c r="RJD64" s="144"/>
      <c r="RJE64" s="144"/>
      <c r="RJF64" s="144"/>
      <c r="RJG64" s="144"/>
      <c r="RJH64" s="144"/>
      <c r="RJI64" s="144"/>
      <c r="RJJ64" s="144"/>
      <c r="RJK64" s="144"/>
      <c r="RJL64" s="144"/>
      <c r="RJM64" s="144"/>
      <c r="RJN64" s="144"/>
      <c r="RJO64" s="144"/>
      <c r="RJP64" s="144"/>
      <c r="RJQ64" s="144"/>
      <c r="RJR64" s="144"/>
      <c r="RJS64" s="144"/>
      <c r="RJT64" s="144"/>
      <c r="RJU64" s="144"/>
      <c r="RJV64" s="144"/>
      <c r="RJW64" s="144"/>
      <c r="RJX64" s="144"/>
      <c r="RJY64" s="144"/>
      <c r="RJZ64" s="144"/>
      <c r="RKA64" s="144"/>
      <c r="RKB64" s="144"/>
      <c r="RKC64" s="144"/>
      <c r="RKD64" s="144"/>
      <c r="RKE64" s="144"/>
      <c r="RKF64" s="144"/>
      <c r="RKG64" s="144"/>
      <c r="RKH64" s="144"/>
      <c r="RKI64" s="144"/>
      <c r="RKJ64" s="144"/>
      <c r="RKK64" s="144"/>
      <c r="RKL64" s="144"/>
      <c r="RKM64" s="144"/>
      <c r="RKN64" s="144"/>
      <c r="RKO64" s="144"/>
      <c r="RKP64" s="144"/>
      <c r="RKQ64" s="144"/>
      <c r="RKR64" s="144"/>
      <c r="RKS64" s="144"/>
      <c r="RKT64" s="144"/>
      <c r="RKU64" s="144"/>
      <c r="RKV64" s="144"/>
      <c r="RKW64" s="144"/>
      <c r="RKX64" s="144"/>
      <c r="RKY64" s="144"/>
      <c r="RKZ64" s="144"/>
      <c r="RLA64" s="144"/>
      <c r="RLB64" s="144"/>
      <c r="RLC64" s="144"/>
      <c r="RLD64" s="144"/>
      <c r="RLE64" s="144"/>
      <c r="RLF64" s="144"/>
      <c r="RLG64" s="144"/>
      <c r="RLH64" s="144"/>
      <c r="RLI64" s="144"/>
      <c r="RLJ64" s="144"/>
      <c r="RLK64" s="144"/>
      <c r="RLL64" s="144"/>
      <c r="RLM64" s="144"/>
      <c r="RLN64" s="144"/>
      <c r="RLO64" s="144"/>
      <c r="RLP64" s="144"/>
      <c r="RLQ64" s="144"/>
      <c r="RLR64" s="144"/>
      <c r="RLS64" s="144"/>
      <c r="RLT64" s="144"/>
      <c r="RLU64" s="144"/>
      <c r="RLV64" s="144"/>
      <c r="RLW64" s="144"/>
      <c r="RLX64" s="144"/>
      <c r="RLY64" s="144"/>
      <c r="RLZ64" s="144"/>
      <c r="RMA64" s="144"/>
      <c r="RMB64" s="144"/>
      <c r="RMC64" s="144"/>
      <c r="RMD64" s="144"/>
      <c r="RME64" s="144"/>
      <c r="RMF64" s="144"/>
      <c r="RMG64" s="144"/>
      <c r="RMH64" s="144"/>
      <c r="RMI64" s="144"/>
      <c r="RMJ64" s="144"/>
      <c r="RMK64" s="144"/>
      <c r="RML64" s="144"/>
      <c r="RMM64" s="144"/>
      <c r="RMN64" s="144"/>
      <c r="RMO64" s="144"/>
      <c r="RMP64" s="144"/>
      <c r="RMQ64" s="144"/>
      <c r="RMR64" s="144"/>
      <c r="RMS64" s="144"/>
      <c r="RMT64" s="144"/>
      <c r="RMU64" s="144"/>
      <c r="RMV64" s="144"/>
      <c r="RMW64" s="144"/>
      <c r="RMX64" s="144"/>
      <c r="RMY64" s="144"/>
      <c r="RMZ64" s="144"/>
      <c r="RNA64" s="144"/>
      <c r="RNB64" s="144"/>
      <c r="RNC64" s="144"/>
      <c r="RND64" s="144"/>
      <c r="RNE64" s="144"/>
      <c r="RNF64" s="144"/>
      <c r="RNG64" s="144"/>
      <c r="RNH64" s="144"/>
      <c r="RNI64" s="144"/>
      <c r="RNJ64" s="144"/>
      <c r="RNK64" s="144"/>
      <c r="RNL64" s="144"/>
      <c r="RNM64" s="144"/>
      <c r="RNN64" s="144"/>
      <c r="RNO64" s="144"/>
      <c r="RNP64" s="144"/>
      <c r="RNQ64" s="144"/>
      <c r="RNR64" s="144"/>
      <c r="RNS64" s="144"/>
      <c r="RNT64" s="144"/>
      <c r="RNU64" s="144"/>
      <c r="RNV64" s="144"/>
      <c r="RNW64" s="144"/>
      <c r="RNX64" s="144"/>
      <c r="RNY64" s="144"/>
      <c r="RNZ64" s="144"/>
      <c r="ROA64" s="144"/>
      <c r="ROB64" s="144"/>
      <c r="ROC64" s="144"/>
      <c r="ROD64" s="144"/>
      <c r="ROE64" s="144"/>
      <c r="ROF64" s="144"/>
      <c r="ROG64" s="144"/>
      <c r="ROH64" s="144"/>
      <c r="ROI64" s="144"/>
      <c r="ROJ64" s="144"/>
      <c r="ROK64" s="144"/>
      <c r="ROL64" s="144"/>
      <c r="ROM64" s="144"/>
      <c r="RON64" s="144"/>
      <c r="ROO64" s="144"/>
      <c r="ROP64" s="144"/>
      <c r="ROQ64" s="144"/>
      <c r="ROR64" s="144"/>
      <c r="ROS64" s="144"/>
      <c r="ROT64" s="144"/>
      <c r="ROU64" s="144"/>
      <c r="ROV64" s="144"/>
      <c r="ROW64" s="144"/>
      <c r="ROX64" s="144"/>
      <c r="ROY64" s="144"/>
      <c r="ROZ64" s="144"/>
      <c r="RPA64" s="144"/>
      <c r="RPB64" s="144"/>
      <c r="RPC64" s="144"/>
      <c r="RPD64" s="144"/>
      <c r="RPE64" s="144"/>
      <c r="RPF64" s="144"/>
      <c r="RPG64" s="144"/>
      <c r="RPH64" s="144"/>
      <c r="RPI64" s="144"/>
      <c r="RPJ64" s="144"/>
      <c r="RPK64" s="144"/>
      <c r="RPL64" s="144"/>
      <c r="RPM64" s="144"/>
      <c r="RPN64" s="144"/>
      <c r="RPO64" s="144"/>
      <c r="RPP64" s="144"/>
      <c r="RPQ64" s="144"/>
      <c r="RPR64" s="144"/>
      <c r="RPS64" s="144"/>
      <c r="RPT64" s="144"/>
      <c r="RPU64" s="144"/>
      <c r="RPV64" s="144"/>
      <c r="RPW64" s="144"/>
      <c r="RPX64" s="144"/>
      <c r="RPY64" s="144"/>
      <c r="RPZ64" s="144"/>
      <c r="RQA64" s="144"/>
      <c r="RQB64" s="144"/>
      <c r="RQC64" s="144"/>
      <c r="RQD64" s="144"/>
      <c r="RQE64" s="144"/>
      <c r="RQF64" s="144"/>
      <c r="RQG64" s="144"/>
      <c r="RQH64" s="144"/>
      <c r="RQI64" s="144"/>
      <c r="RQJ64" s="144"/>
      <c r="RQK64" s="144"/>
      <c r="RQL64" s="144"/>
      <c r="RQM64" s="144"/>
      <c r="RQN64" s="144"/>
      <c r="RQO64" s="144"/>
      <c r="RQP64" s="144"/>
      <c r="RQQ64" s="144"/>
      <c r="RQR64" s="144"/>
      <c r="RQS64" s="144"/>
      <c r="RQT64" s="144"/>
      <c r="RQU64" s="144"/>
      <c r="RQV64" s="144"/>
      <c r="RQW64" s="144"/>
      <c r="RQX64" s="144"/>
      <c r="RQY64" s="144"/>
      <c r="RQZ64" s="144"/>
      <c r="RRA64" s="144"/>
      <c r="RRB64" s="144"/>
      <c r="RRC64" s="144"/>
      <c r="RRD64" s="144"/>
      <c r="RRE64" s="144"/>
      <c r="RRF64" s="144"/>
      <c r="RRG64" s="144"/>
      <c r="RRH64" s="144"/>
      <c r="RRI64" s="144"/>
      <c r="RRJ64" s="144"/>
      <c r="RRK64" s="144"/>
      <c r="RRL64" s="144"/>
      <c r="RRM64" s="144"/>
      <c r="RRN64" s="144"/>
      <c r="RRO64" s="144"/>
      <c r="RRP64" s="144"/>
      <c r="RRQ64" s="144"/>
      <c r="RRR64" s="144"/>
      <c r="RRS64" s="144"/>
      <c r="RRT64" s="144"/>
      <c r="RRU64" s="144"/>
      <c r="RRV64" s="144"/>
      <c r="RRW64" s="144"/>
      <c r="RRX64" s="144"/>
      <c r="RRY64" s="144"/>
      <c r="RRZ64" s="144"/>
      <c r="RSA64" s="144"/>
      <c r="RSB64" s="144"/>
      <c r="RSC64" s="144"/>
      <c r="RSD64" s="144"/>
      <c r="RSE64" s="144"/>
      <c r="RSF64" s="144"/>
      <c r="RSG64" s="144"/>
      <c r="RSH64" s="144"/>
      <c r="RSI64" s="144"/>
      <c r="RSJ64" s="144"/>
      <c r="RSK64" s="144"/>
      <c r="RSL64" s="144"/>
      <c r="RSM64" s="144"/>
      <c r="RSN64" s="144"/>
      <c r="RSO64" s="144"/>
      <c r="RSP64" s="144"/>
      <c r="RSQ64" s="144"/>
      <c r="RSR64" s="144"/>
      <c r="RSS64" s="144"/>
      <c r="RST64" s="144"/>
      <c r="RSU64" s="144"/>
      <c r="RSV64" s="144"/>
      <c r="RSW64" s="144"/>
      <c r="RSX64" s="144"/>
      <c r="RSY64" s="144"/>
      <c r="RSZ64" s="144"/>
      <c r="RTA64" s="144"/>
      <c r="RTB64" s="144"/>
      <c r="RTC64" s="144"/>
      <c r="RTD64" s="144"/>
      <c r="RTE64" s="144"/>
      <c r="RTF64" s="144"/>
      <c r="RTG64" s="144"/>
      <c r="RTH64" s="144"/>
      <c r="RTI64" s="144"/>
      <c r="RTJ64" s="144"/>
      <c r="RTK64" s="144"/>
      <c r="RTL64" s="144"/>
      <c r="RTM64" s="144"/>
      <c r="RTN64" s="144"/>
      <c r="RTO64" s="144"/>
      <c r="RTP64" s="144"/>
      <c r="RTQ64" s="144"/>
      <c r="RTR64" s="144"/>
      <c r="RTS64" s="144"/>
      <c r="RTT64" s="144"/>
      <c r="RTU64" s="144"/>
      <c r="RTV64" s="144"/>
      <c r="RTW64" s="144"/>
      <c r="RTX64" s="144"/>
      <c r="RTY64" s="144"/>
      <c r="RTZ64" s="144"/>
      <c r="RUA64" s="144"/>
      <c r="RUB64" s="144"/>
      <c r="RUC64" s="144"/>
      <c r="RUD64" s="144"/>
      <c r="RUE64" s="144"/>
      <c r="RUF64" s="144"/>
      <c r="RUG64" s="144"/>
      <c r="RUH64" s="144"/>
      <c r="RUI64" s="144"/>
      <c r="RUJ64" s="144"/>
      <c r="RUK64" s="144"/>
      <c r="RUL64" s="144"/>
      <c r="RUM64" s="144"/>
      <c r="RUN64" s="144"/>
      <c r="RUO64" s="144"/>
      <c r="RUP64" s="144"/>
      <c r="RUQ64" s="144"/>
      <c r="RUR64" s="144"/>
      <c r="RUS64" s="144"/>
      <c r="RUT64" s="144"/>
      <c r="RUU64" s="144"/>
      <c r="RUV64" s="144"/>
      <c r="RUW64" s="144"/>
      <c r="RUX64" s="144"/>
      <c r="RUY64" s="144"/>
      <c r="RUZ64" s="144"/>
      <c r="RVA64" s="144"/>
      <c r="RVB64" s="144"/>
      <c r="RVC64" s="144"/>
      <c r="RVD64" s="144"/>
      <c r="RVE64" s="144"/>
      <c r="RVF64" s="144"/>
      <c r="RVG64" s="144"/>
      <c r="RVH64" s="144"/>
      <c r="RVI64" s="144"/>
      <c r="RVJ64" s="144"/>
      <c r="RVK64" s="144"/>
      <c r="RVL64" s="144"/>
      <c r="RVM64" s="144"/>
      <c r="RVN64" s="144"/>
      <c r="RVO64" s="144"/>
      <c r="RVP64" s="144"/>
      <c r="RVQ64" s="144"/>
      <c r="RVR64" s="144"/>
      <c r="RVS64" s="144"/>
      <c r="RVT64" s="144"/>
      <c r="RVU64" s="144"/>
      <c r="RVV64" s="144"/>
      <c r="RVW64" s="144"/>
      <c r="RVX64" s="144"/>
      <c r="RVY64" s="144"/>
      <c r="RVZ64" s="144"/>
      <c r="RWA64" s="144"/>
      <c r="RWB64" s="144"/>
      <c r="RWC64" s="144"/>
      <c r="RWD64" s="144"/>
      <c r="RWE64" s="144"/>
      <c r="RWF64" s="144"/>
      <c r="RWG64" s="144"/>
      <c r="RWH64" s="144"/>
      <c r="RWI64" s="144"/>
      <c r="RWJ64" s="144"/>
      <c r="RWK64" s="144"/>
      <c r="RWL64" s="144"/>
      <c r="RWM64" s="144"/>
      <c r="RWN64" s="144"/>
      <c r="RWO64" s="144"/>
      <c r="RWP64" s="144"/>
      <c r="RWQ64" s="144"/>
      <c r="RWR64" s="144"/>
      <c r="RWS64" s="144"/>
      <c r="RWT64" s="144"/>
      <c r="RWU64" s="144"/>
      <c r="RWV64" s="144"/>
      <c r="RWW64" s="144"/>
      <c r="RWX64" s="144"/>
      <c r="RWY64" s="144"/>
      <c r="RWZ64" s="144"/>
      <c r="RXA64" s="144"/>
      <c r="RXB64" s="144"/>
      <c r="RXC64" s="144"/>
      <c r="RXD64" s="144"/>
      <c r="RXE64" s="144"/>
      <c r="RXF64" s="144"/>
      <c r="RXG64" s="144"/>
      <c r="RXH64" s="144"/>
      <c r="RXI64" s="144"/>
      <c r="RXJ64" s="144"/>
      <c r="RXK64" s="144"/>
      <c r="RXL64" s="144"/>
      <c r="RXM64" s="144"/>
      <c r="RXN64" s="144"/>
      <c r="RXO64" s="144"/>
      <c r="RXP64" s="144"/>
      <c r="RXQ64" s="144"/>
      <c r="RXR64" s="144"/>
      <c r="RXS64" s="144"/>
      <c r="RXT64" s="144"/>
      <c r="RXU64" s="144"/>
      <c r="RXV64" s="144"/>
      <c r="RXW64" s="144"/>
      <c r="RXX64" s="144"/>
      <c r="RXY64" s="144"/>
      <c r="RXZ64" s="144"/>
      <c r="RYA64" s="144"/>
      <c r="RYB64" s="144"/>
      <c r="RYC64" s="144"/>
      <c r="RYD64" s="144"/>
      <c r="RYE64" s="144"/>
      <c r="RYF64" s="144"/>
      <c r="RYG64" s="144"/>
      <c r="RYH64" s="144"/>
      <c r="RYI64" s="144"/>
      <c r="RYJ64" s="144"/>
      <c r="RYK64" s="144"/>
      <c r="RYL64" s="144"/>
      <c r="RYM64" s="144"/>
      <c r="RYN64" s="144"/>
      <c r="RYO64" s="144"/>
      <c r="RYP64" s="144"/>
      <c r="RYQ64" s="144"/>
      <c r="RYR64" s="144"/>
      <c r="RYS64" s="144"/>
      <c r="RYT64" s="144"/>
      <c r="RYU64" s="144"/>
      <c r="RYV64" s="144"/>
      <c r="RYW64" s="144"/>
      <c r="RYX64" s="144"/>
      <c r="RYY64" s="144"/>
      <c r="RYZ64" s="144"/>
      <c r="RZA64" s="144"/>
      <c r="RZB64" s="144"/>
      <c r="RZC64" s="144"/>
      <c r="RZD64" s="144"/>
      <c r="RZE64" s="144"/>
      <c r="RZF64" s="144"/>
      <c r="RZG64" s="144"/>
      <c r="RZH64" s="144"/>
      <c r="RZI64" s="144"/>
      <c r="RZJ64" s="144"/>
      <c r="RZK64" s="144"/>
      <c r="RZL64" s="144"/>
      <c r="RZM64" s="144"/>
      <c r="RZN64" s="144"/>
      <c r="RZO64" s="144"/>
      <c r="RZP64" s="144"/>
      <c r="RZQ64" s="144"/>
      <c r="RZR64" s="144"/>
      <c r="RZS64" s="144"/>
      <c r="RZT64" s="144"/>
      <c r="RZU64" s="144"/>
      <c r="RZV64" s="144"/>
      <c r="RZW64" s="144"/>
      <c r="RZX64" s="144"/>
      <c r="RZY64" s="144"/>
      <c r="RZZ64" s="144"/>
      <c r="SAA64" s="144"/>
      <c r="SAB64" s="144"/>
      <c r="SAC64" s="144"/>
      <c r="SAD64" s="144"/>
      <c r="SAE64" s="144"/>
      <c r="SAF64" s="144"/>
      <c r="SAG64" s="144"/>
      <c r="SAH64" s="144"/>
      <c r="SAI64" s="144"/>
      <c r="SAJ64" s="144"/>
      <c r="SAK64" s="144"/>
      <c r="SAL64" s="144"/>
      <c r="SAM64" s="144"/>
      <c r="SAN64" s="144"/>
      <c r="SAO64" s="144"/>
      <c r="SAP64" s="144"/>
      <c r="SAQ64" s="144"/>
      <c r="SAR64" s="144"/>
      <c r="SAS64" s="144"/>
      <c r="SAT64" s="144"/>
      <c r="SAU64" s="144"/>
      <c r="SAV64" s="144"/>
      <c r="SAW64" s="144"/>
      <c r="SAX64" s="144"/>
      <c r="SAY64" s="144"/>
      <c r="SAZ64" s="144"/>
      <c r="SBA64" s="144"/>
      <c r="SBB64" s="144"/>
      <c r="SBC64" s="144"/>
      <c r="SBD64" s="144"/>
      <c r="SBE64" s="144"/>
      <c r="SBF64" s="144"/>
      <c r="SBG64" s="144"/>
      <c r="SBH64" s="144"/>
      <c r="SBI64" s="144"/>
      <c r="SBJ64" s="144"/>
      <c r="SBK64" s="144"/>
      <c r="SBL64" s="144"/>
      <c r="SBM64" s="144"/>
      <c r="SBN64" s="144"/>
      <c r="SBO64" s="144"/>
      <c r="SBP64" s="144"/>
      <c r="SBQ64" s="144"/>
      <c r="SBR64" s="144"/>
      <c r="SBS64" s="144"/>
      <c r="SBT64" s="144"/>
      <c r="SBU64" s="144"/>
      <c r="SBV64" s="144"/>
      <c r="SBW64" s="144"/>
      <c r="SBX64" s="144"/>
      <c r="SBY64" s="144"/>
      <c r="SBZ64" s="144"/>
      <c r="SCA64" s="144"/>
      <c r="SCB64" s="144"/>
      <c r="SCC64" s="144"/>
      <c r="SCD64" s="144"/>
      <c r="SCE64" s="144"/>
      <c r="SCF64" s="144"/>
      <c r="SCG64" s="144"/>
      <c r="SCH64" s="144"/>
      <c r="SCI64" s="144"/>
      <c r="SCJ64" s="144"/>
      <c r="SCK64" s="144"/>
      <c r="SCL64" s="144"/>
      <c r="SCM64" s="144"/>
      <c r="SCN64" s="144"/>
      <c r="SCO64" s="144"/>
      <c r="SCP64" s="144"/>
      <c r="SCQ64" s="144"/>
      <c r="SCR64" s="144"/>
      <c r="SCS64" s="144"/>
      <c r="SCT64" s="144"/>
      <c r="SCU64" s="144"/>
      <c r="SCV64" s="144"/>
      <c r="SCW64" s="144"/>
      <c r="SCX64" s="144"/>
      <c r="SCY64" s="144"/>
      <c r="SCZ64" s="144"/>
      <c r="SDA64" s="144"/>
      <c r="SDB64" s="144"/>
      <c r="SDC64" s="144"/>
      <c r="SDD64" s="144"/>
      <c r="SDE64" s="144"/>
      <c r="SDF64" s="144"/>
      <c r="SDG64" s="144"/>
      <c r="SDH64" s="144"/>
      <c r="SDI64" s="144"/>
      <c r="SDJ64" s="144"/>
      <c r="SDK64" s="144"/>
      <c r="SDL64" s="144"/>
      <c r="SDM64" s="144"/>
      <c r="SDN64" s="144"/>
      <c r="SDO64" s="144"/>
      <c r="SDP64" s="144"/>
      <c r="SDQ64" s="144"/>
      <c r="SDR64" s="144"/>
      <c r="SDS64" s="144"/>
      <c r="SDT64" s="144"/>
      <c r="SDU64" s="144"/>
      <c r="SDV64" s="144"/>
      <c r="SDW64" s="144"/>
      <c r="SDX64" s="144"/>
      <c r="SDY64" s="144"/>
      <c r="SDZ64" s="144"/>
      <c r="SEA64" s="144"/>
      <c r="SEB64" s="144"/>
      <c r="SEC64" s="144"/>
      <c r="SED64" s="144"/>
      <c r="SEE64" s="144"/>
      <c r="SEF64" s="144"/>
      <c r="SEG64" s="144"/>
      <c r="SEH64" s="144"/>
      <c r="SEI64" s="144"/>
      <c r="SEJ64" s="144"/>
      <c r="SEK64" s="144"/>
      <c r="SEL64" s="144"/>
      <c r="SEM64" s="144"/>
      <c r="SEN64" s="144"/>
      <c r="SEO64" s="144"/>
      <c r="SEP64" s="144"/>
      <c r="SEQ64" s="144"/>
      <c r="SER64" s="144"/>
      <c r="SES64" s="144"/>
      <c r="SET64" s="144"/>
      <c r="SEU64" s="144"/>
      <c r="SEV64" s="144"/>
      <c r="SEW64" s="144"/>
      <c r="SEX64" s="144"/>
      <c r="SEY64" s="144"/>
      <c r="SEZ64" s="144"/>
      <c r="SFA64" s="144"/>
      <c r="SFB64" s="144"/>
      <c r="SFC64" s="144"/>
      <c r="SFD64" s="144"/>
      <c r="SFE64" s="144"/>
      <c r="SFF64" s="144"/>
      <c r="SFG64" s="144"/>
      <c r="SFH64" s="144"/>
      <c r="SFI64" s="144"/>
      <c r="SFJ64" s="144"/>
      <c r="SFK64" s="144"/>
      <c r="SFL64" s="144"/>
      <c r="SFM64" s="144"/>
      <c r="SFN64" s="144"/>
      <c r="SFO64" s="144"/>
      <c r="SFP64" s="144"/>
      <c r="SFQ64" s="144"/>
      <c r="SFR64" s="144"/>
      <c r="SFS64" s="144"/>
      <c r="SFT64" s="144"/>
      <c r="SFU64" s="144"/>
      <c r="SFV64" s="144"/>
      <c r="SFW64" s="144"/>
      <c r="SFX64" s="144"/>
      <c r="SFY64" s="144"/>
      <c r="SFZ64" s="144"/>
      <c r="SGA64" s="144"/>
      <c r="SGB64" s="144"/>
      <c r="SGC64" s="144"/>
      <c r="SGD64" s="144"/>
      <c r="SGE64" s="144"/>
      <c r="SGF64" s="144"/>
      <c r="SGG64" s="144"/>
      <c r="SGH64" s="144"/>
      <c r="SGI64" s="144"/>
      <c r="SGJ64" s="144"/>
      <c r="SGK64" s="144"/>
      <c r="SGL64" s="144"/>
      <c r="SGM64" s="144"/>
      <c r="SGN64" s="144"/>
      <c r="SGO64" s="144"/>
      <c r="SGP64" s="144"/>
      <c r="SGQ64" s="144"/>
      <c r="SGR64" s="144"/>
      <c r="SGS64" s="144"/>
      <c r="SGT64" s="144"/>
      <c r="SGU64" s="144"/>
      <c r="SGV64" s="144"/>
      <c r="SGW64" s="144"/>
      <c r="SGX64" s="144"/>
      <c r="SGY64" s="144"/>
      <c r="SGZ64" s="144"/>
      <c r="SHA64" s="144"/>
      <c r="SHB64" s="144"/>
      <c r="SHC64" s="144"/>
      <c r="SHD64" s="144"/>
      <c r="SHE64" s="144"/>
      <c r="SHF64" s="144"/>
      <c r="SHG64" s="144"/>
      <c r="SHH64" s="144"/>
      <c r="SHI64" s="144"/>
      <c r="SHJ64" s="144"/>
      <c r="SHK64" s="144"/>
      <c r="SHL64" s="144"/>
      <c r="SHM64" s="144"/>
      <c r="SHN64" s="144"/>
      <c r="SHO64" s="144"/>
      <c r="SHP64" s="144"/>
      <c r="SHQ64" s="144"/>
      <c r="SHR64" s="144"/>
      <c r="SHS64" s="144"/>
      <c r="SHT64" s="144"/>
      <c r="SHU64" s="144"/>
      <c r="SHV64" s="144"/>
      <c r="SHW64" s="144"/>
      <c r="SHX64" s="144"/>
      <c r="SHY64" s="144"/>
      <c r="SHZ64" s="144"/>
      <c r="SIA64" s="144"/>
      <c r="SIB64" s="144"/>
      <c r="SIC64" s="144"/>
      <c r="SID64" s="144"/>
      <c r="SIE64" s="144"/>
      <c r="SIF64" s="144"/>
      <c r="SIG64" s="144"/>
      <c r="SIH64" s="144"/>
      <c r="SII64" s="144"/>
      <c r="SIJ64" s="144"/>
      <c r="SIK64" s="144"/>
      <c r="SIL64" s="144"/>
      <c r="SIM64" s="144"/>
      <c r="SIN64" s="144"/>
      <c r="SIO64" s="144"/>
      <c r="SIP64" s="144"/>
      <c r="SIQ64" s="144"/>
      <c r="SIR64" s="144"/>
      <c r="SIS64" s="144"/>
      <c r="SIT64" s="144"/>
      <c r="SIU64" s="144"/>
      <c r="SIV64" s="144"/>
      <c r="SIW64" s="144"/>
      <c r="SIX64" s="144"/>
      <c r="SIY64" s="144"/>
      <c r="SIZ64" s="144"/>
      <c r="SJA64" s="144"/>
      <c r="SJB64" s="144"/>
      <c r="SJC64" s="144"/>
      <c r="SJD64" s="144"/>
      <c r="SJE64" s="144"/>
      <c r="SJF64" s="144"/>
      <c r="SJG64" s="144"/>
      <c r="SJH64" s="144"/>
      <c r="SJI64" s="144"/>
      <c r="SJJ64" s="144"/>
      <c r="SJK64" s="144"/>
      <c r="SJL64" s="144"/>
      <c r="SJM64" s="144"/>
      <c r="SJN64" s="144"/>
      <c r="SJO64" s="144"/>
      <c r="SJP64" s="144"/>
      <c r="SJQ64" s="144"/>
      <c r="SJR64" s="144"/>
      <c r="SJS64" s="144"/>
      <c r="SJT64" s="144"/>
      <c r="SJU64" s="144"/>
      <c r="SJV64" s="144"/>
      <c r="SJW64" s="144"/>
      <c r="SJX64" s="144"/>
      <c r="SJY64" s="144"/>
      <c r="SJZ64" s="144"/>
      <c r="SKA64" s="144"/>
      <c r="SKB64" s="144"/>
      <c r="SKC64" s="144"/>
      <c r="SKD64" s="144"/>
      <c r="SKE64" s="144"/>
      <c r="SKF64" s="144"/>
      <c r="SKG64" s="144"/>
      <c r="SKH64" s="144"/>
      <c r="SKI64" s="144"/>
      <c r="SKJ64" s="144"/>
      <c r="SKK64" s="144"/>
      <c r="SKL64" s="144"/>
      <c r="SKM64" s="144"/>
      <c r="SKN64" s="144"/>
      <c r="SKO64" s="144"/>
      <c r="SKP64" s="144"/>
      <c r="SKQ64" s="144"/>
      <c r="SKR64" s="144"/>
      <c r="SKS64" s="144"/>
      <c r="SKT64" s="144"/>
      <c r="SKU64" s="144"/>
      <c r="SKV64" s="144"/>
      <c r="SKW64" s="144"/>
      <c r="SKX64" s="144"/>
      <c r="SKY64" s="144"/>
      <c r="SKZ64" s="144"/>
      <c r="SLA64" s="144"/>
      <c r="SLB64" s="144"/>
      <c r="SLC64" s="144"/>
      <c r="SLD64" s="144"/>
      <c r="SLE64" s="144"/>
      <c r="SLF64" s="144"/>
      <c r="SLG64" s="144"/>
      <c r="SLH64" s="144"/>
      <c r="SLI64" s="144"/>
      <c r="SLJ64" s="144"/>
      <c r="SLK64" s="144"/>
      <c r="SLL64" s="144"/>
      <c r="SLM64" s="144"/>
      <c r="SLN64" s="144"/>
      <c r="SLO64" s="144"/>
      <c r="SLP64" s="144"/>
      <c r="SLQ64" s="144"/>
      <c r="SLR64" s="144"/>
      <c r="SLS64" s="144"/>
      <c r="SLT64" s="144"/>
      <c r="SLU64" s="144"/>
      <c r="SLV64" s="144"/>
      <c r="SLW64" s="144"/>
      <c r="SLX64" s="144"/>
      <c r="SLY64" s="144"/>
      <c r="SLZ64" s="144"/>
      <c r="SMA64" s="144"/>
      <c r="SMB64" s="144"/>
      <c r="SMC64" s="144"/>
      <c r="SMD64" s="144"/>
      <c r="SME64" s="144"/>
      <c r="SMF64" s="144"/>
      <c r="SMG64" s="144"/>
      <c r="SMH64" s="144"/>
      <c r="SMI64" s="144"/>
      <c r="SMJ64" s="144"/>
      <c r="SMK64" s="144"/>
      <c r="SML64" s="144"/>
      <c r="SMM64" s="144"/>
      <c r="SMN64" s="144"/>
      <c r="SMO64" s="144"/>
      <c r="SMP64" s="144"/>
      <c r="SMQ64" s="144"/>
      <c r="SMR64" s="144"/>
      <c r="SMS64" s="144"/>
      <c r="SMT64" s="144"/>
      <c r="SMU64" s="144"/>
      <c r="SMV64" s="144"/>
      <c r="SMW64" s="144"/>
      <c r="SMX64" s="144"/>
      <c r="SMY64" s="144"/>
      <c r="SMZ64" s="144"/>
      <c r="SNA64" s="144"/>
      <c r="SNB64" s="144"/>
      <c r="SNC64" s="144"/>
      <c r="SND64" s="144"/>
      <c r="SNE64" s="144"/>
      <c r="SNF64" s="144"/>
      <c r="SNG64" s="144"/>
      <c r="SNH64" s="144"/>
      <c r="SNI64" s="144"/>
      <c r="SNJ64" s="144"/>
      <c r="SNK64" s="144"/>
      <c r="SNL64" s="144"/>
      <c r="SNM64" s="144"/>
      <c r="SNN64" s="144"/>
      <c r="SNO64" s="144"/>
      <c r="SNP64" s="144"/>
      <c r="SNQ64" s="144"/>
      <c r="SNR64" s="144"/>
      <c r="SNS64" s="144"/>
      <c r="SNT64" s="144"/>
      <c r="SNU64" s="144"/>
      <c r="SNV64" s="144"/>
      <c r="SNW64" s="144"/>
      <c r="SNX64" s="144"/>
      <c r="SNY64" s="144"/>
      <c r="SNZ64" s="144"/>
      <c r="SOA64" s="144"/>
      <c r="SOB64" s="144"/>
      <c r="SOC64" s="144"/>
      <c r="SOD64" s="144"/>
      <c r="SOE64" s="144"/>
      <c r="SOF64" s="144"/>
      <c r="SOG64" s="144"/>
      <c r="SOH64" s="144"/>
      <c r="SOI64" s="144"/>
      <c r="SOJ64" s="144"/>
      <c r="SOK64" s="144"/>
      <c r="SOL64" s="144"/>
      <c r="SOM64" s="144"/>
      <c r="SON64" s="144"/>
      <c r="SOO64" s="144"/>
      <c r="SOP64" s="144"/>
      <c r="SOQ64" s="144"/>
      <c r="SOR64" s="144"/>
      <c r="SOS64" s="144"/>
      <c r="SOT64" s="144"/>
      <c r="SOU64" s="144"/>
      <c r="SOV64" s="144"/>
      <c r="SOW64" s="144"/>
      <c r="SOX64" s="144"/>
      <c r="SOY64" s="144"/>
      <c r="SOZ64" s="144"/>
      <c r="SPA64" s="144"/>
      <c r="SPB64" s="144"/>
      <c r="SPC64" s="144"/>
      <c r="SPD64" s="144"/>
      <c r="SPE64" s="144"/>
      <c r="SPF64" s="144"/>
      <c r="SPG64" s="144"/>
      <c r="SPH64" s="144"/>
      <c r="SPI64" s="144"/>
      <c r="SPJ64" s="144"/>
      <c r="SPK64" s="144"/>
      <c r="SPL64" s="144"/>
      <c r="SPM64" s="144"/>
      <c r="SPN64" s="144"/>
      <c r="SPO64" s="144"/>
      <c r="SPP64" s="144"/>
      <c r="SPQ64" s="144"/>
      <c r="SPR64" s="144"/>
      <c r="SPS64" s="144"/>
      <c r="SPT64" s="144"/>
      <c r="SPU64" s="144"/>
      <c r="SPV64" s="144"/>
      <c r="SPW64" s="144"/>
      <c r="SPX64" s="144"/>
      <c r="SPY64" s="144"/>
      <c r="SPZ64" s="144"/>
      <c r="SQA64" s="144"/>
      <c r="SQB64" s="144"/>
      <c r="SQC64" s="144"/>
      <c r="SQD64" s="144"/>
      <c r="SQE64" s="144"/>
      <c r="SQF64" s="144"/>
      <c r="SQG64" s="144"/>
      <c r="SQH64" s="144"/>
      <c r="SQI64" s="144"/>
      <c r="SQJ64" s="144"/>
      <c r="SQK64" s="144"/>
      <c r="SQL64" s="144"/>
      <c r="SQM64" s="144"/>
      <c r="SQN64" s="144"/>
      <c r="SQO64" s="144"/>
      <c r="SQP64" s="144"/>
      <c r="SQQ64" s="144"/>
      <c r="SQR64" s="144"/>
      <c r="SQS64" s="144"/>
      <c r="SQT64" s="144"/>
      <c r="SQU64" s="144"/>
      <c r="SQV64" s="144"/>
      <c r="SQW64" s="144"/>
      <c r="SQX64" s="144"/>
      <c r="SQY64" s="144"/>
      <c r="SQZ64" s="144"/>
      <c r="SRA64" s="144"/>
      <c r="SRB64" s="144"/>
      <c r="SRC64" s="144"/>
      <c r="SRD64" s="144"/>
      <c r="SRE64" s="144"/>
      <c r="SRF64" s="144"/>
      <c r="SRG64" s="144"/>
      <c r="SRH64" s="144"/>
      <c r="SRI64" s="144"/>
      <c r="SRJ64" s="144"/>
      <c r="SRK64" s="144"/>
      <c r="SRL64" s="144"/>
      <c r="SRM64" s="144"/>
      <c r="SRN64" s="144"/>
      <c r="SRO64" s="144"/>
      <c r="SRP64" s="144"/>
      <c r="SRQ64" s="144"/>
      <c r="SRR64" s="144"/>
      <c r="SRS64" s="144"/>
      <c r="SRT64" s="144"/>
      <c r="SRU64" s="144"/>
      <c r="SRV64" s="144"/>
      <c r="SRW64" s="144"/>
      <c r="SRX64" s="144"/>
      <c r="SRY64" s="144"/>
      <c r="SRZ64" s="144"/>
      <c r="SSA64" s="144"/>
      <c r="SSB64" s="144"/>
      <c r="SSC64" s="144"/>
      <c r="SSD64" s="144"/>
      <c r="SSE64" s="144"/>
      <c r="SSF64" s="144"/>
      <c r="SSG64" s="144"/>
      <c r="SSH64" s="144"/>
      <c r="SSI64" s="144"/>
      <c r="SSJ64" s="144"/>
      <c r="SSK64" s="144"/>
      <c r="SSL64" s="144"/>
      <c r="SSM64" s="144"/>
      <c r="SSN64" s="144"/>
      <c r="SSO64" s="144"/>
      <c r="SSP64" s="144"/>
      <c r="SSQ64" s="144"/>
      <c r="SSR64" s="144"/>
      <c r="SSS64" s="144"/>
      <c r="SST64" s="144"/>
      <c r="SSU64" s="144"/>
      <c r="SSV64" s="144"/>
      <c r="SSW64" s="144"/>
      <c r="SSX64" s="144"/>
      <c r="SSY64" s="144"/>
      <c r="SSZ64" s="144"/>
      <c r="STA64" s="144"/>
      <c r="STB64" s="144"/>
      <c r="STC64" s="144"/>
      <c r="STD64" s="144"/>
      <c r="STE64" s="144"/>
      <c r="STF64" s="144"/>
      <c r="STG64" s="144"/>
      <c r="STH64" s="144"/>
      <c r="STI64" s="144"/>
      <c r="STJ64" s="144"/>
      <c r="STK64" s="144"/>
      <c r="STL64" s="144"/>
      <c r="STM64" s="144"/>
      <c r="STN64" s="144"/>
      <c r="STO64" s="144"/>
      <c r="STP64" s="144"/>
      <c r="STQ64" s="144"/>
      <c r="STR64" s="144"/>
      <c r="STS64" s="144"/>
      <c r="STT64" s="144"/>
      <c r="STU64" s="144"/>
      <c r="STV64" s="144"/>
      <c r="STW64" s="144"/>
      <c r="STX64" s="144"/>
      <c r="STY64" s="144"/>
      <c r="STZ64" s="144"/>
      <c r="SUA64" s="144"/>
      <c r="SUB64" s="144"/>
      <c r="SUC64" s="144"/>
      <c r="SUD64" s="144"/>
      <c r="SUE64" s="144"/>
      <c r="SUF64" s="144"/>
      <c r="SUG64" s="144"/>
      <c r="SUH64" s="144"/>
      <c r="SUI64" s="144"/>
      <c r="SUJ64" s="144"/>
      <c r="SUK64" s="144"/>
      <c r="SUL64" s="144"/>
      <c r="SUM64" s="144"/>
      <c r="SUN64" s="144"/>
      <c r="SUO64" s="144"/>
      <c r="SUP64" s="144"/>
      <c r="SUQ64" s="144"/>
      <c r="SUR64" s="144"/>
      <c r="SUS64" s="144"/>
      <c r="SUT64" s="144"/>
      <c r="SUU64" s="144"/>
      <c r="SUV64" s="144"/>
      <c r="SUW64" s="144"/>
      <c r="SUX64" s="144"/>
      <c r="SUY64" s="144"/>
      <c r="SUZ64" s="144"/>
      <c r="SVA64" s="144"/>
      <c r="SVB64" s="144"/>
      <c r="SVC64" s="144"/>
      <c r="SVD64" s="144"/>
      <c r="SVE64" s="144"/>
      <c r="SVF64" s="144"/>
      <c r="SVG64" s="144"/>
      <c r="SVH64" s="144"/>
      <c r="SVI64" s="144"/>
      <c r="SVJ64" s="144"/>
      <c r="SVK64" s="144"/>
      <c r="SVL64" s="144"/>
      <c r="SVM64" s="144"/>
      <c r="SVN64" s="144"/>
      <c r="SVO64" s="144"/>
      <c r="SVP64" s="144"/>
      <c r="SVQ64" s="144"/>
      <c r="SVR64" s="144"/>
      <c r="SVS64" s="144"/>
      <c r="SVT64" s="144"/>
      <c r="SVU64" s="144"/>
      <c r="SVV64" s="144"/>
      <c r="SVW64" s="144"/>
      <c r="SVX64" s="144"/>
      <c r="SVY64" s="144"/>
      <c r="SVZ64" s="144"/>
      <c r="SWA64" s="144"/>
      <c r="SWB64" s="144"/>
      <c r="SWC64" s="144"/>
      <c r="SWD64" s="144"/>
      <c r="SWE64" s="144"/>
      <c r="SWF64" s="144"/>
      <c r="SWG64" s="144"/>
      <c r="SWH64" s="144"/>
      <c r="SWI64" s="144"/>
      <c r="SWJ64" s="144"/>
      <c r="SWK64" s="144"/>
      <c r="SWL64" s="144"/>
      <c r="SWM64" s="144"/>
      <c r="SWN64" s="144"/>
      <c r="SWO64" s="144"/>
      <c r="SWP64" s="144"/>
      <c r="SWQ64" s="144"/>
      <c r="SWR64" s="144"/>
      <c r="SWS64" s="144"/>
      <c r="SWT64" s="144"/>
      <c r="SWU64" s="144"/>
      <c r="SWV64" s="144"/>
      <c r="SWW64" s="144"/>
      <c r="SWX64" s="144"/>
      <c r="SWY64" s="144"/>
      <c r="SWZ64" s="144"/>
      <c r="SXA64" s="144"/>
      <c r="SXB64" s="144"/>
      <c r="SXC64" s="144"/>
      <c r="SXD64" s="144"/>
      <c r="SXE64" s="144"/>
      <c r="SXF64" s="144"/>
      <c r="SXG64" s="144"/>
      <c r="SXH64" s="144"/>
      <c r="SXI64" s="144"/>
      <c r="SXJ64" s="144"/>
      <c r="SXK64" s="144"/>
      <c r="SXL64" s="144"/>
      <c r="SXM64" s="144"/>
      <c r="SXN64" s="144"/>
      <c r="SXO64" s="144"/>
      <c r="SXP64" s="144"/>
      <c r="SXQ64" s="144"/>
      <c r="SXR64" s="144"/>
      <c r="SXS64" s="144"/>
      <c r="SXT64" s="144"/>
      <c r="SXU64" s="144"/>
      <c r="SXV64" s="144"/>
      <c r="SXW64" s="144"/>
      <c r="SXX64" s="144"/>
      <c r="SXY64" s="144"/>
      <c r="SXZ64" s="144"/>
      <c r="SYA64" s="144"/>
      <c r="SYB64" s="144"/>
      <c r="SYC64" s="144"/>
      <c r="SYD64" s="144"/>
      <c r="SYE64" s="144"/>
      <c r="SYF64" s="144"/>
      <c r="SYG64" s="144"/>
      <c r="SYH64" s="144"/>
      <c r="SYI64" s="144"/>
      <c r="SYJ64" s="144"/>
      <c r="SYK64" s="144"/>
      <c r="SYL64" s="144"/>
      <c r="SYM64" s="144"/>
      <c r="SYN64" s="144"/>
      <c r="SYO64" s="144"/>
      <c r="SYP64" s="144"/>
      <c r="SYQ64" s="144"/>
      <c r="SYR64" s="144"/>
      <c r="SYS64" s="144"/>
      <c r="SYT64" s="144"/>
      <c r="SYU64" s="144"/>
      <c r="SYV64" s="144"/>
      <c r="SYW64" s="144"/>
      <c r="SYX64" s="144"/>
      <c r="SYY64" s="144"/>
      <c r="SYZ64" s="144"/>
      <c r="SZA64" s="144"/>
      <c r="SZB64" s="144"/>
      <c r="SZC64" s="144"/>
      <c r="SZD64" s="144"/>
      <c r="SZE64" s="144"/>
      <c r="SZF64" s="144"/>
      <c r="SZG64" s="144"/>
      <c r="SZH64" s="144"/>
      <c r="SZI64" s="144"/>
      <c r="SZJ64" s="144"/>
      <c r="SZK64" s="144"/>
      <c r="SZL64" s="144"/>
      <c r="SZM64" s="144"/>
      <c r="SZN64" s="144"/>
      <c r="SZO64" s="144"/>
      <c r="SZP64" s="144"/>
      <c r="SZQ64" s="144"/>
      <c r="SZR64" s="144"/>
      <c r="SZS64" s="144"/>
      <c r="SZT64" s="144"/>
      <c r="SZU64" s="144"/>
      <c r="SZV64" s="144"/>
      <c r="SZW64" s="144"/>
      <c r="SZX64" s="144"/>
      <c r="SZY64" s="144"/>
      <c r="SZZ64" s="144"/>
      <c r="TAA64" s="144"/>
      <c r="TAB64" s="144"/>
      <c r="TAC64" s="144"/>
      <c r="TAD64" s="144"/>
      <c r="TAE64" s="144"/>
      <c r="TAF64" s="144"/>
      <c r="TAG64" s="144"/>
      <c r="TAH64" s="144"/>
      <c r="TAI64" s="144"/>
      <c r="TAJ64" s="144"/>
      <c r="TAK64" s="144"/>
      <c r="TAL64" s="144"/>
      <c r="TAM64" s="144"/>
      <c r="TAN64" s="144"/>
      <c r="TAO64" s="144"/>
      <c r="TAP64" s="144"/>
      <c r="TAQ64" s="144"/>
      <c r="TAR64" s="144"/>
      <c r="TAS64" s="144"/>
      <c r="TAT64" s="144"/>
      <c r="TAU64" s="144"/>
      <c r="TAV64" s="144"/>
      <c r="TAW64" s="144"/>
      <c r="TAX64" s="144"/>
      <c r="TAY64" s="144"/>
      <c r="TAZ64" s="144"/>
      <c r="TBA64" s="144"/>
      <c r="TBB64" s="144"/>
      <c r="TBC64" s="144"/>
      <c r="TBD64" s="144"/>
      <c r="TBE64" s="144"/>
      <c r="TBF64" s="144"/>
      <c r="TBG64" s="144"/>
      <c r="TBH64" s="144"/>
      <c r="TBI64" s="144"/>
      <c r="TBJ64" s="144"/>
      <c r="TBK64" s="144"/>
      <c r="TBL64" s="144"/>
      <c r="TBM64" s="144"/>
      <c r="TBN64" s="144"/>
      <c r="TBO64" s="144"/>
      <c r="TBP64" s="144"/>
      <c r="TBQ64" s="144"/>
      <c r="TBR64" s="144"/>
      <c r="TBS64" s="144"/>
      <c r="TBT64" s="144"/>
      <c r="TBU64" s="144"/>
      <c r="TBV64" s="144"/>
      <c r="TBW64" s="144"/>
      <c r="TBX64" s="144"/>
      <c r="TBY64" s="144"/>
      <c r="TBZ64" s="144"/>
      <c r="TCA64" s="144"/>
      <c r="TCB64" s="144"/>
      <c r="TCC64" s="144"/>
      <c r="TCD64" s="144"/>
      <c r="TCE64" s="144"/>
      <c r="TCF64" s="144"/>
      <c r="TCG64" s="144"/>
      <c r="TCH64" s="144"/>
      <c r="TCI64" s="144"/>
      <c r="TCJ64" s="144"/>
      <c r="TCK64" s="144"/>
      <c r="TCL64" s="144"/>
      <c r="TCM64" s="144"/>
      <c r="TCN64" s="144"/>
      <c r="TCO64" s="144"/>
      <c r="TCP64" s="144"/>
      <c r="TCQ64" s="144"/>
      <c r="TCR64" s="144"/>
      <c r="TCS64" s="144"/>
      <c r="TCT64" s="144"/>
      <c r="TCU64" s="144"/>
      <c r="TCV64" s="144"/>
      <c r="TCW64" s="144"/>
      <c r="TCX64" s="144"/>
      <c r="TCY64" s="144"/>
      <c r="TCZ64" s="144"/>
      <c r="TDA64" s="144"/>
      <c r="TDB64" s="144"/>
      <c r="TDC64" s="144"/>
      <c r="TDD64" s="144"/>
      <c r="TDE64" s="144"/>
      <c r="TDF64" s="144"/>
      <c r="TDG64" s="144"/>
      <c r="TDH64" s="144"/>
      <c r="TDI64" s="144"/>
      <c r="TDJ64" s="144"/>
      <c r="TDK64" s="144"/>
      <c r="TDL64" s="144"/>
      <c r="TDM64" s="144"/>
      <c r="TDN64" s="144"/>
      <c r="TDO64" s="144"/>
      <c r="TDP64" s="144"/>
      <c r="TDQ64" s="144"/>
      <c r="TDR64" s="144"/>
      <c r="TDS64" s="144"/>
      <c r="TDT64" s="144"/>
      <c r="TDU64" s="144"/>
      <c r="TDV64" s="144"/>
      <c r="TDW64" s="144"/>
      <c r="TDX64" s="144"/>
      <c r="TDY64" s="144"/>
      <c r="TDZ64" s="144"/>
      <c r="TEA64" s="144"/>
      <c r="TEB64" s="144"/>
      <c r="TEC64" s="144"/>
      <c r="TED64" s="144"/>
      <c r="TEE64" s="144"/>
      <c r="TEF64" s="144"/>
      <c r="TEG64" s="144"/>
      <c r="TEH64" s="144"/>
      <c r="TEI64" s="144"/>
      <c r="TEJ64" s="144"/>
      <c r="TEK64" s="144"/>
      <c r="TEL64" s="144"/>
      <c r="TEM64" s="144"/>
      <c r="TEN64" s="144"/>
      <c r="TEO64" s="144"/>
      <c r="TEP64" s="144"/>
      <c r="TEQ64" s="144"/>
      <c r="TER64" s="144"/>
      <c r="TES64" s="144"/>
      <c r="TET64" s="144"/>
      <c r="TEU64" s="144"/>
      <c r="TEV64" s="144"/>
      <c r="TEW64" s="144"/>
      <c r="TEX64" s="144"/>
      <c r="TEY64" s="144"/>
      <c r="TEZ64" s="144"/>
      <c r="TFA64" s="144"/>
      <c r="TFB64" s="144"/>
      <c r="TFC64" s="144"/>
      <c r="TFD64" s="144"/>
      <c r="TFE64" s="144"/>
      <c r="TFF64" s="144"/>
      <c r="TFG64" s="144"/>
      <c r="TFH64" s="144"/>
      <c r="TFI64" s="144"/>
      <c r="TFJ64" s="144"/>
      <c r="TFK64" s="144"/>
      <c r="TFL64" s="144"/>
      <c r="TFM64" s="144"/>
      <c r="TFN64" s="144"/>
      <c r="TFO64" s="144"/>
      <c r="TFP64" s="144"/>
      <c r="TFQ64" s="144"/>
      <c r="TFR64" s="144"/>
      <c r="TFS64" s="144"/>
      <c r="TFT64" s="144"/>
      <c r="TFU64" s="144"/>
      <c r="TFV64" s="144"/>
      <c r="TFW64" s="144"/>
      <c r="TFX64" s="144"/>
      <c r="TFY64" s="144"/>
      <c r="TFZ64" s="144"/>
      <c r="TGA64" s="144"/>
      <c r="TGB64" s="144"/>
      <c r="TGC64" s="144"/>
      <c r="TGD64" s="144"/>
      <c r="TGE64" s="144"/>
      <c r="TGF64" s="144"/>
      <c r="TGG64" s="144"/>
      <c r="TGH64" s="144"/>
      <c r="TGI64" s="144"/>
      <c r="TGJ64" s="144"/>
      <c r="TGK64" s="144"/>
      <c r="TGL64" s="144"/>
      <c r="TGM64" s="144"/>
      <c r="TGN64" s="144"/>
      <c r="TGO64" s="144"/>
      <c r="TGP64" s="144"/>
      <c r="TGQ64" s="144"/>
      <c r="TGR64" s="144"/>
      <c r="TGS64" s="144"/>
      <c r="TGT64" s="144"/>
      <c r="TGU64" s="144"/>
      <c r="TGV64" s="144"/>
      <c r="TGW64" s="144"/>
      <c r="TGX64" s="144"/>
      <c r="TGY64" s="144"/>
      <c r="TGZ64" s="144"/>
      <c r="THA64" s="144"/>
      <c r="THB64" s="144"/>
      <c r="THC64" s="144"/>
      <c r="THD64" s="144"/>
      <c r="THE64" s="144"/>
      <c r="THF64" s="144"/>
      <c r="THG64" s="144"/>
      <c r="THH64" s="144"/>
      <c r="THI64" s="144"/>
      <c r="THJ64" s="144"/>
      <c r="THK64" s="144"/>
      <c r="THL64" s="144"/>
      <c r="THM64" s="144"/>
      <c r="THN64" s="144"/>
      <c r="THO64" s="144"/>
      <c r="THP64" s="144"/>
      <c r="THQ64" s="144"/>
      <c r="THR64" s="144"/>
      <c r="THS64" s="144"/>
      <c r="THT64" s="144"/>
      <c r="THU64" s="144"/>
      <c r="THV64" s="144"/>
      <c r="THW64" s="144"/>
      <c r="THX64" s="144"/>
      <c r="THY64" s="144"/>
      <c r="THZ64" s="144"/>
      <c r="TIA64" s="144"/>
      <c r="TIB64" s="144"/>
      <c r="TIC64" s="144"/>
      <c r="TID64" s="144"/>
      <c r="TIE64" s="144"/>
      <c r="TIF64" s="144"/>
      <c r="TIG64" s="144"/>
      <c r="TIH64" s="144"/>
      <c r="TII64" s="144"/>
      <c r="TIJ64" s="144"/>
      <c r="TIK64" s="144"/>
      <c r="TIL64" s="144"/>
      <c r="TIM64" s="144"/>
      <c r="TIN64" s="144"/>
      <c r="TIO64" s="144"/>
      <c r="TIP64" s="144"/>
      <c r="TIQ64" s="144"/>
      <c r="TIR64" s="144"/>
      <c r="TIS64" s="144"/>
      <c r="TIT64" s="144"/>
      <c r="TIU64" s="144"/>
      <c r="TIV64" s="144"/>
      <c r="TIW64" s="144"/>
      <c r="TIX64" s="144"/>
      <c r="TIY64" s="144"/>
      <c r="TIZ64" s="144"/>
      <c r="TJA64" s="144"/>
      <c r="TJB64" s="144"/>
      <c r="TJC64" s="144"/>
      <c r="TJD64" s="144"/>
      <c r="TJE64" s="144"/>
      <c r="TJF64" s="144"/>
      <c r="TJG64" s="144"/>
      <c r="TJH64" s="144"/>
      <c r="TJI64" s="144"/>
      <c r="TJJ64" s="144"/>
      <c r="TJK64" s="144"/>
      <c r="TJL64" s="144"/>
      <c r="TJM64" s="144"/>
      <c r="TJN64" s="144"/>
      <c r="TJO64" s="144"/>
      <c r="TJP64" s="144"/>
      <c r="TJQ64" s="144"/>
      <c r="TJR64" s="144"/>
      <c r="TJS64" s="144"/>
      <c r="TJT64" s="144"/>
      <c r="TJU64" s="144"/>
      <c r="TJV64" s="144"/>
      <c r="TJW64" s="144"/>
      <c r="TJX64" s="144"/>
      <c r="TJY64" s="144"/>
      <c r="TJZ64" s="144"/>
      <c r="TKA64" s="144"/>
      <c r="TKB64" s="144"/>
      <c r="TKC64" s="144"/>
      <c r="TKD64" s="144"/>
      <c r="TKE64" s="144"/>
      <c r="TKF64" s="144"/>
      <c r="TKG64" s="144"/>
      <c r="TKH64" s="144"/>
      <c r="TKI64" s="144"/>
      <c r="TKJ64" s="144"/>
      <c r="TKK64" s="144"/>
      <c r="TKL64" s="144"/>
      <c r="TKM64" s="144"/>
      <c r="TKN64" s="144"/>
      <c r="TKO64" s="144"/>
      <c r="TKP64" s="144"/>
      <c r="TKQ64" s="144"/>
      <c r="TKR64" s="144"/>
      <c r="TKS64" s="144"/>
      <c r="TKT64" s="144"/>
      <c r="TKU64" s="144"/>
      <c r="TKV64" s="144"/>
      <c r="TKW64" s="144"/>
      <c r="TKX64" s="144"/>
      <c r="TKY64" s="144"/>
      <c r="TKZ64" s="144"/>
      <c r="TLA64" s="144"/>
      <c r="TLB64" s="144"/>
      <c r="TLC64" s="144"/>
      <c r="TLD64" s="144"/>
      <c r="TLE64" s="144"/>
      <c r="TLF64" s="144"/>
      <c r="TLG64" s="144"/>
      <c r="TLH64" s="144"/>
      <c r="TLI64" s="144"/>
      <c r="TLJ64" s="144"/>
      <c r="TLK64" s="144"/>
      <c r="TLL64" s="144"/>
      <c r="TLM64" s="144"/>
      <c r="TLN64" s="144"/>
      <c r="TLO64" s="144"/>
      <c r="TLP64" s="144"/>
      <c r="TLQ64" s="144"/>
      <c r="TLR64" s="144"/>
      <c r="TLS64" s="144"/>
      <c r="TLT64" s="144"/>
      <c r="TLU64" s="144"/>
      <c r="TLV64" s="144"/>
      <c r="TLW64" s="144"/>
      <c r="TLX64" s="144"/>
      <c r="TLY64" s="144"/>
      <c r="TLZ64" s="144"/>
      <c r="TMA64" s="144"/>
      <c r="TMB64" s="144"/>
      <c r="TMC64" s="144"/>
      <c r="TMD64" s="144"/>
      <c r="TME64" s="144"/>
      <c r="TMF64" s="144"/>
      <c r="TMG64" s="144"/>
      <c r="TMH64" s="144"/>
      <c r="TMI64" s="144"/>
      <c r="TMJ64" s="144"/>
      <c r="TMK64" s="144"/>
      <c r="TML64" s="144"/>
      <c r="TMM64" s="144"/>
      <c r="TMN64" s="144"/>
      <c r="TMO64" s="144"/>
      <c r="TMP64" s="144"/>
      <c r="TMQ64" s="144"/>
      <c r="TMR64" s="144"/>
      <c r="TMS64" s="144"/>
      <c r="TMT64" s="144"/>
      <c r="TMU64" s="144"/>
      <c r="TMV64" s="144"/>
      <c r="TMW64" s="144"/>
      <c r="TMX64" s="144"/>
      <c r="TMY64" s="144"/>
      <c r="TMZ64" s="144"/>
      <c r="TNA64" s="144"/>
      <c r="TNB64" s="144"/>
      <c r="TNC64" s="144"/>
      <c r="TND64" s="144"/>
      <c r="TNE64" s="144"/>
      <c r="TNF64" s="144"/>
      <c r="TNG64" s="144"/>
      <c r="TNH64" s="144"/>
      <c r="TNI64" s="144"/>
      <c r="TNJ64" s="144"/>
      <c r="TNK64" s="144"/>
      <c r="TNL64" s="144"/>
      <c r="TNM64" s="144"/>
      <c r="TNN64" s="144"/>
      <c r="TNO64" s="144"/>
      <c r="TNP64" s="144"/>
      <c r="TNQ64" s="144"/>
      <c r="TNR64" s="144"/>
      <c r="TNS64" s="144"/>
      <c r="TNT64" s="144"/>
      <c r="TNU64" s="144"/>
      <c r="TNV64" s="144"/>
      <c r="TNW64" s="144"/>
      <c r="TNX64" s="144"/>
      <c r="TNY64" s="144"/>
      <c r="TNZ64" s="144"/>
      <c r="TOA64" s="144"/>
      <c r="TOB64" s="144"/>
      <c r="TOC64" s="144"/>
      <c r="TOD64" s="144"/>
      <c r="TOE64" s="144"/>
      <c r="TOF64" s="144"/>
      <c r="TOG64" s="144"/>
      <c r="TOH64" s="144"/>
      <c r="TOI64" s="144"/>
      <c r="TOJ64" s="144"/>
      <c r="TOK64" s="144"/>
      <c r="TOL64" s="144"/>
      <c r="TOM64" s="144"/>
      <c r="TON64" s="144"/>
      <c r="TOO64" s="144"/>
      <c r="TOP64" s="144"/>
      <c r="TOQ64" s="144"/>
      <c r="TOR64" s="144"/>
      <c r="TOS64" s="144"/>
      <c r="TOT64" s="144"/>
      <c r="TOU64" s="144"/>
      <c r="TOV64" s="144"/>
      <c r="TOW64" s="144"/>
      <c r="TOX64" s="144"/>
      <c r="TOY64" s="144"/>
      <c r="TOZ64" s="144"/>
      <c r="TPA64" s="144"/>
      <c r="TPB64" s="144"/>
      <c r="TPC64" s="144"/>
      <c r="TPD64" s="144"/>
      <c r="TPE64" s="144"/>
      <c r="TPF64" s="144"/>
      <c r="TPG64" s="144"/>
      <c r="TPH64" s="144"/>
      <c r="TPI64" s="144"/>
      <c r="TPJ64" s="144"/>
      <c r="TPK64" s="144"/>
      <c r="TPL64" s="144"/>
      <c r="TPM64" s="144"/>
      <c r="TPN64" s="144"/>
      <c r="TPO64" s="144"/>
      <c r="TPP64" s="144"/>
      <c r="TPQ64" s="144"/>
      <c r="TPR64" s="144"/>
      <c r="TPS64" s="144"/>
      <c r="TPT64" s="144"/>
      <c r="TPU64" s="144"/>
      <c r="TPV64" s="144"/>
      <c r="TPW64" s="144"/>
      <c r="TPX64" s="144"/>
      <c r="TPY64" s="144"/>
      <c r="TPZ64" s="144"/>
      <c r="TQA64" s="144"/>
      <c r="TQB64" s="144"/>
      <c r="TQC64" s="144"/>
      <c r="TQD64" s="144"/>
      <c r="TQE64" s="144"/>
      <c r="TQF64" s="144"/>
      <c r="TQG64" s="144"/>
      <c r="TQH64" s="144"/>
      <c r="TQI64" s="144"/>
      <c r="TQJ64" s="144"/>
      <c r="TQK64" s="144"/>
      <c r="TQL64" s="144"/>
      <c r="TQM64" s="144"/>
      <c r="TQN64" s="144"/>
      <c r="TQO64" s="144"/>
      <c r="TQP64" s="144"/>
      <c r="TQQ64" s="144"/>
      <c r="TQR64" s="144"/>
      <c r="TQS64" s="144"/>
      <c r="TQT64" s="144"/>
      <c r="TQU64" s="144"/>
      <c r="TQV64" s="144"/>
      <c r="TQW64" s="144"/>
      <c r="TQX64" s="144"/>
      <c r="TQY64" s="144"/>
      <c r="TQZ64" s="144"/>
      <c r="TRA64" s="144"/>
      <c r="TRB64" s="144"/>
      <c r="TRC64" s="144"/>
      <c r="TRD64" s="144"/>
      <c r="TRE64" s="144"/>
      <c r="TRF64" s="144"/>
      <c r="TRG64" s="144"/>
      <c r="TRH64" s="144"/>
      <c r="TRI64" s="144"/>
      <c r="TRJ64" s="144"/>
      <c r="TRK64" s="144"/>
      <c r="TRL64" s="144"/>
      <c r="TRM64" s="144"/>
      <c r="TRN64" s="144"/>
      <c r="TRO64" s="144"/>
      <c r="TRP64" s="144"/>
      <c r="TRQ64" s="144"/>
      <c r="TRR64" s="144"/>
      <c r="TRS64" s="144"/>
      <c r="TRT64" s="144"/>
      <c r="TRU64" s="144"/>
      <c r="TRV64" s="144"/>
      <c r="TRW64" s="144"/>
      <c r="TRX64" s="144"/>
      <c r="TRY64" s="144"/>
      <c r="TRZ64" s="144"/>
      <c r="TSA64" s="144"/>
      <c r="TSB64" s="144"/>
      <c r="TSC64" s="144"/>
      <c r="TSD64" s="144"/>
      <c r="TSE64" s="144"/>
      <c r="TSF64" s="144"/>
      <c r="TSG64" s="144"/>
      <c r="TSH64" s="144"/>
      <c r="TSI64" s="144"/>
      <c r="TSJ64" s="144"/>
      <c r="TSK64" s="144"/>
      <c r="TSL64" s="144"/>
      <c r="TSM64" s="144"/>
      <c r="TSN64" s="144"/>
      <c r="TSO64" s="144"/>
      <c r="TSP64" s="144"/>
      <c r="TSQ64" s="144"/>
      <c r="TSR64" s="144"/>
      <c r="TSS64" s="144"/>
      <c r="TST64" s="144"/>
      <c r="TSU64" s="144"/>
      <c r="TSV64" s="144"/>
      <c r="TSW64" s="144"/>
      <c r="TSX64" s="144"/>
      <c r="TSY64" s="144"/>
      <c r="TSZ64" s="144"/>
      <c r="TTA64" s="144"/>
      <c r="TTB64" s="144"/>
      <c r="TTC64" s="144"/>
      <c r="TTD64" s="144"/>
      <c r="TTE64" s="144"/>
      <c r="TTF64" s="144"/>
      <c r="TTG64" s="144"/>
      <c r="TTH64" s="144"/>
      <c r="TTI64" s="144"/>
      <c r="TTJ64" s="144"/>
      <c r="TTK64" s="144"/>
      <c r="TTL64" s="144"/>
      <c r="TTM64" s="144"/>
      <c r="TTN64" s="144"/>
      <c r="TTO64" s="144"/>
      <c r="TTP64" s="144"/>
      <c r="TTQ64" s="144"/>
      <c r="TTR64" s="144"/>
      <c r="TTS64" s="144"/>
      <c r="TTT64" s="144"/>
      <c r="TTU64" s="144"/>
      <c r="TTV64" s="144"/>
      <c r="TTW64" s="144"/>
      <c r="TTX64" s="144"/>
      <c r="TTY64" s="144"/>
      <c r="TTZ64" s="144"/>
      <c r="TUA64" s="144"/>
      <c r="TUB64" s="144"/>
      <c r="TUC64" s="144"/>
      <c r="TUD64" s="144"/>
      <c r="TUE64" s="144"/>
      <c r="TUF64" s="144"/>
      <c r="TUG64" s="144"/>
      <c r="TUH64" s="144"/>
      <c r="TUI64" s="144"/>
      <c r="TUJ64" s="144"/>
      <c r="TUK64" s="144"/>
      <c r="TUL64" s="144"/>
      <c r="TUM64" s="144"/>
      <c r="TUN64" s="144"/>
      <c r="TUO64" s="144"/>
      <c r="TUP64" s="144"/>
      <c r="TUQ64" s="144"/>
      <c r="TUR64" s="144"/>
      <c r="TUS64" s="144"/>
      <c r="TUT64" s="144"/>
      <c r="TUU64" s="144"/>
      <c r="TUV64" s="144"/>
      <c r="TUW64" s="144"/>
      <c r="TUX64" s="144"/>
      <c r="TUY64" s="144"/>
      <c r="TUZ64" s="144"/>
      <c r="TVA64" s="144"/>
      <c r="TVB64" s="144"/>
      <c r="TVC64" s="144"/>
      <c r="TVD64" s="144"/>
      <c r="TVE64" s="144"/>
      <c r="TVF64" s="144"/>
      <c r="TVG64" s="144"/>
      <c r="TVH64" s="144"/>
      <c r="TVI64" s="144"/>
      <c r="TVJ64" s="144"/>
      <c r="TVK64" s="144"/>
      <c r="TVL64" s="144"/>
      <c r="TVM64" s="144"/>
      <c r="TVN64" s="144"/>
      <c r="TVO64" s="144"/>
      <c r="TVP64" s="144"/>
      <c r="TVQ64" s="144"/>
      <c r="TVR64" s="144"/>
      <c r="TVS64" s="144"/>
      <c r="TVT64" s="144"/>
      <c r="TVU64" s="144"/>
      <c r="TVV64" s="144"/>
      <c r="TVW64" s="144"/>
      <c r="TVX64" s="144"/>
      <c r="TVY64" s="144"/>
      <c r="TVZ64" s="144"/>
      <c r="TWA64" s="144"/>
      <c r="TWB64" s="144"/>
      <c r="TWC64" s="144"/>
      <c r="TWD64" s="144"/>
      <c r="TWE64" s="144"/>
      <c r="TWF64" s="144"/>
      <c r="TWG64" s="144"/>
      <c r="TWH64" s="144"/>
      <c r="TWI64" s="144"/>
      <c r="TWJ64" s="144"/>
      <c r="TWK64" s="144"/>
      <c r="TWL64" s="144"/>
      <c r="TWM64" s="144"/>
      <c r="TWN64" s="144"/>
      <c r="TWO64" s="144"/>
      <c r="TWP64" s="144"/>
      <c r="TWQ64" s="144"/>
      <c r="TWR64" s="144"/>
      <c r="TWS64" s="144"/>
      <c r="TWT64" s="144"/>
      <c r="TWU64" s="144"/>
      <c r="TWV64" s="144"/>
      <c r="TWW64" s="144"/>
      <c r="TWX64" s="144"/>
      <c r="TWY64" s="144"/>
      <c r="TWZ64" s="144"/>
      <c r="TXA64" s="144"/>
      <c r="TXB64" s="144"/>
      <c r="TXC64" s="144"/>
      <c r="TXD64" s="144"/>
      <c r="TXE64" s="144"/>
      <c r="TXF64" s="144"/>
      <c r="TXG64" s="144"/>
      <c r="TXH64" s="144"/>
      <c r="TXI64" s="144"/>
      <c r="TXJ64" s="144"/>
      <c r="TXK64" s="144"/>
      <c r="TXL64" s="144"/>
      <c r="TXM64" s="144"/>
      <c r="TXN64" s="144"/>
      <c r="TXO64" s="144"/>
      <c r="TXP64" s="144"/>
      <c r="TXQ64" s="144"/>
      <c r="TXR64" s="144"/>
      <c r="TXS64" s="144"/>
      <c r="TXT64" s="144"/>
      <c r="TXU64" s="144"/>
      <c r="TXV64" s="144"/>
      <c r="TXW64" s="144"/>
      <c r="TXX64" s="144"/>
      <c r="TXY64" s="144"/>
      <c r="TXZ64" s="144"/>
      <c r="TYA64" s="144"/>
      <c r="TYB64" s="144"/>
      <c r="TYC64" s="144"/>
      <c r="TYD64" s="144"/>
      <c r="TYE64" s="144"/>
      <c r="TYF64" s="144"/>
      <c r="TYG64" s="144"/>
      <c r="TYH64" s="144"/>
      <c r="TYI64" s="144"/>
      <c r="TYJ64" s="144"/>
      <c r="TYK64" s="144"/>
      <c r="TYL64" s="144"/>
      <c r="TYM64" s="144"/>
      <c r="TYN64" s="144"/>
      <c r="TYO64" s="144"/>
      <c r="TYP64" s="144"/>
      <c r="TYQ64" s="144"/>
      <c r="TYR64" s="144"/>
      <c r="TYS64" s="144"/>
      <c r="TYT64" s="144"/>
      <c r="TYU64" s="144"/>
      <c r="TYV64" s="144"/>
      <c r="TYW64" s="144"/>
      <c r="TYX64" s="144"/>
      <c r="TYY64" s="144"/>
      <c r="TYZ64" s="144"/>
      <c r="TZA64" s="144"/>
      <c r="TZB64" s="144"/>
      <c r="TZC64" s="144"/>
      <c r="TZD64" s="144"/>
      <c r="TZE64" s="144"/>
      <c r="TZF64" s="144"/>
      <c r="TZG64" s="144"/>
      <c r="TZH64" s="144"/>
      <c r="TZI64" s="144"/>
      <c r="TZJ64" s="144"/>
      <c r="TZK64" s="144"/>
      <c r="TZL64" s="144"/>
      <c r="TZM64" s="144"/>
      <c r="TZN64" s="144"/>
      <c r="TZO64" s="144"/>
      <c r="TZP64" s="144"/>
      <c r="TZQ64" s="144"/>
      <c r="TZR64" s="144"/>
      <c r="TZS64" s="144"/>
      <c r="TZT64" s="144"/>
      <c r="TZU64" s="144"/>
      <c r="TZV64" s="144"/>
      <c r="TZW64" s="144"/>
      <c r="TZX64" s="144"/>
      <c r="TZY64" s="144"/>
      <c r="TZZ64" s="144"/>
      <c r="UAA64" s="144"/>
      <c r="UAB64" s="144"/>
      <c r="UAC64" s="144"/>
      <c r="UAD64" s="144"/>
      <c r="UAE64" s="144"/>
      <c r="UAF64" s="144"/>
      <c r="UAG64" s="144"/>
      <c r="UAH64" s="144"/>
      <c r="UAI64" s="144"/>
      <c r="UAJ64" s="144"/>
      <c r="UAK64" s="144"/>
      <c r="UAL64" s="144"/>
      <c r="UAM64" s="144"/>
      <c r="UAN64" s="144"/>
      <c r="UAO64" s="144"/>
      <c r="UAP64" s="144"/>
      <c r="UAQ64" s="144"/>
      <c r="UAR64" s="144"/>
      <c r="UAS64" s="144"/>
      <c r="UAT64" s="144"/>
      <c r="UAU64" s="144"/>
      <c r="UAV64" s="144"/>
      <c r="UAW64" s="144"/>
      <c r="UAX64" s="144"/>
      <c r="UAY64" s="144"/>
      <c r="UAZ64" s="144"/>
      <c r="UBA64" s="144"/>
      <c r="UBB64" s="144"/>
      <c r="UBC64" s="144"/>
      <c r="UBD64" s="144"/>
      <c r="UBE64" s="144"/>
      <c r="UBF64" s="144"/>
      <c r="UBG64" s="144"/>
      <c r="UBH64" s="144"/>
      <c r="UBI64" s="144"/>
      <c r="UBJ64" s="144"/>
      <c r="UBK64" s="144"/>
      <c r="UBL64" s="144"/>
      <c r="UBM64" s="144"/>
      <c r="UBN64" s="144"/>
      <c r="UBO64" s="144"/>
      <c r="UBP64" s="144"/>
      <c r="UBQ64" s="144"/>
      <c r="UBR64" s="144"/>
      <c r="UBS64" s="144"/>
      <c r="UBT64" s="144"/>
      <c r="UBU64" s="144"/>
      <c r="UBV64" s="144"/>
      <c r="UBW64" s="144"/>
      <c r="UBX64" s="144"/>
      <c r="UBY64" s="144"/>
      <c r="UBZ64" s="144"/>
      <c r="UCA64" s="144"/>
      <c r="UCB64" s="144"/>
      <c r="UCC64" s="144"/>
      <c r="UCD64" s="144"/>
      <c r="UCE64" s="144"/>
      <c r="UCF64" s="144"/>
      <c r="UCG64" s="144"/>
      <c r="UCH64" s="144"/>
      <c r="UCI64" s="144"/>
      <c r="UCJ64" s="144"/>
      <c r="UCK64" s="144"/>
      <c r="UCL64" s="144"/>
      <c r="UCM64" s="144"/>
      <c r="UCN64" s="144"/>
      <c r="UCO64" s="144"/>
      <c r="UCP64" s="144"/>
      <c r="UCQ64" s="144"/>
      <c r="UCR64" s="144"/>
      <c r="UCS64" s="144"/>
      <c r="UCT64" s="144"/>
      <c r="UCU64" s="144"/>
      <c r="UCV64" s="144"/>
      <c r="UCW64" s="144"/>
      <c r="UCX64" s="144"/>
      <c r="UCY64" s="144"/>
      <c r="UCZ64" s="144"/>
      <c r="UDA64" s="144"/>
      <c r="UDB64" s="144"/>
      <c r="UDC64" s="144"/>
      <c r="UDD64" s="144"/>
      <c r="UDE64" s="144"/>
      <c r="UDF64" s="144"/>
      <c r="UDG64" s="144"/>
      <c r="UDH64" s="144"/>
      <c r="UDI64" s="144"/>
      <c r="UDJ64" s="144"/>
      <c r="UDK64" s="144"/>
      <c r="UDL64" s="144"/>
      <c r="UDM64" s="144"/>
      <c r="UDN64" s="144"/>
      <c r="UDO64" s="144"/>
      <c r="UDP64" s="144"/>
      <c r="UDQ64" s="144"/>
      <c r="UDR64" s="144"/>
      <c r="UDS64" s="144"/>
      <c r="UDT64" s="144"/>
      <c r="UDU64" s="144"/>
      <c r="UDV64" s="144"/>
      <c r="UDW64" s="144"/>
      <c r="UDX64" s="144"/>
      <c r="UDY64" s="144"/>
      <c r="UDZ64" s="144"/>
      <c r="UEA64" s="144"/>
      <c r="UEB64" s="144"/>
      <c r="UEC64" s="144"/>
      <c r="UED64" s="144"/>
      <c r="UEE64" s="144"/>
      <c r="UEF64" s="144"/>
      <c r="UEG64" s="144"/>
      <c r="UEH64" s="144"/>
      <c r="UEI64" s="144"/>
      <c r="UEJ64" s="144"/>
      <c r="UEK64" s="144"/>
      <c r="UEL64" s="144"/>
      <c r="UEM64" s="144"/>
      <c r="UEN64" s="144"/>
      <c r="UEO64" s="144"/>
      <c r="UEP64" s="144"/>
      <c r="UEQ64" s="144"/>
      <c r="UER64" s="144"/>
      <c r="UES64" s="144"/>
      <c r="UET64" s="144"/>
      <c r="UEU64" s="144"/>
      <c r="UEV64" s="144"/>
      <c r="UEW64" s="144"/>
      <c r="UEX64" s="144"/>
      <c r="UEY64" s="144"/>
      <c r="UEZ64" s="144"/>
      <c r="UFA64" s="144"/>
      <c r="UFB64" s="144"/>
      <c r="UFC64" s="144"/>
      <c r="UFD64" s="144"/>
      <c r="UFE64" s="144"/>
      <c r="UFF64" s="144"/>
      <c r="UFG64" s="144"/>
      <c r="UFH64" s="144"/>
      <c r="UFI64" s="144"/>
      <c r="UFJ64" s="144"/>
      <c r="UFK64" s="144"/>
      <c r="UFL64" s="144"/>
      <c r="UFM64" s="144"/>
      <c r="UFN64" s="144"/>
      <c r="UFO64" s="144"/>
      <c r="UFP64" s="144"/>
      <c r="UFQ64" s="144"/>
      <c r="UFR64" s="144"/>
      <c r="UFS64" s="144"/>
      <c r="UFT64" s="144"/>
      <c r="UFU64" s="144"/>
      <c r="UFV64" s="144"/>
      <c r="UFW64" s="144"/>
      <c r="UFX64" s="144"/>
      <c r="UFY64" s="144"/>
      <c r="UFZ64" s="144"/>
      <c r="UGA64" s="144"/>
      <c r="UGB64" s="144"/>
      <c r="UGC64" s="144"/>
      <c r="UGD64" s="144"/>
      <c r="UGE64" s="144"/>
      <c r="UGF64" s="144"/>
      <c r="UGG64" s="144"/>
      <c r="UGH64" s="144"/>
      <c r="UGI64" s="144"/>
      <c r="UGJ64" s="144"/>
      <c r="UGK64" s="144"/>
      <c r="UGL64" s="144"/>
      <c r="UGM64" s="144"/>
      <c r="UGN64" s="144"/>
      <c r="UGO64" s="144"/>
      <c r="UGP64" s="144"/>
      <c r="UGQ64" s="144"/>
      <c r="UGR64" s="144"/>
      <c r="UGS64" s="144"/>
      <c r="UGT64" s="144"/>
      <c r="UGU64" s="144"/>
      <c r="UGV64" s="144"/>
      <c r="UGW64" s="144"/>
      <c r="UGX64" s="144"/>
      <c r="UGY64" s="144"/>
      <c r="UGZ64" s="144"/>
      <c r="UHA64" s="144"/>
      <c r="UHB64" s="144"/>
      <c r="UHC64" s="144"/>
      <c r="UHD64" s="144"/>
      <c r="UHE64" s="144"/>
      <c r="UHF64" s="144"/>
      <c r="UHG64" s="144"/>
      <c r="UHH64" s="144"/>
      <c r="UHI64" s="144"/>
      <c r="UHJ64" s="144"/>
      <c r="UHK64" s="144"/>
      <c r="UHL64" s="144"/>
      <c r="UHM64" s="144"/>
      <c r="UHN64" s="144"/>
      <c r="UHO64" s="144"/>
      <c r="UHP64" s="144"/>
      <c r="UHQ64" s="144"/>
      <c r="UHR64" s="144"/>
      <c r="UHS64" s="144"/>
      <c r="UHT64" s="144"/>
      <c r="UHU64" s="144"/>
      <c r="UHV64" s="144"/>
      <c r="UHW64" s="144"/>
      <c r="UHX64" s="144"/>
      <c r="UHY64" s="144"/>
      <c r="UHZ64" s="144"/>
      <c r="UIA64" s="144"/>
      <c r="UIB64" s="144"/>
      <c r="UIC64" s="144"/>
      <c r="UID64" s="144"/>
      <c r="UIE64" s="144"/>
      <c r="UIF64" s="144"/>
      <c r="UIG64" s="144"/>
      <c r="UIH64" s="144"/>
      <c r="UII64" s="144"/>
      <c r="UIJ64" s="144"/>
      <c r="UIK64" s="144"/>
      <c r="UIL64" s="144"/>
      <c r="UIM64" s="144"/>
      <c r="UIN64" s="144"/>
      <c r="UIO64" s="144"/>
      <c r="UIP64" s="144"/>
      <c r="UIQ64" s="144"/>
      <c r="UIR64" s="144"/>
      <c r="UIS64" s="144"/>
      <c r="UIT64" s="144"/>
      <c r="UIU64" s="144"/>
      <c r="UIV64" s="144"/>
      <c r="UIW64" s="144"/>
      <c r="UIX64" s="144"/>
      <c r="UIY64" s="144"/>
      <c r="UIZ64" s="144"/>
      <c r="UJA64" s="144"/>
      <c r="UJB64" s="144"/>
      <c r="UJC64" s="144"/>
      <c r="UJD64" s="144"/>
      <c r="UJE64" s="144"/>
      <c r="UJF64" s="144"/>
      <c r="UJG64" s="144"/>
      <c r="UJH64" s="144"/>
      <c r="UJI64" s="144"/>
      <c r="UJJ64" s="144"/>
      <c r="UJK64" s="144"/>
      <c r="UJL64" s="144"/>
      <c r="UJM64" s="144"/>
      <c r="UJN64" s="144"/>
      <c r="UJO64" s="144"/>
      <c r="UJP64" s="144"/>
      <c r="UJQ64" s="144"/>
      <c r="UJR64" s="144"/>
      <c r="UJS64" s="144"/>
      <c r="UJT64" s="144"/>
      <c r="UJU64" s="144"/>
      <c r="UJV64" s="144"/>
      <c r="UJW64" s="144"/>
      <c r="UJX64" s="144"/>
      <c r="UJY64" s="144"/>
      <c r="UJZ64" s="144"/>
      <c r="UKA64" s="144"/>
      <c r="UKB64" s="144"/>
      <c r="UKC64" s="144"/>
      <c r="UKD64" s="144"/>
      <c r="UKE64" s="144"/>
      <c r="UKF64" s="144"/>
      <c r="UKG64" s="144"/>
      <c r="UKH64" s="144"/>
      <c r="UKI64" s="144"/>
      <c r="UKJ64" s="144"/>
      <c r="UKK64" s="144"/>
      <c r="UKL64" s="144"/>
      <c r="UKM64" s="144"/>
      <c r="UKN64" s="144"/>
      <c r="UKO64" s="144"/>
      <c r="UKP64" s="144"/>
      <c r="UKQ64" s="144"/>
      <c r="UKR64" s="144"/>
      <c r="UKS64" s="144"/>
      <c r="UKT64" s="144"/>
      <c r="UKU64" s="144"/>
      <c r="UKV64" s="144"/>
      <c r="UKW64" s="144"/>
      <c r="UKX64" s="144"/>
      <c r="UKY64" s="144"/>
      <c r="UKZ64" s="144"/>
      <c r="ULA64" s="144"/>
      <c r="ULB64" s="144"/>
      <c r="ULC64" s="144"/>
      <c r="ULD64" s="144"/>
      <c r="ULE64" s="144"/>
      <c r="ULF64" s="144"/>
      <c r="ULG64" s="144"/>
      <c r="ULH64" s="144"/>
      <c r="ULI64" s="144"/>
      <c r="ULJ64" s="144"/>
      <c r="ULK64" s="144"/>
      <c r="ULL64" s="144"/>
      <c r="ULM64" s="144"/>
      <c r="ULN64" s="144"/>
      <c r="ULO64" s="144"/>
      <c r="ULP64" s="144"/>
      <c r="ULQ64" s="144"/>
      <c r="ULR64" s="144"/>
      <c r="ULS64" s="144"/>
      <c r="ULT64" s="144"/>
      <c r="ULU64" s="144"/>
      <c r="ULV64" s="144"/>
      <c r="ULW64" s="144"/>
      <c r="ULX64" s="144"/>
      <c r="ULY64" s="144"/>
      <c r="ULZ64" s="144"/>
      <c r="UMA64" s="144"/>
      <c r="UMB64" s="144"/>
      <c r="UMC64" s="144"/>
      <c r="UMD64" s="144"/>
      <c r="UME64" s="144"/>
      <c r="UMF64" s="144"/>
      <c r="UMG64" s="144"/>
      <c r="UMH64" s="144"/>
      <c r="UMI64" s="144"/>
      <c r="UMJ64" s="144"/>
      <c r="UMK64" s="144"/>
      <c r="UML64" s="144"/>
      <c r="UMM64" s="144"/>
      <c r="UMN64" s="144"/>
      <c r="UMO64" s="144"/>
      <c r="UMP64" s="144"/>
      <c r="UMQ64" s="144"/>
      <c r="UMR64" s="144"/>
      <c r="UMS64" s="144"/>
      <c r="UMT64" s="144"/>
      <c r="UMU64" s="144"/>
      <c r="UMV64" s="144"/>
      <c r="UMW64" s="144"/>
      <c r="UMX64" s="144"/>
      <c r="UMY64" s="144"/>
      <c r="UMZ64" s="144"/>
      <c r="UNA64" s="144"/>
      <c r="UNB64" s="144"/>
      <c r="UNC64" s="144"/>
      <c r="UND64" s="144"/>
      <c r="UNE64" s="144"/>
      <c r="UNF64" s="144"/>
      <c r="UNG64" s="144"/>
      <c r="UNH64" s="144"/>
      <c r="UNI64" s="144"/>
      <c r="UNJ64" s="144"/>
      <c r="UNK64" s="144"/>
      <c r="UNL64" s="144"/>
      <c r="UNM64" s="144"/>
      <c r="UNN64" s="144"/>
      <c r="UNO64" s="144"/>
      <c r="UNP64" s="144"/>
      <c r="UNQ64" s="144"/>
      <c r="UNR64" s="144"/>
      <c r="UNS64" s="144"/>
      <c r="UNT64" s="144"/>
      <c r="UNU64" s="144"/>
      <c r="UNV64" s="144"/>
      <c r="UNW64" s="144"/>
      <c r="UNX64" s="144"/>
      <c r="UNY64" s="144"/>
      <c r="UNZ64" s="144"/>
      <c r="UOA64" s="144"/>
      <c r="UOB64" s="144"/>
      <c r="UOC64" s="144"/>
      <c r="UOD64" s="144"/>
      <c r="UOE64" s="144"/>
      <c r="UOF64" s="144"/>
      <c r="UOG64" s="144"/>
      <c r="UOH64" s="144"/>
      <c r="UOI64" s="144"/>
      <c r="UOJ64" s="144"/>
      <c r="UOK64" s="144"/>
      <c r="UOL64" s="144"/>
      <c r="UOM64" s="144"/>
      <c r="UON64" s="144"/>
      <c r="UOO64" s="144"/>
      <c r="UOP64" s="144"/>
      <c r="UOQ64" s="144"/>
      <c r="UOR64" s="144"/>
      <c r="UOS64" s="144"/>
      <c r="UOT64" s="144"/>
      <c r="UOU64" s="144"/>
      <c r="UOV64" s="144"/>
      <c r="UOW64" s="144"/>
      <c r="UOX64" s="144"/>
      <c r="UOY64" s="144"/>
      <c r="UOZ64" s="144"/>
      <c r="UPA64" s="144"/>
      <c r="UPB64" s="144"/>
      <c r="UPC64" s="144"/>
      <c r="UPD64" s="144"/>
      <c r="UPE64" s="144"/>
      <c r="UPF64" s="144"/>
      <c r="UPG64" s="144"/>
      <c r="UPH64" s="144"/>
      <c r="UPI64" s="144"/>
      <c r="UPJ64" s="144"/>
      <c r="UPK64" s="144"/>
      <c r="UPL64" s="144"/>
      <c r="UPM64" s="144"/>
      <c r="UPN64" s="144"/>
      <c r="UPO64" s="144"/>
      <c r="UPP64" s="144"/>
      <c r="UPQ64" s="144"/>
      <c r="UPR64" s="144"/>
      <c r="UPS64" s="144"/>
      <c r="UPT64" s="144"/>
      <c r="UPU64" s="144"/>
      <c r="UPV64" s="144"/>
      <c r="UPW64" s="144"/>
      <c r="UPX64" s="144"/>
      <c r="UPY64" s="144"/>
      <c r="UPZ64" s="144"/>
      <c r="UQA64" s="144"/>
      <c r="UQB64" s="144"/>
      <c r="UQC64" s="144"/>
      <c r="UQD64" s="144"/>
      <c r="UQE64" s="144"/>
      <c r="UQF64" s="144"/>
      <c r="UQG64" s="144"/>
      <c r="UQH64" s="144"/>
      <c r="UQI64" s="144"/>
      <c r="UQJ64" s="144"/>
      <c r="UQK64" s="144"/>
      <c r="UQL64" s="144"/>
      <c r="UQM64" s="144"/>
      <c r="UQN64" s="144"/>
      <c r="UQO64" s="144"/>
      <c r="UQP64" s="144"/>
      <c r="UQQ64" s="144"/>
      <c r="UQR64" s="144"/>
      <c r="UQS64" s="144"/>
      <c r="UQT64" s="144"/>
      <c r="UQU64" s="144"/>
      <c r="UQV64" s="144"/>
      <c r="UQW64" s="144"/>
      <c r="UQX64" s="144"/>
      <c r="UQY64" s="144"/>
      <c r="UQZ64" s="144"/>
      <c r="URA64" s="144"/>
      <c r="URB64" s="144"/>
      <c r="URC64" s="144"/>
      <c r="URD64" s="144"/>
      <c r="URE64" s="144"/>
      <c r="URF64" s="144"/>
      <c r="URG64" s="144"/>
      <c r="URH64" s="144"/>
      <c r="URI64" s="144"/>
      <c r="URJ64" s="144"/>
      <c r="URK64" s="144"/>
      <c r="URL64" s="144"/>
      <c r="URM64" s="144"/>
      <c r="URN64" s="144"/>
      <c r="URO64" s="144"/>
      <c r="URP64" s="144"/>
      <c r="URQ64" s="144"/>
      <c r="URR64" s="144"/>
      <c r="URS64" s="144"/>
      <c r="URT64" s="144"/>
      <c r="URU64" s="144"/>
      <c r="URV64" s="144"/>
      <c r="URW64" s="144"/>
      <c r="URX64" s="144"/>
      <c r="URY64" s="144"/>
      <c r="URZ64" s="144"/>
      <c r="USA64" s="144"/>
      <c r="USB64" s="144"/>
      <c r="USC64" s="144"/>
      <c r="USD64" s="144"/>
      <c r="USE64" s="144"/>
      <c r="USF64" s="144"/>
      <c r="USG64" s="144"/>
      <c r="USH64" s="144"/>
      <c r="USI64" s="144"/>
      <c r="USJ64" s="144"/>
      <c r="USK64" s="144"/>
      <c r="USL64" s="144"/>
      <c r="USM64" s="144"/>
      <c r="USN64" s="144"/>
      <c r="USO64" s="144"/>
      <c r="USP64" s="144"/>
      <c r="USQ64" s="144"/>
      <c r="USR64" s="144"/>
      <c r="USS64" s="144"/>
      <c r="UST64" s="144"/>
      <c r="USU64" s="144"/>
      <c r="USV64" s="144"/>
      <c r="USW64" s="144"/>
      <c r="USX64" s="144"/>
      <c r="USY64" s="144"/>
      <c r="USZ64" s="144"/>
      <c r="UTA64" s="144"/>
      <c r="UTB64" s="144"/>
      <c r="UTC64" s="144"/>
      <c r="UTD64" s="144"/>
      <c r="UTE64" s="144"/>
      <c r="UTF64" s="144"/>
      <c r="UTG64" s="144"/>
      <c r="UTH64" s="144"/>
      <c r="UTI64" s="144"/>
      <c r="UTJ64" s="144"/>
      <c r="UTK64" s="144"/>
      <c r="UTL64" s="144"/>
      <c r="UTM64" s="144"/>
      <c r="UTN64" s="144"/>
      <c r="UTO64" s="144"/>
      <c r="UTP64" s="144"/>
      <c r="UTQ64" s="144"/>
      <c r="UTR64" s="144"/>
      <c r="UTS64" s="144"/>
      <c r="UTT64" s="144"/>
      <c r="UTU64" s="144"/>
      <c r="UTV64" s="144"/>
      <c r="UTW64" s="144"/>
      <c r="UTX64" s="144"/>
      <c r="UTY64" s="144"/>
      <c r="UTZ64" s="144"/>
      <c r="UUA64" s="144"/>
      <c r="UUB64" s="144"/>
      <c r="UUC64" s="144"/>
      <c r="UUD64" s="144"/>
      <c r="UUE64" s="144"/>
      <c r="UUF64" s="144"/>
      <c r="UUG64" s="144"/>
      <c r="UUH64" s="144"/>
      <c r="UUI64" s="144"/>
      <c r="UUJ64" s="144"/>
      <c r="UUK64" s="144"/>
      <c r="UUL64" s="144"/>
      <c r="UUM64" s="144"/>
      <c r="UUN64" s="144"/>
      <c r="UUO64" s="144"/>
      <c r="UUP64" s="144"/>
      <c r="UUQ64" s="144"/>
      <c r="UUR64" s="144"/>
      <c r="UUS64" s="144"/>
      <c r="UUT64" s="144"/>
      <c r="UUU64" s="144"/>
      <c r="UUV64" s="144"/>
      <c r="UUW64" s="144"/>
      <c r="UUX64" s="144"/>
      <c r="UUY64" s="144"/>
      <c r="UUZ64" s="144"/>
      <c r="UVA64" s="144"/>
      <c r="UVB64" s="144"/>
      <c r="UVC64" s="144"/>
      <c r="UVD64" s="144"/>
      <c r="UVE64" s="144"/>
      <c r="UVF64" s="144"/>
      <c r="UVG64" s="144"/>
      <c r="UVH64" s="144"/>
      <c r="UVI64" s="144"/>
      <c r="UVJ64" s="144"/>
      <c r="UVK64" s="144"/>
      <c r="UVL64" s="144"/>
      <c r="UVM64" s="144"/>
      <c r="UVN64" s="144"/>
      <c r="UVO64" s="144"/>
      <c r="UVP64" s="144"/>
      <c r="UVQ64" s="144"/>
      <c r="UVR64" s="144"/>
      <c r="UVS64" s="144"/>
      <c r="UVT64" s="144"/>
      <c r="UVU64" s="144"/>
      <c r="UVV64" s="144"/>
      <c r="UVW64" s="144"/>
      <c r="UVX64" s="144"/>
      <c r="UVY64" s="144"/>
      <c r="UVZ64" s="144"/>
      <c r="UWA64" s="144"/>
      <c r="UWB64" s="144"/>
      <c r="UWC64" s="144"/>
      <c r="UWD64" s="144"/>
      <c r="UWE64" s="144"/>
      <c r="UWF64" s="144"/>
      <c r="UWG64" s="144"/>
      <c r="UWH64" s="144"/>
      <c r="UWI64" s="144"/>
      <c r="UWJ64" s="144"/>
      <c r="UWK64" s="144"/>
      <c r="UWL64" s="144"/>
      <c r="UWM64" s="144"/>
      <c r="UWN64" s="144"/>
      <c r="UWO64" s="144"/>
      <c r="UWP64" s="144"/>
      <c r="UWQ64" s="144"/>
      <c r="UWR64" s="144"/>
      <c r="UWS64" s="144"/>
      <c r="UWT64" s="144"/>
      <c r="UWU64" s="144"/>
      <c r="UWV64" s="144"/>
      <c r="UWW64" s="144"/>
      <c r="UWX64" s="144"/>
      <c r="UWY64" s="144"/>
      <c r="UWZ64" s="144"/>
      <c r="UXA64" s="144"/>
      <c r="UXB64" s="144"/>
      <c r="UXC64" s="144"/>
      <c r="UXD64" s="144"/>
      <c r="UXE64" s="144"/>
      <c r="UXF64" s="144"/>
      <c r="UXG64" s="144"/>
      <c r="UXH64" s="144"/>
      <c r="UXI64" s="144"/>
      <c r="UXJ64" s="144"/>
      <c r="UXK64" s="144"/>
      <c r="UXL64" s="144"/>
      <c r="UXM64" s="144"/>
      <c r="UXN64" s="144"/>
      <c r="UXO64" s="144"/>
      <c r="UXP64" s="144"/>
      <c r="UXQ64" s="144"/>
      <c r="UXR64" s="144"/>
      <c r="UXS64" s="144"/>
      <c r="UXT64" s="144"/>
      <c r="UXU64" s="144"/>
      <c r="UXV64" s="144"/>
      <c r="UXW64" s="144"/>
      <c r="UXX64" s="144"/>
      <c r="UXY64" s="144"/>
      <c r="UXZ64" s="144"/>
      <c r="UYA64" s="144"/>
      <c r="UYB64" s="144"/>
      <c r="UYC64" s="144"/>
      <c r="UYD64" s="144"/>
      <c r="UYE64" s="144"/>
      <c r="UYF64" s="144"/>
      <c r="UYG64" s="144"/>
      <c r="UYH64" s="144"/>
      <c r="UYI64" s="144"/>
      <c r="UYJ64" s="144"/>
      <c r="UYK64" s="144"/>
      <c r="UYL64" s="144"/>
      <c r="UYM64" s="144"/>
      <c r="UYN64" s="144"/>
      <c r="UYO64" s="144"/>
      <c r="UYP64" s="144"/>
      <c r="UYQ64" s="144"/>
      <c r="UYR64" s="144"/>
      <c r="UYS64" s="144"/>
      <c r="UYT64" s="144"/>
      <c r="UYU64" s="144"/>
      <c r="UYV64" s="144"/>
      <c r="UYW64" s="144"/>
      <c r="UYX64" s="144"/>
      <c r="UYY64" s="144"/>
      <c r="UYZ64" s="144"/>
      <c r="UZA64" s="144"/>
      <c r="UZB64" s="144"/>
      <c r="UZC64" s="144"/>
      <c r="UZD64" s="144"/>
      <c r="UZE64" s="144"/>
      <c r="UZF64" s="144"/>
      <c r="UZG64" s="144"/>
      <c r="UZH64" s="144"/>
      <c r="UZI64" s="144"/>
      <c r="UZJ64" s="144"/>
      <c r="UZK64" s="144"/>
      <c r="UZL64" s="144"/>
      <c r="UZM64" s="144"/>
      <c r="UZN64" s="144"/>
      <c r="UZO64" s="144"/>
      <c r="UZP64" s="144"/>
      <c r="UZQ64" s="144"/>
      <c r="UZR64" s="144"/>
      <c r="UZS64" s="144"/>
      <c r="UZT64" s="144"/>
      <c r="UZU64" s="144"/>
      <c r="UZV64" s="144"/>
      <c r="UZW64" s="144"/>
      <c r="UZX64" s="144"/>
      <c r="UZY64" s="144"/>
      <c r="UZZ64" s="144"/>
      <c r="VAA64" s="144"/>
      <c r="VAB64" s="144"/>
      <c r="VAC64" s="144"/>
      <c r="VAD64" s="144"/>
      <c r="VAE64" s="144"/>
      <c r="VAF64" s="144"/>
      <c r="VAG64" s="144"/>
      <c r="VAH64" s="144"/>
      <c r="VAI64" s="144"/>
      <c r="VAJ64" s="144"/>
      <c r="VAK64" s="144"/>
      <c r="VAL64" s="144"/>
      <c r="VAM64" s="144"/>
      <c r="VAN64" s="144"/>
      <c r="VAO64" s="144"/>
      <c r="VAP64" s="144"/>
      <c r="VAQ64" s="144"/>
      <c r="VAR64" s="144"/>
      <c r="VAS64" s="144"/>
      <c r="VAT64" s="144"/>
      <c r="VAU64" s="144"/>
      <c r="VAV64" s="144"/>
      <c r="VAW64" s="144"/>
      <c r="VAX64" s="144"/>
      <c r="VAY64" s="144"/>
      <c r="VAZ64" s="144"/>
      <c r="VBA64" s="144"/>
      <c r="VBB64" s="144"/>
      <c r="VBC64" s="144"/>
      <c r="VBD64" s="144"/>
      <c r="VBE64" s="144"/>
      <c r="VBF64" s="144"/>
      <c r="VBG64" s="144"/>
      <c r="VBH64" s="144"/>
      <c r="VBI64" s="144"/>
      <c r="VBJ64" s="144"/>
      <c r="VBK64" s="144"/>
      <c r="VBL64" s="144"/>
      <c r="VBM64" s="144"/>
      <c r="VBN64" s="144"/>
      <c r="VBO64" s="144"/>
      <c r="VBP64" s="144"/>
      <c r="VBQ64" s="144"/>
      <c r="VBR64" s="144"/>
      <c r="VBS64" s="144"/>
      <c r="VBT64" s="144"/>
      <c r="VBU64" s="144"/>
      <c r="VBV64" s="144"/>
      <c r="VBW64" s="144"/>
      <c r="VBX64" s="144"/>
      <c r="VBY64" s="144"/>
      <c r="VBZ64" s="144"/>
      <c r="VCA64" s="144"/>
      <c r="VCB64" s="144"/>
      <c r="VCC64" s="144"/>
      <c r="VCD64" s="144"/>
      <c r="VCE64" s="144"/>
      <c r="VCF64" s="144"/>
      <c r="VCG64" s="144"/>
      <c r="VCH64" s="144"/>
      <c r="VCI64" s="144"/>
      <c r="VCJ64" s="144"/>
      <c r="VCK64" s="144"/>
      <c r="VCL64" s="144"/>
      <c r="VCM64" s="144"/>
      <c r="VCN64" s="144"/>
      <c r="VCO64" s="144"/>
      <c r="VCP64" s="144"/>
      <c r="VCQ64" s="144"/>
      <c r="VCR64" s="144"/>
      <c r="VCS64" s="144"/>
      <c r="VCT64" s="144"/>
      <c r="VCU64" s="144"/>
      <c r="VCV64" s="144"/>
      <c r="VCW64" s="144"/>
      <c r="VCX64" s="144"/>
      <c r="VCY64" s="144"/>
      <c r="VCZ64" s="144"/>
      <c r="VDA64" s="144"/>
      <c r="VDB64" s="144"/>
      <c r="VDC64" s="144"/>
      <c r="VDD64" s="144"/>
      <c r="VDE64" s="144"/>
      <c r="VDF64" s="144"/>
      <c r="VDG64" s="144"/>
      <c r="VDH64" s="144"/>
      <c r="VDI64" s="144"/>
      <c r="VDJ64" s="144"/>
      <c r="VDK64" s="144"/>
      <c r="VDL64" s="144"/>
      <c r="VDM64" s="144"/>
      <c r="VDN64" s="144"/>
      <c r="VDO64" s="144"/>
      <c r="VDP64" s="144"/>
      <c r="VDQ64" s="144"/>
      <c r="VDR64" s="144"/>
      <c r="VDS64" s="144"/>
      <c r="VDT64" s="144"/>
      <c r="VDU64" s="144"/>
      <c r="VDV64" s="144"/>
      <c r="VDW64" s="144"/>
      <c r="VDX64" s="144"/>
      <c r="VDY64" s="144"/>
      <c r="VDZ64" s="144"/>
      <c r="VEA64" s="144"/>
      <c r="VEB64" s="144"/>
      <c r="VEC64" s="144"/>
      <c r="VED64" s="144"/>
      <c r="VEE64" s="144"/>
      <c r="VEF64" s="144"/>
      <c r="VEG64" s="144"/>
      <c r="VEH64" s="144"/>
      <c r="VEI64" s="144"/>
      <c r="VEJ64" s="144"/>
      <c r="VEK64" s="144"/>
      <c r="VEL64" s="144"/>
      <c r="VEM64" s="144"/>
      <c r="VEN64" s="144"/>
      <c r="VEO64" s="144"/>
      <c r="VEP64" s="144"/>
      <c r="VEQ64" s="144"/>
      <c r="VER64" s="144"/>
      <c r="VES64" s="144"/>
      <c r="VET64" s="144"/>
      <c r="VEU64" s="144"/>
      <c r="VEV64" s="144"/>
      <c r="VEW64" s="144"/>
      <c r="VEX64" s="144"/>
      <c r="VEY64" s="144"/>
      <c r="VEZ64" s="144"/>
      <c r="VFA64" s="144"/>
      <c r="VFB64" s="144"/>
      <c r="VFC64" s="144"/>
      <c r="VFD64" s="144"/>
      <c r="VFE64" s="144"/>
      <c r="VFF64" s="144"/>
      <c r="VFG64" s="144"/>
      <c r="VFH64" s="144"/>
      <c r="VFI64" s="144"/>
      <c r="VFJ64" s="144"/>
      <c r="VFK64" s="144"/>
      <c r="VFL64" s="144"/>
      <c r="VFM64" s="144"/>
      <c r="VFN64" s="144"/>
      <c r="VFO64" s="144"/>
      <c r="VFP64" s="144"/>
      <c r="VFQ64" s="144"/>
      <c r="VFR64" s="144"/>
      <c r="VFS64" s="144"/>
      <c r="VFT64" s="144"/>
      <c r="VFU64" s="144"/>
      <c r="VFV64" s="144"/>
      <c r="VFW64" s="144"/>
      <c r="VFX64" s="144"/>
      <c r="VFY64" s="144"/>
      <c r="VFZ64" s="144"/>
      <c r="VGA64" s="144"/>
      <c r="VGB64" s="144"/>
      <c r="VGC64" s="144"/>
      <c r="VGD64" s="144"/>
      <c r="VGE64" s="144"/>
      <c r="VGF64" s="144"/>
      <c r="VGG64" s="144"/>
      <c r="VGH64" s="144"/>
      <c r="VGI64" s="144"/>
      <c r="VGJ64" s="144"/>
      <c r="VGK64" s="144"/>
      <c r="VGL64" s="144"/>
      <c r="VGM64" s="144"/>
      <c r="VGN64" s="144"/>
      <c r="VGO64" s="144"/>
      <c r="VGP64" s="144"/>
      <c r="VGQ64" s="144"/>
      <c r="VGR64" s="144"/>
      <c r="VGS64" s="144"/>
      <c r="VGT64" s="144"/>
      <c r="VGU64" s="144"/>
      <c r="VGV64" s="144"/>
      <c r="VGW64" s="144"/>
      <c r="VGX64" s="144"/>
      <c r="VGY64" s="144"/>
      <c r="VGZ64" s="144"/>
      <c r="VHA64" s="144"/>
      <c r="VHB64" s="144"/>
      <c r="VHC64" s="144"/>
      <c r="VHD64" s="144"/>
      <c r="VHE64" s="144"/>
      <c r="VHF64" s="144"/>
      <c r="VHG64" s="144"/>
      <c r="VHH64" s="144"/>
      <c r="VHI64" s="144"/>
      <c r="VHJ64" s="144"/>
      <c r="VHK64" s="144"/>
      <c r="VHL64" s="144"/>
      <c r="VHM64" s="144"/>
      <c r="VHN64" s="144"/>
      <c r="VHO64" s="144"/>
      <c r="VHP64" s="144"/>
      <c r="VHQ64" s="144"/>
      <c r="VHR64" s="144"/>
      <c r="VHS64" s="144"/>
      <c r="VHT64" s="144"/>
      <c r="VHU64" s="144"/>
      <c r="VHV64" s="144"/>
      <c r="VHW64" s="144"/>
      <c r="VHX64" s="144"/>
      <c r="VHY64" s="144"/>
      <c r="VHZ64" s="144"/>
      <c r="VIA64" s="144"/>
      <c r="VIB64" s="144"/>
      <c r="VIC64" s="144"/>
      <c r="VID64" s="144"/>
      <c r="VIE64" s="144"/>
      <c r="VIF64" s="144"/>
      <c r="VIG64" s="144"/>
      <c r="VIH64" s="144"/>
      <c r="VII64" s="144"/>
      <c r="VIJ64" s="144"/>
      <c r="VIK64" s="144"/>
      <c r="VIL64" s="144"/>
      <c r="VIM64" s="144"/>
      <c r="VIN64" s="144"/>
      <c r="VIO64" s="144"/>
      <c r="VIP64" s="144"/>
      <c r="VIQ64" s="144"/>
      <c r="VIR64" s="144"/>
      <c r="VIS64" s="144"/>
      <c r="VIT64" s="144"/>
      <c r="VIU64" s="144"/>
      <c r="VIV64" s="144"/>
      <c r="VIW64" s="144"/>
      <c r="VIX64" s="144"/>
      <c r="VIY64" s="144"/>
      <c r="VIZ64" s="144"/>
      <c r="VJA64" s="144"/>
      <c r="VJB64" s="144"/>
      <c r="VJC64" s="144"/>
      <c r="VJD64" s="144"/>
      <c r="VJE64" s="144"/>
      <c r="VJF64" s="144"/>
      <c r="VJG64" s="144"/>
      <c r="VJH64" s="144"/>
      <c r="VJI64" s="144"/>
      <c r="VJJ64" s="144"/>
      <c r="VJK64" s="144"/>
      <c r="VJL64" s="144"/>
      <c r="VJM64" s="144"/>
      <c r="VJN64" s="144"/>
      <c r="VJO64" s="144"/>
      <c r="VJP64" s="144"/>
      <c r="VJQ64" s="144"/>
      <c r="VJR64" s="144"/>
      <c r="VJS64" s="144"/>
      <c r="VJT64" s="144"/>
      <c r="VJU64" s="144"/>
      <c r="VJV64" s="144"/>
      <c r="VJW64" s="144"/>
      <c r="VJX64" s="144"/>
      <c r="VJY64" s="144"/>
      <c r="VJZ64" s="144"/>
      <c r="VKA64" s="144"/>
      <c r="VKB64" s="144"/>
      <c r="VKC64" s="144"/>
      <c r="VKD64" s="144"/>
      <c r="VKE64" s="144"/>
      <c r="VKF64" s="144"/>
      <c r="VKG64" s="144"/>
      <c r="VKH64" s="144"/>
      <c r="VKI64" s="144"/>
      <c r="VKJ64" s="144"/>
      <c r="VKK64" s="144"/>
      <c r="VKL64" s="144"/>
      <c r="VKM64" s="144"/>
      <c r="VKN64" s="144"/>
      <c r="VKO64" s="144"/>
      <c r="VKP64" s="144"/>
      <c r="VKQ64" s="144"/>
      <c r="VKR64" s="144"/>
      <c r="VKS64" s="144"/>
      <c r="VKT64" s="144"/>
      <c r="VKU64" s="144"/>
      <c r="VKV64" s="144"/>
      <c r="VKW64" s="144"/>
      <c r="VKX64" s="144"/>
      <c r="VKY64" s="144"/>
      <c r="VKZ64" s="144"/>
      <c r="VLA64" s="144"/>
      <c r="VLB64" s="144"/>
      <c r="VLC64" s="144"/>
      <c r="VLD64" s="144"/>
      <c r="VLE64" s="144"/>
      <c r="VLF64" s="144"/>
      <c r="VLG64" s="144"/>
      <c r="VLH64" s="144"/>
      <c r="VLI64" s="144"/>
      <c r="VLJ64" s="144"/>
      <c r="VLK64" s="144"/>
      <c r="VLL64" s="144"/>
      <c r="VLM64" s="144"/>
      <c r="VLN64" s="144"/>
      <c r="VLO64" s="144"/>
      <c r="VLP64" s="144"/>
      <c r="VLQ64" s="144"/>
      <c r="VLR64" s="144"/>
      <c r="VLS64" s="144"/>
      <c r="VLT64" s="144"/>
      <c r="VLU64" s="144"/>
      <c r="VLV64" s="144"/>
      <c r="VLW64" s="144"/>
      <c r="VLX64" s="144"/>
      <c r="VLY64" s="144"/>
      <c r="VLZ64" s="144"/>
      <c r="VMA64" s="144"/>
      <c r="VMB64" s="144"/>
      <c r="VMC64" s="144"/>
      <c r="VMD64" s="144"/>
      <c r="VME64" s="144"/>
      <c r="VMF64" s="144"/>
      <c r="VMG64" s="144"/>
      <c r="VMH64" s="144"/>
      <c r="VMI64" s="144"/>
      <c r="VMJ64" s="144"/>
      <c r="VMK64" s="144"/>
      <c r="VML64" s="144"/>
      <c r="VMM64" s="144"/>
      <c r="VMN64" s="144"/>
      <c r="VMO64" s="144"/>
      <c r="VMP64" s="144"/>
      <c r="VMQ64" s="144"/>
      <c r="VMR64" s="144"/>
      <c r="VMS64" s="144"/>
      <c r="VMT64" s="144"/>
      <c r="VMU64" s="144"/>
      <c r="VMV64" s="144"/>
      <c r="VMW64" s="144"/>
      <c r="VMX64" s="144"/>
      <c r="VMY64" s="144"/>
      <c r="VMZ64" s="144"/>
      <c r="VNA64" s="144"/>
      <c r="VNB64" s="144"/>
      <c r="VNC64" s="144"/>
      <c r="VND64" s="144"/>
      <c r="VNE64" s="144"/>
      <c r="VNF64" s="144"/>
      <c r="VNG64" s="144"/>
      <c r="VNH64" s="144"/>
      <c r="VNI64" s="144"/>
      <c r="VNJ64" s="144"/>
      <c r="VNK64" s="144"/>
      <c r="VNL64" s="144"/>
      <c r="VNM64" s="144"/>
      <c r="VNN64" s="144"/>
      <c r="VNO64" s="144"/>
      <c r="VNP64" s="144"/>
      <c r="VNQ64" s="144"/>
      <c r="VNR64" s="144"/>
      <c r="VNS64" s="144"/>
      <c r="VNT64" s="144"/>
      <c r="VNU64" s="144"/>
      <c r="VNV64" s="144"/>
      <c r="VNW64" s="144"/>
      <c r="VNX64" s="144"/>
      <c r="VNY64" s="144"/>
      <c r="VNZ64" s="144"/>
      <c r="VOA64" s="144"/>
      <c r="VOB64" s="144"/>
      <c r="VOC64" s="144"/>
      <c r="VOD64" s="144"/>
      <c r="VOE64" s="144"/>
      <c r="VOF64" s="144"/>
      <c r="VOG64" s="144"/>
      <c r="VOH64" s="144"/>
      <c r="VOI64" s="144"/>
      <c r="VOJ64" s="144"/>
      <c r="VOK64" s="144"/>
      <c r="VOL64" s="144"/>
      <c r="VOM64" s="144"/>
      <c r="VON64" s="144"/>
      <c r="VOO64" s="144"/>
      <c r="VOP64" s="144"/>
      <c r="VOQ64" s="144"/>
      <c r="VOR64" s="144"/>
      <c r="VOS64" s="144"/>
      <c r="VOT64" s="144"/>
      <c r="VOU64" s="144"/>
      <c r="VOV64" s="144"/>
      <c r="VOW64" s="144"/>
      <c r="VOX64" s="144"/>
      <c r="VOY64" s="144"/>
      <c r="VOZ64" s="144"/>
      <c r="VPA64" s="144"/>
      <c r="VPB64" s="144"/>
      <c r="VPC64" s="144"/>
      <c r="VPD64" s="144"/>
      <c r="VPE64" s="144"/>
      <c r="VPF64" s="144"/>
      <c r="VPG64" s="144"/>
      <c r="VPH64" s="144"/>
      <c r="VPI64" s="144"/>
      <c r="VPJ64" s="144"/>
      <c r="VPK64" s="144"/>
      <c r="VPL64" s="144"/>
      <c r="VPM64" s="144"/>
      <c r="VPN64" s="144"/>
      <c r="VPO64" s="144"/>
      <c r="VPP64" s="144"/>
      <c r="VPQ64" s="144"/>
      <c r="VPR64" s="144"/>
      <c r="VPS64" s="144"/>
      <c r="VPT64" s="144"/>
      <c r="VPU64" s="144"/>
      <c r="VPV64" s="144"/>
      <c r="VPW64" s="144"/>
      <c r="VPX64" s="144"/>
      <c r="VPY64" s="144"/>
      <c r="VPZ64" s="144"/>
      <c r="VQA64" s="144"/>
      <c r="VQB64" s="144"/>
      <c r="VQC64" s="144"/>
      <c r="VQD64" s="144"/>
      <c r="VQE64" s="144"/>
      <c r="VQF64" s="144"/>
      <c r="VQG64" s="144"/>
      <c r="VQH64" s="144"/>
      <c r="VQI64" s="144"/>
      <c r="VQJ64" s="144"/>
      <c r="VQK64" s="144"/>
      <c r="VQL64" s="144"/>
      <c r="VQM64" s="144"/>
      <c r="VQN64" s="144"/>
      <c r="VQO64" s="144"/>
      <c r="VQP64" s="144"/>
      <c r="VQQ64" s="144"/>
      <c r="VQR64" s="144"/>
      <c r="VQS64" s="144"/>
      <c r="VQT64" s="144"/>
      <c r="VQU64" s="144"/>
      <c r="VQV64" s="144"/>
      <c r="VQW64" s="144"/>
      <c r="VQX64" s="144"/>
      <c r="VQY64" s="144"/>
      <c r="VQZ64" s="144"/>
      <c r="VRA64" s="144"/>
      <c r="VRB64" s="144"/>
      <c r="VRC64" s="144"/>
      <c r="VRD64" s="144"/>
      <c r="VRE64" s="144"/>
      <c r="VRF64" s="144"/>
      <c r="VRG64" s="144"/>
      <c r="VRH64" s="144"/>
      <c r="VRI64" s="144"/>
      <c r="VRJ64" s="144"/>
      <c r="VRK64" s="144"/>
      <c r="VRL64" s="144"/>
      <c r="VRM64" s="144"/>
      <c r="VRN64" s="144"/>
      <c r="VRO64" s="144"/>
      <c r="VRP64" s="144"/>
      <c r="VRQ64" s="144"/>
      <c r="VRR64" s="144"/>
      <c r="VRS64" s="144"/>
      <c r="VRT64" s="144"/>
      <c r="VRU64" s="144"/>
      <c r="VRV64" s="144"/>
      <c r="VRW64" s="144"/>
      <c r="VRX64" s="144"/>
      <c r="VRY64" s="144"/>
      <c r="VRZ64" s="144"/>
      <c r="VSA64" s="144"/>
      <c r="VSB64" s="144"/>
      <c r="VSC64" s="144"/>
      <c r="VSD64" s="144"/>
      <c r="VSE64" s="144"/>
      <c r="VSF64" s="144"/>
      <c r="VSG64" s="144"/>
      <c r="VSH64" s="144"/>
      <c r="VSI64" s="144"/>
      <c r="VSJ64" s="144"/>
      <c r="VSK64" s="144"/>
      <c r="VSL64" s="144"/>
      <c r="VSM64" s="144"/>
      <c r="VSN64" s="144"/>
      <c r="VSO64" s="144"/>
      <c r="VSP64" s="144"/>
      <c r="VSQ64" s="144"/>
      <c r="VSR64" s="144"/>
      <c r="VSS64" s="144"/>
      <c r="VST64" s="144"/>
      <c r="VSU64" s="144"/>
      <c r="VSV64" s="144"/>
      <c r="VSW64" s="144"/>
      <c r="VSX64" s="144"/>
      <c r="VSY64" s="144"/>
      <c r="VSZ64" s="144"/>
      <c r="VTA64" s="144"/>
      <c r="VTB64" s="144"/>
      <c r="VTC64" s="144"/>
      <c r="VTD64" s="144"/>
      <c r="VTE64" s="144"/>
      <c r="VTF64" s="144"/>
      <c r="VTG64" s="144"/>
      <c r="VTH64" s="144"/>
      <c r="VTI64" s="144"/>
      <c r="VTJ64" s="144"/>
      <c r="VTK64" s="144"/>
      <c r="VTL64" s="144"/>
      <c r="VTM64" s="144"/>
      <c r="VTN64" s="144"/>
      <c r="VTO64" s="144"/>
      <c r="VTP64" s="144"/>
      <c r="VTQ64" s="144"/>
      <c r="VTR64" s="144"/>
      <c r="VTS64" s="144"/>
      <c r="VTT64" s="144"/>
      <c r="VTU64" s="144"/>
      <c r="VTV64" s="144"/>
      <c r="VTW64" s="144"/>
      <c r="VTX64" s="144"/>
      <c r="VTY64" s="144"/>
      <c r="VTZ64" s="144"/>
      <c r="VUA64" s="144"/>
      <c r="VUB64" s="144"/>
      <c r="VUC64" s="144"/>
      <c r="VUD64" s="144"/>
      <c r="VUE64" s="144"/>
      <c r="VUF64" s="144"/>
      <c r="VUG64" s="144"/>
      <c r="VUH64" s="144"/>
      <c r="VUI64" s="144"/>
      <c r="VUJ64" s="144"/>
      <c r="VUK64" s="144"/>
      <c r="VUL64" s="144"/>
      <c r="VUM64" s="144"/>
      <c r="VUN64" s="144"/>
      <c r="VUO64" s="144"/>
      <c r="VUP64" s="144"/>
      <c r="VUQ64" s="144"/>
      <c r="VUR64" s="144"/>
      <c r="VUS64" s="144"/>
      <c r="VUT64" s="144"/>
      <c r="VUU64" s="144"/>
      <c r="VUV64" s="144"/>
      <c r="VUW64" s="144"/>
      <c r="VUX64" s="144"/>
      <c r="VUY64" s="144"/>
      <c r="VUZ64" s="144"/>
      <c r="VVA64" s="144"/>
      <c r="VVB64" s="144"/>
      <c r="VVC64" s="144"/>
      <c r="VVD64" s="144"/>
      <c r="VVE64" s="144"/>
      <c r="VVF64" s="144"/>
      <c r="VVG64" s="144"/>
      <c r="VVH64" s="144"/>
      <c r="VVI64" s="144"/>
      <c r="VVJ64" s="144"/>
      <c r="VVK64" s="144"/>
      <c r="VVL64" s="144"/>
      <c r="VVM64" s="144"/>
      <c r="VVN64" s="144"/>
      <c r="VVO64" s="144"/>
      <c r="VVP64" s="144"/>
      <c r="VVQ64" s="144"/>
      <c r="VVR64" s="144"/>
      <c r="VVS64" s="144"/>
      <c r="VVT64" s="144"/>
      <c r="VVU64" s="144"/>
      <c r="VVV64" s="144"/>
      <c r="VVW64" s="144"/>
      <c r="VVX64" s="144"/>
      <c r="VVY64" s="144"/>
      <c r="VVZ64" s="144"/>
      <c r="VWA64" s="144"/>
      <c r="VWB64" s="144"/>
      <c r="VWC64" s="144"/>
      <c r="VWD64" s="144"/>
      <c r="VWE64" s="144"/>
      <c r="VWF64" s="144"/>
      <c r="VWG64" s="144"/>
      <c r="VWH64" s="144"/>
      <c r="VWI64" s="144"/>
      <c r="VWJ64" s="144"/>
      <c r="VWK64" s="144"/>
      <c r="VWL64" s="144"/>
      <c r="VWM64" s="144"/>
      <c r="VWN64" s="144"/>
      <c r="VWO64" s="144"/>
      <c r="VWP64" s="144"/>
      <c r="VWQ64" s="144"/>
      <c r="VWR64" s="144"/>
      <c r="VWS64" s="144"/>
      <c r="VWT64" s="144"/>
      <c r="VWU64" s="144"/>
      <c r="VWV64" s="144"/>
      <c r="VWW64" s="144"/>
      <c r="VWX64" s="144"/>
      <c r="VWY64" s="144"/>
      <c r="VWZ64" s="144"/>
      <c r="VXA64" s="144"/>
      <c r="VXB64" s="144"/>
      <c r="VXC64" s="144"/>
      <c r="VXD64" s="144"/>
      <c r="VXE64" s="144"/>
      <c r="VXF64" s="144"/>
      <c r="VXG64" s="144"/>
      <c r="VXH64" s="144"/>
      <c r="VXI64" s="144"/>
      <c r="VXJ64" s="144"/>
      <c r="VXK64" s="144"/>
      <c r="VXL64" s="144"/>
      <c r="VXM64" s="144"/>
      <c r="VXN64" s="144"/>
      <c r="VXO64" s="144"/>
      <c r="VXP64" s="144"/>
      <c r="VXQ64" s="144"/>
      <c r="VXR64" s="144"/>
      <c r="VXS64" s="144"/>
      <c r="VXT64" s="144"/>
      <c r="VXU64" s="144"/>
      <c r="VXV64" s="144"/>
      <c r="VXW64" s="144"/>
      <c r="VXX64" s="144"/>
      <c r="VXY64" s="144"/>
      <c r="VXZ64" s="144"/>
      <c r="VYA64" s="144"/>
      <c r="VYB64" s="144"/>
      <c r="VYC64" s="144"/>
      <c r="VYD64" s="144"/>
      <c r="VYE64" s="144"/>
      <c r="VYF64" s="144"/>
      <c r="VYG64" s="144"/>
      <c r="VYH64" s="144"/>
      <c r="VYI64" s="144"/>
      <c r="VYJ64" s="144"/>
      <c r="VYK64" s="144"/>
      <c r="VYL64" s="144"/>
      <c r="VYM64" s="144"/>
      <c r="VYN64" s="144"/>
      <c r="VYO64" s="144"/>
      <c r="VYP64" s="144"/>
      <c r="VYQ64" s="144"/>
      <c r="VYR64" s="144"/>
      <c r="VYS64" s="144"/>
      <c r="VYT64" s="144"/>
      <c r="VYU64" s="144"/>
      <c r="VYV64" s="144"/>
      <c r="VYW64" s="144"/>
      <c r="VYX64" s="144"/>
      <c r="VYY64" s="144"/>
      <c r="VYZ64" s="144"/>
      <c r="VZA64" s="144"/>
      <c r="VZB64" s="144"/>
      <c r="VZC64" s="144"/>
      <c r="VZD64" s="144"/>
      <c r="VZE64" s="144"/>
      <c r="VZF64" s="144"/>
      <c r="VZG64" s="144"/>
      <c r="VZH64" s="144"/>
      <c r="VZI64" s="144"/>
      <c r="VZJ64" s="144"/>
      <c r="VZK64" s="144"/>
      <c r="VZL64" s="144"/>
      <c r="VZM64" s="144"/>
      <c r="VZN64" s="144"/>
      <c r="VZO64" s="144"/>
      <c r="VZP64" s="144"/>
      <c r="VZQ64" s="144"/>
      <c r="VZR64" s="144"/>
      <c r="VZS64" s="144"/>
      <c r="VZT64" s="144"/>
      <c r="VZU64" s="144"/>
      <c r="VZV64" s="144"/>
      <c r="VZW64" s="144"/>
      <c r="VZX64" s="144"/>
      <c r="VZY64" s="144"/>
      <c r="VZZ64" s="144"/>
      <c r="WAA64" s="144"/>
      <c r="WAB64" s="144"/>
      <c r="WAC64" s="144"/>
      <c r="WAD64" s="144"/>
      <c r="WAE64" s="144"/>
      <c r="WAF64" s="144"/>
      <c r="WAG64" s="144"/>
      <c r="WAH64" s="144"/>
      <c r="WAI64" s="144"/>
      <c r="WAJ64" s="144"/>
      <c r="WAK64" s="144"/>
      <c r="WAL64" s="144"/>
      <c r="WAM64" s="144"/>
      <c r="WAN64" s="144"/>
      <c r="WAO64" s="144"/>
      <c r="WAP64" s="144"/>
      <c r="WAQ64" s="144"/>
      <c r="WAR64" s="144"/>
      <c r="WAS64" s="144"/>
      <c r="WAT64" s="144"/>
      <c r="WAU64" s="144"/>
      <c r="WAV64" s="144"/>
      <c r="WAW64" s="144"/>
      <c r="WAX64" s="144"/>
      <c r="WAY64" s="144"/>
      <c r="WAZ64" s="144"/>
      <c r="WBA64" s="144"/>
      <c r="WBB64" s="144"/>
      <c r="WBC64" s="144"/>
      <c r="WBD64" s="144"/>
      <c r="WBE64" s="144"/>
      <c r="WBF64" s="144"/>
      <c r="WBG64" s="144"/>
      <c r="WBH64" s="144"/>
      <c r="WBI64" s="144"/>
      <c r="WBJ64" s="144"/>
      <c r="WBK64" s="144"/>
      <c r="WBL64" s="144"/>
      <c r="WBM64" s="144"/>
      <c r="WBN64" s="144"/>
      <c r="WBO64" s="144"/>
      <c r="WBP64" s="144"/>
      <c r="WBQ64" s="144"/>
      <c r="WBR64" s="144"/>
      <c r="WBS64" s="144"/>
      <c r="WBT64" s="144"/>
      <c r="WBU64" s="144"/>
      <c r="WBV64" s="144"/>
      <c r="WBW64" s="144"/>
      <c r="WBX64" s="144"/>
      <c r="WBY64" s="144"/>
      <c r="WBZ64" s="144"/>
      <c r="WCA64" s="144"/>
      <c r="WCB64" s="144"/>
      <c r="WCC64" s="144"/>
      <c r="WCD64" s="144"/>
      <c r="WCE64" s="144"/>
      <c r="WCF64" s="144"/>
      <c r="WCG64" s="144"/>
      <c r="WCH64" s="144"/>
      <c r="WCI64" s="144"/>
      <c r="WCJ64" s="144"/>
      <c r="WCK64" s="144"/>
      <c r="WCL64" s="144"/>
      <c r="WCM64" s="144"/>
      <c r="WCN64" s="144"/>
      <c r="WCO64" s="144"/>
      <c r="WCP64" s="144"/>
      <c r="WCQ64" s="144"/>
      <c r="WCR64" s="144"/>
      <c r="WCS64" s="144"/>
      <c r="WCT64" s="144"/>
      <c r="WCU64" s="144"/>
      <c r="WCV64" s="144"/>
      <c r="WCW64" s="144"/>
      <c r="WCX64" s="144"/>
      <c r="WCY64" s="144"/>
      <c r="WCZ64" s="144"/>
      <c r="WDA64" s="144"/>
      <c r="WDB64" s="144"/>
      <c r="WDC64" s="144"/>
      <c r="WDD64" s="144"/>
      <c r="WDE64" s="144"/>
      <c r="WDF64" s="144"/>
      <c r="WDG64" s="144"/>
      <c r="WDH64" s="144"/>
      <c r="WDI64" s="144"/>
      <c r="WDJ64" s="144"/>
      <c r="WDK64" s="144"/>
      <c r="WDL64" s="144"/>
      <c r="WDM64" s="144"/>
      <c r="WDN64" s="144"/>
      <c r="WDO64" s="144"/>
      <c r="WDP64" s="144"/>
      <c r="WDQ64" s="144"/>
      <c r="WDR64" s="144"/>
      <c r="WDS64" s="144"/>
      <c r="WDT64" s="144"/>
      <c r="WDU64" s="144"/>
      <c r="WDV64" s="144"/>
      <c r="WDW64" s="144"/>
      <c r="WDX64" s="144"/>
      <c r="WDY64" s="144"/>
      <c r="WDZ64" s="144"/>
      <c r="WEA64" s="144"/>
      <c r="WEB64" s="144"/>
      <c r="WEC64" s="144"/>
      <c r="WED64" s="144"/>
      <c r="WEE64" s="144"/>
      <c r="WEF64" s="144"/>
      <c r="WEG64" s="144"/>
      <c r="WEH64" s="144"/>
      <c r="WEI64" s="144"/>
      <c r="WEJ64" s="144"/>
      <c r="WEK64" s="144"/>
      <c r="WEL64" s="144"/>
      <c r="WEM64" s="144"/>
      <c r="WEN64" s="144"/>
      <c r="WEO64" s="144"/>
      <c r="WEP64" s="144"/>
      <c r="WEQ64" s="144"/>
      <c r="WER64" s="144"/>
      <c r="WES64" s="144"/>
      <c r="WET64" s="144"/>
      <c r="WEU64" s="144"/>
      <c r="WEV64" s="144"/>
      <c r="WEW64" s="144"/>
      <c r="WEX64" s="144"/>
      <c r="WEY64" s="144"/>
      <c r="WEZ64" s="144"/>
      <c r="WFA64" s="144"/>
      <c r="WFB64" s="144"/>
      <c r="WFC64" s="144"/>
      <c r="WFD64" s="144"/>
      <c r="WFE64" s="144"/>
      <c r="WFF64" s="144"/>
      <c r="WFG64" s="144"/>
      <c r="WFH64" s="144"/>
      <c r="WFI64" s="144"/>
      <c r="WFJ64" s="144"/>
      <c r="WFK64" s="144"/>
      <c r="WFL64" s="144"/>
      <c r="WFM64" s="144"/>
      <c r="WFN64" s="144"/>
      <c r="WFO64" s="144"/>
      <c r="WFP64" s="144"/>
      <c r="WFQ64" s="144"/>
      <c r="WFR64" s="144"/>
      <c r="WFS64" s="144"/>
      <c r="WFT64" s="144"/>
      <c r="WFU64" s="144"/>
      <c r="WFV64" s="144"/>
      <c r="WFW64" s="144"/>
      <c r="WFX64" s="144"/>
      <c r="WFY64" s="144"/>
      <c r="WFZ64" s="144"/>
      <c r="WGA64" s="144"/>
      <c r="WGB64" s="144"/>
      <c r="WGC64" s="144"/>
      <c r="WGD64" s="144"/>
      <c r="WGE64" s="144"/>
      <c r="WGF64" s="144"/>
      <c r="WGG64" s="144"/>
      <c r="WGH64" s="144"/>
      <c r="WGI64" s="144"/>
      <c r="WGJ64" s="144"/>
      <c r="WGK64" s="144"/>
      <c r="WGL64" s="144"/>
      <c r="WGM64" s="144"/>
      <c r="WGN64" s="144"/>
      <c r="WGO64" s="144"/>
      <c r="WGP64" s="144"/>
      <c r="WGQ64" s="144"/>
      <c r="WGR64" s="144"/>
      <c r="WGS64" s="144"/>
      <c r="WGT64" s="144"/>
      <c r="WGU64" s="144"/>
      <c r="WGV64" s="144"/>
      <c r="WGW64" s="144"/>
      <c r="WGX64" s="144"/>
      <c r="WGY64" s="144"/>
      <c r="WGZ64" s="144"/>
      <c r="WHA64" s="144"/>
      <c r="WHB64" s="144"/>
      <c r="WHC64" s="144"/>
      <c r="WHD64" s="144"/>
      <c r="WHE64" s="144"/>
      <c r="WHF64" s="144"/>
      <c r="WHG64" s="144"/>
      <c r="WHH64" s="144"/>
      <c r="WHI64" s="144"/>
      <c r="WHJ64" s="144"/>
      <c r="WHK64" s="144"/>
      <c r="WHL64" s="144"/>
      <c r="WHM64" s="144"/>
      <c r="WHN64" s="144"/>
      <c r="WHO64" s="144"/>
      <c r="WHP64" s="144"/>
      <c r="WHQ64" s="144"/>
      <c r="WHR64" s="144"/>
      <c r="WHS64" s="144"/>
      <c r="WHT64" s="144"/>
      <c r="WHU64" s="144"/>
      <c r="WHV64" s="144"/>
      <c r="WHW64" s="144"/>
      <c r="WHX64" s="144"/>
      <c r="WHY64" s="144"/>
      <c r="WHZ64" s="144"/>
      <c r="WIA64" s="144"/>
      <c r="WIB64" s="144"/>
      <c r="WIC64" s="144"/>
      <c r="WID64" s="144"/>
      <c r="WIE64" s="144"/>
      <c r="WIF64" s="144"/>
      <c r="WIG64" s="144"/>
      <c r="WIH64" s="144"/>
      <c r="WII64" s="144"/>
      <c r="WIJ64" s="144"/>
      <c r="WIK64" s="144"/>
      <c r="WIL64" s="144"/>
      <c r="WIM64" s="144"/>
      <c r="WIN64" s="144"/>
      <c r="WIO64" s="144"/>
      <c r="WIP64" s="144"/>
      <c r="WIQ64" s="144"/>
      <c r="WIR64" s="144"/>
      <c r="WIS64" s="144"/>
      <c r="WIT64" s="144"/>
      <c r="WIU64" s="144"/>
      <c r="WIV64" s="144"/>
      <c r="WIW64" s="144"/>
      <c r="WIX64" s="144"/>
      <c r="WIY64" s="144"/>
      <c r="WIZ64" s="144"/>
      <c r="WJA64" s="144"/>
      <c r="WJB64" s="144"/>
      <c r="WJC64" s="144"/>
      <c r="WJD64" s="144"/>
      <c r="WJE64" s="144"/>
      <c r="WJF64" s="144"/>
      <c r="WJG64" s="144"/>
      <c r="WJH64" s="144"/>
      <c r="WJI64" s="144"/>
      <c r="WJJ64" s="144"/>
      <c r="WJK64" s="144"/>
      <c r="WJL64" s="144"/>
      <c r="WJM64" s="144"/>
      <c r="WJN64" s="144"/>
      <c r="WJO64" s="144"/>
      <c r="WJP64" s="144"/>
      <c r="WJQ64" s="144"/>
      <c r="WJR64" s="144"/>
      <c r="WJS64" s="144"/>
      <c r="WJT64" s="144"/>
      <c r="WJU64" s="144"/>
      <c r="WJV64" s="144"/>
      <c r="WJW64" s="144"/>
      <c r="WJX64" s="144"/>
      <c r="WJY64" s="144"/>
      <c r="WJZ64" s="144"/>
      <c r="WKA64" s="144"/>
      <c r="WKB64" s="144"/>
      <c r="WKC64" s="144"/>
      <c r="WKD64" s="144"/>
      <c r="WKE64" s="144"/>
      <c r="WKF64" s="144"/>
      <c r="WKG64" s="144"/>
      <c r="WKH64" s="144"/>
      <c r="WKI64" s="144"/>
      <c r="WKJ64" s="144"/>
      <c r="WKK64" s="144"/>
      <c r="WKL64" s="144"/>
      <c r="WKM64" s="144"/>
      <c r="WKN64" s="144"/>
      <c r="WKO64" s="144"/>
      <c r="WKP64" s="144"/>
      <c r="WKQ64" s="144"/>
      <c r="WKR64" s="144"/>
      <c r="WKS64" s="144"/>
      <c r="WKT64" s="144"/>
      <c r="WKU64" s="144"/>
      <c r="WKV64" s="144"/>
      <c r="WKW64" s="144"/>
      <c r="WKX64" s="144"/>
      <c r="WKY64" s="144"/>
      <c r="WKZ64" s="144"/>
      <c r="WLA64" s="144"/>
      <c r="WLB64" s="144"/>
      <c r="WLC64" s="144"/>
      <c r="WLD64" s="144"/>
      <c r="WLE64" s="144"/>
      <c r="WLF64" s="144"/>
      <c r="WLG64" s="144"/>
      <c r="WLH64" s="144"/>
      <c r="WLI64" s="144"/>
      <c r="WLJ64" s="144"/>
      <c r="WLK64" s="144"/>
      <c r="WLL64" s="144"/>
      <c r="WLM64" s="144"/>
      <c r="WLN64" s="144"/>
      <c r="WLO64" s="144"/>
      <c r="WLP64" s="144"/>
      <c r="WLQ64" s="144"/>
      <c r="WLR64" s="144"/>
      <c r="WLS64" s="144"/>
      <c r="WLT64" s="144"/>
      <c r="WLU64" s="144"/>
      <c r="WLV64" s="144"/>
      <c r="WLW64" s="144"/>
      <c r="WLX64" s="144"/>
      <c r="WLY64" s="144"/>
      <c r="WLZ64" s="144"/>
      <c r="WMA64" s="144"/>
      <c r="WMB64" s="144"/>
      <c r="WMC64" s="144"/>
      <c r="WMD64" s="144"/>
      <c r="WME64" s="144"/>
      <c r="WMF64" s="144"/>
      <c r="WMG64" s="144"/>
      <c r="WMH64" s="144"/>
      <c r="WMI64" s="144"/>
      <c r="WMJ64" s="144"/>
      <c r="WMK64" s="144"/>
      <c r="WML64" s="144"/>
      <c r="WMM64" s="144"/>
      <c r="WMN64" s="144"/>
      <c r="WMO64" s="144"/>
      <c r="WMP64" s="144"/>
      <c r="WMQ64" s="144"/>
      <c r="WMR64" s="144"/>
      <c r="WMS64" s="144"/>
      <c r="WMT64" s="144"/>
      <c r="WMU64" s="144"/>
      <c r="WMV64" s="144"/>
      <c r="WMW64" s="144"/>
      <c r="WMX64" s="144"/>
      <c r="WMY64" s="144"/>
      <c r="WMZ64" s="144"/>
      <c r="WNA64" s="144"/>
      <c r="WNB64" s="144"/>
      <c r="WNC64" s="144"/>
      <c r="WND64" s="144"/>
      <c r="WNE64" s="144"/>
      <c r="WNF64" s="144"/>
      <c r="WNG64" s="144"/>
      <c r="WNH64" s="144"/>
      <c r="WNI64" s="144"/>
      <c r="WNJ64" s="144"/>
      <c r="WNK64" s="144"/>
      <c r="WNL64" s="144"/>
      <c r="WNM64" s="144"/>
      <c r="WNN64" s="144"/>
      <c r="WNO64" s="144"/>
      <c r="WNP64" s="144"/>
      <c r="WNQ64" s="144"/>
      <c r="WNR64" s="144"/>
      <c r="WNS64" s="144"/>
      <c r="WNT64" s="144"/>
      <c r="WNU64" s="144"/>
      <c r="WNV64" s="144"/>
      <c r="WNW64" s="144"/>
      <c r="WNX64" s="144"/>
      <c r="WNY64" s="144"/>
      <c r="WNZ64" s="144"/>
      <c r="WOA64" s="144"/>
      <c r="WOB64" s="144"/>
      <c r="WOC64" s="144"/>
      <c r="WOD64" s="144"/>
      <c r="WOE64" s="144"/>
      <c r="WOF64" s="144"/>
      <c r="WOG64" s="144"/>
      <c r="WOH64" s="144"/>
      <c r="WOI64" s="144"/>
      <c r="WOJ64" s="144"/>
      <c r="WOK64" s="144"/>
      <c r="WOL64" s="144"/>
      <c r="WOM64" s="144"/>
      <c r="WON64" s="144"/>
      <c r="WOO64" s="144"/>
      <c r="WOP64" s="144"/>
      <c r="WOQ64" s="144"/>
      <c r="WOR64" s="144"/>
      <c r="WOS64" s="144"/>
      <c r="WOT64" s="144"/>
      <c r="WOU64" s="144"/>
      <c r="WOV64" s="144"/>
      <c r="WOW64" s="144"/>
      <c r="WOX64" s="144"/>
      <c r="WOY64" s="144"/>
      <c r="WOZ64" s="144"/>
      <c r="WPA64" s="144"/>
      <c r="WPB64" s="144"/>
      <c r="WPC64" s="144"/>
      <c r="WPD64" s="144"/>
      <c r="WPE64" s="144"/>
      <c r="WPF64" s="144"/>
      <c r="WPG64" s="144"/>
      <c r="WPH64" s="144"/>
      <c r="WPI64" s="144"/>
      <c r="WPJ64" s="144"/>
      <c r="WPK64" s="144"/>
      <c r="WPL64" s="144"/>
      <c r="WPM64" s="144"/>
      <c r="WPN64" s="144"/>
      <c r="WPO64" s="144"/>
      <c r="WPP64" s="144"/>
      <c r="WPQ64" s="144"/>
      <c r="WPR64" s="144"/>
      <c r="WPS64" s="144"/>
      <c r="WPT64" s="144"/>
      <c r="WPU64" s="144"/>
      <c r="WPV64" s="144"/>
      <c r="WPW64" s="144"/>
      <c r="WPX64" s="144"/>
      <c r="WPY64" s="144"/>
      <c r="WPZ64" s="144"/>
      <c r="WQA64" s="144"/>
      <c r="WQB64" s="144"/>
      <c r="WQC64" s="144"/>
      <c r="WQD64" s="144"/>
      <c r="WQE64" s="144"/>
      <c r="WQF64" s="144"/>
      <c r="WQG64" s="144"/>
      <c r="WQH64" s="144"/>
      <c r="WQI64" s="144"/>
      <c r="WQJ64" s="144"/>
      <c r="WQK64" s="144"/>
      <c r="WQL64" s="144"/>
      <c r="WQM64" s="144"/>
      <c r="WQN64" s="144"/>
      <c r="WQO64" s="144"/>
      <c r="WQP64" s="144"/>
      <c r="WQQ64" s="144"/>
      <c r="WQR64" s="144"/>
      <c r="WQS64" s="144"/>
      <c r="WQT64" s="144"/>
      <c r="WQU64" s="144"/>
      <c r="WQV64" s="144"/>
      <c r="WQW64" s="144"/>
      <c r="WQX64" s="144"/>
      <c r="WQY64" s="144"/>
      <c r="WQZ64" s="144"/>
      <c r="WRA64" s="144"/>
      <c r="WRB64" s="144"/>
      <c r="WRC64" s="144"/>
      <c r="WRD64" s="144"/>
      <c r="WRE64" s="144"/>
      <c r="WRF64" s="144"/>
      <c r="WRG64" s="144"/>
      <c r="WRH64" s="144"/>
      <c r="WRI64" s="144"/>
      <c r="WRJ64" s="144"/>
      <c r="WRK64" s="144"/>
      <c r="WRL64" s="144"/>
      <c r="WRM64" s="144"/>
      <c r="WRN64" s="144"/>
      <c r="WRO64" s="144"/>
      <c r="WRP64" s="144"/>
      <c r="WRQ64" s="144"/>
      <c r="WRR64" s="144"/>
      <c r="WRS64" s="144"/>
      <c r="WRT64" s="144"/>
      <c r="WRU64" s="144"/>
      <c r="WRV64" s="144"/>
      <c r="WRW64" s="144"/>
      <c r="WRX64" s="144"/>
      <c r="WRY64" s="144"/>
      <c r="WRZ64" s="144"/>
      <c r="WSA64" s="144"/>
      <c r="WSB64" s="144"/>
      <c r="WSC64" s="144"/>
      <c r="WSD64" s="144"/>
      <c r="WSE64" s="144"/>
      <c r="WSF64" s="144"/>
      <c r="WSG64" s="144"/>
      <c r="WSH64" s="144"/>
      <c r="WSI64" s="144"/>
      <c r="WSJ64" s="144"/>
      <c r="WSK64" s="144"/>
      <c r="WSL64" s="144"/>
      <c r="WSM64" s="144"/>
      <c r="WSN64" s="144"/>
      <c r="WSO64" s="144"/>
      <c r="WSP64" s="144"/>
      <c r="WSQ64" s="144"/>
      <c r="WSR64" s="144"/>
      <c r="WSS64" s="144"/>
      <c r="WST64" s="144"/>
      <c r="WSU64" s="144"/>
      <c r="WSV64" s="144"/>
      <c r="WSW64" s="144"/>
      <c r="WSX64" s="144"/>
      <c r="WSY64" s="144"/>
      <c r="WSZ64" s="144"/>
      <c r="WTA64" s="144"/>
      <c r="WTB64" s="144"/>
      <c r="WTC64" s="144"/>
      <c r="WTD64" s="144"/>
      <c r="WTE64" s="144"/>
      <c r="WTF64" s="144"/>
      <c r="WTG64" s="144"/>
      <c r="WTH64" s="144"/>
      <c r="WTI64" s="144"/>
      <c r="WTJ64" s="144"/>
      <c r="WTK64" s="144"/>
      <c r="WTL64" s="144"/>
      <c r="WTM64" s="144"/>
      <c r="WTN64" s="144"/>
      <c r="WTO64" s="144"/>
      <c r="WTP64" s="144"/>
      <c r="WTQ64" s="144"/>
      <c r="WTR64" s="144"/>
      <c r="WTS64" s="144"/>
      <c r="WTT64" s="144"/>
      <c r="WTU64" s="144"/>
      <c r="WTV64" s="144"/>
      <c r="WTW64" s="144"/>
      <c r="WTX64" s="144"/>
      <c r="WTY64" s="144"/>
      <c r="WTZ64" s="144"/>
      <c r="WUA64" s="144"/>
      <c r="WUB64" s="144"/>
      <c r="WUC64" s="144"/>
      <c r="WUD64" s="144"/>
      <c r="WUE64" s="144"/>
      <c r="WUF64" s="144"/>
      <c r="WUG64" s="144"/>
      <c r="WUH64" s="144"/>
      <c r="WUI64" s="144"/>
      <c r="WUJ64" s="144"/>
      <c r="WUK64" s="144"/>
      <c r="WUL64" s="144"/>
      <c r="WUM64" s="144"/>
      <c r="WUN64" s="144"/>
      <c r="WUO64" s="144"/>
      <c r="WUP64" s="144"/>
      <c r="WUQ64" s="144"/>
      <c r="WUR64" s="144"/>
      <c r="WUS64" s="144"/>
      <c r="WUT64" s="144"/>
      <c r="WUU64" s="144"/>
      <c r="WUV64" s="144"/>
      <c r="WUW64" s="144"/>
      <c r="WUX64" s="144"/>
      <c r="WUY64" s="144"/>
      <c r="WUZ64" s="144"/>
      <c r="WVA64" s="144"/>
      <c r="WVB64" s="144"/>
      <c r="WVC64" s="144"/>
      <c r="WVD64" s="144"/>
      <c r="WVE64" s="144"/>
      <c r="WVF64" s="144"/>
      <c r="WVG64" s="144"/>
      <c r="WVH64" s="144"/>
      <c r="WVI64" s="144"/>
      <c r="WVJ64" s="144"/>
      <c r="WVK64" s="144"/>
      <c r="WVL64" s="144"/>
      <c r="WVM64" s="144"/>
      <c r="WVN64" s="144"/>
      <c r="WVO64" s="144"/>
      <c r="WVP64" s="144"/>
      <c r="WVQ64" s="144"/>
      <c r="WVR64" s="144"/>
      <c r="WVS64" s="144"/>
      <c r="WVT64" s="144"/>
      <c r="WVU64" s="144"/>
      <c r="WVV64" s="144"/>
      <c r="WVW64" s="144"/>
      <c r="WVX64" s="144"/>
      <c r="WVY64" s="144"/>
      <c r="WVZ64" s="144"/>
      <c r="WWA64" s="144"/>
      <c r="WWB64" s="144"/>
      <c r="WWC64" s="144"/>
      <c r="WWD64" s="144"/>
      <c r="WWE64" s="144"/>
      <c r="WWF64" s="144"/>
      <c r="WWG64" s="144"/>
      <c r="WWH64" s="144"/>
      <c r="WWI64" s="144"/>
      <c r="WWJ64" s="144"/>
      <c r="WWK64" s="144"/>
      <c r="WWL64" s="144"/>
      <c r="WWM64" s="144"/>
      <c r="WWN64" s="144"/>
      <c r="WWO64" s="144"/>
      <c r="WWP64" s="144"/>
      <c r="WWQ64" s="144"/>
      <c r="WWR64" s="144"/>
      <c r="WWS64" s="144"/>
      <c r="WWT64" s="144"/>
      <c r="WWU64" s="144"/>
      <c r="WWV64" s="144"/>
      <c r="WWW64" s="144"/>
      <c r="WWX64" s="144"/>
      <c r="WWY64" s="144"/>
      <c r="WWZ64" s="144"/>
      <c r="WXA64" s="144"/>
      <c r="WXB64" s="144"/>
      <c r="WXC64" s="144"/>
      <c r="WXD64" s="144"/>
      <c r="WXE64" s="144"/>
      <c r="WXF64" s="144"/>
      <c r="WXG64" s="144"/>
      <c r="WXH64" s="144"/>
      <c r="WXI64" s="144"/>
      <c r="WXJ64" s="144"/>
      <c r="WXK64" s="144"/>
      <c r="WXL64" s="144"/>
      <c r="WXM64" s="144"/>
      <c r="WXN64" s="144"/>
      <c r="WXO64" s="144"/>
      <c r="WXP64" s="144"/>
      <c r="WXQ64" s="144"/>
      <c r="WXR64" s="144"/>
      <c r="WXS64" s="144"/>
      <c r="WXT64" s="144"/>
      <c r="WXU64" s="144"/>
      <c r="WXV64" s="144"/>
      <c r="WXW64" s="144"/>
      <c r="WXX64" s="144"/>
      <c r="WXY64" s="144"/>
      <c r="WXZ64" s="144"/>
      <c r="WYA64" s="144"/>
      <c r="WYB64" s="144"/>
      <c r="WYC64" s="144"/>
      <c r="WYD64" s="144"/>
      <c r="WYE64" s="144"/>
      <c r="WYF64" s="144"/>
      <c r="WYG64" s="144"/>
      <c r="WYH64" s="144"/>
      <c r="WYI64" s="144"/>
      <c r="WYJ64" s="144"/>
      <c r="WYK64" s="144"/>
      <c r="WYL64" s="144"/>
      <c r="WYM64" s="144"/>
      <c r="WYN64" s="144"/>
      <c r="WYO64" s="144"/>
      <c r="WYP64" s="144"/>
      <c r="WYQ64" s="144"/>
      <c r="WYR64" s="144"/>
      <c r="WYS64" s="144"/>
      <c r="WYT64" s="144"/>
      <c r="WYU64" s="144"/>
      <c r="WYV64" s="144"/>
      <c r="WYW64" s="144"/>
      <c r="WYX64" s="144"/>
      <c r="WYY64" s="144"/>
      <c r="WYZ64" s="144"/>
      <c r="WZA64" s="144"/>
      <c r="WZB64" s="144"/>
      <c r="WZC64" s="144"/>
      <c r="WZD64" s="144"/>
      <c r="WZE64" s="144"/>
      <c r="WZF64" s="144"/>
      <c r="WZG64" s="144"/>
      <c r="WZH64" s="144"/>
      <c r="WZI64" s="144"/>
      <c r="WZJ64" s="144"/>
      <c r="WZK64" s="144"/>
      <c r="WZL64" s="144"/>
      <c r="WZM64" s="144"/>
      <c r="WZN64" s="144"/>
      <c r="WZO64" s="144"/>
      <c r="WZP64" s="144"/>
      <c r="WZQ64" s="144"/>
      <c r="WZR64" s="144"/>
      <c r="WZS64" s="144"/>
      <c r="WZT64" s="144"/>
      <c r="WZU64" s="144"/>
      <c r="WZV64" s="144"/>
      <c r="WZW64" s="144"/>
      <c r="WZX64" s="144"/>
      <c r="WZY64" s="144"/>
      <c r="WZZ64" s="144"/>
      <c r="XAA64" s="144"/>
      <c r="XAB64" s="144"/>
      <c r="XAC64" s="144"/>
      <c r="XAD64" s="144"/>
      <c r="XAE64" s="144"/>
      <c r="XAF64" s="144"/>
      <c r="XAG64" s="144"/>
      <c r="XAH64" s="144"/>
      <c r="XAI64" s="144"/>
      <c r="XAJ64" s="144"/>
      <c r="XAK64" s="144"/>
      <c r="XAL64" s="144"/>
      <c r="XAM64" s="144"/>
      <c r="XAN64" s="144"/>
      <c r="XAO64" s="144"/>
      <c r="XAP64" s="144"/>
      <c r="XAQ64" s="144"/>
      <c r="XAR64" s="144"/>
      <c r="XAS64" s="144"/>
      <c r="XAT64" s="144"/>
      <c r="XAU64" s="144"/>
      <c r="XAV64" s="144"/>
      <c r="XAW64" s="144"/>
      <c r="XAX64" s="144"/>
      <c r="XAY64" s="144"/>
      <c r="XAZ64" s="144"/>
      <c r="XBA64" s="144"/>
      <c r="XBB64" s="144"/>
      <c r="XBC64" s="144"/>
      <c r="XBD64" s="144"/>
      <c r="XBE64" s="144"/>
      <c r="XBF64" s="144"/>
      <c r="XBG64" s="144"/>
      <c r="XBH64" s="144"/>
      <c r="XBI64" s="144"/>
      <c r="XBJ64" s="144"/>
      <c r="XBK64" s="144"/>
      <c r="XBL64" s="144"/>
      <c r="XBM64" s="144"/>
      <c r="XBN64" s="144"/>
      <c r="XBO64" s="144"/>
      <c r="XBP64" s="144"/>
      <c r="XBQ64" s="144"/>
      <c r="XBR64" s="144"/>
      <c r="XBS64" s="144"/>
      <c r="XBT64" s="144"/>
      <c r="XBU64" s="144"/>
      <c r="XBV64" s="144"/>
      <c r="XBW64" s="144"/>
      <c r="XBX64" s="144"/>
      <c r="XBY64" s="144"/>
      <c r="XBZ64" s="144"/>
      <c r="XCA64" s="144"/>
      <c r="XCB64" s="144"/>
      <c r="XCC64" s="144"/>
      <c r="XCD64" s="144"/>
      <c r="XCE64" s="144"/>
      <c r="XCF64" s="144"/>
      <c r="XCG64" s="144"/>
      <c r="XCH64" s="144"/>
      <c r="XCI64" s="144"/>
      <c r="XCJ64" s="144"/>
      <c r="XCK64" s="144"/>
      <c r="XCL64" s="144"/>
      <c r="XCM64" s="144"/>
      <c r="XCN64" s="144"/>
      <c r="XCO64" s="144"/>
      <c r="XCP64" s="144"/>
      <c r="XCQ64" s="144"/>
      <c r="XCR64" s="144"/>
      <c r="XCS64" s="144"/>
      <c r="XCT64" s="144"/>
      <c r="XCU64" s="144"/>
      <c r="XCV64" s="144"/>
      <c r="XCW64" s="144"/>
      <c r="XCX64" s="144"/>
      <c r="XCY64" s="144"/>
      <c r="XCZ64" s="144"/>
      <c r="XDA64" s="144"/>
      <c r="XDB64" s="144"/>
      <c r="XDC64" s="144"/>
      <c r="XDD64" s="144"/>
      <c r="XDE64" s="144"/>
      <c r="XDF64" s="144"/>
      <c r="XDG64" s="144"/>
      <c r="XDH64" s="144"/>
      <c r="XDI64" s="144"/>
      <c r="XDJ64" s="144"/>
      <c r="XDK64" s="144"/>
      <c r="XDL64" s="144"/>
      <c r="XDM64" s="144"/>
      <c r="XDN64" s="144"/>
      <c r="XDO64" s="144"/>
      <c r="XDP64" s="144"/>
      <c r="XDQ64" s="144"/>
      <c r="XDR64" s="144"/>
      <c r="XDS64" s="144"/>
      <c r="XDT64" s="144"/>
      <c r="XDU64" s="144"/>
      <c r="XDV64" s="144"/>
      <c r="XDW64" s="144"/>
      <c r="XDX64" s="144"/>
      <c r="XDY64" s="144"/>
      <c r="XDZ64" s="144"/>
      <c r="XEA64" s="144"/>
      <c r="XEB64" s="144"/>
      <c r="XEC64" s="144"/>
      <c r="XED64" s="144"/>
      <c r="XEE64" s="144"/>
      <c r="XEF64" s="144"/>
      <c r="XEG64" s="144"/>
      <c r="XEH64" s="144"/>
      <c r="XEI64" s="144"/>
      <c r="XEJ64" s="144"/>
      <c r="XEK64" s="144"/>
      <c r="XEL64" s="144"/>
      <c r="XEM64" s="144"/>
      <c r="XEN64" s="144"/>
      <c r="XEO64" s="144"/>
      <c r="XEP64" s="144"/>
      <c r="XEQ64" s="144"/>
      <c r="XER64" s="144"/>
      <c r="XES64" s="144"/>
      <c r="XET64" s="144"/>
      <c r="XEU64" s="144"/>
      <c r="XEV64" s="144"/>
      <c r="XEW64" s="144"/>
      <c r="XEX64" s="144"/>
      <c r="XEY64" s="144"/>
      <c r="XEZ64" s="144"/>
      <c r="XFA64" s="144"/>
      <c r="XFB64" s="144"/>
      <c r="XFC64" s="144"/>
      <c r="XFD64" s="144"/>
    </row>
    <row r="65" spans="1:16384" s="5" customFormat="1" ht="26.25" x14ac:dyDescent="0.4">
      <c r="A65" s="145" t="s">
        <v>1223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145"/>
      <c r="BN65" s="145"/>
      <c r="BO65" s="145"/>
      <c r="BP65" s="145"/>
      <c r="BQ65" s="145"/>
      <c r="BR65" s="145"/>
      <c r="BS65" s="145"/>
      <c r="BT65" s="145"/>
      <c r="BU65" s="145"/>
      <c r="BV65" s="145"/>
      <c r="BW65" s="145"/>
      <c r="BX65" s="145"/>
      <c r="BY65" s="145"/>
      <c r="BZ65" s="145"/>
      <c r="CA65" s="145"/>
      <c r="CB65" s="145"/>
      <c r="CC65" s="145"/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/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5"/>
      <c r="DB65" s="145"/>
      <c r="DC65" s="145"/>
      <c r="DD65" s="145"/>
      <c r="DE65" s="145"/>
      <c r="DF65" s="145"/>
      <c r="DG65" s="145"/>
      <c r="DH65" s="145"/>
      <c r="DI65" s="145"/>
      <c r="DJ65" s="145"/>
      <c r="DK65" s="145"/>
      <c r="DL65" s="145"/>
      <c r="DM65" s="145"/>
      <c r="DN65" s="145"/>
      <c r="DO65" s="145"/>
      <c r="DP65" s="145"/>
      <c r="DQ65" s="145"/>
      <c r="DR65" s="145"/>
      <c r="DS65" s="145"/>
      <c r="DT65" s="145"/>
      <c r="DU65" s="145"/>
      <c r="DV65" s="145"/>
      <c r="DW65" s="145"/>
      <c r="DX65" s="145"/>
      <c r="DY65" s="145"/>
      <c r="DZ65" s="145"/>
      <c r="EA65" s="145"/>
      <c r="EB65" s="145"/>
      <c r="EC65" s="145"/>
      <c r="ED65" s="145"/>
      <c r="EE65" s="145"/>
      <c r="EF65" s="145"/>
      <c r="EG65" s="145"/>
      <c r="EH65" s="145"/>
      <c r="EI65" s="145"/>
      <c r="EJ65" s="145"/>
      <c r="EK65" s="145"/>
      <c r="EL65" s="145"/>
      <c r="EM65" s="145"/>
      <c r="EN65" s="145"/>
      <c r="EO65" s="145"/>
      <c r="EP65" s="145"/>
      <c r="EQ65" s="145"/>
      <c r="ER65" s="145"/>
      <c r="ES65" s="145"/>
      <c r="ET65" s="145"/>
      <c r="EU65" s="145"/>
      <c r="EV65" s="145"/>
      <c r="EW65" s="145"/>
      <c r="EX65" s="145"/>
      <c r="EY65" s="145"/>
      <c r="EZ65" s="145"/>
      <c r="FA65" s="145"/>
      <c r="FB65" s="145"/>
      <c r="FC65" s="145"/>
      <c r="FD65" s="145"/>
      <c r="FE65" s="145"/>
      <c r="FF65" s="145"/>
      <c r="FG65" s="145"/>
      <c r="FH65" s="145"/>
      <c r="FI65" s="145"/>
      <c r="FJ65" s="145"/>
      <c r="FK65" s="145"/>
      <c r="FL65" s="145"/>
      <c r="FM65" s="145"/>
      <c r="FN65" s="145"/>
      <c r="FO65" s="145"/>
      <c r="FP65" s="145"/>
      <c r="FQ65" s="145"/>
      <c r="FR65" s="145"/>
      <c r="FS65" s="145"/>
      <c r="FT65" s="145"/>
      <c r="FU65" s="145"/>
      <c r="FV65" s="145"/>
      <c r="FW65" s="145"/>
      <c r="FX65" s="145"/>
      <c r="FY65" s="145"/>
      <c r="FZ65" s="145"/>
      <c r="GA65" s="145"/>
      <c r="GB65" s="145"/>
      <c r="GC65" s="145"/>
      <c r="GD65" s="145"/>
      <c r="GE65" s="145"/>
      <c r="GF65" s="145"/>
      <c r="GG65" s="145"/>
      <c r="GH65" s="145"/>
      <c r="GI65" s="145"/>
      <c r="GJ65" s="145"/>
      <c r="GK65" s="145"/>
      <c r="GL65" s="145"/>
      <c r="GM65" s="145"/>
      <c r="GN65" s="145"/>
      <c r="GO65" s="145"/>
      <c r="GP65" s="145"/>
      <c r="GQ65" s="145"/>
      <c r="GR65" s="145"/>
      <c r="GS65" s="145"/>
      <c r="GT65" s="145"/>
      <c r="GU65" s="145"/>
      <c r="GV65" s="145"/>
      <c r="GW65" s="145"/>
      <c r="GX65" s="145"/>
      <c r="GY65" s="145"/>
      <c r="GZ65" s="145"/>
      <c r="HA65" s="145"/>
      <c r="HB65" s="145"/>
      <c r="HC65" s="145"/>
      <c r="HD65" s="145"/>
      <c r="HE65" s="145"/>
      <c r="HF65" s="145"/>
      <c r="HG65" s="145"/>
      <c r="HH65" s="145"/>
      <c r="HI65" s="145"/>
      <c r="HJ65" s="145"/>
      <c r="HK65" s="145"/>
      <c r="HL65" s="145"/>
      <c r="HM65" s="145"/>
      <c r="HN65" s="145"/>
      <c r="HO65" s="145"/>
      <c r="HP65" s="145"/>
      <c r="HQ65" s="145"/>
      <c r="HR65" s="145"/>
      <c r="HS65" s="145"/>
      <c r="HT65" s="145"/>
      <c r="HU65" s="145"/>
      <c r="HV65" s="145"/>
      <c r="HW65" s="145"/>
      <c r="HX65" s="145"/>
      <c r="HY65" s="145"/>
      <c r="HZ65" s="145"/>
      <c r="IA65" s="145"/>
      <c r="IB65" s="145"/>
      <c r="IC65" s="145"/>
      <c r="ID65" s="145"/>
      <c r="IE65" s="145"/>
      <c r="IF65" s="145"/>
      <c r="IG65" s="145"/>
      <c r="IH65" s="145"/>
      <c r="II65" s="145"/>
      <c r="IJ65" s="145"/>
      <c r="IK65" s="145"/>
      <c r="IL65" s="145"/>
      <c r="IM65" s="145"/>
      <c r="IN65" s="145"/>
      <c r="IO65" s="145"/>
      <c r="IP65" s="145"/>
      <c r="IQ65" s="145"/>
      <c r="IR65" s="145"/>
      <c r="IS65" s="145"/>
      <c r="IT65" s="145"/>
      <c r="IU65" s="145"/>
      <c r="IV65" s="145"/>
      <c r="IW65" s="145"/>
      <c r="IX65" s="145"/>
      <c r="IY65" s="145"/>
      <c r="IZ65" s="145"/>
      <c r="JA65" s="145"/>
      <c r="JB65" s="145"/>
      <c r="JC65" s="145"/>
      <c r="JD65" s="145"/>
      <c r="JE65" s="145"/>
      <c r="JF65" s="145"/>
      <c r="JG65" s="145"/>
      <c r="JH65" s="145"/>
      <c r="JI65" s="145"/>
      <c r="JJ65" s="145"/>
      <c r="JK65" s="145"/>
      <c r="JL65" s="145"/>
      <c r="JM65" s="145"/>
      <c r="JN65" s="145"/>
      <c r="JO65" s="145"/>
      <c r="JP65" s="145"/>
      <c r="JQ65" s="145"/>
      <c r="JR65" s="145"/>
      <c r="JS65" s="145"/>
      <c r="JT65" s="145"/>
      <c r="JU65" s="145"/>
      <c r="JV65" s="145"/>
      <c r="JW65" s="145"/>
      <c r="JX65" s="145"/>
      <c r="JY65" s="145"/>
      <c r="JZ65" s="145"/>
      <c r="KA65" s="145"/>
      <c r="KB65" s="145"/>
      <c r="KC65" s="145"/>
      <c r="KD65" s="145"/>
      <c r="KE65" s="145"/>
      <c r="KF65" s="145"/>
      <c r="KG65" s="145"/>
      <c r="KH65" s="145"/>
      <c r="KI65" s="145"/>
      <c r="KJ65" s="145"/>
      <c r="KK65" s="145"/>
      <c r="KL65" s="145"/>
      <c r="KM65" s="145"/>
      <c r="KN65" s="145"/>
      <c r="KO65" s="145"/>
      <c r="KP65" s="145"/>
      <c r="KQ65" s="145"/>
      <c r="KR65" s="145"/>
      <c r="KS65" s="145"/>
      <c r="KT65" s="145"/>
      <c r="KU65" s="145"/>
      <c r="KV65" s="145"/>
      <c r="KW65" s="145"/>
      <c r="KX65" s="145"/>
      <c r="KY65" s="145"/>
      <c r="KZ65" s="145"/>
      <c r="LA65" s="145"/>
      <c r="LB65" s="145"/>
      <c r="LC65" s="145"/>
      <c r="LD65" s="145"/>
      <c r="LE65" s="145"/>
      <c r="LF65" s="145"/>
      <c r="LG65" s="145"/>
      <c r="LH65" s="145"/>
      <c r="LI65" s="145"/>
      <c r="LJ65" s="145"/>
      <c r="LK65" s="145"/>
      <c r="LL65" s="145"/>
      <c r="LM65" s="145"/>
      <c r="LN65" s="145"/>
      <c r="LO65" s="145"/>
      <c r="LP65" s="145"/>
      <c r="LQ65" s="145"/>
      <c r="LR65" s="145"/>
      <c r="LS65" s="145"/>
      <c r="LT65" s="145"/>
      <c r="LU65" s="145"/>
      <c r="LV65" s="145"/>
      <c r="LW65" s="145"/>
      <c r="LX65" s="145"/>
      <c r="LY65" s="145"/>
      <c r="LZ65" s="145"/>
      <c r="MA65" s="145"/>
      <c r="MB65" s="145"/>
      <c r="MC65" s="145"/>
      <c r="MD65" s="145"/>
      <c r="ME65" s="145"/>
      <c r="MF65" s="145"/>
      <c r="MG65" s="145"/>
      <c r="MH65" s="145"/>
      <c r="MI65" s="145"/>
      <c r="MJ65" s="145"/>
      <c r="MK65" s="145"/>
      <c r="ML65" s="145"/>
      <c r="MM65" s="145"/>
      <c r="MN65" s="145"/>
      <c r="MO65" s="145"/>
      <c r="MP65" s="145"/>
      <c r="MQ65" s="145"/>
      <c r="MR65" s="145"/>
      <c r="MS65" s="145"/>
      <c r="MT65" s="145"/>
      <c r="MU65" s="145"/>
      <c r="MV65" s="145"/>
      <c r="MW65" s="145"/>
      <c r="MX65" s="145"/>
      <c r="MY65" s="145"/>
      <c r="MZ65" s="145"/>
      <c r="NA65" s="145"/>
      <c r="NB65" s="145"/>
      <c r="NC65" s="145"/>
      <c r="ND65" s="145"/>
      <c r="NE65" s="145"/>
      <c r="NF65" s="145"/>
      <c r="NG65" s="145"/>
      <c r="NH65" s="145"/>
      <c r="NI65" s="145"/>
      <c r="NJ65" s="145"/>
      <c r="NK65" s="145"/>
      <c r="NL65" s="145"/>
      <c r="NM65" s="145"/>
      <c r="NN65" s="145"/>
      <c r="NO65" s="145"/>
      <c r="NP65" s="145"/>
      <c r="NQ65" s="145"/>
      <c r="NR65" s="145"/>
      <c r="NS65" s="145"/>
      <c r="NT65" s="145"/>
      <c r="NU65" s="145"/>
      <c r="NV65" s="145"/>
      <c r="NW65" s="145"/>
      <c r="NX65" s="145"/>
      <c r="NY65" s="145"/>
      <c r="NZ65" s="145"/>
      <c r="OA65" s="145"/>
      <c r="OB65" s="145"/>
      <c r="OC65" s="145"/>
      <c r="OD65" s="145"/>
      <c r="OE65" s="145"/>
      <c r="OF65" s="145"/>
      <c r="OG65" s="145"/>
      <c r="OH65" s="145"/>
      <c r="OI65" s="145"/>
      <c r="OJ65" s="145"/>
      <c r="OK65" s="145"/>
      <c r="OL65" s="145"/>
      <c r="OM65" s="145"/>
      <c r="ON65" s="145"/>
      <c r="OO65" s="145"/>
      <c r="OP65" s="145"/>
      <c r="OQ65" s="145"/>
      <c r="OR65" s="145"/>
      <c r="OS65" s="145"/>
      <c r="OT65" s="145"/>
      <c r="OU65" s="145"/>
      <c r="OV65" s="145"/>
      <c r="OW65" s="145"/>
      <c r="OX65" s="145"/>
      <c r="OY65" s="145"/>
      <c r="OZ65" s="145"/>
      <c r="PA65" s="145"/>
      <c r="PB65" s="145"/>
      <c r="PC65" s="145"/>
      <c r="PD65" s="145"/>
      <c r="PE65" s="145"/>
      <c r="PF65" s="145"/>
      <c r="PG65" s="145"/>
      <c r="PH65" s="145"/>
      <c r="PI65" s="145"/>
      <c r="PJ65" s="145"/>
      <c r="PK65" s="145"/>
      <c r="PL65" s="145"/>
      <c r="PM65" s="145"/>
      <c r="PN65" s="145"/>
      <c r="PO65" s="145"/>
      <c r="PP65" s="145"/>
      <c r="PQ65" s="145"/>
      <c r="PR65" s="145"/>
      <c r="PS65" s="145"/>
      <c r="PT65" s="145"/>
      <c r="PU65" s="145"/>
      <c r="PV65" s="145"/>
      <c r="PW65" s="145"/>
      <c r="PX65" s="145"/>
      <c r="PY65" s="145"/>
      <c r="PZ65" s="145"/>
      <c r="QA65" s="145"/>
      <c r="QB65" s="145"/>
      <c r="QC65" s="145"/>
      <c r="QD65" s="145"/>
      <c r="QE65" s="145"/>
      <c r="QF65" s="145"/>
      <c r="QG65" s="145"/>
      <c r="QH65" s="145"/>
      <c r="QI65" s="145"/>
      <c r="QJ65" s="145"/>
      <c r="QK65" s="145"/>
      <c r="QL65" s="145"/>
      <c r="QM65" s="145"/>
      <c r="QN65" s="145"/>
      <c r="QO65" s="145"/>
      <c r="QP65" s="145"/>
      <c r="QQ65" s="145"/>
      <c r="QR65" s="145"/>
      <c r="QS65" s="145"/>
      <c r="QT65" s="145"/>
      <c r="QU65" s="145"/>
      <c r="QV65" s="145"/>
      <c r="QW65" s="145"/>
      <c r="QX65" s="145"/>
      <c r="QY65" s="145"/>
      <c r="QZ65" s="145"/>
      <c r="RA65" s="145"/>
      <c r="RB65" s="145"/>
      <c r="RC65" s="145"/>
      <c r="RD65" s="145"/>
      <c r="RE65" s="145"/>
      <c r="RF65" s="145"/>
      <c r="RG65" s="145"/>
      <c r="RH65" s="145"/>
      <c r="RI65" s="145"/>
      <c r="RJ65" s="145"/>
      <c r="RK65" s="145"/>
      <c r="RL65" s="145"/>
      <c r="RM65" s="145"/>
      <c r="RN65" s="145"/>
      <c r="RO65" s="145"/>
      <c r="RP65" s="145"/>
      <c r="RQ65" s="145"/>
      <c r="RR65" s="145"/>
      <c r="RS65" s="145"/>
      <c r="RT65" s="145"/>
      <c r="RU65" s="145"/>
      <c r="RV65" s="145"/>
      <c r="RW65" s="145"/>
      <c r="RX65" s="145"/>
      <c r="RY65" s="145"/>
      <c r="RZ65" s="145"/>
      <c r="SA65" s="145"/>
      <c r="SB65" s="145"/>
      <c r="SC65" s="145"/>
      <c r="SD65" s="145"/>
      <c r="SE65" s="145"/>
      <c r="SF65" s="145"/>
      <c r="SG65" s="145"/>
      <c r="SH65" s="145"/>
      <c r="SI65" s="145"/>
      <c r="SJ65" s="145"/>
      <c r="SK65" s="145"/>
      <c r="SL65" s="145"/>
      <c r="SM65" s="145"/>
      <c r="SN65" s="145"/>
      <c r="SO65" s="145"/>
      <c r="SP65" s="145"/>
      <c r="SQ65" s="145"/>
      <c r="SR65" s="145"/>
      <c r="SS65" s="145"/>
      <c r="ST65" s="145"/>
      <c r="SU65" s="145"/>
      <c r="SV65" s="145"/>
      <c r="SW65" s="145"/>
      <c r="SX65" s="145"/>
      <c r="SY65" s="145"/>
      <c r="SZ65" s="145"/>
      <c r="TA65" s="145"/>
      <c r="TB65" s="145"/>
      <c r="TC65" s="145"/>
      <c r="TD65" s="145"/>
      <c r="TE65" s="145"/>
      <c r="TF65" s="145"/>
      <c r="TG65" s="145"/>
      <c r="TH65" s="145"/>
      <c r="TI65" s="145"/>
      <c r="TJ65" s="145"/>
      <c r="TK65" s="145"/>
      <c r="TL65" s="145"/>
      <c r="TM65" s="145"/>
      <c r="TN65" s="145"/>
      <c r="TO65" s="145"/>
      <c r="TP65" s="145"/>
      <c r="TQ65" s="145"/>
      <c r="TR65" s="145"/>
      <c r="TS65" s="145"/>
      <c r="TT65" s="145"/>
      <c r="TU65" s="145"/>
      <c r="TV65" s="145"/>
      <c r="TW65" s="145"/>
      <c r="TX65" s="145"/>
      <c r="TY65" s="145"/>
      <c r="TZ65" s="145"/>
      <c r="UA65" s="145"/>
      <c r="UB65" s="145"/>
      <c r="UC65" s="145"/>
      <c r="UD65" s="145"/>
      <c r="UE65" s="145"/>
      <c r="UF65" s="145"/>
      <c r="UG65" s="145"/>
      <c r="UH65" s="145"/>
      <c r="UI65" s="145"/>
      <c r="UJ65" s="145"/>
      <c r="UK65" s="145"/>
      <c r="UL65" s="145"/>
      <c r="UM65" s="145"/>
      <c r="UN65" s="145"/>
      <c r="UO65" s="145"/>
      <c r="UP65" s="145"/>
      <c r="UQ65" s="145"/>
      <c r="UR65" s="145"/>
      <c r="US65" s="145"/>
      <c r="UT65" s="145"/>
      <c r="UU65" s="145"/>
      <c r="UV65" s="145"/>
      <c r="UW65" s="145"/>
      <c r="UX65" s="145"/>
      <c r="UY65" s="145"/>
      <c r="UZ65" s="145"/>
      <c r="VA65" s="145"/>
      <c r="VB65" s="145"/>
      <c r="VC65" s="145"/>
      <c r="VD65" s="145"/>
      <c r="VE65" s="145"/>
      <c r="VF65" s="145"/>
      <c r="VG65" s="145"/>
      <c r="VH65" s="145"/>
      <c r="VI65" s="145"/>
      <c r="VJ65" s="145"/>
      <c r="VK65" s="145"/>
      <c r="VL65" s="145"/>
      <c r="VM65" s="145"/>
      <c r="VN65" s="145"/>
      <c r="VO65" s="145"/>
      <c r="VP65" s="145"/>
      <c r="VQ65" s="145"/>
      <c r="VR65" s="145"/>
      <c r="VS65" s="145"/>
      <c r="VT65" s="145"/>
      <c r="VU65" s="145"/>
      <c r="VV65" s="145"/>
      <c r="VW65" s="145"/>
      <c r="VX65" s="145"/>
      <c r="VY65" s="145"/>
      <c r="VZ65" s="145"/>
      <c r="WA65" s="145"/>
      <c r="WB65" s="145"/>
      <c r="WC65" s="145"/>
      <c r="WD65" s="145"/>
      <c r="WE65" s="145"/>
      <c r="WF65" s="145"/>
      <c r="WG65" s="145"/>
      <c r="WH65" s="145"/>
      <c r="WI65" s="145"/>
      <c r="WJ65" s="145"/>
      <c r="WK65" s="145"/>
      <c r="WL65" s="145"/>
      <c r="WM65" s="145"/>
      <c r="WN65" s="145"/>
      <c r="WO65" s="145"/>
      <c r="WP65" s="145"/>
      <c r="WQ65" s="145"/>
      <c r="WR65" s="145"/>
      <c r="WS65" s="145"/>
      <c r="WT65" s="145"/>
      <c r="WU65" s="145"/>
      <c r="WV65" s="145"/>
      <c r="WW65" s="145"/>
      <c r="WX65" s="145"/>
      <c r="WY65" s="145"/>
      <c r="WZ65" s="145"/>
      <c r="XA65" s="145"/>
      <c r="XB65" s="145"/>
      <c r="XC65" s="145"/>
      <c r="XD65" s="145"/>
      <c r="XE65" s="145"/>
      <c r="XF65" s="145"/>
      <c r="XG65" s="145"/>
      <c r="XH65" s="145"/>
      <c r="XI65" s="145"/>
      <c r="XJ65" s="145"/>
      <c r="XK65" s="145"/>
      <c r="XL65" s="145"/>
      <c r="XM65" s="145"/>
      <c r="XN65" s="145"/>
      <c r="XO65" s="145"/>
      <c r="XP65" s="145"/>
      <c r="XQ65" s="145"/>
      <c r="XR65" s="145"/>
      <c r="XS65" s="145"/>
      <c r="XT65" s="145"/>
      <c r="XU65" s="145"/>
      <c r="XV65" s="145"/>
      <c r="XW65" s="145"/>
      <c r="XX65" s="145"/>
      <c r="XY65" s="145"/>
      <c r="XZ65" s="145"/>
      <c r="YA65" s="145"/>
      <c r="YB65" s="145"/>
      <c r="YC65" s="145"/>
      <c r="YD65" s="145"/>
      <c r="YE65" s="145"/>
      <c r="YF65" s="145"/>
      <c r="YG65" s="145"/>
      <c r="YH65" s="145"/>
      <c r="YI65" s="145"/>
      <c r="YJ65" s="145"/>
      <c r="YK65" s="145"/>
      <c r="YL65" s="145"/>
      <c r="YM65" s="145"/>
      <c r="YN65" s="145"/>
      <c r="YO65" s="145"/>
      <c r="YP65" s="145"/>
      <c r="YQ65" s="145"/>
      <c r="YR65" s="145"/>
      <c r="YS65" s="145"/>
      <c r="YT65" s="145"/>
      <c r="YU65" s="145"/>
      <c r="YV65" s="145"/>
      <c r="YW65" s="145"/>
      <c r="YX65" s="145"/>
      <c r="YY65" s="145"/>
      <c r="YZ65" s="145"/>
      <c r="ZA65" s="145"/>
      <c r="ZB65" s="145"/>
      <c r="ZC65" s="145"/>
      <c r="ZD65" s="145"/>
      <c r="ZE65" s="145"/>
      <c r="ZF65" s="145"/>
      <c r="ZG65" s="145"/>
      <c r="ZH65" s="145"/>
      <c r="ZI65" s="145"/>
      <c r="ZJ65" s="145"/>
      <c r="ZK65" s="145"/>
      <c r="ZL65" s="145"/>
      <c r="ZM65" s="145"/>
      <c r="ZN65" s="145"/>
      <c r="ZO65" s="145"/>
      <c r="ZP65" s="145"/>
      <c r="ZQ65" s="145"/>
      <c r="ZR65" s="145"/>
      <c r="ZS65" s="145"/>
      <c r="ZT65" s="145"/>
      <c r="ZU65" s="145"/>
      <c r="ZV65" s="145"/>
      <c r="ZW65" s="145"/>
      <c r="ZX65" s="145"/>
      <c r="ZY65" s="145"/>
      <c r="ZZ65" s="145"/>
      <c r="AAA65" s="145"/>
      <c r="AAB65" s="145"/>
      <c r="AAC65" s="145"/>
      <c r="AAD65" s="145"/>
      <c r="AAE65" s="145"/>
      <c r="AAF65" s="145"/>
      <c r="AAG65" s="145"/>
      <c r="AAH65" s="145"/>
      <c r="AAI65" s="145"/>
      <c r="AAJ65" s="145"/>
      <c r="AAK65" s="145"/>
      <c r="AAL65" s="145"/>
      <c r="AAM65" s="145"/>
      <c r="AAN65" s="145"/>
      <c r="AAO65" s="145"/>
      <c r="AAP65" s="145"/>
      <c r="AAQ65" s="145"/>
      <c r="AAR65" s="145"/>
      <c r="AAS65" s="145"/>
      <c r="AAT65" s="145"/>
      <c r="AAU65" s="145"/>
      <c r="AAV65" s="145"/>
      <c r="AAW65" s="145"/>
      <c r="AAX65" s="145"/>
      <c r="AAY65" s="145"/>
      <c r="AAZ65" s="145"/>
      <c r="ABA65" s="145"/>
      <c r="ABB65" s="145"/>
      <c r="ABC65" s="145"/>
      <c r="ABD65" s="145"/>
      <c r="ABE65" s="145"/>
      <c r="ABF65" s="145"/>
      <c r="ABG65" s="145"/>
      <c r="ABH65" s="145"/>
      <c r="ABI65" s="145"/>
      <c r="ABJ65" s="145"/>
      <c r="ABK65" s="145"/>
      <c r="ABL65" s="145"/>
      <c r="ABM65" s="145"/>
      <c r="ABN65" s="145"/>
      <c r="ABO65" s="145"/>
      <c r="ABP65" s="145"/>
      <c r="ABQ65" s="145"/>
      <c r="ABR65" s="145"/>
      <c r="ABS65" s="145"/>
      <c r="ABT65" s="145"/>
      <c r="ABU65" s="145"/>
      <c r="ABV65" s="145"/>
      <c r="ABW65" s="145"/>
      <c r="ABX65" s="145"/>
      <c r="ABY65" s="145"/>
      <c r="ABZ65" s="145"/>
      <c r="ACA65" s="145"/>
      <c r="ACB65" s="145"/>
      <c r="ACC65" s="145"/>
      <c r="ACD65" s="145"/>
      <c r="ACE65" s="145"/>
      <c r="ACF65" s="145"/>
      <c r="ACG65" s="145"/>
      <c r="ACH65" s="145"/>
      <c r="ACI65" s="145"/>
      <c r="ACJ65" s="145"/>
      <c r="ACK65" s="145"/>
      <c r="ACL65" s="145"/>
      <c r="ACM65" s="145"/>
      <c r="ACN65" s="145"/>
      <c r="ACO65" s="145"/>
      <c r="ACP65" s="145"/>
      <c r="ACQ65" s="145"/>
      <c r="ACR65" s="145"/>
      <c r="ACS65" s="145"/>
      <c r="ACT65" s="145"/>
      <c r="ACU65" s="145"/>
      <c r="ACV65" s="145"/>
      <c r="ACW65" s="145"/>
      <c r="ACX65" s="145"/>
      <c r="ACY65" s="145"/>
      <c r="ACZ65" s="145"/>
      <c r="ADA65" s="145"/>
      <c r="ADB65" s="145"/>
      <c r="ADC65" s="145"/>
      <c r="ADD65" s="145"/>
      <c r="ADE65" s="145"/>
      <c r="ADF65" s="145"/>
      <c r="ADG65" s="145"/>
      <c r="ADH65" s="145"/>
      <c r="ADI65" s="145"/>
      <c r="ADJ65" s="145"/>
      <c r="ADK65" s="145"/>
      <c r="ADL65" s="145"/>
      <c r="ADM65" s="145"/>
      <c r="ADN65" s="145"/>
      <c r="ADO65" s="145"/>
      <c r="ADP65" s="145"/>
      <c r="ADQ65" s="145"/>
      <c r="ADR65" s="145"/>
      <c r="ADS65" s="145"/>
      <c r="ADT65" s="145"/>
      <c r="ADU65" s="145"/>
      <c r="ADV65" s="145"/>
      <c r="ADW65" s="145"/>
      <c r="ADX65" s="145"/>
      <c r="ADY65" s="145"/>
      <c r="ADZ65" s="145"/>
      <c r="AEA65" s="145"/>
      <c r="AEB65" s="145"/>
      <c r="AEC65" s="145"/>
      <c r="AED65" s="145"/>
      <c r="AEE65" s="145"/>
      <c r="AEF65" s="145"/>
      <c r="AEG65" s="145"/>
      <c r="AEH65" s="145"/>
      <c r="AEI65" s="145"/>
      <c r="AEJ65" s="145"/>
      <c r="AEK65" s="145"/>
      <c r="AEL65" s="145"/>
      <c r="AEM65" s="145"/>
      <c r="AEN65" s="145"/>
      <c r="AEO65" s="145"/>
      <c r="AEP65" s="145"/>
      <c r="AEQ65" s="145"/>
      <c r="AER65" s="145"/>
      <c r="AES65" s="145"/>
      <c r="AET65" s="145"/>
      <c r="AEU65" s="145"/>
      <c r="AEV65" s="145"/>
      <c r="AEW65" s="145"/>
      <c r="AEX65" s="145"/>
      <c r="AEY65" s="145"/>
      <c r="AEZ65" s="145"/>
      <c r="AFA65" s="145"/>
      <c r="AFB65" s="145"/>
      <c r="AFC65" s="145"/>
      <c r="AFD65" s="145"/>
      <c r="AFE65" s="145"/>
      <c r="AFF65" s="145"/>
      <c r="AFG65" s="145"/>
      <c r="AFH65" s="145"/>
      <c r="AFI65" s="145"/>
      <c r="AFJ65" s="145"/>
      <c r="AFK65" s="145"/>
      <c r="AFL65" s="145"/>
      <c r="AFM65" s="145"/>
      <c r="AFN65" s="145"/>
      <c r="AFO65" s="145"/>
      <c r="AFP65" s="145"/>
      <c r="AFQ65" s="145"/>
      <c r="AFR65" s="145"/>
      <c r="AFS65" s="145"/>
      <c r="AFT65" s="145"/>
      <c r="AFU65" s="145"/>
      <c r="AFV65" s="145"/>
      <c r="AFW65" s="145"/>
      <c r="AFX65" s="145"/>
      <c r="AFY65" s="145"/>
      <c r="AFZ65" s="145"/>
      <c r="AGA65" s="145"/>
      <c r="AGB65" s="145"/>
      <c r="AGC65" s="145"/>
      <c r="AGD65" s="145"/>
      <c r="AGE65" s="145"/>
      <c r="AGF65" s="145"/>
      <c r="AGG65" s="145"/>
      <c r="AGH65" s="145"/>
      <c r="AGI65" s="145"/>
      <c r="AGJ65" s="145"/>
      <c r="AGK65" s="145"/>
      <c r="AGL65" s="145"/>
      <c r="AGM65" s="145"/>
      <c r="AGN65" s="145"/>
      <c r="AGO65" s="145"/>
      <c r="AGP65" s="145"/>
      <c r="AGQ65" s="145"/>
      <c r="AGR65" s="145"/>
      <c r="AGS65" s="145"/>
      <c r="AGT65" s="145"/>
      <c r="AGU65" s="145"/>
      <c r="AGV65" s="145"/>
      <c r="AGW65" s="145"/>
      <c r="AGX65" s="145"/>
      <c r="AGY65" s="145"/>
      <c r="AGZ65" s="145"/>
      <c r="AHA65" s="145"/>
      <c r="AHB65" s="145"/>
      <c r="AHC65" s="145"/>
      <c r="AHD65" s="145"/>
      <c r="AHE65" s="145"/>
      <c r="AHF65" s="145"/>
      <c r="AHG65" s="145"/>
      <c r="AHH65" s="145"/>
      <c r="AHI65" s="145"/>
      <c r="AHJ65" s="145"/>
      <c r="AHK65" s="145"/>
      <c r="AHL65" s="145"/>
      <c r="AHM65" s="145"/>
      <c r="AHN65" s="145"/>
      <c r="AHO65" s="145"/>
      <c r="AHP65" s="145"/>
      <c r="AHQ65" s="145"/>
      <c r="AHR65" s="145"/>
      <c r="AHS65" s="145"/>
      <c r="AHT65" s="145"/>
      <c r="AHU65" s="145"/>
      <c r="AHV65" s="145"/>
      <c r="AHW65" s="145"/>
      <c r="AHX65" s="145"/>
      <c r="AHY65" s="145"/>
      <c r="AHZ65" s="145"/>
      <c r="AIA65" s="145"/>
      <c r="AIB65" s="145"/>
      <c r="AIC65" s="145"/>
      <c r="AID65" s="145"/>
      <c r="AIE65" s="145"/>
      <c r="AIF65" s="145"/>
      <c r="AIG65" s="145"/>
      <c r="AIH65" s="145"/>
      <c r="AII65" s="145"/>
      <c r="AIJ65" s="145"/>
      <c r="AIK65" s="145"/>
      <c r="AIL65" s="145"/>
      <c r="AIM65" s="145"/>
      <c r="AIN65" s="145"/>
      <c r="AIO65" s="145"/>
      <c r="AIP65" s="145"/>
      <c r="AIQ65" s="145"/>
      <c r="AIR65" s="145"/>
      <c r="AIS65" s="145"/>
      <c r="AIT65" s="145"/>
      <c r="AIU65" s="145"/>
      <c r="AIV65" s="145"/>
      <c r="AIW65" s="145"/>
      <c r="AIX65" s="145"/>
      <c r="AIY65" s="145"/>
      <c r="AIZ65" s="145"/>
      <c r="AJA65" s="145"/>
      <c r="AJB65" s="145"/>
      <c r="AJC65" s="145"/>
      <c r="AJD65" s="145"/>
      <c r="AJE65" s="145"/>
      <c r="AJF65" s="145"/>
      <c r="AJG65" s="145"/>
      <c r="AJH65" s="145"/>
      <c r="AJI65" s="145"/>
      <c r="AJJ65" s="145"/>
      <c r="AJK65" s="145"/>
      <c r="AJL65" s="145"/>
      <c r="AJM65" s="145"/>
      <c r="AJN65" s="145"/>
      <c r="AJO65" s="145"/>
      <c r="AJP65" s="145"/>
      <c r="AJQ65" s="145"/>
      <c r="AJR65" s="145"/>
      <c r="AJS65" s="145"/>
      <c r="AJT65" s="145"/>
      <c r="AJU65" s="145"/>
      <c r="AJV65" s="145"/>
      <c r="AJW65" s="145"/>
      <c r="AJX65" s="145"/>
      <c r="AJY65" s="145"/>
      <c r="AJZ65" s="145"/>
      <c r="AKA65" s="145"/>
      <c r="AKB65" s="145"/>
      <c r="AKC65" s="145"/>
      <c r="AKD65" s="145"/>
      <c r="AKE65" s="145"/>
      <c r="AKF65" s="145"/>
      <c r="AKG65" s="145"/>
      <c r="AKH65" s="145"/>
      <c r="AKI65" s="145"/>
      <c r="AKJ65" s="145"/>
      <c r="AKK65" s="145"/>
      <c r="AKL65" s="145"/>
      <c r="AKM65" s="145"/>
      <c r="AKN65" s="145"/>
      <c r="AKO65" s="145"/>
      <c r="AKP65" s="145"/>
      <c r="AKQ65" s="145"/>
      <c r="AKR65" s="145"/>
      <c r="AKS65" s="145"/>
      <c r="AKT65" s="145"/>
      <c r="AKU65" s="145"/>
      <c r="AKV65" s="145"/>
      <c r="AKW65" s="145"/>
      <c r="AKX65" s="145"/>
      <c r="AKY65" s="145"/>
      <c r="AKZ65" s="145"/>
      <c r="ALA65" s="145"/>
      <c r="ALB65" s="145"/>
      <c r="ALC65" s="145"/>
      <c r="ALD65" s="145"/>
      <c r="ALE65" s="145"/>
      <c r="ALF65" s="145"/>
      <c r="ALG65" s="145"/>
      <c r="ALH65" s="145"/>
      <c r="ALI65" s="145"/>
      <c r="ALJ65" s="145"/>
      <c r="ALK65" s="145"/>
      <c r="ALL65" s="145"/>
      <c r="ALM65" s="145"/>
      <c r="ALN65" s="145"/>
      <c r="ALO65" s="145"/>
      <c r="ALP65" s="145"/>
      <c r="ALQ65" s="145"/>
      <c r="ALR65" s="145"/>
      <c r="ALS65" s="145"/>
      <c r="ALT65" s="145"/>
      <c r="ALU65" s="145"/>
      <c r="ALV65" s="145"/>
      <c r="ALW65" s="145"/>
      <c r="ALX65" s="145"/>
      <c r="ALY65" s="145"/>
      <c r="ALZ65" s="145"/>
      <c r="AMA65" s="145"/>
      <c r="AMB65" s="145"/>
      <c r="AMC65" s="145"/>
      <c r="AMD65" s="145"/>
      <c r="AME65" s="145"/>
      <c r="AMF65" s="145"/>
      <c r="AMG65" s="145"/>
      <c r="AMH65" s="145"/>
      <c r="AMI65" s="145"/>
      <c r="AMJ65" s="145"/>
      <c r="AMK65" s="145"/>
      <c r="AML65" s="145"/>
      <c r="AMM65" s="145"/>
      <c r="AMN65" s="145"/>
      <c r="AMO65" s="145"/>
      <c r="AMP65" s="145"/>
      <c r="AMQ65" s="145"/>
      <c r="AMR65" s="145"/>
      <c r="AMS65" s="145"/>
      <c r="AMT65" s="145"/>
      <c r="AMU65" s="145"/>
      <c r="AMV65" s="145"/>
      <c r="AMW65" s="145"/>
      <c r="AMX65" s="145"/>
      <c r="AMY65" s="145"/>
      <c r="AMZ65" s="145"/>
      <c r="ANA65" s="145"/>
      <c r="ANB65" s="145"/>
      <c r="ANC65" s="145"/>
      <c r="AND65" s="145"/>
      <c r="ANE65" s="145"/>
      <c r="ANF65" s="145"/>
      <c r="ANG65" s="145"/>
      <c r="ANH65" s="145"/>
      <c r="ANI65" s="145"/>
      <c r="ANJ65" s="145"/>
      <c r="ANK65" s="145"/>
      <c r="ANL65" s="145"/>
      <c r="ANM65" s="145"/>
      <c r="ANN65" s="145"/>
      <c r="ANO65" s="145"/>
      <c r="ANP65" s="145"/>
      <c r="ANQ65" s="145"/>
      <c r="ANR65" s="145"/>
      <c r="ANS65" s="145"/>
      <c r="ANT65" s="145"/>
      <c r="ANU65" s="145"/>
      <c r="ANV65" s="145"/>
      <c r="ANW65" s="145"/>
      <c r="ANX65" s="145"/>
      <c r="ANY65" s="145"/>
      <c r="ANZ65" s="145"/>
      <c r="AOA65" s="145"/>
      <c r="AOB65" s="145"/>
      <c r="AOC65" s="145"/>
      <c r="AOD65" s="145"/>
      <c r="AOE65" s="145"/>
      <c r="AOF65" s="145"/>
      <c r="AOG65" s="145"/>
      <c r="AOH65" s="145"/>
      <c r="AOI65" s="145"/>
      <c r="AOJ65" s="145"/>
      <c r="AOK65" s="145"/>
      <c r="AOL65" s="145"/>
      <c r="AOM65" s="145"/>
      <c r="AON65" s="145"/>
      <c r="AOO65" s="145"/>
      <c r="AOP65" s="145"/>
      <c r="AOQ65" s="145"/>
      <c r="AOR65" s="145"/>
      <c r="AOS65" s="145"/>
      <c r="AOT65" s="145"/>
      <c r="AOU65" s="145"/>
      <c r="AOV65" s="145"/>
      <c r="AOW65" s="145"/>
      <c r="AOX65" s="145"/>
      <c r="AOY65" s="145"/>
      <c r="AOZ65" s="145"/>
      <c r="APA65" s="145"/>
      <c r="APB65" s="145"/>
      <c r="APC65" s="145"/>
      <c r="APD65" s="145"/>
      <c r="APE65" s="145"/>
      <c r="APF65" s="145"/>
      <c r="APG65" s="145"/>
      <c r="APH65" s="145"/>
      <c r="API65" s="145"/>
      <c r="APJ65" s="145"/>
      <c r="APK65" s="145"/>
      <c r="APL65" s="145"/>
      <c r="APM65" s="145"/>
      <c r="APN65" s="145"/>
      <c r="APO65" s="145"/>
      <c r="APP65" s="145"/>
      <c r="APQ65" s="145"/>
      <c r="APR65" s="145"/>
      <c r="APS65" s="145"/>
      <c r="APT65" s="145"/>
      <c r="APU65" s="145"/>
      <c r="APV65" s="145"/>
      <c r="APW65" s="145"/>
      <c r="APX65" s="145"/>
      <c r="APY65" s="145"/>
      <c r="APZ65" s="145"/>
      <c r="AQA65" s="145"/>
      <c r="AQB65" s="145"/>
      <c r="AQC65" s="145"/>
      <c r="AQD65" s="145"/>
      <c r="AQE65" s="145"/>
      <c r="AQF65" s="145"/>
      <c r="AQG65" s="145"/>
      <c r="AQH65" s="145"/>
      <c r="AQI65" s="145"/>
      <c r="AQJ65" s="145"/>
      <c r="AQK65" s="145"/>
      <c r="AQL65" s="145"/>
      <c r="AQM65" s="145"/>
      <c r="AQN65" s="145"/>
      <c r="AQO65" s="145"/>
      <c r="AQP65" s="145"/>
      <c r="AQQ65" s="145"/>
      <c r="AQR65" s="145"/>
      <c r="AQS65" s="145"/>
      <c r="AQT65" s="145"/>
      <c r="AQU65" s="145"/>
      <c r="AQV65" s="145"/>
      <c r="AQW65" s="145"/>
      <c r="AQX65" s="145"/>
      <c r="AQY65" s="145"/>
      <c r="AQZ65" s="145"/>
      <c r="ARA65" s="145"/>
      <c r="ARB65" s="145"/>
      <c r="ARC65" s="145"/>
      <c r="ARD65" s="145"/>
      <c r="ARE65" s="145"/>
      <c r="ARF65" s="145"/>
      <c r="ARG65" s="145"/>
      <c r="ARH65" s="145"/>
      <c r="ARI65" s="145"/>
      <c r="ARJ65" s="145"/>
      <c r="ARK65" s="145"/>
      <c r="ARL65" s="145"/>
      <c r="ARM65" s="145"/>
      <c r="ARN65" s="145"/>
      <c r="ARO65" s="145"/>
      <c r="ARP65" s="145"/>
      <c r="ARQ65" s="145"/>
      <c r="ARR65" s="145"/>
      <c r="ARS65" s="145"/>
      <c r="ART65" s="145"/>
      <c r="ARU65" s="145"/>
      <c r="ARV65" s="145"/>
      <c r="ARW65" s="145"/>
      <c r="ARX65" s="145"/>
      <c r="ARY65" s="145"/>
      <c r="ARZ65" s="145"/>
      <c r="ASA65" s="145"/>
      <c r="ASB65" s="145"/>
      <c r="ASC65" s="145"/>
      <c r="ASD65" s="145"/>
      <c r="ASE65" s="145"/>
      <c r="ASF65" s="145"/>
      <c r="ASG65" s="145"/>
      <c r="ASH65" s="145"/>
      <c r="ASI65" s="145"/>
      <c r="ASJ65" s="145"/>
      <c r="ASK65" s="145"/>
      <c r="ASL65" s="145"/>
      <c r="ASM65" s="145"/>
      <c r="ASN65" s="145"/>
      <c r="ASO65" s="145"/>
      <c r="ASP65" s="145"/>
      <c r="ASQ65" s="145"/>
      <c r="ASR65" s="145"/>
      <c r="ASS65" s="145"/>
      <c r="AST65" s="145"/>
      <c r="ASU65" s="145"/>
      <c r="ASV65" s="145"/>
      <c r="ASW65" s="145"/>
      <c r="ASX65" s="145"/>
      <c r="ASY65" s="145"/>
      <c r="ASZ65" s="145"/>
      <c r="ATA65" s="145"/>
      <c r="ATB65" s="145"/>
      <c r="ATC65" s="145"/>
      <c r="ATD65" s="145"/>
      <c r="ATE65" s="145"/>
      <c r="ATF65" s="145"/>
      <c r="ATG65" s="145"/>
      <c r="ATH65" s="145"/>
      <c r="ATI65" s="145"/>
      <c r="ATJ65" s="145"/>
      <c r="ATK65" s="145"/>
      <c r="ATL65" s="145"/>
      <c r="ATM65" s="145"/>
      <c r="ATN65" s="145"/>
      <c r="ATO65" s="145"/>
      <c r="ATP65" s="145"/>
      <c r="ATQ65" s="145"/>
      <c r="ATR65" s="145"/>
      <c r="ATS65" s="145"/>
      <c r="ATT65" s="145"/>
      <c r="ATU65" s="145"/>
      <c r="ATV65" s="145"/>
      <c r="ATW65" s="145"/>
      <c r="ATX65" s="145"/>
      <c r="ATY65" s="145"/>
      <c r="ATZ65" s="145"/>
      <c r="AUA65" s="145"/>
      <c r="AUB65" s="145"/>
      <c r="AUC65" s="145"/>
      <c r="AUD65" s="145"/>
      <c r="AUE65" s="145"/>
      <c r="AUF65" s="145"/>
      <c r="AUG65" s="145"/>
      <c r="AUH65" s="145"/>
      <c r="AUI65" s="145"/>
      <c r="AUJ65" s="145"/>
      <c r="AUK65" s="145"/>
      <c r="AUL65" s="145"/>
      <c r="AUM65" s="145"/>
      <c r="AUN65" s="145"/>
      <c r="AUO65" s="145"/>
      <c r="AUP65" s="145"/>
      <c r="AUQ65" s="145"/>
      <c r="AUR65" s="145"/>
      <c r="AUS65" s="145"/>
      <c r="AUT65" s="145"/>
      <c r="AUU65" s="145"/>
      <c r="AUV65" s="145"/>
      <c r="AUW65" s="145"/>
      <c r="AUX65" s="145"/>
      <c r="AUY65" s="145"/>
      <c r="AUZ65" s="145"/>
      <c r="AVA65" s="145"/>
      <c r="AVB65" s="145"/>
      <c r="AVC65" s="145"/>
      <c r="AVD65" s="145"/>
      <c r="AVE65" s="145"/>
      <c r="AVF65" s="145"/>
      <c r="AVG65" s="145"/>
      <c r="AVH65" s="145"/>
      <c r="AVI65" s="145"/>
      <c r="AVJ65" s="145"/>
      <c r="AVK65" s="145"/>
      <c r="AVL65" s="145"/>
      <c r="AVM65" s="145"/>
      <c r="AVN65" s="145"/>
      <c r="AVO65" s="145"/>
      <c r="AVP65" s="145"/>
      <c r="AVQ65" s="145"/>
      <c r="AVR65" s="145"/>
      <c r="AVS65" s="145"/>
      <c r="AVT65" s="145"/>
      <c r="AVU65" s="145"/>
      <c r="AVV65" s="145"/>
      <c r="AVW65" s="145"/>
      <c r="AVX65" s="145"/>
      <c r="AVY65" s="145"/>
      <c r="AVZ65" s="145"/>
      <c r="AWA65" s="145"/>
      <c r="AWB65" s="145"/>
      <c r="AWC65" s="145"/>
      <c r="AWD65" s="145"/>
      <c r="AWE65" s="145"/>
      <c r="AWF65" s="145"/>
      <c r="AWG65" s="145"/>
      <c r="AWH65" s="145"/>
      <c r="AWI65" s="145"/>
      <c r="AWJ65" s="145"/>
      <c r="AWK65" s="145"/>
      <c r="AWL65" s="145"/>
      <c r="AWM65" s="145"/>
      <c r="AWN65" s="145"/>
      <c r="AWO65" s="145"/>
      <c r="AWP65" s="145"/>
      <c r="AWQ65" s="145"/>
      <c r="AWR65" s="145"/>
      <c r="AWS65" s="145"/>
      <c r="AWT65" s="145"/>
      <c r="AWU65" s="145"/>
      <c r="AWV65" s="145"/>
      <c r="AWW65" s="145"/>
      <c r="AWX65" s="145"/>
      <c r="AWY65" s="145"/>
      <c r="AWZ65" s="145"/>
      <c r="AXA65" s="145"/>
      <c r="AXB65" s="145"/>
      <c r="AXC65" s="145"/>
      <c r="AXD65" s="145"/>
      <c r="AXE65" s="145"/>
      <c r="AXF65" s="145"/>
      <c r="AXG65" s="145"/>
      <c r="AXH65" s="145"/>
      <c r="AXI65" s="145"/>
      <c r="AXJ65" s="145"/>
      <c r="AXK65" s="145"/>
      <c r="AXL65" s="145"/>
      <c r="AXM65" s="145"/>
      <c r="AXN65" s="145"/>
      <c r="AXO65" s="145"/>
      <c r="AXP65" s="145"/>
      <c r="AXQ65" s="145"/>
      <c r="AXR65" s="145"/>
      <c r="AXS65" s="145"/>
      <c r="AXT65" s="145"/>
      <c r="AXU65" s="145"/>
      <c r="AXV65" s="145"/>
      <c r="AXW65" s="145"/>
      <c r="AXX65" s="145"/>
      <c r="AXY65" s="145"/>
      <c r="AXZ65" s="145"/>
      <c r="AYA65" s="145"/>
      <c r="AYB65" s="145"/>
      <c r="AYC65" s="145"/>
      <c r="AYD65" s="145"/>
      <c r="AYE65" s="145"/>
      <c r="AYF65" s="145"/>
      <c r="AYG65" s="145"/>
      <c r="AYH65" s="145"/>
      <c r="AYI65" s="145"/>
      <c r="AYJ65" s="145"/>
      <c r="AYK65" s="145"/>
      <c r="AYL65" s="145"/>
      <c r="AYM65" s="145"/>
      <c r="AYN65" s="145"/>
      <c r="AYO65" s="145"/>
      <c r="AYP65" s="145"/>
      <c r="AYQ65" s="145"/>
      <c r="AYR65" s="145"/>
      <c r="AYS65" s="145"/>
      <c r="AYT65" s="145"/>
      <c r="AYU65" s="145"/>
      <c r="AYV65" s="145"/>
      <c r="AYW65" s="145"/>
      <c r="AYX65" s="145"/>
      <c r="AYY65" s="145"/>
      <c r="AYZ65" s="145"/>
      <c r="AZA65" s="145"/>
      <c r="AZB65" s="145"/>
      <c r="AZC65" s="145"/>
      <c r="AZD65" s="145"/>
      <c r="AZE65" s="145"/>
      <c r="AZF65" s="145"/>
      <c r="AZG65" s="145"/>
      <c r="AZH65" s="145"/>
      <c r="AZI65" s="145"/>
      <c r="AZJ65" s="145"/>
      <c r="AZK65" s="145"/>
      <c r="AZL65" s="145"/>
      <c r="AZM65" s="145"/>
      <c r="AZN65" s="145"/>
      <c r="AZO65" s="145"/>
      <c r="AZP65" s="145"/>
      <c r="AZQ65" s="145"/>
      <c r="AZR65" s="145"/>
      <c r="AZS65" s="145"/>
      <c r="AZT65" s="145"/>
      <c r="AZU65" s="145"/>
      <c r="AZV65" s="145"/>
      <c r="AZW65" s="145"/>
      <c r="AZX65" s="145"/>
      <c r="AZY65" s="145"/>
      <c r="AZZ65" s="145"/>
      <c r="BAA65" s="145"/>
      <c r="BAB65" s="145"/>
      <c r="BAC65" s="145"/>
      <c r="BAD65" s="145"/>
      <c r="BAE65" s="145"/>
      <c r="BAF65" s="145"/>
      <c r="BAG65" s="145"/>
      <c r="BAH65" s="145"/>
      <c r="BAI65" s="145"/>
      <c r="BAJ65" s="145"/>
      <c r="BAK65" s="145"/>
      <c r="BAL65" s="145"/>
      <c r="BAM65" s="145"/>
      <c r="BAN65" s="145"/>
      <c r="BAO65" s="145"/>
      <c r="BAP65" s="145"/>
      <c r="BAQ65" s="145"/>
      <c r="BAR65" s="145"/>
      <c r="BAS65" s="145"/>
      <c r="BAT65" s="145"/>
      <c r="BAU65" s="145"/>
      <c r="BAV65" s="145"/>
      <c r="BAW65" s="145"/>
      <c r="BAX65" s="145"/>
      <c r="BAY65" s="145"/>
      <c r="BAZ65" s="145"/>
      <c r="BBA65" s="145"/>
      <c r="BBB65" s="145"/>
      <c r="BBC65" s="145"/>
      <c r="BBD65" s="145"/>
      <c r="BBE65" s="145"/>
      <c r="BBF65" s="145"/>
      <c r="BBG65" s="145"/>
      <c r="BBH65" s="145"/>
      <c r="BBI65" s="145"/>
      <c r="BBJ65" s="145"/>
      <c r="BBK65" s="145"/>
      <c r="BBL65" s="145"/>
      <c r="BBM65" s="145"/>
      <c r="BBN65" s="145"/>
      <c r="BBO65" s="145"/>
      <c r="BBP65" s="145"/>
      <c r="BBQ65" s="145"/>
      <c r="BBR65" s="145"/>
      <c r="BBS65" s="145"/>
      <c r="BBT65" s="145"/>
      <c r="BBU65" s="145"/>
      <c r="BBV65" s="145"/>
      <c r="BBW65" s="145"/>
      <c r="BBX65" s="145"/>
      <c r="BBY65" s="145"/>
      <c r="BBZ65" s="145"/>
      <c r="BCA65" s="145"/>
      <c r="BCB65" s="145"/>
      <c r="BCC65" s="145"/>
      <c r="BCD65" s="145"/>
      <c r="BCE65" s="145"/>
      <c r="BCF65" s="145"/>
      <c r="BCG65" s="145"/>
      <c r="BCH65" s="145"/>
      <c r="BCI65" s="145"/>
      <c r="BCJ65" s="145"/>
      <c r="BCK65" s="145"/>
      <c r="BCL65" s="145"/>
      <c r="BCM65" s="145"/>
      <c r="BCN65" s="145"/>
      <c r="BCO65" s="145"/>
      <c r="BCP65" s="145"/>
      <c r="BCQ65" s="145"/>
      <c r="BCR65" s="145"/>
      <c r="BCS65" s="145"/>
      <c r="BCT65" s="145"/>
      <c r="BCU65" s="145"/>
      <c r="BCV65" s="145"/>
      <c r="BCW65" s="145"/>
      <c r="BCX65" s="145"/>
      <c r="BCY65" s="145"/>
      <c r="BCZ65" s="145"/>
      <c r="BDA65" s="145"/>
      <c r="BDB65" s="145"/>
      <c r="BDC65" s="145"/>
      <c r="BDD65" s="145"/>
      <c r="BDE65" s="145"/>
      <c r="BDF65" s="145"/>
      <c r="BDG65" s="145"/>
      <c r="BDH65" s="145"/>
      <c r="BDI65" s="145"/>
      <c r="BDJ65" s="145"/>
      <c r="BDK65" s="145"/>
      <c r="BDL65" s="145"/>
      <c r="BDM65" s="145"/>
      <c r="BDN65" s="145"/>
      <c r="BDO65" s="145"/>
      <c r="BDP65" s="145"/>
      <c r="BDQ65" s="145"/>
      <c r="BDR65" s="145"/>
      <c r="BDS65" s="145"/>
      <c r="BDT65" s="145"/>
      <c r="BDU65" s="145"/>
      <c r="BDV65" s="145"/>
      <c r="BDW65" s="145"/>
      <c r="BDX65" s="145"/>
      <c r="BDY65" s="145"/>
      <c r="BDZ65" s="145"/>
      <c r="BEA65" s="145"/>
      <c r="BEB65" s="145"/>
      <c r="BEC65" s="145"/>
      <c r="BED65" s="145"/>
      <c r="BEE65" s="145"/>
      <c r="BEF65" s="145"/>
      <c r="BEG65" s="145"/>
      <c r="BEH65" s="145"/>
      <c r="BEI65" s="145"/>
      <c r="BEJ65" s="145"/>
      <c r="BEK65" s="145"/>
      <c r="BEL65" s="145"/>
      <c r="BEM65" s="145"/>
      <c r="BEN65" s="145"/>
      <c r="BEO65" s="145"/>
      <c r="BEP65" s="145"/>
      <c r="BEQ65" s="145"/>
      <c r="BER65" s="145"/>
      <c r="BES65" s="145"/>
      <c r="BET65" s="145"/>
      <c r="BEU65" s="145"/>
      <c r="BEV65" s="145"/>
      <c r="BEW65" s="145"/>
      <c r="BEX65" s="145"/>
      <c r="BEY65" s="145"/>
      <c r="BEZ65" s="145"/>
      <c r="BFA65" s="145"/>
      <c r="BFB65" s="145"/>
      <c r="BFC65" s="145"/>
      <c r="BFD65" s="145"/>
      <c r="BFE65" s="145"/>
      <c r="BFF65" s="145"/>
      <c r="BFG65" s="145"/>
      <c r="BFH65" s="145"/>
      <c r="BFI65" s="145"/>
      <c r="BFJ65" s="145"/>
      <c r="BFK65" s="145"/>
      <c r="BFL65" s="145"/>
      <c r="BFM65" s="145"/>
      <c r="BFN65" s="145"/>
      <c r="BFO65" s="145"/>
      <c r="BFP65" s="145"/>
      <c r="BFQ65" s="145"/>
      <c r="BFR65" s="145"/>
      <c r="BFS65" s="145"/>
      <c r="BFT65" s="145"/>
      <c r="BFU65" s="145"/>
      <c r="BFV65" s="145"/>
      <c r="BFW65" s="145"/>
      <c r="BFX65" s="145"/>
      <c r="BFY65" s="145"/>
      <c r="BFZ65" s="145"/>
      <c r="BGA65" s="145"/>
      <c r="BGB65" s="145"/>
      <c r="BGC65" s="145"/>
      <c r="BGD65" s="145"/>
      <c r="BGE65" s="145"/>
      <c r="BGF65" s="145"/>
      <c r="BGG65" s="145"/>
      <c r="BGH65" s="145"/>
      <c r="BGI65" s="145"/>
      <c r="BGJ65" s="145"/>
      <c r="BGK65" s="145"/>
      <c r="BGL65" s="145"/>
      <c r="BGM65" s="145"/>
      <c r="BGN65" s="145"/>
      <c r="BGO65" s="145"/>
      <c r="BGP65" s="145"/>
      <c r="BGQ65" s="145"/>
      <c r="BGR65" s="145"/>
      <c r="BGS65" s="145"/>
      <c r="BGT65" s="145"/>
      <c r="BGU65" s="145"/>
      <c r="BGV65" s="145"/>
      <c r="BGW65" s="145"/>
      <c r="BGX65" s="145"/>
      <c r="BGY65" s="145"/>
      <c r="BGZ65" s="145"/>
      <c r="BHA65" s="145"/>
      <c r="BHB65" s="145"/>
      <c r="BHC65" s="145"/>
      <c r="BHD65" s="145"/>
      <c r="BHE65" s="145"/>
      <c r="BHF65" s="145"/>
      <c r="BHG65" s="145"/>
      <c r="BHH65" s="145"/>
      <c r="BHI65" s="145"/>
      <c r="BHJ65" s="145"/>
      <c r="BHK65" s="145"/>
      <c r="BHL65" s="145"/>
      <c r="BHM65" s="145"/>
      <c r="BHN65" s="145"/>
      <c r="BHO65" s="145"/>
      <c r="BHP65" s="145"/>
      <c r="BHQ65" s="145"/>
      <c r="BHR65" s="145"/>
      <c r="BHS65" s="145"/>
      <c r="BHT65" s="145"/>
      <c r="BHU65" s="145"/>
      <c r="BHV65" s="145"/>
      <c r="BHW65" s="145"/>
      <c r="BHX65" s="145"/>
      <c r="BHY65" s="145"/>
      <c r="BHZ65" s="145"/>
      <c r="BIA65" s="145"/>
      <c r="BIB65" s="145"/>
      <c r="BIC65" s="145"/>
      <c r="BID65" s="145"/>
      <c r="BIE65" s="145"/>
      <c r="BIF65" s="145"/>
      <c r="BIG65" s="145"/>
      <c r="BIH65" s="145"/>
      <c r="BII65" s="145"/>
      <c r="BIJ65" s="145"/>
      <c r="BIK65" s="145"/>
      <c r="BIL65" s="145"/>
      <c r="BIM65" s="145"/>
      <c r="BIN65" s="145"/>
      <c r="BIO65" s="145"/>
      <c r="BIP65" s="145"/>
      <c r="BIQ65" s="145"/>
      <c r="BIR65" s="145"/>
      <c r="BIS65" s="145"/>
      <c r="BIT65" s="145"/>
      <c r="BIU65" s="145"/>
      <c r="BIV65" s="145"/>
      <c r="BIW65" s="145"/>
      <c r="BIX65" s="145"/>
      <c r="BIY65" s="145"/>
      <c r="BIZ65" s="145"/>
      <c r="BJA65" s="145"/>
      <c r="BJB65" s="145"/>
      <c r="BJC65" s="145"/>
      <c r="BJD65" s="145"/>
      <c r="BJE65" s="145"/>
      <c r="BJF65" s="145"/>
      <c r="BJG65" s="145"/>
      <c r="BJH65" s="145"/>
      <c r="BJI65" s="145"/>
      <c r="BJJ65" s="145"/>
      <c r="BJK65" s="145"/>
      <c r="BJL65" s="145"/>
      <c r="BJM65" s="145"/>
      <c r="BJN65" s="145"/>
      <c r="BJO65" s="145"/>
      <c r="BJP65" s="145"/>
      <c r="BJQ65" s="145"/>
      <c r="BJR65" s="145"/>
      <c r="BJS65" s="145"/>
      <c r="BJT65" s="145"/>
      <c r="BJU65" s="145"/>
      <c r="BJV65" s="145"/>
      <c r="BJW65" s="145"/>
      <c r="BJX65" s="145"/>
      <c r="BJY65" s="145"/>
      <c r="BJZ65" s="145"/>
      <c r="BKA65" s="145"/>
      <c r="BKB65" s="145"/>
      <c r="BKC65" s="145"/>
      <c r="BKD65" s="145"/>
      <c r="BKE65" s="145"/>
      <c r="BKF65" s="145"/>
      <c r="BKG65" s="145"/>
      <c r="BKH65" s="145"/>
      <c r="BKI65" s="145"/>
      <c r="BKJ65" s="145"/>
      <c r="BKK65" s="145"/>
      <c r="BKL65" s="145"/>
      <c r="BKM65" s="145"/>
      <c r="BKN65" s="145"/>
      <c r="BKO65" s="145"/>
      <c r="BKP65" s="145"/>
      <c r="BKQ65" s="145"/>
      <c r="BKR65" s="145"/>
      <c r="BKS65" s="145"/>
      <c r="BKT65" s="145"/>
      <c r="BKU65" s="145"/>
      <c r="BKV65" s="145"/>
      <c r="BKW65" s="145"/>
      <c r="BKX65" s="145"/>
      <c r="BKY65" s="145"/>
      <c r="BKZ65" s="145"/>
      <c r="BLA65" s="145"/>
      <c r="BLB65" s="145"/>
      <c r="BLC65" s="145"/>
      <c r="BLD65" s="145"/>
      <c r="BLE65" s="145"/>
      <c r="BLF65" s="145"/>
      <c r="BLG65" s="145"/>
      <c r="BLH65" s="145"/>
      <c r="BLI65" s="145"/>
      <c r="BLJ65" s="145"/>
      <c r="BLK65" s="145"/>
      <c r="BLL65" s="145"/>
      <c r="BLM65" s="145"/>
      <c r="BLN65" s="145"/>
      <c r="BLO65" s="145"/>
      <c r="BLP65" s="145"/>
      <c r="BLQ65" s="145"/>
      <c r="BLR65" s="145"/>
      <c r="BLS65" s="145"/>
      <c r="BLT65" s="145"/>
      <c r="BLU65" s="145"/>
      <c r="BLV65" s="145"/>
      <c r="BLW65" s="145"/>
      <c r="BLX65" s="145"/>
      <c r="BLY65" s="145"/>
      <c r="BLZ65" s="145"/>
      <c r="BMA65" s="145"/>
      <c r="BMB65" s="145"/>
      <c r="BMC65" s="145"/>
      <c r="BMD65" s="145"/>
      <c r="BME65" s="145"/>
      <c r="BMF65" s="145"/>
      <c r="BMG65" s="145"/>
      <c r="BMH65" s="145"/>
      <c r="BMI65" s="145"/>
      <c r="BMJ65" s="145"/>
      <c r="BMK65" s="145"/>
      <c r="BML65" s="145"/>
      <c r="BMM65" s="145"/>
      <c r="BMN65" s="145"/>
      <c r="BMO65" s="145"/>
      <c r="BMP65" s="145"/>
      <c r="BMQ65" s="145"/>
      <c r="BMR65" s="145"/>
      <c r="BMS65" s="145"/>
      <c r="BMT65" s="145"/>
      <c r="BMU65" s="145"/>
      <c r="BMV65" s="145"/>
      <c r="BMW65" s="145"/>
      <c r="BMX65" s="145"/>
      <c r="BMY65" s="145"/>
      <c r="BMZ65" s="145"/>
      <c r="BNA65" s="145"/>
      <c r="BNB65" s="145"/>
      <c r="BNC65" s="145"/>
      <c r="BND65" s="145"/>
      <c r="BNE65" s="145"/>
      <c r="BNF65" s="145"/>
      <c r="BNG65" s="145"/>
      <c r="BNH65" s="145"/>
      <c r="BNI65" s="145"/>
      <c r="BNJ65" s="145"/>
      <c r="BNK65" s="145"/>
      <c r="BNL65" s="145"/>
      <c r="BNM65" s="145"/>
      <c r="BNN65" s="145"/>
      <c r="BNO65" s="145"/>
      <c r="BNP65" s="145"/>
      <c r="BNQ65" s="145"/>
      <c r="BNR65" s="145"/>
      <c r="BNS65" s="145"/>
      <c r="BNT65" s="145"/>
      <c r="BNU65" s="145"/>
      <c r="BNV65" s="145"/>
      <c r="BNW65" s="145"/>
      <c r="BNX65" s="145"/>
      <c r="BNY65" s="145"/>
      <c r="BNZ65" s="145"/>
      <c r="BOA65" s="145"/>
      <c r="BOB65" s="145"/>
      <c r="BOC65" s="145"/>
      <c r="BOD65" s="145"/>
      <c r="BOE65" s="145"/>
      <c r="BOF65" s="145"/>
      <c r="BOG65" s="145"/>
      <c r="BOH65" s="145"/>
      <c r="BOI65" s="145"/>
      <c r="BOJ65" s="145"/>
      <c r="BOK65" s="145"/>
      <c r="BOL65" s="145"/>
      <c r="BOM65" s="145"/>
      <c r="BON65" s="145"/>
      <c r="BOO65" s="145"/>
      <c r="BOP65" s="145"/>
      <c r="BOQ65" s="145"/>
      <c r="BOR65" s="145"/>
      <c r="BOS65" s="145"/>
      <c r="BOT65" s="145"/>
      <c r="BOU65" s="145"/>
      <c r="BOV65" s="145"/>
      <c r="BOW65" s="145"/>
      <c r="BOX65" s="145"/>
      <c r="BOY65" s="145"/>
      <c r="BOZ65" s="145"/>
      <c r="BPA65" s="145"/>
      <c r="BPB65" s="145"/>
      <c r="BPC65" s="145"/>
      <c r="BPD65" s="145"/>
      <c r="BPE65" s="145"/>
      <c r="BPF65" s="145"/>
      <c r="BPG65" s="145"/>
      <c r="BPH65" s="145"/>
      <c r="BPI65" s="145"/>
      <c r="BPJ65" s="145"/>
      <c r="BPK65" s="145"/>
      <c r="BPL65" s="145"/>
      <c r="BPM65" s="145"/>
      <c r="BPN65" s="145"/>
      <c r="BPO65" s="145"/>
      <c r="BPP65" s="145"/>
      <c r="BPQ65" s="145"/>
      <c r="BPR65" s="145"/>
      <c r="BPS65" s="145"/>
      <c r="BPT65" s="145"/>
      <c r="BPU65" s="145"/>
      <c r="BPV65" s="145"/>
      <c r="BPW65" s="145"/>
      <c r="BPX65" s="145"/>
      <c r="BPY65" s="145"/>
      <c r="BPZ65" s="145"/>
      <c r="BQA65" s="145"/>
      <c r="BQB65" s="145"/>
      <c r="BQC65" s="145"/>
      <c r="BQD65" s="145"/>
      <c r="BQE65" s="145"/>
      <c r="BQF65" s="145"/>
      <c r="BQG65" s="145"/>
      <c r="BQH65" s="145"/>
      <c r="BQI65" s="145"/>
      <c r="BQJ65" s="145"/>
      <c r="BQK65" s="145"/>
      <c r="BQL65" s="145"/>
      <c r="BQM65" s="145"/>
      <c r="BQN65" s="145"/>
      <c r="BQO65" s="145"/>
      <c r="BQP65" s="145"/>
      <c r="BQQ65" s="145"/>
      <c r="BQR65" s="145"/>
      <c r="BQS65" s="145"/>
      <c r="BQT65" s="145"/>
      <c r="BQU65" s="145"/>
      <c r="BQV65" s="145"/>
      <c r="BQW65" s="145"/>
      <c r="BQX65" s="145"/>
      <c r="BQY65" s="145"/>
      <c r="BQZ65" s="145"/>
      <c r="BRA65" s="145"/>
      <c r="BRB65" s="145"/>
      <c r="BRC65" s="145"/>
      <c r="BRD65" s="145"/>
      <c r="BRE65" s="145"/>
      <c r="BRF65" s="145"/>
      <c r="BRG65" s="145"/>
      <c r="BRH65" s="145"/>
      <c r="BRI65" s="145"/>
      <c r="BRJ65" s="145"/>
      <c r="BRK65" s="145"/>
      <c r="BRL65" s="145"/>
      <c r="BRM65" s="145"/>
      <c r="BRN65" s="145"/>
      <c r="BRO65" s="145"/>
      <c r="BRP65" s="145"/>
      <c r="BRQ65" s="145"/>
      <c r="BRR65" s="145"/>
      <c r="BRS65" s="145"/>
      <c r="BRT65" s="145"/>
      <c r="BRU65" s="145"/>
      <c r="BRV65" s="145"/>
      <c r="BRW65" s="145"/>
      <c r="BRX65" s="145"/>
      <c r="BRY65" s="145"/>
      <c r="BRZ65" s="145"/>
      <c r="BSA65" s="145"/>
      <c r="BSB65" s="145"/>
      <c r="BSC65" s="145"/>
      <c r="BSD65" s="145"/>
      <c r="BSE65" s="145"/>
      <c r="BSF65" s="145"/>
      <c r="BSG65" s="145"/>
      <c r="BSH65" s="145"/>
      <c r="BSI65" s="145"/>
      <c r="BSJ65" s="145"/>
      <c r="BSK65" s="145"/>
      <c r="BSL65" s="145"/>
      <c r="BSM65" s="145"/>
      <c r="BSN65" s="145"/>
      <c r="BSO65" s="145"/>
      <c r="BSP65" s="145"/>
      <c r="BSQ65" s="145"/>
      <c r="BSR65" s="145"/>
      <c r="BSS65" s="145"/>
      <c r="BST65" s="145"/>
      <c r="BSU65" s="145"/>
      <c r="BSV65" s="145"/>
      <c r="BSW65" s="145"/>
      <c r="BSX65" s="145"/>
      <c r="BSY65" s="145"/>
      <c r="BSZ65" s="145"/>
      <c r="BTA65" s="145"/>
      <c r="BTB65" s="145"/>
      <c r="BTC65" s="145"/>
      <c r="BTD65" s="145"/>
      <c r="BTE65" s="145"/>
      <c r="BTF65" s="145"/>
      <c r="BTG65" s="145"/>
      <c r="BTH65" s="145"/>
      <c r="BTI65" s="145"/>
      <c r="BTJ65" s="145"/>
      <c r="BTK65" s="145"/>
      <c r="BTL65" s="145"/>
      <c r="BTM65" s="145"/>
      <c r="BTN65" s="145"/>
      <c r="BTO65" s="145"/>
      <c r="BTP65" s="145"/>
      <c r="BTQ65" s="145"/>
      <c r="BTR65" s="145"/>
      <c r="BTS65" s="145"/>
      <c r="BTT65" s="145"/>
      <c r="BTU65" s="145"/>
      <c r="BTV65" s="145"/>
      <c r="BTW65" s="145"/>
      <c r="BTX65" s="145"/>
      <c r="BTY65" s="145"/>
      <c r="BTZ65" s="145"/>
      <c r="BUA65" s="145"/>
      <c r="BUB65" s="145"/>
      <c r="BUC65" s="145"/>
      <c r="BUD65" s="145"/>
      <c r="BUE65" s="145"/>
      <c r="BUF65" s="145"/>
      <c r="BUG65" s="145"/>
      <c r="BUH65" s="145"/>
      <c r="BUI65" s="145"/>
      <c r="BUJ65" s="145"/>
      <c r="BUK65" s="145"/>
      <c r="BUL65" s="145"/>
      <c r="BUM65" s="145"/>
      <c r="BUN65" s="145"/>
      <c r="BUO65" s="145"/>
      <c r="BUP65" s="145"/>
      <c r="BUQ65" s="145"/>
      <c r="BUR65" s="145"/>
      <c r="BUS65" s="145"/>
      <c r="BUT65" s="145"/>
      <c r="BUU65" s="145"/>
      <c r="BUV65" s="145"/>
      <c r="BUW65" s="145"/>
      <c r="BUX65" s="145"/>
      <c r="BUY65" s="145"/>
      <c r="BUZ65" s="145"/>
      <c r="BVA65" s="145"/>
      <c r="BVB65" s="145"/>
      <c r="BVC65" s="145"/>
      <c r="BVD65" s="145"/>
      <c r="BVE65" s="145"/>
      <c r="BVF65" s="145"/>
      <c r="BVG65" s="145"/>
      <c r="BVH65" s="145"/>
      <c r="BVI65" s="145"/>
      <c r="BVJ65" s="145"/>
      <c r="BVK65" s="145"/>
      <c r="BVL65" s="145"/>
      <c r="BVM65" s="145"/>
      <c r="BVN65" s="145"/>
      <c r="BVO65" s="145"/>
      <c r="BVP65" s="145"/>
      <c r="BVQ65" s="145"/>
      <c r="BVR65" s="145"/>
      <c r="BVS65" s="145"/>
      <c r="BVT65" s="145"/>
      <c r="BVU65" s="145"/>
      <c r="BVV65" s="145"/>
      <c r="BVW65" s="145"/>
      <c r="BVX65" s="145"/>
      <c r="BVY65" s="145"/>
      <c r="BVZ65" s="145"/>
      <c r="BWA65" s="145"/>
      <c r="BWB65" s="145"/>
      <c r="BWC65" s="145"/>
      <c r="BWD65" s="145"/>
      <c r="BWE65" s="145"/>
      <c r="BWF65" s="145"/>
      <c r="BWG65" s="145"/>
      <c r="BWH65" s="145"/>
      <c r="BWI65" s="145"/>
      <c r="BWJ65" s="145"/>
      <c r="BWK65" s="145"/>
      <c r="BWL65" s="145"/>
      <c r="BWM65" s="145"/>
      <c r="BWN65" s="145"/>
      <c r="BWO65" s="145"/>
      <c r="BWP65" s="145"/>
      <c r="BWQ65" s="145"/>
      <c r="BWR65" s="145"/>
      <c r="BWS65" s="145"/>
      <c r="BWT65" s="145"/>
      <c r="BWU65" s="145"/>
      <c r="BWV65" s="145"/>
      <c r="BWW65" s="145"/>
      <c r="BWX65" s="145"/>
      <c r="BWY65" s="145"/>
      <c r="BWZ65" s="145"/>
      <c r="BXA65" s="145"/>
      <c r="BXB65" s="145"/>
      <c r="BXC65" s="145"/>
      <c r="BXD65" s="145"/>
      <c r="BXE65" s="145"/>
      <c r="BXF65" s="145"/>
      <c r="BXG65" s="145"/>
      <c r="BXH65" s="145"/>
      <c r="BXI65" s="145"/>
      <c r="BXJ65" s="145"/>
      <c r="BXK65" s="145"/>
      <c r="BXL65" s="145"/>
      <c r="BXM65" s="145"/>
      <c r="BXN65" s="145"/>
      <c r="BXO65" s="145"/>
      <c r="BXP65" s="145"/>
      <c r="BXQ65" s="145"/>
      <c r="BXR65" s="145"/>
      <c r="BXS65" s="145"/>
      <c r="BXT65" s="145"/>
      <c r="BXU65" s="145"/>
      <c r="BXV65" s="145"/>
      <c r="BXW65" s="145"/>
      <c r="BXX65" s="145"/>
      <c r="BXY65" s="145"/>
      <c r="BXZ65" s="145"/>
      <c r="BYA65" s="145"/>
      <c r="BYB65" s="145"/>
      <c r="BYC65" s="145"/>
      <c r="BYD65" s="145"/>
      <c r="BYE65" s="145"/>
      <c r="BYF65" s="145"/>
      <c r="BYG65" s="145"/>
      <c r="BYH65" s="145"/>
      <c r="BYI65" s="145"/>
      <c r="BYJ65" s="145"/>
      <c r="BYK65" s="145"/>
      <c r="BYL65" s="145"/>
      <c r="BYM65" s="145"/>
      <c r="BYN65" s="145"/>
      <c r="BYO65" s="145"/>
      <c r="BYP65" s="145"/>
      <c r="BYQ65" s="145"/>
      <c r="BYR65" s="145"/>
      <c r="BYS65" s="145"/>
      <c r="BYT65" s="145"/>
      <c r="BYU65" s="145"/>
      <c r="BYV65" s="145"/>
      <c r="BYW65" s="145"/>
      <c r="BYX65" s="145"/>
      <c r="BYY65" s="145"/>
      <c r="BYZ65" s="145"/>
      <c r="BZA65" s="145"/>
      <c r="BZB65" s="145"/>
      <c r="BZC65" s="145"/>
      <c r="BZD65" s="145"/>
      <c r="BZE65" s="145"/>
      <c r="BZF65" s="145"/>
      <c r="BZG65" s="145"/>
      <c r="BZH65" s="145"/>
      <c r="BZI65" s="145"/>
      <c r="BZJ65" s="145"/>
      <c r="BZK65" s="145"/>
      <c r="BZL65" s="145"/>
      <c r="BZM65" s="145"/>
      <c r="BZN65" s="145"/>
      <c r="BZO65" s="145"/>
      <c r="BZP65" s="145"/>
      <c r="BZQ65" s="145"/>
      <c r="BZR65" s="145"/>
      <c r="BZS65" s="145"/>
      <c r="BZT65" s="145"/>
      <c r="BZU65" s="145"/>
      <c r="BZV65" s="145"/>
      <c r="BZW65" s="145"/>
      <c r="BZX65" s="145"/>
      <c r="BZY65" s="145"/>
      <c r="BZZ65" s="145"/>
      <c r="CAA65" s="145"/>
      <c r="CAB65" s="145"/>
      <c r="CAC65" s="145"/>
      <c r="CAD65" s="145"/>
      <c r="CAE65" s="145"/>
      <c r="CAF65" s="145"/>
      <c r="CAG65" s="145"/>
      <c r="CAH65" s="145"/>
      <c r="CAI65" s="145"/>
      <c r="CAJ65" s="145"/>
      <c r="CAK65" s="145"/>
      <c r="CAL65" s="145"/>
      <c r="CAM65" s="145"/>
      <c r="CAN65" s="145"/>
      <c r="CAO65" s="145"/>
      <c r="CAP65" s="145"/>
      <c r="CAQ65" s="145"/>
      <c r="CAR65" s="145"/>
      <c r="CAS65" s="145"/>
      <c r="CAT65" s="145"/>
      <c r="CAU65" s="145"/>
      <c r="CAV65" s="145"/>
      <c r="CAW65" s="145"/>
      <c r="CAX65" s="145"/>
      <c r="CAY65" s="145"/>
      <c r="CAZ65" s="145"/>
      <c r="CBA65" s="145"/>
      <c r="CBB65" s="145"/>
      <c r="CBC65" s="145"/>
      <c r="CBD65" s="145"/>
      <c r="CBE65" s="145"/>
      <c r="CBF65" s="145"/>
      <c r="CBG65" s="145"/>
      <c r="CBH65" s="145"/>
      <c r="CBI65" s="145"/>
      <c r="CBJ65" s="145"/>
      <c r="CBK65" s="145"/>
      <c r="CBL65" s="145"/>
      <c r="CBM65" s="145"/>
      <c r="CBN65" s="145"/>
      <c r="CBO65" s="145"/>
      <c r="CBP65" s="145"/>
      <c r="CBQ65" s="145"/>
      <c r="CBR65" s="145"/>
      <c r="CBS65" s="145"/>
      <c r="CBT65" s="145"/>
      <c r="CBU65" s="145"/>
      <c r="CBV65" s="145"/>
      <c r="CBW65" s="145"/>
      <c r="CBX65" s="145"/>
      <c r="CBY65" s="145"/>
      <c r="CBZ65" s="145"/>
      <c r="CCA65" s="145"/>
      <c r="CCB65" s="145"/>
      <c r="CCC65" s="145"/>
      <c r="CCD65" s="145"/>
      <c r="CCE65" s="145"/>
      <c r="CCF65" s="145"/>
      <c r="CCG65" s="145"/>
      <c r="CCH65" s="145"/>
      <c r="CCI65" s="145"/>
      <c r="CCJ65" s="145"/>
      <c r="CCK65" s="145"/>
      <c r="CCL65" s="145"/>
      <c r="CCM65" s="145"/>
      <c r="CCN65" s="145"/>
      <c r="CCO65" s="145"/>
      <c r="CCP65" s="145"/>
      <c r="CCQ65" s="145"/>
      <c r="CCR65" s="145"/>
      <c r="CCS65" s="145"/>
      <c r="CCT65" s="145"/>
      <c r="CCU65" s="145"/>
      <c r="CCV65" s="145"/>
      <c r="CCW65" s="145"/>
      <c r="CCX65" s="145"/>
      <c r="CCY65" s="145"/>
      <c r="CCZ65" s="145"/>
      <c r="CDA65" s="145"/>
      <c r="CDB65" s="145"/>
      <c r="CDC65" s="145"/>
      <c r="CDD65" s="145"/>
      <c r="CDE65" s="145"/>
      <c r="CDF65" s="145"/>
      <c r="CDG65" s="145"/>
      <c r="CDH65" s="145"/>
      <c r="CDI65" s="145"/>
      <c r="CDJ65" s="145"/>
      <c r="CDK65" s="145"/>
      <c r="CDL65" s="145"/>
      <c r="CDM65" s="145"/>
      <c r="CDN65" s="145"/>
      <c r="CDO65" s="145"/>
      <c r="CDP65" s="145"/>
      <c r="CDQ65" s="145"/>
      <c r="CDR65" s="145"/>
      <c r="CDS65" s="145"/>
      <c r="CDT65" s="145"/>
      <c r="CDU65" s="145"/>
      <c r="CDV65" s="145"/>
      <c r="CDW65" s="145"/>
      <c r="CDX65" s="145"/>
      <c r="CDY65" s="145"/>
      <c r="CDZ65" s="145"/>
      <c r="CEA65" s="145"/>
      <c r="CEB65" s="145"/>
      <c r="CEC65" s="145"/>
      <c r="CED65" s="145"/>
      <c r="CEE65" s="145"/>
      <c r="CEF65" s="145"/>
      <c r="CEG65" s="145"/>
      <c r="CEH65" s="145"/>
      <c r="CEI65" s="145"/>
      <c r="CEJ65" s="145"/>
      <c r="CEK65" s="145"/>
      <c r="CEL65" s="145"/>
      <c r="CEM65" s="145"/>
      <c r="CEN65" s="145"/>
      <c r="CEO65" s="145"/>
      <c r="CEP65" s="145"/>
      <c r="CEQ65" s="145"/>
      <c r="CER65" s="145"/>
      <c r="CES65" s="145"/>
      <c r="CET65" s="145"/>
      <c r="CEU65" s="145"/>
      <c r="CEV65" s="145"/>
      <c r="CEW65" s="145"/>
      <c r="CEX65" s="145"/>
      <c r="CEY65" s="145"/>
      <c r="CEZ65" s="145"/>
      <c r="CFA65" s="145"/>
      <c r="CFB65" s="145"/>
      <c r="CFC65" s="145"/>
      <c r="CFD65" s="145"/>
      <c r="CFE65" s="145"/>
      <c r="CFF65" s="145"/>
      <c r="CFG65" s="145"/>
      <c r="CFH65" s="145"/>
      <c r="CFI65" s="145"/>
      <c r="CFJ65" s="145"/>
      <c r="CFK65" s="145"/>
      <c r="CFL65" s="145"/>
      <c r="CFM65" s="145"/>
      <c r="CFN65" s="145"/>
      <c r="CFO65" s="145"/>
      <c r="CFP65" s="145"/>
      <c r="CFQ65" s="145"/>
      <c r="CFR65" s="145"/>
      <c r="CFS65" s="145"/>
      <c r="CFT65" s="145"/>
      <c r="CFU65" s="145"/>
      <c r="CFV65" s="145"/>
      <c r="CFW65" s="145"/>
      <c r="CFX65" s="145"/>
      <c r="CFY65" s="145"/>
      <c r="CFZ65" s="145"/>
      <c r="CGA65" s="145"/>
      <c r="CGB65" s="145"/>
      <c r="CGC65" s="145"/>
      <c r="CGD65" s="145"/>
      <c r="CGE65" s="145"/>
      <c r="CGF65" s="145"/>
      <c r="CGG65" s="145"/>
      <c r="CGH65" s="145"/>
      <c r="CGI65" s="145"/>
      <c r="CGJ65" s="145"/>
      <c r="CGK65" s="145"/>
      <c r="CGL65" s="145"/>
      <c r="CGM65" s="145"/>
      <c r="CGN65" s="145"/>
      <c r="CGO65" s="145"/>
      <c r="CGP65" s="145"/>
      <c r="CGQ65" s="145"/>
      <c r="CGR65" s="145"/>
      <c r="CGS65" s="145"/>
      <c r="CGT65" s="145"/>
      <c r="CGU65" s="145"/>
      <c r="CGV65" s="145"/>
      <c r="CGW65" s="145"/>
      <c r="CGX65" s="145"/>
      <c r="CGY65" s="145"/>
      <c r="CGZ65" s="145"/>
      <c r="CHA65" s="145"/>
      <c r="CHB65" s="145"/>
      <c r="CHC65" s="145"/>
      <c r="CHD65" s="145"/>
      <c r="CHE65" s="145"/>
      <c r="CHF65" s="145"/>
      <c r="CHG65" s="145"/>
      <c r="CHH65" s="145"/>
      <c r="CHI65" s="145"/>
      <c r="CHJ65" s="145"/>
      <c r="CHK65" s="145"/>
      <c r="CHL65" s="145"/>
      <c r="CHM65" s="145"/>
      <c r="CHN65" s="145"/>
      <c r="CHO65" s="145"/>
      <c r="CHP65" s="145"/>
      <c r="CHQ65" s="145"/>
      <c r="CHR65" s="145"/>
      <c r="CHS65" s="145"/>
      <c r="CHT65" s="145"/>
      <c r="CHU65" s="145"/>
      <c r="CHV65" s="145"/>
      <c r="CHW65" s="145"/>
      <c r="CHX65" s="145"/>
      <c r="CHY65" s="145"/>
      <c r="CHZ65" s="145"/>
      <c r="CIA65" s="145"/>
      <c r="CIB65" s="145"/>
      <c r="CIC65" s="145"/>
      <c r="CID65" s="145"/>
      <c r="CIE65" s="145"/>
      <c r="CIF65" s="145"/>
      <c r="CIG65" s="145"/>
      <c r="CIH65" s="145"/>
      <c r="CII65" s="145"/>
      <c r="CIJ65" s="145"/>
      <c r="CIK65" s="145"/>
      <c r="CIL65" s="145"/>
      <c r="CIM65" s="145"/>
      <c r="CIN65" s="145"/>
      <c r="CIO65" s="145"/>
      <c r="CIP65" s="145"/>
      <c r="CIQ65" s="145"/>
      <c r="CIR65" s="145"/>
      <c r="CIS65" s="145"/>
      <c r="CIT65" s="145"/>
      <c r="CIU65" s="145"/>
      <c r="CIV65" s="145"/>
      <c r="CIW65" s="145"/>
      <c r="CIX65" s="145"/>
      <c r="CIY65" s="145"/>
      <c r="CIZ65" s="145"/>
      <c r="CJA65" s="145"/>
      <c r="CJB65" s="145"/>
      <c r="CJC65" s="145"/>
      <c r="CJD65" s="145"/>
      <c r="CJE65" s="145"/>
      <c r="CJF65" s="145"/>
      <c r="CJG65" s="145"/>
      <c r="CJH65" s="145"/>
      <c r="CJI65" s="145"/>
      <c r="CJJ65" s="145"/>
      <c r="CJK65" s="145"/>
      <c r="CJL65" s="145"/>
      <c r="CJM65" s="145"/>
      <c r="CJN65" s="145"/>
      <c r="CJO65" s="145"/>
      <c r="CJP65" s="145"/>
      <c r="CJQ65" s="145"/>
      <c r="CJR65" s="145"/>
      <c r="CJS65" s="145"/>
      <c r="CJT65" s="145"/>
      <c r="CJU65" s="145"/>
      <c r="CJV65" s="145"/>
      <c r="CJW65" s="145"/>
      <c r="CJX65" s="145"/>
      <c r="CJY65" s="145"/>
      <c r="CJZ65" s="145"/>
      <c r="CKA65" s="145"/>
      <c r="CKB65" s="145"/>
      <c r="CKC65" s="145"/>
      <c r="CKD65" s="145"/>
      <c r="CKE65" s="145"/>
      <c r="CKF65" s="145"/>
      <c r="CKG65" s="145"/>
      <c r="CKH65" s="145"/>
      <c r="CKI65" s="145"/>
      <c r="CKJ65" s="145"/>
      <c r="CKK65" s="145"/>
      <c r="CKL65" s="145"/>
      <c r="CKM65" s="145"/>
      <c r="CKN65" s="145"/>
      <c r="CKO65" s="145"/>
      <c r="CKP65" s="145"/>
      <c r="CKQ65" s="145"/>
      <c r="CKR65" s="145"/>
      <c r="CKS65" s="145"/>
      <c r="CKT65" s="145"/>
      <c r="CKU65" s="145"/>
      <c r="CKV65" s="145"/>
      <c r="CKW65" s="145"/>
      <c r="CKX65" s="145"/>
      <c r="CKY65" s="145"/>
      <c r="CKZ65" s="145"/>
      <c r="CLA65" s="145"/>
      <c r="CLB65" s="145"/>
      <c r="CLC65" s="145"/>
      <c r="CLD65" s="145"/>
      <c r="CLE65" s="145"/>
      <c r="CLF65" s="145"/>
      <c r="CLG65" s="145"/>
      <c r="CLH65" s="145"/>
      <c r="CLI65" s="145"/>
      <c r="CLJ65" s="145"/>
      <c r="CLK65" s="145"/>
      <c r="CLL65" s="145"/>
      <c r="CLM65" s="145"/>
      <c r="CLN65" s="145"/>
      <c r="CLO65" s="145"/>
      <c r="CLP65" s="145"/>
      <c r="CLQ65" s="145"/>
      <c r="CLR65" s="145"/>
      <c r="CLS65" s="145"/>
      <c r="CLT65" s="145"/>
      <c r="CLU65" s="145"/>
      <c r="CLV65" s="145"/>
      <c r="CLW65" s="145"/>
      <c r="CLX65" s="145"/>
      <c r="CLY65" s="145"/>
      <c r="CLZ65" s="145"/>
      <c r="CMA65" s="145"/>
      <c r="CMB65" s="145"/>
      <c r="CMC65" s="145"/>
      <c r="CMD65" s="145"/>
      <c r="CME65" s="145"/>
      <c r="CMF65" s="145"/>
      <c r="CMG65" s="145"/>
      <c r="CMH65" s="145"/>
      <c r="CMI65" s="145"/>
      <c r="CMJ65" s="145"/>
      <c r="CMK65" s="145"/>
      <c r="CML65" s="145"/>
      <c r="CMM65" s="145"/>
      <c r="CMN65" s="145"/>
      <c r="CMO65" s="145"/>
      <c r="CMP65" s="145"/>
      <c r="CMQ65" s="145"/>
      <c r="CMR65" s="145"/>
      <c r="CMS65" s="145"/>
      <c r="CMT65" s="145"/>
      <c r="CMU65" s="145"/>
      <c r="CMV65" s="145"/>
      <c r="CMW65" s="145"/>
      <c r="CMX65" s="145"/>
      <c r="CMY65" s="145"/>
      <c r="CMZ65" s="145"/>
      <c r="CNA65" s="145"/>
      <c r="CNB65" s="145"/>
      <c r="CNC65" s="145"/>
      <c r="CND65" s="145"/>
      <c r="CNE65" s="145"/>
      <c r="CNF65" s="145"/>
      <c r="CNG65" s="145"/>
      <c r="CNH65" s="145"/>
      <c r="CNI65" s="145"/>
      <c r="CNJ65" s="145"/>
      <c r="CNK65" s="145"/>
      <c r="CNL65" s="145"/>
      <c r="CNM65" s="145"/>
      <c r="CNN65" s="145"/>
      <c r="CNO65" s="145"/>
      <c r="CNP65" s="145"/>
      <c r="CNQ65" s="145"/>
      <c r="CNR65" s="145"/>
      <c r="CNS65" s="145"/>
      <c r="CNT65" s="145"/>
      <c r="CNU65" s="145"/>
      <c r="CNV65" s="145"/>
      <c r="CNW65" s="145"/>
      <c r="CNX65" s="145"/>
      <c r="CNY65" s="145"/>
      <c r="CNZ65" s="145"/>
      <c r="COA65" s="145"/>
      <c r="COB65" s="145"/>
      <c r="COC65" s="145"/>
      <c r="COD65" s="145"/>
      <c r="COE65" s="145"/>
      <c r="COF65" s="145"/>
      <c r="COG65" s="145"/>
      <c r="COH65" s="145"/>
      <c r="COI65" s="145"/>
      <c r="COJ65" s="145"/>
      <c r="COK65" s="145"/>
      <c r="COL65" s="145"/>
      <c r="COM65" s="145"/>
      <c r="CON65" s="145"/>
      <c r="COO65" s="145"/>
      <c r="COP65" s="145"/>
      <c r="COQ65" s="145"/>
      <c r="COR65" s="145"/>
      <c r="COS65" s="145"/>
      <c r="COT65" s="145"/>
      <c r="COU65" s="145"/>
      <c r="COV65" s="145"/>
      <c r="COW65" s="145"/>
      <c r="COX65" s="145"/>
      <c r="COY65" s="145"/>
      <c r="COZ65" s="145"/>
      <c r="CPA65" s="145"/>
      <c r="CPB65" s="145"/>
      <c r="CPC65" s="145"/>
      <c r="CPD65" s="145"/>
      <c r="CPE65" s="145"/>
      <c r="CPF65" s="145"/>
      <c r="CPG65" s="145"/>
      <c r="CPH65" s="145"/>
      <c r="CPI65" s="145"/>
      <c r="CPJ65" s="145"/>
      <c r="CPK65" s="145"/>
      <c r="CPL65" s="145"/>
      <c r="CPM65" s="145"/>
      <c r="CPN65" s="145"/>
      <c r="CPO65" s="145"/>
      <c r="CPP65" s="145"/>
      <c r="CPQ65" s="145"/>
      <c r="CPR65" s="145"/>
      <c r="CPS65" s="145"/>
      <c r="CPT65" s="145"/>
      <c r="CPU65" s="145"/>
      <c r="CPV65" s="145"/>
      <c r="CPW65" s="145"/>
      <c r="CPX65" s="145"/>
      <c r="CPY65" s="145"/>
      <c r="CPZ65" s="145"/>
      <c r="CQA65" s="145"/>
      <c r="CQB65" s="145"/>
      <c r="CQC65" s="145"/>
      <c r="CQD65" s="145"/>
      <c r="CQE65" s="145"/>
      <c r="CQF65" s="145"/>
      <c r="CQG65" s="145"/>
      <c r="CQH65" s="145"/>
      <c r="CQI65" s="145"/>
      <c r="CQJ65" s="145"/>
      <c r="CQK65" s="145"/>
      <c r="CQL65" s="145"/>
      <c r="CQM65" s="145"/>
      <c r="CQN65" s="145"/>
      <c r="CQO65" s="145"/>
      <c r="CQP65" s="145"/>
      <c r="CQQ65" s="145"/>
      <c r="CQR65" s="145"/>
      <c r="CQS65" s="145"/>
      <c r="CQT65" s="145"/>
      <c r="CQU65" s="145"/>
      <c r="CQV65" s="145"/>
      <c r="CQW65" s="145"/>
      <c r="CQX65" s="145"/>
      <c r="CQY65" s="145"/>
      <c r="CQZ65" s="145"/>
      <c r="CRA65" s="145"/>
      <c r="CRB65" s="145"/>
      <c r="CRC65" s="145"/>
      <c r="CRD65" s="145"/>
      <c r="CRE65" s="145"/>
      <c r="CRF65" s="145"/>
      <c r="CRG65" s="145"/>
      <c r="CRH65" s="145"/>
      <c r="CRI65" s="145"/>
      <c r="CRJ65" s="145"/>
      <c r="CRK65" s="145"/>
      <c r="CRL65" s="145"/>
      <c r="CRM65" s="145"/>
      <c r="CRN65" s="145"/>
      <c r="CRO65" s="145"/>
      <c r="CRP65" s="145"/>
      <c r="CRQ65" s="145"/>
      <c r="CRR65" s="145"/>
      <c r="CRS65" s="145"/>
      <c r="CRT65" s="145"/>
      <c r="CRU65" s="145"/>
      <c r="CRV65" s="145"/>
      <c r="CRW65" s="145"/>
      <c r="CRX65" s="145"/>
      <c r="CRY65" s="145"/>
      <c r="CRZ65" s="145"/>
      <c r="CSA65" s="145"/>
      <c r="CSB65" s="145"/>
      <c r="CSC65" s="145"/>
      <c r="CSD65" s="145"/>
      <c r="CSE65" s="145"/>
      <c r="CSF65" s="145"/>
      <c r="CSG65" s="145"/>
      <c r="CSH65" s="145"/>
      <c r="CSI65" s="145"/>
      <c r="CSJ65" s="145"/>
      <c r="CSK65" s="145"/>
      <c r="CSL65" s="145"/>
      <c r="CSM65" s="145"/>
      <c r="CSN65" s="145"/>
      <c r="CSO65" s="145"/>
      <c r="CSP65" s="145"/>
      <c r="CSQ65" s="145"/>
      <c r="CSR65" s="145"/>
      <c r="CSS65" s="145"/>
      <c r="CST65" s="145"/>
      <c r="CSU65" s="145"/>
      <c r="CSV65" s="145"/>
      <c r="CSW65" s="145"/>
      <c r="CSX65" s="145"/>
      <c r="CSY65" s="145"/>
      <c r="CSZ65" s="145"/>
      <c r="CTA65" s="145"/>
      <c r="CTB65" s="145"/>
      <c r="CTC65" s="145"/>
      <c r="CTD65" s="145"/>
      <c r="CTE65" s="145"/>
      <c r="CTF65" s="145"/>
      <c r="CTG65" s="145"/>
      <c r="CTH65" s="145"/>
      <c r="CTI65" s="145"/>
      <c r="CTJ65" s="145"/>
      <c r="CTK65" s="145"/>
      <c r="CTL65" s="145"/>
      <c r="CTM65" s="145"/>
      <c r="CTN65" s="145"/>
      <c r="CTO65" s="145"/>
      <c r="CTP65" s="145"/>
      <c r="CTQ65" s="145"/>
      <c r="CTR65" s="145"/>
      <c r="CTS65" s="145"/>
      <c r="CTT65" s="145"/>
      <c r="CTU65" s="145"/>
      <c r="CTV65" s="145"/>
      <c r="CTW65" s="145"/>
      <c r="CTX65" s="145"/>
      <c r="CTY65" s="145"/>
      <c r="CTZ65" s="145"/>
      <c r="CUA65" s="145"/>
      <c r="CUB65" s="145"/>
      <c r="CUC65" s="145"/>
      <c r="CUD65" s="145"/>
      <c r="CUE65" s="145"/>
      <c r="CUF65" s="145"/>
      <c r="CUG65" s="145"/>
      <c r="CUH65" s="145"/>
      <c r="CUI65" s="145"/>
      <c r="CUJ65" s="145"/>
      <c r="CUK65" s="145"/>
      <c r="CUL65" s="145"/>
      <c r="CUM65" s="145"/>
      <c r="CUN65" s="145"/>
      <c r="CUO65" s="145"/>
      <c r="CUP65" s="145"/>
      <c r="CUQ65" s="145"/>
      <c r="CUR65" s="145"/>
      <c r="CUS65" s="145"/>
      <c r="CUT65" s="145"/>
      <c r="CUU65" s="145"/>
      <c r="CUV65" s="145"/>
      <c r="CUW65" s="145"/>
      <c r="CUX65" s="145"/>
      <c r="CUY65" s="145"/>
      <c r="CUZ65" s="145"/>
      <c r="CVA65" s="145"/>
      <c r="CVB65" s="145"/>
      <c r="CVC65" s="145"/>
      <c r="CVD65" s="145"/>
      <c r="CVE65" s="145"/>
      <c r="CVF65" s="145"/>
      <c r="CVG65" s="145"/>
      <c r="CVH65" s="145"/>
      <c r="CVI65" s="145"/>
      <c r="CVJ65" s="145"/>
      <c r="CVK65" s="145"/>
      <c r="CVL65" s="145"/>
      <c r="CVM65" s="145"/>
      <c r="CVN65" s="145"/>
      <c r="CVO65" s="145"/>
      <c r="CVP65" s="145"/>
      <c r="CVQ65" s="145"/>
      <c r="CVR65" s="145"/>
      <c r="CVS65" s="145"/>
      <c r="CVT65" s="145"/>
      <c r="CVU65" s="145"/>
      <c r="CVV65" s="145"/>
      <c r="CVW65" s="145"/>
      <c r="CVX65" s="145"/>
      <c r="CVY65" s="145"/>
      <c r="CVZ65" s="145"/>
      <c r="CWA65" s="145"/>
      <c r="CWB65" s="145"/>
      <c r="CWC65" s="145"/>
      <c r="CWD65" s="145"/>
      <c r="CWE65" s="145"/>
      <c r="CWF65" s="145"/>
      <c r="CWG65" s="145"/>
      <c r="CWH65" s="145"/>
      <c r="CWI65" s="145"/>
      <c r="CWJ65" s="145"/>
      <c r="CWK65" s="145"/>
      <c r="CWL65" s="145"/>
      <c r="CWM65" s="145"/>
      <c r="CWN65" s="145"/>
      <c r="CWO65" s="145"/>
      <c r="CWP65" s="145"/>
      <c r="CWQ65" s="145"/>
      <c r="CWR65" s="145"/>
      <c r="CWS65" s="145"/>
      <c r="CWT65" s="145"/>
      <c r="CWU65" s="145"/>
      <c r="CWV65" s="145"/>
      <c r="CWW65" s="145"/>
      <c r="CWX65" s="145"/>
      <c r="CWY65" s="145"/>
      <c r="CWZ65" s="145"/>
      <c r="CXA65" s="145"/>
      <c r="CXB65" s="145"/>
      <c r="CXC65" s="145"/>
      <c r="CXD65" s="145"/>
      <c r="CXE65" s="145"/>
      <c r="CXF65" s="145"/>
      <c r="CXG65" s="145"/>
      <c r="CXH65" s="145"/>
      <c r="CXI65" s="145"/>
      <c r="CXJ65" s="145"/>
      <c r="CXK65" s="145"/>
      <c r="CXL65" s="145"/>
      <c r="CXM65" s="145"/>
      <c r="CXN65" s="145"/>
      <c r="CXO65" s="145"/>
      <c r="CXP65" s="145"/>
      <c r="CXQ65" s="145"/>
      <c r="CXR65" s="145"/>
      <c r="CXS65" s="145"/>
      <c r="CXT65" s="145"/>
      <c r="CXU65" s="145"/>
      <c r="CXV65" s="145"/>
      <c r="CXW65" s="145"/>
      <c r="CXX65" s="145"/>
      <c r="CXY65" s="145"/>
      <c r="CXZ65" s="145"/>
      <c r="CYA65" s="145"/>
      <c r="CYB65" s="145"/>
      <c r="CYC65" s="145"/>
      <c r="CYD65" s="145"/>
      <c r="CYE65" s="145"/>
      <c r="CYF65" s="145"/>
      <c r="CYG65" s="145"/>
      <c r="CYH65" s="145"/>
      <c r="CYI65" s="145"/>
      <c r="CYJ65" s="145"/>
      <c r="CYK65" s="145"/>
      <c r="CYL65" s="145"/>
      <c r="CYM65" s="145"/>
      <c r="CYN65" s="145"/>
      <c r="CYO65" s="145"/>
      <c r="CYP65" s="145"/>
      <c r="CYQ65" s="145"/>
      <c r="CYR65" s="145"/>
      <c r="CYS65" s="145"/>
      <c r="CYT65" s="145"/>
      <c r="CYU65" s="145"/>
      <c r="CYV65" s="145"/>
      <c r="CYW65" s="145"/>
      <c r="CYX65" s="145"/>
      <c r="CYY65" s="145"/>
      <c r="CYZ65" s="145"/>
      <c r="CZA65" s="145"/>
      <c r="CZB65" s="145"/>
      <c r="CZC65" s="145"/>
      <c r="CZD65" s="145"/>
      <c r="CZE65" s="145"/>
      <c r="CZF65" s="145"/>
      <c r="CZG65" s="145"/>
      <c r="CZH65" s="145"/>
      <c r="CZI65" s="145"/>
      <c r="CZJ65" s="145"/>
      <c r="CZK65" s="145"/>
      <c r="CZL65" s="145"/>
      <c r="CZM65" s="145"/>
      <c r="CZN65" s="145"/>
      <c r="CZO65" s="145"/>
      <c r="CZP65" s="145"/>
      <c r="CZQ65" s="145"/>
      <c r="CZR65" s="145"/>
      <c r="CZS65" s="145"/>
      <c r="CZT65" s="145"/>
      <c r="CZU65" s="145"/>
      <c r="CZV65" s="145"/>
      <c r="CZW65" s="145"/>
      <c r="CZX65" s="145"/>
      <c r="CZY65" s="145"/>
      <c r="CZZ65" s="145"/>
      <c r="DAA65" s="145"/>
      <c r="DAB65" s="145"/>
      <c r="DAC65" s="145"/>
      <c r="DAD65" s="145"/>
      <c r="DAE65" s="145"/>
      <c r="DAF65" s="145"/>
      <c r="DAG65" s="145"/>
      <c r="DAH65" s="145"/>
      <c r="DAI65" s="145"/>
      <c r="DAJ65" s="145"/>
      <c r="DAK65" s="145"/>
      <c r="DAL65" s="145"/>
      <c r="DAM65" s="145"/>
      <c r="DAN65" s="145"/>
      <c r="DAO65" s="145"/>
      <c r="DAP65" s="145"/>
      <c r="DAQ65" s="145"/>
      <c r="DAR65" s="145"/>
      <c r="DAS65" s="145"/>
      <c r="DAT65" s="145"/>
      <c r="DAU65" s="145"/>
      <c r="DAV65" s="145"/>
      <c r="DAW65" s="145"/>
      <c r="DAX65" s="145"/>
      <c r="DAY65" s="145"/>
      <c r="DAZ65" s="145"/>
      <c r="DBA65" s="145"/>
      <c r="DBB65" s="145"/>
      <c r="DBC65" s="145"/>
      <c r="DBD65" s="145"/>
      <c r="DBE65" s="145"/>
      <c r="DBF65" s="145"/>
      <c r="DBG65" s="145"/>
      <c r="DBH65" s="145"/>
      <c r="DBI65" s="145"/>
      <c r="DBJ65" s="145"/>
      <c r="DBK65" s="145"/>
      <c r="DBL65" s="145"/>
      <c r="DBM65" s="145"/>
      <c r="DBN65" s="145"/>
      <c r="DBO65" s="145"/>
      <c r="DBP65" s="145"/>
      <c r="DBQ65" s="145"/>
      <c r="DBR65" s="145"/>
      <c r="DBS65" s="145"/>
      <c r="DBT65" s="145"/>
      <c r="DBU65" s="145"/>
      <c r="DBV65" s="145"/>
      <c r="DBW65" s="145"/>
      <c r="DBX65" s="145"/>
      <c r="DBY65" s="145"/>
      <c r="DBZ65" s="145"/>
      <c r="DCA65" s="145"/>
      <c r="DCB65" s="145"/>
      <c r="DCC65" s="145"/>
      <c r="DCD65" s="145"/>
      <c r="DCE65" s="145"/>
      <c r="DCF65" s="145"/>
      <c r="DCG65" s="145"/>
      <c r="DCH65" s="145"/>
      <c r="DCI65" s="145"/>
      <c r="DCJ65" s="145"/>
      <c r="DCK65" s="145"/>
      <c r="DCL65" s="145"/>
      <c r="DCM65" s="145"/>
      <c r="DCN65" s="145"/>
      <c r="DCO65" s="145"/>
      <c r="DCP65" s="145"/>
      <c r="DCQ65" s="145"/>
      <c r="DCR65" s="145"/>
      <c r="DCS65" s="145"/>
      <c r="DCT65" s="145"/>
      <c r="DCU65" s="145"/>
      <c r="DCV65" s="145"/>
      <c r="DCW65" s="145"/>
      <c r="DCX65" s="145"/>
      <c r="DCY65" s="145"/>
      <c r="DCZ65" s="145"/>
      <c r="DDA65" s="145"/>
      <c r="DDB65" s="145"/>
      <c r="DDC65" s="145"/>
      <c r="DDD65" s="145"/>
      <c r="DDE65" s="145"/>
      <c r="DDF65" s="145"/>
      <c r="DDG65" s="145"/>
      <c r="DDH65" s="145"/>
      <c r="DDI65" s="145"/>
      <c r="DDJ65" s="145"/>
      <c r="DDK65" s="145"/>
      <c r="DDL65" s="145"/>
      <c r="DDM65" s="145"/>
      <c r="DDN65" s="145"/>
      <c r="DDO65" s="145"/>
      <c r="DDP65" s="145"/>
      <c r="DDQ65" s="145"/>
      <c r="DDR65" s="145"/>
      <c r="DDS65" s="145"/>
      <c r="DDT65" s="145"/>
      <c r="DDU65" s="145"/>
      <c r="DDV65" s="145"/>
      <c r="DDW65" s="145"/>
      <c r="DDX65" s="145"/>
      <c r="DDY65" s="145"/>
      <c r="DDZ65" s="145"/>
      <c r="DEA65" s="145"/>
      <c r="DEB65" s="145"/>
      <c r="DEC65" s="145"/>
      <c r="DED65" s="145"/>
      <c r="DEE65" s="145"/>
      <c r="DEF65" s="145"/>
      <c r="DEG65" s="145"/>
      <c r="DEH65" s="145"/>
      <c r="DEI65" s="145"/>
      <c r="DEJ65" s="145"/>
      <c r="DEK65" s="145"/>
      <c r="DEL65" s="145"/>
      <c r="DEM65" s="145"/>
      <c r="DEN65" s="145"/>
      <c r="DEO65" s="145"/>
      <c r="DEP65" s="145"/>
      <c r="DEQ65" s="145"/>
      <c r="DER65" s="145"/>
      <c r="DES65" s="145"/>
      <c r="DET65" s="145"/>
      <c r="DEU65" s="145"/>
      <c r="DEV65" s="145"/>
      <c r="DEW65" s="145"/>
      <c r="DEX65" s="145"/>
      <c r="DEY65" s="145"/>
      <c r="DEZ65" s="145"/>
      <c r="DFA65" s="145"/>
      <c r="DFB65" s="145"/>
      <c r="DFC65" s="145"/>
      <c r="DFD65" s="145"/>
      <c r="DFE65" s="145"/>
      <c r="DFF65" s="145"/>
      <c r="DFG65" s="145"/>
      <c r="DFH65" s="145"/>
      <c r="DFI65" s="145"/>
      <c r="DFJ65" s="145"/>
      <c r="DFK65" s="145"/>
      <c r="DFL65" s="145"/>
      <c r="DFM65" s="145"/>
      <c r="DFN65" s="145"/>
      <c r="DFO65" s="145"/>
      <c r="DFP65" s="145"/>
      <c r="DFQ65" s="145"/>
      <c r="DFR65" s="145"/>
      <c r="DFS65" s="145"/>
      <c r="DFT65" s="145"/>
      <c r="DFU65" s="145"/>
      <c r="DFV65" s="145"/>
      <c r="DFW65" s="145"/>
      <c r="DFX65" s="145"/>
      <c r="DFY65" s="145"/>
      <c r="DFZ65" s="145"/>
      <c r="DGA65" s="145"/>
      <c r="DGB65" s="145"/>
      <c r="DGC65" s="145"/>
      <c r="DGD65" s="145"/>
      <c r="DGE65" s="145"/>
      <c r="DGF65" s="145"/>
      <c r="DGG65" s="145"/>
      <c r="DGH65" s="145"/>
      <c r="DGI65" s="145"/>
      <c r="DGJ65" s="145"/>
      <c r="DGK65" s="145"/>
      <c r="DGL65" s="145"/>
      <c r="DGM65" s="145"/>
      <c r="DGN65" s="145"/>
      <c r="DGO65" s="145"/>
      <c r="DGP65" s="145"/>
      <c r="DGQ65" s="145"/>
      <c r="DGR65" s="145"/>
      <c r="DGS65" s="145"/>
      <c r="DGT65" s="145"/>
      <c r="DGU65" s="145"/>
      <c r="DGV65" s="145"/>
      <c r="DGW65" s="145"/>
      <c r="DGX65" s="145"/>
      <c r="DGY65" s="145"/>
      <c r="DGZ65" s="145"/>
      <c r="DHA65" s="145"/>
      <c r="DHB65" s="145"/>
      <c r="DHC65" s="145"/>
      <c r="DHD65" s="145"/>
      <c r="DHE65" s="145"/>
      <c r="DHF65" s="145"/>
      <c r="DHG65" s="145"/>
      <c r="DHH65" s="145"/>
      <c r="DHI65" s="145"/>
      <c r="DHJ65" s="145"/>
      <c r="DHK65" s="145"/>
      <c r="DHL65" s="145"/>
      <c r="DHM65" s="145"/>
      <c r="DHN65" s="145"/>
      <c r="DHO65" s="145"/>
      <c r="DHP65" s="145"/>
      <c r="DHQ65" s="145"/>
      <c r="DHR65" s="145"/>
      <c r="DHS65" s="145"/>
      <c r="DHT65" s="145"/>
      <c r="DHU65" s="145"/>
      <c r="DHV65" s="145"/>
      <c r="DHW65" s="145"/>
      <c r="DHX65" s="145"/>
      <c r="DHY65" s="145"/>
      <c r="DHZ65" s="145"/>
      <c r="DIA65" s="145"/>
      <c r="DIB65" s="145"/>
      <c r="DIC65" s="145"/>
      <c r="DID65" s="145"/>
      <c r="DIE65" s="145"/>
      <c r="DIF65" s="145"/>
      <c r="DIG65" s="145"/>
      <c r="DIH65" s="145"/>
      <c r="DII65" s="145"/>
      <c r="DIJ65" s="145"/>
      <c r="DIK65" s="145"/>
      <c r="DIL65" s="145"/>
      <c r="DIM65" s="145"/>
      <c r="DIN65" s="145"/>
      <c r="DIO65" s="145"/>
      <c r="DIP65" s="145"/>
      <c r="DIQ65" s="145"/>
      <c r="DIR65" s="145"/>
      <c r="DIS65" s="145"/>
      <c r="DIT65" s="145"/>
      <c r="DIU65" s="145"/>
      <c r="DIV65" s="145"/>
      <c r="DIW65" s="145"/>
      <c r="DIX65" s="145"/>
      <c r="DIY65" s="145"/>
      <c r="DIZ65" s="145"/>
      <c r="DJA65" s="145"/>
      <c r="DJB65" s="145"/>
      <c r="DJC65" s="145"/>
      <c r="DJD65" s="145"/>
      <c r="DJE65" s="145"/>
      <c r="DJF65" s="145"/>
      <c r="DJG65" s="145"/>
      <c r="DJH65" s="145"/>
      <c r="DJI65" s="145"/>
      <c r="DJJ65" s="145"/>
      <c r="DJK65" s="145"/>
      <c r="DJL65" s="145"/>
      <c r="DJM65" s="145"/>
      <c r="DJN65" s="145"/>
      <c r="DJO65" s="145"/>
      <c r="DJP65" s="145"/>
      <c r="DJQ65" s="145"/>
      <c r="DJR65" s="145"/>
      <c r="DJS65" s="145"/>
      <c r="DJT65" s="145"/>
      <c r="DJU65" s="145"/>
      <c r="DJV65" s="145"/>
      <c r="DJW65" s="145"/>
      <c r="DJX65" s="145"/>
      <c r="DJY65" s="145"/>
      <c r="DJZ65" s="145"/>
      <c r="DKA65" s="145"/>
      <c r="DKB65" s="145"/>
      <c r="DKC65" s="145"/>
      <c r="DKD65" s="145"/>
      <c r="DKE65" s="145"/>
      <c r="DKF65" s="145"/>
      <c r="DKG65" s="145"/>
      <c r="DKH65" s="145"/>
      <c r="DKI65" s="145"/>
      <c r="DKJ65" s="145"/>
      <c r="DKK65" s="145"/>
      <c r="DKL65" s="145"/>
      <c r="DKM65" s="145"/>
      <c r="DKN65" s="145"/>
      <c r="DKO65" s="145"/>
      <c r="DKP65" s="145"/>
      <c r="DKQ65" s="145"/>
      <c r="DKR65" s="145"/>
      <c r="DKS65" s="145"/>
      <c r="DKT65" s="145"/>
      <c r="DKU65" s="145"/>
      <c r="DKV65" s="145"/>
      <c r="DKW65" s="145"/>
      <c r="DKX65" s="145"/>
      <c r="DKY65" s="145"/>
      <c r="DKZ65" s="145"/>
      <c r="DLA65" s="145"/>
      <c r="DLB65" s="145"/>
      <c r="DLC65" s="145"/>
      <c r="DLD65" s="145"/>
      <c r="DLE65" s="145"/>
      <c r="DLF65" s="145"/>
      <c r="DLG65" s="145"/>
      <c r="DLH65" s="145"/>
      <c r="DLI65" s="145"/>
      <c r="DLJ65" s="145"/>
      <c r="DLK65" s="145"/>
      <c r="DLL65" s="145"/>
      <c r="DLM65" s="145"/>
      <c r="DLN65" s="145"/>
      <c r="DLO65" s="145"/>
      <c r="DLP65" s="145"/>
      <c r="DLQ65" s="145"/>
      <c r="DLR65" s="145"/>
      <c r="DLS65" s="145"/>
      <c r="DLT65" s="145"/>
      <c r="DLU65" s="145"/>
      <c r="DLV65" s="145"/>
      <c r="DLW65" s="145"/>
      <c r="DLX65" s="145"/>
      <c r="DLY65" s="145"/>
      <c r="DLZ65" s="145"/>
      <c r="DMA65" s="145"/>
      <c r="DMB65" s="145"/>
      <c r="DMC65" s="145"/>
      <c r="DMD65" s="145"/>
      <c r="DME65" s="145"/>
      <c r="DMF65" s="145"/>
      <c r="DMG65" s="145"/>
      <c r="DMH65" s="145"/>
      <c r="DMI65" s="145"/>
      <c r="DMJ65" s="145"/>
      <c r="DMK65" s="145"/>
      <c r="DML65" s="145"/>
      <c r="DMM65" s="145"/>
      <c r="DMN65" s="145"/>
      <c r="DMO65" s="145"/>
      <c r="DMP65" s="145"/>
      <c r="DMQ65" s="145"/>
      <c r="DMR65" s="145"/>
      <c r="DMS65" s="145"/>
      <c r="DMT65" s="145"/>
      <c r="DMU65" s="145"/>
      <c r="DMV65" s="145"/>
      <c r="DMW65" s="145"/>
      <c r="DMX65" s="145"/>
      <c r="DMY65" s="145"/>
      <c r="DMZ65" s="145"/>
      <c r="DNA65" s="145"/>
      <c r="DNB65" s="145"/>
      <c r="DNC65" s="145"/>
      <c r="DND65" s="145"/>
      <c r="DNE65" s="145"/>
      <c r="DNF65" s="145"/>
      <c r="DNG65" s="145"/>
      <c r="DNH65" s="145"/>
      <c r="DNI65" s="145"/>
      <c r="DNJ65" s="145"/>
      <c r="DNK65" s="145"/>
      <c r="DNL65" s="145"/>
      <c r="DNM65" s="145"/>
      <c r="DNN65" s="145"/>
      <c r="DNO65" s="145"/>
      <c r="DNP65" s="145"/>
      <c r="DNQ65" s="145"/>
      <c r="DNR65" s="145"/>
      <c r="DNS65" s="145"/>
      <c r="DNT65" s="145"/>
      <c r="DNU65" s="145"/>
      <c r="DNV65" s="145"/>
      <c r="DNW65" s="145"/>
      <c r="DNX65" s="145"/>
      <c r="DNY65" s="145"/>
      <c r="DNZ65" s="145"/>
      <c r="DOA65" s="145"/>
      <c r="DOB65" s="145"/>
      <c r="DOC65" s="145"/>
      <c r="DOD65" s="145"/>
      <c r="DOE65" s="145"/>
      <c r="DOF65" s="145"/>
      <c r="DOG65" s="145"/>
      <c r="DOH65" s="145"/>
      <c r="DOI65" s="145"/>
      <c r="DOJ65" s="145"/>
      <c r="DOK65" s="145"/>
      <c r="DOL65" s="145"/>
      <c r="DOM65" s="145"/>
      <c r="DON65" s="145"/>
      <c r="DOO65" s="145"/>
      <c r="DOP65" s="145"/>
      <c r="DOQ65" s="145"/>
      <c r="DOR65" s="145"/>
      <c r="DOS65" s="145"/>
      <c r="DOT65" s="145"/>
      <c r="DOU65" s="145"/>
      <c r="DOV65" s="145"/>
      <c r="DOW65" s="145"/>
      <c r="DOX65" s="145"/>
      <c r="DOY65" s="145"/>
      <c r="DOZ65" s="145"/>
      <c r="DPA65" s="145"/>
      <c r="DPB65" s="145"/>
      <c r="DPC65" s="145"/>
      <c r="DPD65" s="145"/>
      <c r="DPE65" s="145"/>
      <c r="DPF65" s="145"/>
      <c r="DPG65" s="145"/>
      <c r="DPH65" s="145"/>
      <c r="DPI65" s="145"/>
      <c r="DPJ65" s="145"/>
      <c r="DPK65" s="145"/>
      <c r="DPL65" s="145"/>
      <c r="DPM65" s="145"/>
      <c r="DPN65" s="145"/>
      <c r="DPO65" s="145"/>
      <c r="DPP65" s="145"/>
      <c r="DPQ65" s="145"/>
      <c r="DPR65" s="145"/>
      <c r="DPS65" s="145"/>
      <c r="DPT65" s="145"/>
      <c r="DPU65" s="145"/>
      <c r="DPV65" s="145"/>
      <c r="DPW65" s="145"/>
      <c r="DPX65" s="145"/>
      <c r="DPY65" s="145"/>
      <c r="DPZ65" s="145"/>
      <c r="DQA65" s="145"/>
      <c r="DQB65" s="145"/>
      <c r="DQC65" s="145"/>
      <c r="DQD65" s="145"/>
      <c r="DQE65" s="145"/>
      <c r="DQF65" s="145"/>
      <c r="DQG65" s="145"/>
      <c r="DQH65" s="145"/>
      <c r="DQI65" s="145"/>
      <c r="DQJ65" s="145"/>
      <c r="DQK65" s="145"/>
      <c r="DQL65" s="145"/>
      <c r="DQM65" s="145"/>
      <c r="DQN65" s="145"/>
      <c r="DQO65" s="145"/>
      <c r="DQP65" s="145"/>
      <c r="DQQ65" s="145"/>
      <c r="DQR65" s="145"/>
      <c r="DQS65" s="145"/>
      <c r="DQT65" s="145"/>
      <c r="DQU65" s="145"/>
      <c r="DQV65" s="145"/>
      <c r="DQW65" s="145"/>
      <c r="DQX65" s="145"/>
      <c r="DQY65" s="145"/>
      <c r="DQZ65" s="145"/>
      <c r="DRA65" s="145"/>
      <c r="DRB65" s="145"/>
      <c r="DRC65" s="145"/>
      <c r="DRD65" s="145"/>
      <c r="DRE65" s="145"/>
      <c r="DRF65" s="145"/>
      <c r="DRG65" s="145"/>
      <c r="DRH65" s="145"/>
      <c r="DRI65" s="145"/>
      <c r="DRJ65" s="145"/>
      <c r="DRK65" s="145"/>
      <c r="DRL65" s="145"/>
      <c r="DRM65" s="145"/>
      <c r="DRN65" s="145"/>
      <c r="DRO65" s="145"/>
      <c r="DRP65" s="145"/>
      <c r="DRQ65" s="145"/>
      <c r="DRR65" s="145"/>
      <c r="DRS65" s="145"/>
      <c r="DRT65" s="145"/>
      <c r="DRU65" s="145"/>
      <c r="DRV65" s="145"/>
      <c r="DRW65" s="145"/>
      <c r="DRX65" s="145"/>
      <c r="DRY65" s="145"/>
      <c r="DRZ65" s="145"/>
      <c r="DSA65" s="145"/>
      <c r="DSB65" s="145"/>
      <c r="DSC65" s="145"/>
      <c r="DSD65" s="145"/>
      <c r="DSE65" s="145"/>
      <c r="DSF65" s="145"/>
      <c r="DSG65" s="145"/>
      <c r="DSH65" s="145"/>
      <c r="DSI65" s="145"/>
      <c r="DSJ65" s="145"/>
      <c r="DSK65" s="145"/>
      <c r="DSL65" s="145"/>
      <c r="DSM65" s="145"/>
      <c r="DSN65" s="145"/>
      <c r="DSO65" s="145"/>
      <c r="DSP65" s="145"/>
      <c r="DSQ65" s="145"/>
      <c r="DSR65" s="145"/>
      <c r="DSS65" s="145"/>
      <c r="DST65" s="145"/>
      <c r="DSU65" s="145"/>
      <c r="DSV65" s="145"/>
      <c r="DSW65" s="145"/>
      <c r="DSX65" s="145"/>
      <c r="DSY65" s="145"/>
      <c r="DSZ65" s="145"/>
      <c r="DTA65" s="145"/>
      <c r="DTB65" s="145"/>
      <c r="DTC65" s="145"/>
      <c r="DTD65" s="145"/>
      <c r="DTE65" s="145"/>
      <c r="DTF65" s="145"/>
      <c r="DTG65" s="145"/>
      <c r="DTH65" s="145"/>
      <c r="DTI65" s="145"/>
      <c r="DTJ65" s="145"/>
      <c r="DTK65" s="145"/>
      <c r="DTL65" s="145"/>
      <c r="DTM65" s="145"/>
      <c r="DTN65" s="145"/>
      <c r="DTO65" s="145"/>
      <c r="DTP65" s="145"/>
      <c r="DTQ65" s="145"/>
      <c r="DTR65" s="145"/>
      <c r="DTS65" s="145"/>
      <c r="DTT65" s="145"/>
      <c r="DTU65" s="145"/>
      <c r="DTV65" s="145"/>
      <c r="DTW65" s="145"/>
      <c r="DTX65" s="145"/>
      <c r="DTY65" s="145"/>
      <c r="DTZ65" s="145"/>
      <c r="DUA65" s="145"/>
      <c r="DUB65" s="145"/>
      <c r="DUC65" s="145"/>
      <c r="DUD65" s="145"/>
      <c r="DUE65" s="145"/>
      <c r="DUF65" s="145"/>
      <c r="DUG65" s="145"/>
      <c r="DUH65" s="145"/>
      <c r="DUI65" s="145"/>
      <c r="DUJ65" s="145"/>
      <c r="DUK65" s="145"/>
      <c r="DUL65" s="145"/>
      <c r="DUM65" s="145"/>
      <c r="DUN65" s="145"/>
      <c r="DUO65" s="145"/>
      <c r="DUP65" s="145"/>
      <c r="DUQ65" s="145"/>
      <c r="DUR65" s="145"/>
      <c r="DUS65" s="145"/>
      <c r="DUT65" s="145"/>
      <c r="DUU65" s="145"/>
      <c r="DUV65" s="145"/>
      <c r="DUW65" s="145"/>
      <c r="DUX65" s="145"/>
      <c r="DUY65" s="145"/>
      <c r="DUZ65" s="145"/>
      <c r="DVA65" s="145"/>
      <c r="DVB65" s="145"/>
      <c r="DVC65" s="145"/>
      <c r="DVD65" s="145"/>
      <c r="DVE65" s="145"/>
      <c r="DVF65" s="145"/>
      <c r="DVG65" s="145"/>
      <c r="DVH65" s="145"/>
      <c r="DVI65" s="145"/>
      <c r="DVJ65" s="145"/>
      <c r="DVK65" s="145"/>
      <c r="DVL65" s="145"/>
      <c r="DVM65" s="145"/>
      <c r="DVN65" s="145"/>
      <c r="DVO65" s="145"/>
      <c r="DVP65" s="145"/>
      <c r="DVQ65" s="145"/>
      <c r="DVR65" s="145"/>
      <c r="DVS65" s="145"/>
      <c r="DVT65" s="145"/>
      <c r="DVU65" s="145"/>
      <c r="DVV65" s="145"/>
      <c r="DVW65" s="145"/>
      <c r="DVX65" s="145"/>
      <c r="DVY65" s="145"/>
      <c r="DVZ65" s="145"/>
      <c r="DWA65" s="145"/>
      <c r="DWB65" s="145"/>
      <c r="DWC65" s="145"/>
      <c r="DWD65" s="145"/>
      <c r="DWE65" s="145"/>
      <c r="DWF65" s="145"/>
      <c r="DWG65" s="145"/>
      <c r="DWH65" s="145"/>
      <c r="DWI65" s="145"/>
      <c r="DWJ65" s="145"/>
      <c r="DWK65" s="145"/>
      <c r="DWL65" s="145"/>
      <c r="DWM65" s="145"/>
      <c r="DWN65" s="145"/>
      <c r="DWO65" s="145"/>
      <c r="DWP65" s="145"/>
      <c r="DWQ65" s="145"/>
      <c r="DWR65" s="145"/>
      <c r="DWS65" s="145"/>
      <c r="DWT65" s="145"/>
      <c r="DWU65" s="145"/>
      <c r="DWV65" s="145"/>
      <c r="DWW65" s="145"/>
      <c r="DWX65" s="145"/>
      <c r="DWY65" s="145"/>
      <c r="DWZ65" s="145"/>
      <c r="DXA65" s="145"/>
      <c r="DXB65" s="145"/>
      <c r="DXC65" s="145"/>
      <c r="DXD65" s="145"/>
      <c r="DXE65" s="145"/>
      <c r="DXF65" s="145"/>
      <c r="DXG65" s="145"/>
      <c r="DXH65" s="145"/>
      <c r="DXI65" s="145"/>
      <c r="DXJ65" s="145"/>
      <c r="DXK65" s="145"/>
      <c r="DXL65" s="145"/>
      <c r="DXM65" s="145"/>
      <c r="DXN65" s="145"/>
      <c r="DXO65" s="145"/>
      <c r="DXP65" s="145"/>
      <c r="DXQ65" s="145"/>
      <c r="DXR65" s="145"/>
      <c r="DXS65" s="145"/>
      <c r="DXT65" s="145"/>
      <c r="DXU65" s="145"/>
      <c r="DXV65" s="145"/>
      <c r="DXW65" s="145"/>
      <c r="DXX65" s="145"/>
      <c r="DXY65" s="145"/>
      <c r="DXZ65" s="145"/>
      <c r="DYA65" s="145"/>
      <c r="DYB65" s="145"/>
      <c r="DYC65" s="145"/>
      <c r="DYD65" s="145"/>
      <c r="DYE65" s="145"/>
      <c r="DYF65" s="145"/>
      <c r="DYG65" s="145"/>
      <c r="DYH65" s="145"/>
      <c r="DYI65" s="145"/>
      <c r="DYJ65" s="145"/>
      <c r="DYK65" s="145"/>
      <c r="DYL65" s="145"/>
      <c r="DYM65" s="145"/>
      <c r="DYN65" s="145"/>
      <c r="DYO65" s="145"/>
      <c r="DYP65" s="145"/>
      <c r="DYQ65" s="145"/>
      <c r="DYR65" s="145"/>
      <c r="DYS65" s="145"/>
      <c r="DYT65" s="145"/>
      <c r="DYU65" s="145"/>
      <c r="DYV65" s="145"/>
      <c r="DYW65" s="145"/>
      <c r="DYX65" s="145"/>
      <c r="DYY65" s="145"/>
      <c r="DYZ65" s="145"/>
      <c r="DZA65" s="145"/>
      <c r="DZB65" s="145"/>
      <c r="DZC65" s="145"/>
      <c r="DZD65" s="145"/>
      <c r="DZE65" s="145"/>
      <c r="DZF65" s="145"/>
      <c r="DZG65" s="145"/>
      <c r="DZH65" s="145"/>
      <c r="DZI65" s="145"/>
      <c r="DZJ65" s="145"/>
      <c r="DZK65" s="145"/>
      <c r="DZL65" s="145"/>
      <c r="DZM65" s="145"/>
      <c r="DZN65" s="145"/>
      <c r="DZO65" s="145"/>
      <c r="DZP65" s="145"/>
      <c r="DZQ65" s="145"/>
      <c r="DZR65" s="145"/>
      <c r="DZS65" s="145"/>
      <c r="DZT65" s="145"/>
      <c r="DZU65" s="145"/>
      <c r="DZV65" s="145"/>
      <c r="DZW65" s="145"/>
      <c r="DZX65" s="145"/>
      <c r="DZY65" s="145"/>
      <c r="DZZ65" s="145"/>
      <c r="EAA65" s="145"/>
      <c r="EAB65" s="145"/>
      <c r="EAC65" s="145"/>
      <c r="EAD65" s="145"/>
      <c r="EAE65" s="145"/>
      <c r="EAF65" s="145"/>
      <c r="EAG65" s="145"/>
      <c r="EAH65" s="145"/>
      <c r="EAI65" s="145"/>
      <c r="EAJ65" s="145"/>
      <c r="EAK65" s="145"/>
      <c r="EAL65" s="145"/>
      <c r="EAM65" s="145"/>
      <c r="EAN65" s="145"/>
      <c r="EAO65" s="145"/>
      <c r="EAP65" s="145"/>
      <c r="EAQ65" s="145"/>
      <c r="EAR65" s="145"/>
      <c r="EAS65" s="145"/>
      <c r="EAT65" s="145"/>
      <c r="EAU65" s="145"/>
      <c r="EAV65" s="145"/>
      <c r="EAW65" s="145"/>
      <c r="EAX65" s="145"/>
      <c r="EAY65" s="145"/>
      <c r="EAZ65" s="145"/>
      <c r="EBA65" s="145"/>
      <c r="EBB65" s="145"/>
      <c r="EBC65" s="145"/>
      <c r="EBD65" s="145"/>
      <c r="EBE65" s="145"/>
      <c r="EBF65" s="145"/>
      <c r="EBG65" s="145"/>
      <c r="EBH65" s="145"/>
      <c r="EBI65" s="145"/>
      <c r="EBJ65" s="145"/>
      <c r="EBK65" s="145"/>
      <c r="EBL65" s="145"/>
      <c r="EBM65" s="145"/>
      <c r="EBN65" s="145"/>
      <c r="EBO65" s="145"/>
      <c r="EBP65" s="145"/>
      <c r="EBQ65" s="145"/>
      <c r="EBR65" s="145"/>
      <c r="EBS65" s="145"/>
      <c r="EBT65" s="145"/>
      <c r="EBU65" s="145"/>
      <c r="EBV65" s="145"/>
      <c r="EBW65" s="145"/>
      <c r="EBX65" s="145"/>
      <c r="EBY65" s="145"/>
      <c r="EBZ65" s="145"/>
      <c r="ECA65" s="145"/>
      <c r="ECB65" s="145"/>
      <c r="ECC65" s="145"/>
      <c r="ECD65" s="145"/>
      <c r="ECE65" s="145"/>
      <c r="ECF65" s="145"/>
      <c r="ECG65" s="145"/>
      <c r="ECH65" s="145"/>
      <c r="ECI65" s="145"/>
      <c r="ECJ65" s="145"/>
      <c r="ECK65" s="145"/>
      <c r="ECL65" s="145"/>
      <c r="ECM65" s="145"/>
      <c r="ECN65" s="145"/>
      <c r="ECO65" s="145"/>
      <c r="ECP65" s="145"/>
      <c r="ECQ65" s="145"/>
      <c r="ECR65" s="145"/>
      <c r="ECS65" s="145"/>
      <c r="ECT65" s="145"/>
      <c r="ECU65" s="145"/>
      <c r="ECV65" s="145"/>
      <c r="ECW65" s="145"/>
      <c r="ECX65" s="145"/>
      <c r="ECY65" s="145"/>
      <c r="ECZ65" s="145"/>
      <c r="EDA65" s="145"/>
      <c r="EDB65" s="145"/>
      <c r="EDC65" s="145"/>
      <c r="EDD65" s="145"/>
      <c r="EDE65" s="145"/>
      <c r="EDF65" s="145"/>
      <c r="EDG65" s="145"/>
      <c r="EDH65" s="145"/>
      <c r="EDI65" s="145"/>
      <c r="EDJ65" s="145"/>
      <c r="EDK65" s="145"/>
      <c r="EDL65" s="145"/>
      <c r="EDM65" s="145"/>
      <c r="EDN65" s="145"/>
      <c r="EDO65" s="145"/>
      <c r="EDP65" s="145"/>
      <c r="EDQ65" s="145"/>
      <c r="EDR65" s="145"/>
      <c r="EDS65" s="145"/>
      <c r="EDT65" s="145"/>
      <c r="EDU65" s="145"/>
      <c r="EDV65" s="145"/>
      <c r="EDW65" s="145"/>
      <c r="EDX65" s="145"/>
      <c r="EDY65" s="145"/>
      <c r="EDZ65" s="145"/>
      <c r="EEA65" s="145"/>
      <c r="EEB65" s="145"/>
      <c r="EEC65" s="145"/>
      <c r="EED65" s="145"/>
      <c r="EEE65" s="145"/>
      <c r="EEF65" s="145"/>
      <c r="EEG65" s="145"/>
      <c r="EEH65" s="145"/>
      <c r="EEI65" s="145"/>
      <c r="EEJ65" s="145"/>
      <c r="EEK65" s="145"/>
      <c r="EEL65" s="145"/>
      <c r="EEM65" s="145"/>
      <c r="EEN65" s="145"/>
      <c r="EEO65" s="145"/>
      <c r="EEP65" s="145"/>
      <c r="EEQ65" s="145"/>
      <c r="EER65" s="145"/>
      <c r="EES65" s="145"/>
      <c r="EET65" s="145"/>
      <c r="EEU65" s="145"/>
      <c r="EEV65" s="145"/>
      <c r="EEW65" s="145"/>
      <c r="EEX65" s="145"/>
      <c r="EEY65" s="145"/>
      <c r="EEZ65" s="145"/>
      <c r="EFA65" s="145"/>
      <c r="EFB65" s="145"/>
      <c r="EFC65" s="145"/>
      <c r="EFD65" s="145"/>
      <c r="EFE65" s="145"/>
      <c r="EFF65" s="145"/>
      <c r="EFG65" s="145"/>
      <c r="EFH65" s="145"/>
      <c r="EFI65" s="145"/>
      <c r="EFJ65" s="145"/>
      <c r="EFK65" s="145"/>
      <c r="EFL65" s="145"/>
      <c r="EFM65" s="145"/>
      <c r="EFN65" s="145"/>
      <c r="EFO65" s="145"/>
      <c r="EFP65" s="145"/>
      <c r="EFQ65" s="145"/>
      <c r="EFR65" s="145"/>
      <c r="EFS65" s="145"/>
      <c r="EFT65" s="145"/>
      <c r="EFU65" s="145"/>
      <c r="EFV65" s="145"/>
      <c r="EFW65" s="145"/>
      <c r="EFX65" s="145"/>
      <c r="EFY65" s="145"/>
      <c r="EFZ65" s="145"/>
      <c r="EGA65" s="145"/>
      <c r="EGB65" s="145"/>
      <c r="EGC65" s="145"/>
      <c r="EGD65" s="145"/>
      <c r="EGE65" s="145"/>
      <c r="EGF65" s="145"/>
      <c r="EGG65" s="145"/>
      <c r="EGH65" s="145"/>
      <c r="EGI65" s="145"/>
      <c r="EGJ65" s="145"/>
      <c r="EGK65" s="145"/>
      <c r="EGL65" s="145"/>
      <c r="EGM65" s="145"/>
      <c r="EGN65" s="145"/>
      <c r="EGO65" s="145"/>
      <c r="EGP65" s="145"/>
      <c r="EGQ65" s="145"/>
      <c r="EGR65" s="145"/>
      <c r="EGS65" s="145"/>
      <c r="EGT65" s="145"/>
      <c r="EGU65" s="145"/>
      <c r="EGV65" s="145"/>
      <c r="EGW65" s="145"/>
      <c r="EGX65" s="145"/>
      <c r="EGY65" s="145"/>
      <c r="EGZ65" s="145"/>
      <c r="EHA65" s="145"/>
      <c r="EHB65" s="145"/>
      <c r="EHC65" s="145"/>
      <c r="EHD65" s="145"/>
      <c r="EHE65" s="145"/>
      <c r="EHF65" s="145"/>
      <c r="EHG65" s="145"/>
      <c r="EHH65" s="145"/>
      <c r="EHI65" s="145"/>
      <c r="EHJ65" s="145"/>
      <c r="EHK65" s="145"/>
      <c r="EHL65" s="145"/>
      <c r="EHM65" s="145"/>
      <c r="EHN65" s="145"/>
      <c r="EHO65" s="145"/>
      <c r="EHP65" s="145"/>
      <c r="EHQ65" s="145"/>
      <c r="EHR65" s="145"/>
      <c r="EHS65" s="145"/>
      <c r="EHT65" s="145"/>
      <c r="EHU65" s="145"/>
      <c r="EHV65" s="145"/>
      <c r="EHW65" s="145"/>
      <c r="EHX65" s="145"/>
      <c r="EHY65" s="145"/>
      <c r="EHZ65" s="145"/>
      <c r="EIA65" s="145"/>
      <c r="EIB65" s="145"/>
      <c r="EIC65" s="145"/>
      <c r="EID65" s="145"/>
      <c r="EIE65" s="145"/>
      <c r="EIF65" s="145"/>
      <c r="EIG65" s="145"/>
      <c r="EIH65" s="145"/>
      <c r="EII65" s="145"/>
      <c r="EIJ65" s="145"/>
      <c r="EIK65" s="145"/>
      <c r="EIL65" s="145"/>
      <c r="EIM65" s="145"/>
      <c r="EIN65" s="145"/>
      <c r="EIO65" s="145"/>
      <c r="EIP65" s="145"/>
      <c r="EIQ65" s="145"/>
      <c r="EIR65" s="145"/>
      <c r="EIS65" s="145"/>
      <c r="EIT65" s="145"/>
      <c r="EIU65" s="145"/>
      <c r="EIV65" s="145"/>
      <c r="EIW65" s="145"/>
      <c r="EIX65" s="145"/>
      <c r="EIY65" s="145"/>
      <c r="EIZ65" s="145"/>
      <c r="EJA65" s="145"/>
      <c r="EJB65" s="145"/>
      <c r="EJC65" s="145"/>
      <c r="EJD65" s="145"/>
      <c r="EJE65" s="145"/>
      <c r="EJF65" s="145"/>
      <c r="EJG65" s="145"/>
      <c r="EJH65" s="145"/>
      <c r="EJI65" s="145"/>
      <c r="EJJ65" s="145"/>
      <c r="EJK65" s="145"/>
      <c r="EJL65" s="145"/>
      <c r="EJM65" s="145"/>
      <c r="EJN65" s="145"/>
      <c r="EJO65" s="145"/>
      <c r="EJP65" s="145"/>
      <c r="EJQ65" s="145"/>
      <c r="EJR65" s="145"/>
      <c r="EJS65" s="145"/>
      <c r="EJT65" s="145"/>
      <c r="EJU65" s="145"/>
      <c r="EJV65" s="145"/>
      <c r="EJW65" s="145"/>
      <c r="EJX65" s="145"/>
      <c r="EJY65" s="145"/>
      <c r="EJZ65" s="145"/>
      <c r="EKA65" s="145"/>
      <c r="EKB65" s="145"/>
      <c r="EKC65" s="145"/>
      <c r="EKD65" s="145"/>
      <c r="EKE65" s="145"/>
      <c r="EKF65" s="145"/>
      <c r="EKG65" s="145"/>
      <c r="EKH65" s="145"/>
      <c r="EKI65" s="145"/>
      <c r="EKJ65" s="145"/>
      <c r="EKK65" s="145"/>
      <c r="EKL65" s="145"/>
      <c r="EKM65" s="145"/>
      <c r="EKN65" s="145"/>
      <c r="EKO65" s="145"/>
      <c r="EKP65" s="145"/>
      <c r="EKQ65" s="145"/>
      <c r="EKR65" s="145"/>
      <c r="EKS65" s="145"/>
      <c r="EKT65" s="145"/>
      <c r="EKU65" s="145"/>
      <c r="EKV65" s="145"/>
      <c r="EKW65" s="145"/>
      <c r="EKX65" s="145"/>
      <c r="EKY65" s="145"/>
      <c r="EKZ65" s="145"/>
      <c r="ELA65" s="145"/>
      <c r="ELB65" s="145"/>
      <c r="ELC65" s="145"/>
      <c r="ELD65" s="145"/>
      <c r="ELE65" s="145"/>
      <c r="ELF65" s="145"/>
      <c r="ELG65" s="145"/>
      <c r="ELH65" s="145"/>
      <c r="ELI65" s="145"/>
      <c r="ELJ65" s="145"/>
      <c r="ELK65" s="145"/>
      <c r="ELL65" s="145"/>
      <c r="ELM65" s="145"/>
      <c r="ELN65" s="145"/>
      <c r="ELO65" s="145"/>
      <c r="ELP65" s="145"/>
      <c r="ELQ65" s="145"/>
      <c r="ELR65" s="145"/>
      <c r="ELS65" s="145"/>
      <c r="ELT65" s="145"/>
      <c r="ELU65" s="145"/>
      <c r="ELV65" s="145"/>
      <c r="ELW65" s="145"/>
      <c r="ELX65" s="145"/>
      <c r="ELY65" s="145"/>
      <c r="ELZ65" s="145"/>
      <c r="EMA65" s="145"/>
      <c r="EMB65" s="145"/>
      <c r="EMC65" s="145"/>
      <c r="EMD65" s="145"/>
      <c r="EME65" s="145"/>
      <c r="EMF65" s="145"/>
      <c r="EMG65" s="145"/>
      <c r="EMH65" s="145"/>
      <c r="EMI65" s="145"/>
      <c r="EMJ65" s="145"/>
      <c r="EMK65" s="145"/>
      <c r="EML65" s="145"/>
      <c r="EMM65" s="145"/>
      <c r="EMN65" s="145"/>
      <c r="EMO65" s="145"/>
      <c r="EMP65" s="145"/>
      <c r="EMQ65" s="145"/>
      <c r="EMR65" s="145"/>
      <c r="EMS65" s="145"/>
      <c r="EMT65" s="145"/>
      <c r="EMU65" s="145"/>
      <c r="EMV65" s="145"/>
      <c r="EMW65" s="145"/>
      <c r="EMX65" s="145"/>
      <c r="EMY65" s="145"/>
      <c r="EMZ65" s="145"/>
      <c r="ENA65" s="145"/>
      <c r="ENB65" s="145"/>
      <c r="ENC65" s="145"/>
      <c r="END65" s="145"/>
      <c r="ENE65" s="145"/>
      <c r="ENF65" s="145"/>
      <c r="ENG65" s="145"/>
      <c r="ENH65" s="145"/>
      <c r="ENI65" s="145"/>
      <c r="ENJ65" s="145"/>
      <c r="ENK65" s="145"/>
      <c r="ENL65" s="145"/>
      <c r="ENM65" s="145"/>
      <c r="ENN65" s="145"/>
      <c r="ENO65" s="145"/>
      <c r="ENP65" s="145"/>
      <c r="ENQ65" s="145"/>
      <c r="ENR65" s="145"/>
      <c r="ENS65" s="145"/>
      <c r="ENT65" s="145"/>
      <c r="ENU65" s="145"/>
      <c r="ENV65" s="145"/>
      <c r="ENW65" s="145"/>
      <c r="ENX65" s="145"/>
      <c r="ENY65" s="145"/>
      <c r="ENZ65" s="145"/>
      <c r="EOA65" s="145"/>
      <c r="EOB65" s="145"/>
      <c r="EOC65" s="145"/>
      <c r="EOD65" s="145"/>
      <c r="EOE65" s="145"/>
      <c r="EOF65" s="145"/>
      <c r="EOG65" s="145"/>
      <c r="EOH65" s="145"/>
      <c r="EOI65" s="145"/>
      <c r="EOJ65" s="145"/>
      <c r="EOK65" s="145"/>
      <c r="EOL65" s="145"/>
      <c r="EOM65" s="145"/>
      <c r="EON65" s="145"/>
      <c r="EOO65" s="145"/>
      <c r="EOP65" s="145"/>
      <c r="EOQ65" s="145"/>
      <c r="EOR65" s="145"/>
      <c r="EOS65" s="145"/>
      <c r="EOT65" s="145"/>
      <c r="EOU65" s="145"/>
      <c r="EOV65" s="145"/>
      <c r="EOW65" s="145"/>
      <c r="EOX65" s="145"/>
      <c r="EOY65" s="145"/>
      <c r="EOZ65" s="145"/>
      <c r="EPA65" s="145"/>
      <c r="EPB65" s="145"/>
      <c r="EPC65" s="145"/>
      <c r="EPD65" s="145"/>
      <c r="EPE65" s="145"/>
      <c r="EPF65" s="145"/>
      <c r="EPG65" s="145"/>
      <c r="EPH65" s="145"/>
      <c r="EPI65" s="145"/>
      <c r="EPJ65" s="145"/>
      <c r="EPK65" s="145"/>
      <c r="EPL65" s="145"/>
      <c r="EPM65" s="145"/>
      <c r="EPN65" s="145"/>
      <c r="EPO65" s="145"/>
      <c r="EPP65" s="145"/>
      <c r="EPQ65" s="145"/>
      <c r="EPR65" s="145"/>
      <c r="EPS65" s="145"/>
      <c r="EPT65" s="145"/>
      <c r="EPU65" s="145"/>
      <c r="EPV65" s="145"/>
      <c r="EPW65" s="145"/>
      <c r="EPX65" s="145"/>
      <c r="EPY65" s="145"/>
      <c r="EPZ65" s="145"/>
      <c r="EQA65" s="145"/>
      <c r="EQB65" s="145"/>
      <c r="EQC65" s="145"/>
      <c r="EQD65" s="145"/>
      <c r="EQE65" s="145"/>
      <c r="EQF65" s="145"/>
      <c r="EQG65" s="145"/>
      <c r="EQH65" s="145"/>
      <c r="EQI65" s="145"/>
      <c r="EQJ65" s="145"/>
      <c r="EQK65" s="145"/>
      <c r="EQL65" s="145"/>
      <c r="EQM65" s="145"/>
      <c r="EQN65" s="145"/>
      <c r="EQO65" s="145"/>
      <c r="EQP65" s="145"/>
      <c r="EQQ65" s="145"/>
      <c r="EQR65" s="145"/>
      <c r="EQS65" s="145"/>
      <c r="EQT65" s="145"/>
      <c r="EQU65" s="145"/>
      <c r="EQV65" s="145"/>
      <c r="EQW65" s="145"/>
      <c r="EQX65" s="145"/>
      <c r="EQY65" s="145"/>
      <c r="EQZ65" s="145"/>
      <c r="ERA65" s="145"/>
      <c r="ERB65" s="145"/>
      <c r="ERC65" s="145"/>
      <c r="ERD65" s="145"/>
      <c r="ERE65" s="145"/>
      <c r="ERF65" s="145"/>
      <c r="ERG65" s="145"/>
      <c r="ERH65" s="145"/>
      <c r="ERI65" s="145"/>
      <c r="ERJ65" s="145"/>
      <c r="ERK65" s="145"/>
      <c r="ERL65" s="145"/>
      <c r="ERM65" s="145"/>
      <c r="ERN65" s="145"/>
      <c r="ERO65" s="145"/>
      <c r="ERP65" s="145"/>
      <c r="ERQ65" s="145"/>
      <c r="ERR65" s="145"/>
      <c r="ERS65" s="145"/>
      <c r="ERT65" s="145"/>
      <c r="ERU65" s="145"/>
      <c r="ERV65" s="145"/>
      <c r="ERW65" s="145"/>
      <c r="ERX65" s="145"/>
      <c r="ERY65" s="145"/>
      <c r="ERZ65" s="145"/>
      <c r="ESA65" s="145"/>
      <c r="ESB65" s="145"/>
      <c r="ESC65" s="145"/>
      <c r="ESD65" s="145"/>
      <c r="ESE65" s="145"/>
      <c r="ESF65" s="145"/>
      <c r="ESG65" s="145"/>
      <c r="ESH65" s="145"/>
      <c r="ESI65" s="145"/>
      <c r="ESJ65" s="145"/>
      <c r="ESK65" s="145"/>
      <c r="ESL65" s="145"/>
      <c r="ESM65" s="145"/>
      <c r="ESN65" s="145"/>
      <c r="ESO65" s="145"/>
      <c r="ESP65" s="145"/>
      <c r="ESQ65" s="145"/>
      <c r="ESR65" s="145"/>
      <c r="ESS65" s="145"/>
      <c r="EST65" s="145"/>
      <c r="ESU65" s="145"/>
      <c r="ESV65" s="145"/>
      <c r="ESW65" s="145"/>
      <c r="ESX65" s="145"/>
      <c r="ESY65" s="145"/>
      <c r="ESZ65" s="145"/>
      <c r="ETA65" s="145"/>
      <c r="ETB65" s="145"/>
      <c r="ETC65" s="145"/>
      <c r="ETD65" s="145"/>
      <c r="ETE65" s="145"/>
      <c r="ETF65" s="145"/>
      <c r="ETG65" s="145"/>
      <c r="ETH65" s="145"/>
      <c r="ETI65" s="145"/>
      <c r="ETJ65" s="145"/>
      <c r="ETK65" s="145"/>
      <c r="ETL65" s="145"/>
      <c r="ETM65" s="145"/>
      <c r="ETN65" s="145"/>
      <c r="ETO65" s="145"/>
      <c r="ETP65" s="145"/>
      <c r="ETQ65" s="145"/>
      <c r="ETR65" s="145"/>
      <c r="ETS65" s="145"/>
      <c r="ETT65" s="145"/>
      <c r="ETU65" s="145"/>
      <c r="ETV65" s="145"/>
      <c r="ETW65" s="145"/>
      <c r="ETX65" s="145"/>
      <c r="ETY65" s="145"/>
      <c r="ETZ65" s="145"/>
      <c r="EUA65" s="145"/>
      <c r="EUB65" s="145"/>
      <c r="EUC65" s="145"/>
      <c r="EUD65" s="145"/>
      <c r="EUE65" s="145"/>
      <c r="EUF65" s="145"/>
      <c r="EUG65" s="145"/>
      <c r="EUH65" s="145"/>
      <c r="EUI65" s="145"/>
      <c r="EUJ65" s="145"/>
      <c r="EUK65" s="145"/>
      <c r="EUL65" s="145"/>
      <c r="EUM65" s="145"/>
      <c r="EUN65" s="145"/>
      <c r="EUO65" s="145"/>
      <c r="EUP65" s="145"/>
      <c r="EUQ65" s="145"/>
      <c r="EUR65" s="145"/>
      <c r="EUS65" s="145"/>
      <c r="EUT65" s="145"/>
      <c r="EUU65" s="145"/>
      <c r="EUV65" s="145"/>
      <c r="EUW65" s="145"/>
      <c r="EUX65" s="145"/>
      <c r="EUY65" s="145"/>
      <c r="EUZ65" s="145"/>
      <c r="EVA65" s="145"/>
      <c r="EVB65" s="145"/>
      <c r="EVC65" s="145"/>
      <c r="EVD65" s="145"/>
      <c r="EVE65" s="145"/>
      <c r="EVF65" s="145"/>
      <c r="EVG65" s="145"/>
      <c r="EVH65" s="145"/>
      <c r="EVI65" s="145"/>
      <c r="EVJ65" s="145"/>
      <c r="EVK65" s="145"/>
      <c r="EVL65" s="145"/>
      <c r="EVM65" s="145"/>
      <c r="EVN65" s="145"/>
      <c r="EVO65" s="145"/>
      <c r="EVP65" s="145"/>
      <c r="EVQ65" s="145"/>
      <c r="EVR65" s="145"/>
      <c r="EVS65" s="145"/>
      <c r="EVT65" s="145"/>
      <c r="EVU65" s="145"/>
      <c r="EVV65" s="145"/>
      <c r="EVW65" s="145"/>
      <c r="EVX65" s="145"/>
      <c r="EVY65" s="145"/>
      <c r="EVZ65" s="145"/>
      <c r="EWA65" s="145"/>
      <c r="EWB65" s="145"/>
      <c r="EWC65" s="145"/>
      <c r="EWD65" s="145"/>
      <c r="EWE65" s="145"/>
      <c r="EWF65" s="145"/>
      <c r="EWG65" s="145"/>
      <c r="EWH65" s="145"/>
      <c r="EWI65" s="145"/>
      <c r="EWJ65" s="145"/>
      <c r="EWK65" s="145"/>
      <c r="EWL65" s="145"/>
      <c r="EWM65" s="145"/>
      <c r="EWN65" s="145"/>
      <c r="EWO65" s="145"/>
      <c r="EWP65" s="145"/>
      <c r="EWQ65" s="145"/>
      <c r="EWR65" s="145"/>
      <c r="EWS65" s="145"/>
      <c r="EWT65" s="145"/>
      <c r="EWU65" s="145"/>
      <c r="EWV65" s="145"/>
      <c r="EWW65" s="145"/>
      <c r="EWX65" s="145"/>
      <c r="EWY65" s="145"/>
      <c r="EWZ65" s="145"/>
      <c r="EXA65" s="145"/>
      <c r="EXB65" s="145"/>
      <c r="EXC65" s="145"/>
      <c r="EXD65" s="145"/>
      <c r="EXE65" s="145"/>
      <c r="EXF65" s="145"/>
      <c r="EXG65" s="145"/>
      <c r="EXH65" s="145"/>
      <c r="EXI65" s="145"/>
      <c r="EXJ65" s="145"/>
      <c r="EXK65" s="145"/>
      <c r="EXL65" s="145"/>
      <c r="EXM65" s="145"/>
      <c r="EXN65" s="145"/>
      <c r="EXO65" s="145"/>
      <c r="EXP65" s="145"/>
      <c r="EXQ65" s="145"/>
      <c r="EXR65" s="145"/>
      <c r="EXS65" s="145"/>
      <c r="EXT65" s="145"/>
      <c r="EXU65" s="145"/>
      <c r="EXV65" s="145"/>
      <c r="EXW65" s="145"/>
      <c r="EXX65" s="145"/>
      <c r="EXY65" s="145"/>
      <c r="EXZ65" s="145"/>
      <c r="EYA65" s="145"/>
      <c r="EYB65" s="145"/>
      <c r="EYC65" s="145"/>
      <c r="EYD65" s="145"/>
      <c r="EYE65" s="145"/>
      <c r="EYF65" s="145"/>
      <c r="EYG65" s="145"/>
      <c r="EYH65" s="145"/>
      <c r="EYI65" s="145"/>
      <c r="EYJ65" s="145"/>
      <c r="EYK65" s="145"/>
      <c r="EYL65" s="145"/>
      <c r="EYM65" s="145"/>
      <c r="EYN65" s="145"/>
      <c r="EYO65" s="145"/>
      <c r="EYP65" s="145"/>
      <c r="EYQ65" s="145"/>
      <c r="EYR65" s="145"/>
      <c r="EYS65" s="145"/>
      <c r="EYT65" s="145"/>
      <c r="EYU65" s="145"/>
      <c r="EYV65" s="145"/>
      <c r="EYW65" s="145"/>
      <c r="EYX65" s="145"/>
      <c r="EYY65" s="145"/>
      <c r="EYZ65" s="145"/>
      <c r="EZA65" s="145"/>
      <c r="EZB65" s="145"/>
      <c r="EZC65" s="145"/>
      <c r="EZD65" s="145"/>
      <c r="EZE65" s="145"/>
      <c r="EZF65" s="145"/>
      <c r="EZG65" s="145"/>
      <c r="EZH65" s="145"/>
      <c r="EZI65" s="145"/>
      <c r="EZJ65" s="145"/>
      <c r="EZK65" s="145"/>
      <c r="EZL65" s="145"/>
      <c r="EZM65" s="145"/>
      <c r="EZN65" s="145"/>
      <c r="EZO65" s="145"/>
      <c r="EZP65" s="145"/>
      <c r="EZQ65" s="145"/>
      <c r="EZR65" s="145"/>
      <c r="EZS65" s="145"/>
      <c r="EZT65" s="145"/>
      <c r="EZU65" s="145"/>
      <c r="EZV65" s="145"/>
      <c r="EZW65" s="145"/>
      <c r="EZX65" s="145"/>
      <c r="EZY65" s="145"/>
      <c r="EZZ65" s="145"/>
      <c r="FAA65" s="145"/>
      <c r="FAB65" s="145"/>
      <c r="FAC65" s="145"/>
      <c r="FAD65" s="145"/>
      <c r="FAE65" s="145"/>
      <c r="FAF65" s="145"/>
      <c r="FAG65" s="145"/>
      <c r="FAH65" s="145"/>
      <c r="FAI65" s="145"/>
      <c r="FAJ65" s="145"/>
      <c r="FAK65" s="145"/>
      <c r="FAL65" s="145"/>
      <c r="FAM65" s="145"/>
      <c r="FAN65" s="145"/>
      <c r="FAO65" s="145"/>
      <c r="FAP65" s="145"/>
      <c r="FAQ65" s="145"/>
      <c r="FAR65" s="145"/>
      <c r="FAS65" s="145"/>
      <c r="FAT65" s="145"/>
      <c r="FAU65" s="145"/>
      <c r="FAV65" s="145"/>
      <c r="FAW65" s="145"/>
      <c r="FAX65" s="145"/>
      <c r="FAY65" s="145"/>
      <c r="FAZ65" s="145"/>
      <c r="FBA65" s="145"/>
      <c r="FBB65" s="145"/>
      <c r="FBC65" s="145"/>
      <c r="FBD65" s="145"/>
      <c r="FBE65" s="145"/>
      <c r="FBF65" s="145"/>
      <c r="FBG65" s="145"/>
      <c r="FBH65" s="145"/>
      <c r="FBI65" s="145"/>
      <c r="FBJ65" s="145"/>
      <c r="FBK65" s="145"/>
      <c r="FBL65" s="145"/>
      <c r="FBM65" s="145"/>
      <c r="FBN65" s="145"/>
      <c r="FBO65" s="145"/>
      <c r="FBP65" s="145"/>
      <c r="FBQ65" s="145"/>
      <c r="FBR65" s="145"/>
      <c r="FBS65" s="145"/>
      <c r="FBT65" s="145"/>
      <c r="FBU65" s="145"/>
      <c r="FBV65" s="145"/>
      <c r="FBW65" s="145"/>
      <c r="FBX65" s="145"/>
      <c r="FBY65" s="145"/>
      <c r="FBZ65" s="145"/>
      <c r="FCA65" s="145"/>
      <c r="FCB65" s="145"/>
      <c r="FCC65" s="145"/>
      <c r="FCD65" s="145"/>
      <c r="FCE65" s="145"/>
      <c r="FCF65" s="145"/>
      <c r="FCG65" s="145"/>
      <c r="FCH65" s="145"/>
      <c r="FCI65" s="145"/>
      <c r="FCJ65" s="145"/>
      <c r="FCK65" s="145"/>
      <c r="FCL65" s="145"/>
      <c r="FCM65" s="145"/>
      <c r="FCN65" s="145"/>
      <c r="FCO65" s="145"/>
      <c r="FCP65" s="145"/>
      <c r="FCQ65" s="145"/>
      <c r="FCR65" s="145"/>
      <c r="FCS65" s="145"/>
      <c r="FCT65" s="145"/>
      <c r="FCU65" s="145"/>
      <c r="FCV65" s="145"/>
      <c r="FCW65" s="145"/>
      <c r="FCX65" s="145"/>
      <c r="FCY65" s="145"/>
      <c r="FCZ65" s="145"/>
      <c r="FDA65" s="145"/>
      <c r="FDB65" s="145"/>
      <c r="FDC65" s="145"/>
      <c r="FDD65" s="145"/>
      <c r="FDE65" s="145"/>
      <c r="FDF65" s="145"/>
      <c r="FDG65" s="145"/>
      <c r="FDH65" s="145"/>
      <c r="FDI65" s="145"/>
      <c r="FDJ65" s="145"/>
      <c r="FDK65" s="145"/>
      <c r="FDL65" s="145"/>
      <c r="FDM65" s="145"/>
      <c r="FDN65" s="145"/>
      <c r="FDO65" s="145"/>
      <c r="FDP65" s="145"/>
      <c r="FDQ65" s="145"/>
      <c r="FDR65" s="145"/>
      <c r="FDS65" s="145"/>
      <c r="FDT65" s="145"/>
      <c r="FDU65" s="145"/>
      <c r="FDV65" s="145"/>
      <c r="FDW65" s="145"/>
      <c r="FDX65" s="145"/>
      <c r="FDY65" s="145"/>
      <c r="FDZ65" s="145"/>
      <c r="FEA65" s="145"/>
      <c r="FEB65" s="145"/>
      <c r="FEC65" s="145"/>
      <c r="FED65" s="145"/>
      <c r="FEE65" s="145"/>
      <c r="FEF65" s="145"/>
      <c r="FEG65" s="145"/>
      <c r="FEH65" s="145"/>
      <c r="FEI65" s="145"/>
      <c r="FEJ65" s="145"/>
      <c r="FEK65" s="145"/>
      <c r="FEL65" s="145"/>
      <c r="FEM65" s="145"/>
      <c r="FEN65" s="145"/>
      <c r="FEO65" s="145"/>
      <c r="FEP65" s="145"/>
      <c r="FEQ65" s="145"/>
      <c r="FER65" s="145"/>
      <c r="FES65" s="145"/>
      <c r="FET65" s="145"/>
      <c r="FEU65" s="145"/>
      <c r="FEV65" s="145"/>
      <c r="FEW65" s="145"/>
      <c r="FEX65" s="145"/>
      <c r="FEY65" s="145"/>
      <c r="FEZ65" s="145"/>
      <c r="FFA65" s="145"/>
      <c r="FFB65" s="145"/>
      <c r="FFC65" s="145"/>
      <c r="FFD65" s="145"/>
      <c r="FFE65" s="145"/>
      <c r="FFF65" s="145"/>
      <c r="FFG65" s="145"/>
      <c r="FFH65" s="145"/>
      <c r="FFI65" s="145"/>
      <c r="FFJ65" s="145"/>
      <c r="FFK65" s="145"/>
      <c r="FFL65" s="145"/>
      <c r="FFM65" s="145"/>
      <c r="FFN65" s="145"/>
      <c r="FFO65" s="145"/>
      <c r="FFP65" s="145"/>
      <c r="FFQ65" s="145"/>
      <c r="FFR65" s="145"/>
      <c r="FFS65" s="145"/>
      <c r="FFT65" s="145"/>
      <c r="FFU65" s="145"/>
      <c r="FFV65" s="145"/>
      <c r="FFW65" s="145"/>
      <c r="FFX65" s="145"/>
      <c r="FFY65" s="145"/>
      <c r="FFZ65" s="145"/>
      <c r="FGA65" s="145"/>
      <c r="FGB65" s="145"/>
      <c r="FGC65" s="145"/>
      <c r="FGD65" s="145"/>
      <c r="FGE65" s="145"/>
      <c r="FGF65" s="145"/>
      <c r="FGG65" s="145"/>
      <c r="FGH65" s="145"/>
      <c r="FGI65" s="145"/>
      <c r="FGJ65" s="145"/>
      <c r="FGK65" s="145"/>
      <c r="FGL65" s="145"/>
      <c r="FGM65" s="145"/>
      <c r="FGN65" s="145"/>
      <c r="FGO65" s="145"/>
      <c r="FGP65" s="145"/>
      <c r="FGQ65" s="145"/>
      <c r="FGR65" s="145"/>
      <c r="FGS65" s="145"/>
      <c r="FGT65" s="145"/>
      <c r="FGU65" s="145"/>
      <c r="FGV65" s="145"/>
      <c r="FGW65" s="145"/>
      <c r="FGX65" s="145"/>
      <c r="FGY65" s="145"/>
      <c r="FGZ65" s="145"/>
      <c r="FHA65" s="145"/>
      <c r="FHB65" s="145"/>
      <c r="FHC65" s="145"/>
      <c r="FHD65" s="145"/>
      <c r="FHE65" s="145"/>
      <c r="FHF65" s="145"/>
      <c r="FHG65" s="145"/>
      <c r="FHH65" s="145"/>
      <c r="FHI65" s="145"/>
      <c r="FHJ65" s="145"/>
      <c r="FHK65" s="145"/>
      <c r="FHL65" s="145"/>
      <c r="FHM65" s="145"/>
      <c r="FHN65" s="145"/>
      <c r="FHO65" s="145"/>
      <c r="FHP65" s="145"/>
      <c r="FHQ65" s="145"/>
      <c r="FHR65" s="145"/>
      <c r="FHS65" s="145"/>
      <c r="FHT65" s="145"/>
      <c r="FHU65" s="145"/>
      <c r="FHV65" s="145"/>
      <c r="FHW65" s="145"/>
      <c r="FHX65" s="145"/>
      <c r="FHY65" s="145"/>
      <c r="FHZ65" s="145"/>
      <c r="FIA65" s="145"/>
      <c r="FIB65" s="145"/>
      <c r="FIC65" s="145"/>
      <c r="FID65" s="145"/>
      <c r="FIE65" s="145"/>
      <c r="FIF65" s="145"/>
      <c r="FIG65" s="145"/>
      <c r="FIH65" s="145"/>
      <c r="FII65" s="145"/>
      <c r="FIJ65" s="145"/>
      <c r="FIK65" s="145"/>
      <c r="FIL65" s="145"/>
      <c r="FIM65" s="145"/>
      <c r="FIN65" s="145"/>
      <c r="FIO65" s="145"/>
      <c r="FIP65" s="145"/>
      <c r="FIQ65" s="145"/>
      <c r="FIR65" s="145"/>
      <c r="FIS65" s="145"/>
      <c r="FIT65" s="145"/>
      <c r="FIU65" s="145"/>
      <c r="FIV65" s="145"/>
      <c r="FIW65" s="145"/>
      <c r="FIX65" s="145"/>
      <c r="FIY65" s="145"/>
      <c r="FIZ65" s="145"/>
      <c r="FJA65" s="145"/>
      <c r="FJB65" s="145"/>
      <c r="FJC65" s="145"/>
      <c r="FJD65" s="145"/>
      <c r="FJE65" s="145"/>
      <c r="FJF65" s="145"/>
      <c r="FJG65" s="145"/>
      <c r="FJH65" s="145"/>
      <c r="FJI65" s="145"/>
      <c r="FJJ65" s="145"/>
      <c r="FJK65" s="145"/>
      <c r="FJL65" s="145"/>
      <c r="FJM65" s="145"/>
      <c r="FJN65" s="145"/>
      <c r="FJO65" s="145"/>
      <c r="FJP65" s="145"/>
      <c r="FJQ65" s="145"/>
      <c r="FJR65" s="145"/>
      <c r="FJS65" s="145"/>
      <c r="FJT65" s="145"/>
      <c r="FJU65" s="145"/>
      <c r="FJV65" s="145"/>
      <c r="FJW65" s="145"/>
      <c r="FJX65" s="145"/>
      <c r="FJY65" s="145"/>
      <c r="FJZ65" s="145"/>
      <c r="FKA65" s="145"/>
      <c r="FKB65" s="145"/>
      <c r="FKC65" s="145"/>
      <c r="FKD65" s="145"/>
      <c r="FKE65" s="145"/>
      <c r="FKF65" s="145"/>
      <c r="FKG65" s="145"/>
      <c r="FKH65" s="145"/>
      <c r="FKI65" s="145"/>
      <c r="FKJ65" s="145"/>
      <c r="FKK65" s="145"/>
      <c r="FKL65" s="145"/>
      <c r="FKM65" s="145"/>
      <c r="FKN65" s="145"/>
      <c r="FKO65" s="145"/>
      <c r="FKP65" s="145"/>
      <c r="FKQ65" s="145"/>
      <c r="FKR65" s="145"/>
      <c r="FKS65" s="145"/>
      <c r="FKT65" s="145"/>
      <c r="FKU65" s="145"/>
      <c r="FKV65" s="145"/>
      <c r="FKW65" s="145"/>
      <c r="FKX65" s="145"/>
      <c r="FKY65" s="145"/>
      <c r="FKZ65" s="145"/>
      <c r="FLA65" s="145"/>
      <c r="FLB65" s="145"/>
      <c r="FLC65" s="145"/>
      <c r="FLD65" s="145"/>
      <c r="FLE65" s="145"/>
      <c r="FLF65" s="145"/>
      <c r="FLG65" s="145"/>
      <c r="FLH65" s="145"/>
      <c r="FLI65" s="145"/>
      <c r="FLJ65" s="145"/>
      <c r="FLK65" s="145"/>
      <c r="FLL65" s="145"/>
      <c r="FLM65" s="145"/>
      <c r="FLN65" s="145"/>
      <c r="FLO65" s="145"/>
      <c r="FLP65" s="145"/>
      <c r="FLQ65" s="145"/>
      <c r="FLR65" s="145"/>
      <c r="FLS65" s="145"/>
      <c r="FLT65" s="145"/>
      <c r="FLU65" s="145"/>
      <c r="FLV65" s="145"/>
      <c r="FLW65" s="145"/>
      <c r="FLX65" s="145"/>
      <c r="FLY65" s="145"/>
      <c r="FLZ65" s="145"/>
      <c r="FMA65" s="145"/>
      <c r="FMB65" s="145"/>
      <c r="FMC65" s="145"/>
      <c r="FMD65" s="145"/>
      <c r="FME65" s="145"/>
      <c r="FMF65" s="145"/>
      <c r="FMG65" s="145"/>
      <c r="FMH65" s="145"/>
      <c r="FMI65" s="145"/>
      <c r="FMJ65" s="145"/>
      <c r="FMK65" s="145"/>
      <c r="FML65" s="145"/>
      <c r="FMM65" s="145"/>
      <c r="FMN65" s="145"/>
      <c r="FMO65" s="145"/>
      <c r="FMP65" s="145"/>
      <c r="FMQ65" s="145"/>
      <c r="FMR65" s="145"/>
      <c r="FMS65" s="145"/>
      <c r="FMT65" s="145"/>
      <c r="FMU65" s="145"/>
      <c r="FMV65" s="145"/>
      <c r="FMW65" s="145"/>
      <c r="FMX65" s="145"/>
      <c r="FMY65" s="145"/>
      <c r="FMZ65" s="145"/>
      <c r="FNA65" s="145"/>
      <c r="FNB65" s="145"/>
      <c r="FNC65" s="145"/>
      <c r="FND65" s="145"/>
      <c r="FNE65" s="145"/>
      <c r="FNF65" s="145"/>
      <c r="FNG65" s="145"/>
      <c r="FNH65" s="145"/>
      <c r="FNI65" s="145"/>
      <c r="FNJ65" s="145"/>
      <c r="FNK65" s="145"/>
      <c r="FNL65" s="145"/>
      <c r="FNM65" s="145"/>
      <c r="FNN65" s="145"/>
      <c r="FNO65" s="145"/>
      <c r="FNP65" s="145"/>
      <c r="FNQ65" s="145"/>
      <c r="FNR65" s="145"/>
      <c r="FNS65" s="145"/>
      <c r="FNT65" s="145"/>
      <c r="FNU65" s="145"/>
      <c r="FNV65" s="145"/>
      <c r="FNW65" s="145"/>
      <c r="FNX65" s="145"/>
      <c r="FNY65" s="145"/>
      <c r="FNZ65" s="145"/>
      <c r="FOA65" s="145"/>
      <c r="FOB65" s="145"/>
      <c r="FOC65" s="145"/>
      <c r="FOD65" s="145"/>
      <c r="FOE65" s="145"/>
      <c r="FOF65" s="145"/>
      <c r="FOG65" s="145"/>
      <c r="FOH65" s="145"/>
      <c r="FOI65" s="145"/>
      <c r="FOJ65" s="145"/>
      <c r="FOK65" s="145"/>
      <c r="FOL65" s="145"/>
      <c r="FOM65" s="145"/>
      <c r="FON65" s="145"/>
      <c r="FOO65" s="145"/>
      <c r="FOP65" s="145"/>
      <c r="FOQ65" s="145"/>
      <c r="FOR65" s="145"/>
      <c r="FOS65" s="145"/>
      <c r="FOT65" s="145"/>
      <c r="FOU65" s="145"/>
      <c r="FOV65" s="145"/>
      <c r="FOW65" s="145"/>
      <c r="FOX65" s="145"/>
      <c r="FOY65" s="145"/>
      <c r="FOZ65" s="145"/>
      <c r="FPA65" s="145"/>
      <c r="FPB65" s="145"/>
      <c r="FPC65" s="145"/>
      <c r="FPD65" s="145"/>
      <c r="FPE65" s="145"/>
      <c r="FPF65" s="145"/>
      <c r="FPG65" s="145"/>
      <c r="FPH65" s="145"/>
      <c r="FPI65" s="145"/>
      <c r="FPJ65" s="145"/>
      <c r="FPK65" s="145"/>
      <c r="FPL65" s="145"/>
      <c r="FPM65" s="145"/>
      <c r="FPN65" s="145"/>
      <c r="FPO65" s="145"/>
      <c r="FPP65" s="145"/>
      <c r="FPQ65" s="145"/>
      <c r="FPR65" s="145"/>
      <c r="FPS65" s="145"/>
      <c r="FPT65" s="145"/>
      <c r="FPU65" s="145"/>
      <c r="FPV65" s="145"/>
      <c r="FPW65" s="145"/>
      <c r="FPX65" s="145"/>
      <c r="FPY65" s="145"/>
      <c r="FPZ65" s="145"/>
      <c r="FQA65" s="145"/>
      <c r="FQB65" s="145"/>
      <c r="FQC65" s="145"/>
      <c r="FQD65" s="145"/>
      <c r="FQE65" s="145"/>
      <c r="FQF65" s="145"/>
      <c r="FQG65" s="145"/>
      <c r="FQH65" s="145"/>
      <c r="FQI65" s="145"/>
      <c r="FQJ65" s="145"/>
      <c r="FQK65" s="145"/>
      <c r="FQL65" s="145"/>
      <c r="FQM65" s="145"/>
      <c r="FQN65" s="145"/>
      <c r="FQO65" s="145"/>
      <c r="FQP65" s="145"/>
      <c r="FQQ65" s="145"/>
      <c r="FQR65" s="145"/>
      <c r="FQS65" s="145"/>
      <c r="FQT65" s="145"/>
      <c r="FQU65" s="145"/>
      <c r="FQV65" s="145"/>
      <c r="FQW65" s="145"/>
      <c r="FQX65" s="145"/>
      <c r="FQY65" s="145"/>
      <c r="FQZ65" s="145"/>
      <c r="FRA65" s="145"/>
      <c r="FRB65" s="145"/>
      <c r="FRC65" s="145"/>
      <c r="FRD65" s="145"/>
      <c r="FRE65" s="145"/>
      <c r="FRF65" s="145"/>
      <c r="FRG65" s="145"/>
      <c r="FRH65" s="145"/>
      <c r="FRI65" s="145"/>
      <c r="FRJ65" s="145"/>
      <c r="FRK65" s="145"/>
      <c r="FRL65" s="145"/>
      <c r="FRM65" s="145"/>
      <c r="FRN65" s="145"/>
      <c r="FRO65" s="145"/>
      <c r="FRP65" s="145"/>
      <c r="FRQ65" s="145"/>
      <c r="FRR65" s="145"/>
      <c r="FRS65" s="145"/>
      <c r="FRT65" s="145"/>
      <c r="FRU65" s="145"/>
      <c r="FRV65" s="145"/>
      <c r="FRW65" s="145"/>
      <c r="FRX65" s="145"/>
      <c r="FRY65" s="145"/>
      <c r="FRZ65" s="145"/>
      <c r="FSA65" s="145"/>
      <c r="FSB65" s="145"/>
      <c r="FSC65" s="145"/>
      <c r="FSD65" s="145"/>
      <c r="FSE65" s="145"/>
      <c r="FSF65" s="145"/>
      <c r="FSG65" s="145"/>
      <c r="FSH65" s="145"/>
      <c r="FSI65" s="145"/>
      <c r="FSJ65" s="145"/>
      <c r="FSK65" s="145"/>
      <c r="FSL65" s="145"/>
      <c r="FSM65" s="145"/>
      <c r="FSN65" s="145"/>
      <c r="FSO65" s="145"/>
      <c r="FSP65" s="145"/>
      <c r="FSQ65" s="145"/>
      <c r="FSR65" s="145"/>
      <c r="FSS65" s="145"/>
      <c r="FST65" s="145"/>
      <c r="FSU65" s="145"/>
      <c r="FSV65" s="145"/>
      <c r="FSW65" s="145"/>
      <c r="FSX65" s="145"/>
      <c r="FSY65" s="145"/>
      <c r="FSZ65" s="145"/>
      <c r="FTA65" s="145"/>
      <c r="FTB65" s="145"/>
      <c r="FTC65" s="145"/>
      <c r="FTD65" s="145"/>
      <c r="FTE65" s="145"/>
      <c r="FTF65" s="145"/>
      <c r="FTG65" s="145"/>
      <c r="FTH65" s="145"/>
      <c r="FTI65" s="145"/>
      <c r="FTJ65" s="145"/>
      <c r="FTK65" s="145"/>
      <c r="FTL65" s="145"/>
      <c r="FTM65" s="145"/>
      <c r="FTN65" s="145"/>
      <c r="FTO65" s="145"/>
      <c r="FTP65" s="145"/>
      <c r="FTQ65" s="145"/>
      <c r="FTR65" s="145"/>
      <c r="FTS65" s="145"/>
      <c r="FTT65" s="145"/>
      <c r="FTU65" s="145"/>
      <c r="FTV65" s="145"/>
      <c r="FTW65" s="145"/>
      <c r="FTX65" s="145"/>
      <c r="FTY65" s="145"/>
      <c r="FTZ65" s="145"/>
      <c r="FUA65" s="145"/>
      <c r="FUB65" s="145"/>
      <c r="FUC65" s="145"/>
      <c r="FUD65" s="145"/>
      <c r="FUE65" s="145"/>
      <c r="FUF65" s="145"/>
      <c r="FUG65" s="145"/>
      <c r="FUH65" s="145"/>
      <c r="FUI65" s="145"/>
      <c r="FUJ65" s="145"/>
      <c r="FUK65" s="145"/>
      <c r="FUL65" s="145"/>
      <c r="FUM65" s="145"/>
      <c r="FUN65" s="145"/>
      <c r="FUO65" s="145"/>
      <c r="FUP65" s="145"/>
      <c r="FUQ65" s="145"/>
      <c r="FUR65" s="145"/>
      <c r="FUS65" s="145"/>
      <c r="FUT65" s="145"/>
      <c r="FUU65" s="145"/>
      <c r="FUV65" s="145"/>
      <c r="FUW65" s="145"/>
      <c r="FUX65" s="145"/>
      <c r="FUY65" s="145"/>
      <c r="FUZ65" s="145"/>
      <c r="FVA65" s="145"/>
      <c r="FVB65" s="145"/>
      <c r="FVC65" s="145"/>
      <c r="FVD65" s="145"/>
      <c r="FVE65" s="145"/>
      <c r="FVF65" s="145"/>
      <c r="FVG65" s="145"/>
      <c r="FVH65" s="145"/>
      <c r="FVI65" s="145"/>
      <c r="FVJ65" s="145"/>
      <c r="FVK65" s="145"/>
      <c r="FVL65" s="145"/>
      <c r="FVM65" s="145"/>
      <c r="FVN65" s="145"/>
      <c r="FVO65" s="145"/>
      <c r="FVP65" s="145"/>
      <c r="FVQ65" s="145"/>
      <c r="FVR65" s="145"/>
      <c r="FVS65" s="145"/>
      <c r="FVT65" s="145"/>
      <c r="FVU65" s="145"/>
      <c r="FVV65" s="145"/>
      <c r="FVW65" s="145"/>
      <c r="FVX65" s="145"/>
      <c r="FVY65" s="145"/>
      <c r="FVZ65" s="145"/>
      <c r="FWA65" s="145"/>
      <c r="FWB65" s="145"/>
      <c r="FWC65" s="145"/>
      <c r="FWD65" s="145"/>
      <c r="FWE65" s="145"/>
      <c r="FWF65" s="145"/>
      <c r="FWG65" s="145"/>
      <c r="FWH65" s="145"/>
      <c r="FWI65" s="145"/>
      <c r="FWJ65" s="145"/>
      <c r="FWK65" s="145"/>
      <c r="FWL65" s="145"/>
      <c r="FWM65" s="145"/>
      <c r="FWN65" s="145"/>
      <c r="FWO65" s="145"/>
      <c r="FWP65" s="145"/>
      <c r="FWQ65" s="145"/>
      <c r="FWR65" s="145"/>
      <c r="FWS65" s="145"/>
      <c r="FWT65" s="145"/>
      <c r="FWU65" s="145"/>
      <c r="FWV65" s="145"/>
      <c r="FWW65" s="145"/>
      <c r="FWX65" s="145"/>
      <c r="FWY65" s="145"/>
      <c r="FWZ65" s="145"/>
      <c r="FXA65" s="145"/>
      <c r="FXB65" s="145"/>
      <c r="FXC65" s="145"/>
      <c r="FXD65" s="145"/>
      <c r="FXE65" s="145"/>
      <c r="FXF65" s="145"/>
      <c r="FXG65" s="145"/>
      <c r="FXH65" s="145"/>
      <c r="FXI65" s="145"/>
      <c r="FXJ65" s="145"/>
      <c r="FXK65" s="145"/>
      <c r="FXL65" s="145"/>
      <c r="FXM65" s="145"/>
      <c r="FXN65" s="145"/>
      <c r="FXO65" s="145"/>
      <c r="FXP65" s="145"/>
      <c r="FXQ65" s="145"/>
      <c r="FXR65" s="145"/>
      <c r="FXS65" s="145"/>
      <c r="FXT65" s="145"/>
      <c r="FXU65" s="145"/>
      <c r="FXV65" s="145"/>
      <c r="FXW65" s="145"/>
      <c r="FXX65" s="145"/>
      <c r="FXY65" s="145"/>
      <c r="FXZ65" s="145"/>
      <c r="FYA65" s="145"/>
      <c r="FYB65" s="145"/>
      <c r="FYC65" s="145"/>
      <c r="FYD65" s="145"/>
      <c r="FYE65" s="145"/>
      <c r="FYF65" s="145"/>
      <c r="FYG65" s="145"/>
      <c r="FYH65" s="145"/>
      <c r="FYI65" s="145"/>
      <c r="FYJ65" s="145"/>
      <c r="FYK65" s="145"/>
      <c r="FYL65" s="145"/>
      <c r="FYM65" s="145"/>
      <c r="FYN65" s="145"/>
      <c r="FYO65" s="145"/>
      <c r="FYP65" s="145"/>
      <c r="FYQ65" s="145"/>
      <c r="FYR65" s="145"/>
      <c r="FYS65" s="145"/>
      <c r="FYT65" s="145"/>
      <c r="FYU65" s="145"/>
      <c r="FYV65" s="145"/>
      <c r="FYW65" s="145"/>
      <c r="FYX65" s="145"/>
      <c r="FYY65" s="145"/>
      <c r="FYZ65" s="145"/>
      <c r="FZA65" s="145"/>
      <c r="FZB65" s="145"/>
      <c r="FZC65" s="145"/>
      <c r="FZD65" s="145"/>
      <c r="FZE65" s="145"/>
      <c r="FZF65" s="145"/>
      <c r="FZG65" s="145"/>
      <c r="FZH65" s="145"/>
      <c r="FZI65" s="145"/>
      <c r="FZJ65" s="145"/>
      <c r="FZK65" s="145"/>
      <c r="FZL65" s="145"/>
      <c r="FZM65" s="145"/>
      <c r="FZN65" s="145"/>
      <c r="FZO65" s="145"/>
      <c r="FZP65" s="145"/>
      <c r="FZQ65" s="145"/>
      <c r="FZR65" s="145"/>
      <c r="FZS65" s="145"/>
      <c r="FZT65" s="145"/>
      <c r="FZU65" s="145"/>
      <c r="FZV65" s="145"/>
      <c r="FZW65" s="145"/>
      <c r="FZX65" s="145"/>
      <c r="FZY65" s="145"/>
      <c r="FZZ65" s="145"/>
      <c r="GAA65" s="145"/>
      <c r="GAB65" s="145"/>
      <c r="GAC65" s="145"/>
      <c r="GAD65" s="145"/>
      <c r="GAE65" s="145"/>
      <c r="GAF65" s="145"/>
      <c r="GAG65" s="145"/>
      <c r="GAH65" s="145"/>
      <c r="GAI65" s="145"/>
      <c r="GAJ65" s="145"/>
      <c r="GAK65" s="145"/>
      <c r="GAL65" s="145"/>
      <c r="GAM65" s="145"/>
      <c r="GAN65" s="145"/>
      <c r="GAO65" s="145"/>
      <c r="GAP65" s="145"/>
      <c r="GAQ65" s="145"/>
      <c r="GAR65" s="145"/>
      <c r="GAS65" s="145"/>
      <c r="GAT65" s="145"/>
      <c r="GAU65" s="145"/>
      <c r="GAV65" s="145"/>
      <c r="GAW65" s="145"/>
      <c r="GAX65" s="145"/>
      <c r="GAY65" s="145"/>
      <c r="GAZ65" s="145"/>
      <c r="GBA65" s="145"/>
      <c r="GBB65" s="145"/>
      <c r="GBC65" s="145"/>
      <c r="GBD65" s="145"/>
      <c r="GBE65" s="145"/>
      <c r="GBF65" s="145"/>
      <c r="GBG65" s="145"/>
      <c r="GBH65" s="145"/>
      <c r="GBI65" s="145"/>
      <c r="GBJ65" s="145"/>
      <c r="GBK65" s="145"/>
      <c r="GBL65" s="145"/>
      <c r="GBM65" s="145"/>
      <c r="GBN65" s="145"/>
      <c r="GBO65" s="145"/>
      <c r="GBP65" s="145"/>
      <c r="GBQ65" s="145"/>
      <c r="GBR65" s="145"/>
      <c r="GBS65" s="145"/>
      <c r="GBT65" s="145"/>
      <c r="GBU65" s="145"/>
      <c r="GBV65" s="145"/>
      <c r="GBW65" s="145"/>
      <c r="GBX65" s="145"/>
      <c r="GBY65" s="145"/>
      <c r="GBZ65" s="145"/>
      <c r="GCA65" s="145"/>
      <c r="GCB65" s="145"/>
      <c r="GCC65" s="145"/>
      <c r="GCD65" s="145"/>
      <c r="GCE65" s="145"/>
      <c r="GCF65" s="145"/>
      <c r="GCG65" s="145"/>
      <c r="GCH65" s="145"/>
      <c r="GCI65" s="145"/>
      <c r="GCJ65" s="145"/>
      <c r="GCK65" s="145"/>
      <c r="GCL65" s="145"/>
      <c r="GCM65" s="145"/>
      <c r="GCN65" s="145"/>
      <c r="GCO65" s="145"/>
      <c r="GCP65" s="145"/>
      <c r="GCQ65" s="145"/>
      <c r="GCR65" s="145"/>
      <c r="GCS65" s="145"/>
      <c r="GCT65" s="145"/>
      <c r="GCU65" s="145"/>
      <c r="GCV65" s="145"/>
      <c r="GCW65" s="145"/>
      <c r="GCX65" s="145"/>
      <c r="GCY65" s="145"/>
      <c r="GCZ65" s="145"/>
      <c r="GDA65" s="145"/>
      <c r="GDB65" s="145"/>
      <c r="GDC65" s="145"/>
      <c r="GDD65" s="145"/>
      <c r="GDE65" s="145"/>
      <c r="GDF65" s="145"/>
      <c r="GDG65" s="145"/>
      <c r="GDH65" s="145"/>
      <c r="GDI65" s="145"/>
      <c r="GDJ65" s="145"/>
      <c r="GDK65" s="145"/>
      <c r="GDL65" s="145"/>
      <c r="GDM65" s="145"/>
      <c r="GDN65" s="145"/>
      <c r="GDO65" s="145"/>
      <c r="GDP65" s="145"/>
      <c r="GDQ65" s="145"/>
      <c r="GDR65" s="145"/>
      <c r="GDS65" s="145"/>
      <c r="GDT65" s="145"/>
      <c r="GDU65" s="145"/>
      <c r="GDV65" s="145"/>
      <c r="GDW65" s="145"/>
      <c r="GDX65" s="145"/>
      <c r="GDY65" s="145"/>
      <c r="GDZ65" s="145"/>
      <c r="GEA65" s="145"/>
      <c r="GEB65" s="145"/>
      <c r="GEC65" s="145"/>
      <c r="GED65" s="145"/>
      <c r="GEE65" s="145"/>
      <c r="GEF65" s="145"/>
      <c r="GEG65" s="145"/>
      <c r="GEH65" s="145"/>
      <c r="GEI65" s="145"/>
      <c r="GEJ65" s="145"/>
      <c r="GEK65" s="145"/>
      <c r="GEL65" s="145"/>
      <c r="GEM65" s="145"/>
      <c r="GEN65" s="145"/>
      <c r="GEO65" s="145"/>
      <c r="GEP65" s="145"/>
      <c r="GEQ65" s="145"/>
      <c r="GER65" s="145"/>
      <c r="GES65" s="145"/>
      <c r="GET65" s="145"/>
      <c r="GEU65" s="145"/>
      <c r="GEV65" s="145"/>
      <c r="GEW65" s="145"/>
      <c r="GEX65" s="145"/>
      <c r="GEY65" s="145"/>
      <c r="GEZ65" s="145"/>
      <c r="GFA65" s="145"/>
      <c r="GFB65" s="145"/>
      <c r="GFC65" s="145"/>
      <c r="GFD65" s="145"/>
      <c r="GFE65" s="145"/>
      <c r="GFF65" s="145"/>
      <c r="GFG65" s="145"/>
      <c r="GFH65" s="145"/>
      <c r="GFI65" s="145"/>
      <c r="GFJ65" s="145"/>
      <c r="GFK65" s="145"/>
      <c r="GFL65" s="145"/>
      <c r="GFM65" s="145"/>
      <c r="GFN65" s="145"/>
      <c r="GFO65" s="145"/>
      <c r="GFP65" s="145"/>
      <c r="GFQ65" s="145"/>
      <c r="GFR65" s="145"/>
      <c r="GFS65" s="145"/>
      <c r="GFT65" s="145"/>
      <c r="GFU65" s="145"/>
      <c r="GFV65" s="145"/>
      <c r="GFW65" s="145"/>
      <c r="GFX65" s="145"/>
      <c r="GFY65" s="145"/>
      <c r="GFZ65" s="145"/>
      <c r="GGA65" s="145"/>
      <c r="GGB65" s="145"/>
      <c r="GGC65" s="145"/>
      <c r="GGD65" s="145"/>
      <c r="GGE65" s="145"/>
      <c r="GGF65" s="145"/>
      <c r="GGG65" s="145"/>
      <c r="GGH65" s="145"/>
      <c r="GGI65" s="145"/>
      <c r="GGJ65" s="145"/>
      <c r="GGK65" s="145"/>
      <c r="GGL65" s="145"/>
      <c r="GGM65" s="145"/>
      <c r="GGN65" s="145"/>
      <c r="GGO65" s="145"/>
      <c r="GGP65" s="145"/>
      <c r="GGQ65" s="145"/>
      <c r="GGR65" s="145"/>
      <c r="GGS65" s="145"/>
      <c r="GGT65" s="145"/>
      <c r="GGU65" s="145"/>
      <c r="GGV65" s="145"/>
      <c r="GGW65" s="145"/>
      <c r="GGX65" s="145"/>
      <c r="GGY65" s="145"/>
      <c r="GGZ65" s="145"/>
      <c r="GHA65" s="145"/>
      <c r="GHB65" s="145"/>
      <c r="GHC65" s="145"/>
      <c r="GHD65" s="145"/>
      <c r="GHE65" s="145"/>
      <c r="GHF65" s="145"/>
      <c r="GHG65" s="145"/>
      <c r="GHH65" s="145"/>
      <c r="GHI65" s="145"/>
      <c r="GHJ65" s="145"/>
      <c r="GHK65" s="145"/>
      <c r="GHL65" s="145"/>
      <c r="GHM65" s="145"/>
      <c r="GHN65" s="145"/>
      <c r="GHO65" s="145"/>
      <c r="GHP65" s="145"/>
      <c r="GHQ65" s="145"/>
      <c r="GHR65" s="145"/>
      <c r="GHS65" s="145"/>
      <c r="GHT65" s="145"/>
      <c r="GHU65" s="145"/>
      <c r="GHV65" s="145"/>
      <c r="GHW65" s="145"/>
      <c r="GHX65" s="145"/>
      <c r="GHY65" s="145"/>
      <c r="GHZ65" s="145"/>
      <c r="GIA65" s="145"/>
      <c r="GIB65" s="145"/>
      <c r="GIC65" s="145"/>
      <c r="GID65" s="145"/>
      <c r="GIE65" s="145"/>
      <c r="GIF65" s="145"/>
      <c r="GIG65" s="145"/>
      <c r="GIH65" s="145"/>
      <c r="GII65" s="145"/>
      <c r="GIJ65" s="145"/>
      <c r="GIK65" s="145"/>
      <c r="GIL65" s="145"/>
      <c r="GIM65" s="145"/>
      <c r="GIN65" s="145"/>
      <c r="GIO65" s="145"/>
      <c r="GIP65" s="145"/>
      <c r="GIQ65" s="145"/>
      <c r="GIR65" s="145"/>
      <c r="GIS65" s="145"/>
      <c r="GIT65" s="145"/>
      <c r="GIU65" s="145"/>
      <c r="GIV65" s="145"/>
      <c r="GIW65" s="145"/>
      <c r="GIX65" s="145"/>
      <c r="GIY65" s="145"/>
      <c r="GIZ65" s="145"/>
      <c r="GJA65" s="145"/>
      <c r="GJB65" s="145"/>
      <c r="GJC65" s="145"/>
      <c r="GJD65" s="145"/>
      <c r="GJE65" s="145"/>
      <c r="GJF65" s="145"/>
      <c r="GJG65" s="145"/>
      <c r="GJH65" s="145"/>
      <c r="GJI65" s="145"/>
      <c r="GJJ65" s="145"/>
      <c r="GJK65" s="145"/>
      <c r="GJL65" s="145"/>
      <c r="GJM65" s="145"/>
      <c r="GJN65" s="145"/>
      <c r="GJO65" s="145"/>
      <c r="GJP65" s="145"/>
      <c r="GJQ65" s="145"/>
      <c r="GJR65" s="145"/>
      <c r="GJS65" s="145"/>
      <c r="GJT65" s="145"/>
      <c r="GJU65" s="145"/>
      <c r="GJV65" s="145"/>
      <c r="GJW65" s="145"/>
      <c r="GJX65" s="145"/>
      <c r="GJY65" s="145"/>
      <c r="GJZ65" s="145"/>
      <c r="GKA65" s="145"/>
      <c r="GKB65" s="145"/>
      <c r="GKC65" s="145"/>
      <c r="GKD65" s="145"/>
      <c r="GKE65" s="145"/>
      <c r="GKF65" s="145"/>
      <c r="GKG65" s="145"/>
      <c r="GKH65" s="145"/>
      <c r="GKI65" s="145"/>
      <c r="GKJ65" s="145"/>
      <c r="GKK65" s="145"/>
      <c r="GKL65" s="145"/>
      <c r="GKM65" s="145"/>
      <c r="GKN65" s="145"/>
      <c r="GKO65" s="145"/>
      <c r="GKP65" s="145"/>
      <c r="GKQ65" s="145"/>
      <c r="GKR65" s="145"/>
      <c r="GKS65" s="145"/>
      <c r="GKT65" s="145"/>
      <c r="GKU65" s="145"/>
      <c r="GKV65" s="145"/>
      <c r="GKW65" s="145"/>
      <c r="GKX65" s="145"/>
      <c r="GKY65" s="145"/>
      <c r="GKZ65" s="145"/>
      <c r="GLA65" s="145"/>
      <c r="GLB65" s="145"/>
      <c r="GLC65" s="145"/>
      <c r="GLD65" s="145"/>
      <c r="GLE65" s="145"/>
      <c r="GLF65" s="145"/>
      <c r="GLG65" s="145"/>
      <c r="GLH65" s="145"/>
      <c r="GLI65" s="145"/>
      <c r="GLJ65" s="145"/>
      <c r="GLK65" s="145"/>
      <c r="GLL65" s="145"/>
      <c r="GLM65" s="145"/>
      <c r="GLN65" s="145"/>
      <c r="GLO65" s="145"/>
      <c r="GLP65" s="145"/>
      <c r="GLQ65" s="145"/>
      <c r="GLR65" s="145"/>
      <c r="GLS65" s="145"/>
      <c r="GLT65" s="145"/>
      <c r="GLU65" s="145"/>
      <c r="GLV65" s="145"/>
      <c r="GLW65" s="145"/>
      <c r="GLX65" s="145"/>
      <c r="GLY65" s="145"/>
      <c r="GLZ65" s="145"/>
      <c r="GMA65" s="145"/>
      <c r="GMB65" s="145"/>
      <c r="GMC65" s="145"/>
      <c r="GMD65" s="145"/>
      <c r="GME65" s="145"/>
      <c r="GMF65" s="145"/>
      <c r="GMG65" s="145"/>
      <c r="GMH65" s="145"/>
      <c r="GMI65" s="145"/>
      <c r="GMJ65" s="145"/>
      <c r="GMK65" s="145"/>
      <c r="GML65" s="145"/>
      <c r="GMM65" s="145"/>
      <c r="GMN65" s="145"/>
      <c r="GMO65" s="145"/>
      <c r="GMP65" s="145"/>
      <c r="GMQ65" s="145"/>
      <c r="GMR65" s="145"/>
      <c r="GMS65" s="145"/>
      <c r="GMT65" s="145"/>
      <c r="GMU65" s="145"/>
      <c r="GMV65" s="145"/>
      <c r="GMW65" s="145"/>
      <c r="GMX65" s="145"/>
      <c r="GMY65" s="145"/>
      <c r="GMZ65" s="145"/>
      <c r="GNA65" s="145"/>
      <c r="GNB65" s="145"/>
      <c r="GNC65" s="145"/>
      <c r="GND65" s="145"/>
      <c r="GNE65" s="145"/>
      <c r="GNF65" s="145"/>
      <c r="GNG65" s="145"/>
      <c r="GNH65" s="145"/>
      <c r="GNI65" s="145"/>
      <c r="GNJ65" s="145"/>
      <c r="GNK65" s="145"/>
      <c r="GNL65" s="145"/>
      <c r="GNM65" s="145"/>
      <c r="GNN65" s="145"/>
      <c r="GNO65" s="145"/>
      <c r="GNP65" s="145"/>
      <c r="GNQ65" s="145"/>
      <c r="GNR65" s="145"/>
      <c r="GNS65" s="145"/>
      <c r="GNT65" s="145"/>
      <c r="GNU65" s="145"/>
      <c r="GNV65" s="145"/>
      <c r="GNW65" s="145"/>
      <c r="GNX65" s="145"/>
      <c r="GNY65" s="145"/>
      <c r="GNZ65" s="145"/>
      <c r="GOA65" s="145"/>
      <c r="GOB65" s="145"/>
      <c r="GOC65" s="145"/>
      <c r="GOD65" s="145"/>
      <c r="GOE65" s="145"/>
      <c r="GOF65" s="145"/>
      <c r="GOG65" s="145"/>
      <c r="GOH65" s="145"/>
      <c r="GOI65" s="145"/>
      <c r="GOJ65" s="145"/>
      <c r="GOK65" s="145"/>
      <c r="GOL65" s="145"/>
      <c r="GOM65" s="145"/>
      <c r="GON65" s="145"/>
      <c r="GOO65" s="145"/>
      <c r="GOP65" s="145"/>
      <c r="GOQ65" s="145"/>
      <c r="GOR65" s="145"/>
      <c r="GOS65" s="145"/>
      <c r="GOT65" s="145"/>
      <c r="GOU65" s="145"/>
      <c r="GOV65" s="145"/>
      <c r="GOW65" s="145"/>
      <c r="GOX65" s="145"/>
      <c r="GOY65" s="145"/>
      <c r="GOZ65" s="145"/>
      <c r="GPA65" s="145"/>
      <c r="GPB65" s="145"/>
      <c r="GPC65" s="145"/>
      <c r="GPD65" s="145"/>
      <c r="GPE65" s="145"/>
      <c r="GPF65" s="145"/>
      <c r="GPG65" s="145"/>
      <c r="GPH65" s="145"/>
      <c r="GPI65" s="145"/>
      <c r="GPJ65" s="145"/>
      <c r="GPK65" s="145"/>
      <c r="GPL65" s="145"/>
      <c r="GPM65" s="145"/>
      <c r="GPN65" s="145"/>
      <c r="GPO65" s="145"/>
      <c r="GPP65" s="145"/>
      <c r="GPQ65" s="145"/>
      <c r="GPR65" s="145"/>
      <c r="GPS65" s="145"/>
      <c r="GPT65" s="145"/>
      <c r="GPU65" s="145"/>
      <c r="GPV65" s="145"/>
      <c r="GPW65" s="145"/>
      <c r="GPX65" s="145"/>
      <c r="GPY65" s="145"/>
      <c r="GPZ65" s="145"/>
      <c r="GQA65" s="145"/>
      <c r="GQB65" s="145"/>
      <c r="GQC65" s="145"/>
      <c r="GQD65" s="145"/>
      <c r="GQE65" s="145"/>
      <c r="GQF65" s="145"/>
      <c r="GQG65" s="145"/>
      <c r="GQH65" s="145"/>
      <c r="GQI65" s="145"/>
      <c r="GQJ65" s="145"/>
      <c r="GQK65" s="145"/>
      <c r="GQL65" s="145"/>
      <c r="GQM65" s="145"/>
      <c r="GQN65" s="145"/>
      <c r="GQO65" s="145"/>
      <c r="GQP65" s="145"/>
      <c r="GQQ65" s="145"/>
      <c r="GQR65" s="145"/>
      <c r="GQS65" s="145"/>
      <c r="GQT65" s="145"/>
      <c r="GQU65" s="145"/>
      <c r="GQV65" s="145"/>
      <c r="GQW65" s="145"/>
      <c r="GQX65" s="145"/>
      <c r="GQY65" s="145"/>
      <c r="GQZ65" s="145"/>
      <c r="GRA65" s="145"/>
      <c r="GRB65" s="145"/>
      <c r="GRC65" s="145"/>
      <c r="GRD65" s="145"/>
      <c r="GRE65" s="145"/>
      <c r="GRF65" s="145"/>
      <c r="GRG65" s="145"/>
      <c r="GRH65" s="145"/>
      <c r="GRI65" s="145"/>
      <c r="GRJ65" s="145"/>
      <c r="GRK65" s="145"/>
      <c r="GRL65" s="145"/>
      <c r="GRM65" s="145"/>
      <c r="GRN65" s="145"/>
      <c r="GRO65" s="145"/>
      <c r="GRP65" s="145"/>
      <c r="GRQ65" s="145"/>
      <c r="GRR65" s="145"/>
      <c r="GRS65" s="145"/>
      <c r="GRT65" s="145"/>
      <c r="GRU65" s="145"/>
      <c r="GRV65" s="145"/>
      <c r="GRW65" s="145"/>
      <c r="GRX65" s="145"/>
      <c r="GRY65" s="145"/>
      <c r="GRZ65" s="145"/>
      <c r="GSA65" s="145"/>
      <c r="GSB65" s="145"/>
      <c r="GSC65" s="145"/>
      <c r="GSD65" s="145"/>
      <c r="GSE65" s="145"/>
      <c r="GSF65" s="145"/>
      <c r="GSG65" s="145"/>
      <c r="GSH65" s="145"/>
      <c r="GSI65" s="145"/>
      <c r="GSJ65" s="145"/>
      <c r="GSK65" s="145"/>
      <c r="GSL65" s="145"/>
      <c r="GSM65" s="145"/>
      <c r="GSN65" s="145"/>
      <c r="GSO65" s="145"/>
      <c r="GSP65" s="145"/>
      <c r="GSQ65" s="145"/>
      <c r="GSR65" s="145"/>
      <c r="GSS65" s="145"/>
      <c r="GST65" s="145"/>
      <c r="GSU65" s="145"/>
      <c r="GSV65" s="145"/>
      <c r="GSW65" s="145"/>
      <c r="GSX65" s="145"/>
      <c r="GSY65" s="145"/>
      <c r="GSZ65" s="145"/>
      <c r="GTA65" s="145"/>
      <c r="GTB65" s="145"/>
      <c r="GTC65" s="145"/>
      <c r="GTD65" s="145"/>
      <c r="GTE65" s="145"/>
      <c r="GTF65" s="145"/>
      <c r="GTG65" s="145"/>
      <c r="GTH65" s="145"/>
      <c r="GTI65" s="145"/>
      <c r="GTJ65" s="145"/>
      <c r="GTK65" s="145"/>
      <c r="GTL65" s="145"/>
      <c r="GTM65" s="145"/>
      <c r="GTN65" s="145"/>
      <c r="GTO65" s="145"/>
      <c r="GTP65" s="145"/>
      <c r="GTQ65" s="145"/>
      <c r="GTR65" s="145"/>
      <c r="GTS65" s="145"/>
      <c r="GTT65" s="145"/>
      <c r="GTU65" s="145"/>
      <c r="GTV65" s="145"/>
      <c r="GTW65" s="145"/>
      <c r="GTX65" s="145"/>
      <c r="GTY65" s="145"/>
      <c r="GTZ65" s="145"/>
      <c r="GUA65" s="145"/>
      <c r="GUB65" s="145"/>
      <c r="GUC65" s="145"/>
      <c r="GUD65" s="145"/>
      <c r="GUE65" s="145"/>
      <c r="GUF65" s="145"/>
      <c r="GUG65" s="145"/>
      <c r="GUH65" s="145"/>
      <c r="GUI65" s="145"/>
      <c r="GUJ65" s="145"/>
      <c r="GUK65" s="145"/>
      <c r="GUL65" s="145"/>
      <c r="GUM65" s="145"/>
      <c r="GUN65" s="145"/>
      <c r="GUO65" s="145"/>
      <c r="GUP65" s="145"/>
      <c r="GUQ65" s="145"/>
      <c r="GUR65" s="145"/>
      <c r="GUS65" s="145"/>
      <c r="GUT65" s="145"/>
      <c r="GUU65" s="145"/>
      <c r="GUV65" s="145"/>
      <c r="GUW65" s="145"/>
      <c r="GUX65" s="145"/>
      <c r="GUY65" s="145"/>
      <c r="GUZ65" s="145"/>
      <c r="GVA65" s="145"/>
      <c r="GVB65" s="145"/>
      <c r="GVC65" s="145"/>
      <c r="GVD65" s="145"/>
      <c r="GVE65" s="145"/>
      <c r="GVF65" s="145"/>
      <c r="GVG65" s="145"/>
      <c r="GVH65" s="145"/>
      <c r="GVI65" s="145"/>
      <c r="GVJ65" s="145"/>
      <c r="GVK65" s="145"/>
      <c r="GVL65" s="145"/>
      <c r="GVM65" s="145"/>
      <c r="GVN65" s="145"/>
      <c r="GVO65" s="145"/>
      <c r="GVP65" s="145"/>
      <c r="GVQ65" s="145"/>
      <c r="GVR65" s="145"/>
      <c r="GVS65" s="145"/>
      <c r="GVT65" s="145"/>
      <c r="GVU65" s="145"/>
      <c r="GVV65" s="145"/>
      <c r="GVW65" s="145"/>
      <c r="GVX65" s="145"/>
      <c r="GVY65" s="145"/>
      <c r="GVZ65" s="145"/>
      <c r="GWA65" s="145"/>
      <c r="GWB65" s="145"/>
      <c r="GWC65" s="145"/>
      <c r="GWD65" s="145"/>
      <c r="GWE65" s="145"/>
      <c r="GWF65" s="145"/>
      <c r="GWG65" s="145"/>
      <c r="GWH65" s="145"/>
      <c r="GWI65" s="145"/>
      <c r="GWJ65" s="145"/>
      <c r="GWK65" s="145"/>
      <c r="GWL65" s="145"/>
      <c r="GWM65" s="145"/>
      <c r="GWN65" s="145"/>
      <c r="GWO65" s="145"/>
      <c r="GWP65" s="145"/>
      <c r="GWQ65" s="145"/>
      <c r="GWR65" s="145"/>
      <c r="GWS65" s="145"/>
      <c r="GWT65" s="145"/>
      <c r="GWU65" s="145"/>
      <c r="GWV65" s="145"/>
      <c r="GWW65" s="145"/>
      <c r="GWX65" s="145"/>
      <c r="GWY65" s="145"/>
      <c r="GWZ65" s="145"/>
      <c r="GXA65" s="145"/>
      <c r="GXB65" s="145"/>
      <c r="GXC65" s="145"/>
      <c r="GXD65" s="145"/>
      <c r="GXE65" s="145"/>
      <c r="GXF65" s="145"/>
      <c r="GXG65" s="145"/>
      <c r="GXH65" s="145"/>
      <c r="GXI65" s="145"/>
      <c r="GXJ65" s="145"/>
      <c r="GXK65" s="145"/>
      <c r="GXL65" s="145"/>
      <c r="GXM65" s="145"/>
      <c r="GXN65" s="145"/>
      <c r="GXO65" s="145"/>
      <c r="GXP65" s="145"/>
      <c r="GXQ65" s="145"/>
      <c r="GXR65" s="145"/>
      <c r="GXS65" s="145"/>
      <c r="GXT65" s="145"/>
      <c r="GXU65" s="145"/>
      <c r="GXV65" s="145"/>
      <c r="GXW65" s="145"/>
      <c r="GXX65" s="145"/>
      <c r="GXY65" s="145"/>
      <c r="GXZ65" s="145"/>
      <c r="GYA65" s="145"/>
      <c r="GYB65" s="145"/>
      <c r="GYC65" s="145"/>
      <c r="GYD65" s="145"/>
      <c r="GYE65" s="145"/>
      <c r="GYF65" s="145"/>
      <c r="GYG65" s="145"/>
      <c r="GYH65" s="145"/>
      <c r="GYI65" s="145"/>
      <c r="GYJ65" s="145"/>
      <c r="GYK65" s="145"/>
      <c r="GYL65" s="145"/>
      <c r="GYM65" s="145"/>
      <c r="GYN65" s="145"/>
      <c r="GYO65" s="145"/>
      <c r="GYP65" s="145"/>
      <c r="GYQ65" s="145"/>
      <c r="GYR65" s="145"/>
      <c r="GYS65" s="145"/>
      <c r="GYT65" s="145"/>
      <c r="GYU65" s="145"/>
      <c r="GYV65" s="145"/>
      <c r="GYW65" s="145"/>
      <c r="GYX65" s="145"/>
      <c r="GYY65" s="145"/>
      <c r="GYZ65" s="145"/>
      <c r="GZA65" s="145"/>
      <c r="GZB65" s="145"/>
      <c r="GZC65" s="145"/>
      <c r="GZD65" s="145"/>
      <c r="GZE65" s="145"/>
      <c r="GZF65" s="145"/>
      <c r="GZG65" s="145"/>
      <c r="GZH65" s="145"/>
      <c r="GZI65" s="145"/>
      <c r="GZJ65" s="145"/>
      <c r="GZK65" s="145"/>
      <c r="GZL65" s="145"/>
      <c r="GZM65" s="145"/>
      <c r="GZN65" s="145"/>
      <c r="GZO65" s="145"/>
      <c r="GZP65" s="145"/>
      <c r="GZQ65" s="145"/>
      <c r="GZR65" s="145"/>
      <c r="GZS65" s="145"/>
      <c r="GZT65" s="145"/>
      <c r="GZU65" s="145"/>
      <c r="GZV65" s="145"/>
      <c r="GZW65" s="145"/>
      <c r="GZX65" s="145"/>
      <c r="GZY65" s="145"/>
      <c r="GZZ65" s="145"/>
      <c r="HAA65" s="145"/>
      <c r="HAB65" s="145"/>
      <c r="HAC65" s="145"/>
      <c r="HAD65" s="145"/>
      <c r="HAE65" s="145"/>
      <c r="HAF65" s="145"/>
      <c r="HAG65" s="145"/>
      <c r="HAH65" s="145"/>
      <c r="HAI65" s="145"/>
      <c r="HAJ65" s="145"/>
      <c r="HAK65" s="145"/>
      <c r="HAL65" s="145"/>
      <c r="HAM65" s="145"/>
      <c r="HAN65" s="145"/>
      <c r="HAO65" s="145"/>
      <c r="HAP65" s="145"/>
      <c r="HAQ65" s="145"/>
      <c r="HAR65" s="145"/>
      <c r="HAS65" s="145"/>
      <c r="HAT65" s="145"/>
      <c r="HAU65" s="145"/>
      <c r="HAV65" s="145"/>
      <c r="HAW65" s="145"/>
      <c r="HAX65" s="145"/>
      <c r="HAY65" s="145"/>
      <c r="HAZ65" s="145"/>
      <c r="HBA65" s="145"/>
      <c r="HBB65" s="145"/>
      <c r="HBC65" s="145"/>
      <c r="HBD65" s="145"/>
      <c r="HBE65" s="145"/>
      <c r="HBF65" s="145"/>
      <c r="HBG65" s="145"/>
      <c r="HBH65" s="145"/>
      <c r="HBI65" s="145"/>
      <c r="HBJ65" s="145"/>
      <c r="HBK65" s="145"/>
      <c r="HBL65" s="145"/>
      <c r="HBM65" s="145"/>
      <c r="HBN65" s="145"/>
      <c r="HBO65" s="145"/>
      <c r="HBP65" s="145"/>
      <c r="HBQ65" s="145"/>
      <c r="HBR65" s="145"/>
      <c r="HBS65" s="145"/>
      <c r="HBT65" s="145"/>
      <c r="HBU65" s="145"/>
      <c r="HBV65" s="145"/>
      <c r="HBW65" s="145"/>
      <c r="HBX65" s="145"/>
      <c r="HBY65" s="145"/>
      <c r="HBZ65" s="145"/>
      <c r="HCA65" s="145"/>
      <c r="HCB65" s="145"/>
      <c r="HCC65" s="145"/>
      <c r="HCD65" s="145"/>
      <c r="HCE65" s="145"/>
      <c r="HCF65" s="145"/>
      <c r="HCG65" s="145"/>
      <c r="HCH65" s="145"/>
      <c r="HCI65" s="145"/>
      <c r="HCJ65" s="145"/>
      <c r="HCK65" s="145"/>
      <c r="HCL65" s="145"/>
      <c r="HCM65" s="145"/>
      <c r="HCN65" s="145"/>
      <c r="HCO65" s="145"/>
      <c r="HCP65" s="145"/>
      <c r="HCQ65" s="145"/>
      <c r="HCR65" s="145"/>
      <c r="HCS65" s="145"/>
      <c r="HCT65" s="145"/>
      <c r="HCU65" s="145"/>
      <c r="HCV65" s="145"/>
      <c r="HCW65" s="145"/>
      <c r="HCX65" s="145"/>
      <c r="HCY65" s="145"/>
      <c r="HCZ65" s="145"/>
      <c r="HDA65" s="145"/>
      <c r="HDB65" s="145"/>
      <c r="HDC65" s="145"/>
      <c r="HDD65" s="145"/>
      <c r="HDE65" s="145"/>
      <c r="HDF65" s="145"/>
      <c r="HDG65" s="145"/>
      <c r="HDH65" s="145"/>
      <c r="HDI65" s="145"/>
      <c r="HDJ65" s="145"/>
      <c r="HDK65" s="145"/>
      <c r="HDL65" s="145"/>
      <c r="HDM65" s="145"/>
      <c r="HDN65" s="145"/>
      <c r="HDO65" s="145"/>
      <c r="HDP65" s="145"/>
      <c r="HDQ65" s="145"/>
      <c r="HDR65" s="145"/>
      <c r="HDS65" s="145"/>
      <c r="HDT65" s="145"/>
      <c r="HDU65" s="145"/>
      <c r="HDV65" s="145"/>
      <c r="HDW65" s="145"/>
      <c r="HDX65" s="145"/>
      <c r="HDY65" s="145"/>
      <c r="HDZ65" s="145"/>
      <c r="HEA65" s="145"/>
      <c r="HEB65" s="145"/>
      <c r="HEC65" s="145"/>
      <c r="HED65" s="145"/>
      <c r="HEE65" s="145"/>
      <c r="HEF65" s="145"/>
      <c r="HEG65" s="145"/>
      <c r="HEH65" s="145"/>
      <c r="HEI65" s="145"/>
      <c r="HEJ65" s="145"/>
      <c r="HEK65" s="145"/>
      <c r="HEL65" s="145"/>
      <c r="HEM65" s="145"/>
      <c r="HEN65" s="145"/>
      <c r="HEO65" s="145"/>
      <c r="HEP65" s="145"/>
      <c r="HEQ65" s="145"/>
      <c r="HER65" s="145"/>
      <c r="HES65" s="145"/>
      <c r="HET65" s="145"/>
      <c r="HEU65" s="145"/>
      <c r="HEV65" s="145"/>
      <c r="HEW65" s="145"/>
      <c r="HEX65" s="145"/>
      <c r="HEY65" s="145"/>
      <c r="HEZ65" s="145"/>
      <c r="HFA65" s="145"/>
      <c r="HFB65" s="145"/>
      <c r="HFC65" s="145"/>
      <c r="HFD65" s="145"/>
      <c r="HFE65" s="145"/>
      <c r="HFF65" s="145"/>
      <c r="HFG65" s="145"/>
      <c r="HFH65" s="145"/>
      <c r="HFI65" s="145"/>
      <c r="HFJ65" s="145"/>
      <c r="HFK65" s="145"/>
      <c r="HFL65" s="145"/>
      <c r="HFM65" s="145"/>
      <c r="HFN65" s="145"/>
      <c r="HFO65" s="145"/>
      <c r="HFP65" s="145"/>
      <c r="HFQ65" s="145"/>
      <c r="HFR65" s="145"/>
      <c r="HFS65" s="145"/>
      <c r="HFT65" s="145"/>
      <c r="HFU65" s="145"/>
      <c r="HFV65" s="145"/>
      <c r="HFW65" s="145"/>
      <c r="HFX65" s="145"/>
      <c r="HFY65" s="145"/>
      <c r="HFZ65" s="145"/>
      <c r="HGA65" s="145"/>
      <c r="HGB65" s="145"/>
      <c r="HGC65" s="145"/>
      <c r="HGD65" s="145"/>
      <c r="HGE65" s="145"/>
      <c r="HGF65" s="145"/>
      <c r="HGG65" s="145"/>
      <c r="HGH65" s="145"/>
      <c r="HGI65" s="145"/>
      <c r="HGJ65" s="145"/>
      <c r="HGK65" s="145"/>
      <c r="HGL65" s="145"/>
      <c r="HGM65" s="145"/>
      <c r="HGN65" s="145"/>
      <c r="HGO65" s="145"/>
      <c r="HGP65" s="145"/>
      <c r="HGQ65" s="145"/>
      <c r="HGR65" s="145"/>
      <c r="HGS65" s="145"/>
      <c r="HGT65" s="145"/>
      <c r="HGU65" s="145"/>
      <c r="HGV65" s="145"/>
      <c r="HGW65" s="145"/>
      <c r="HGX65" s="145"/>
      <c r="HGY65" s="145"/>
      <c r="HGZ65" s="145"/>
      <c r="HHA65" s="145"/>
      <c r="HHB65" s="145"/>
      <c r="HHC65" s="145"/>
      <c r="HHD65" s="145"/>
      <c r="HHE65" s="145"/>
      <c r="HHF65" s="145"/>
      <c r="HHG65" s="145"/>
      <c r="HHH65" s="145"/>
      <c r="HHI65" s="145"/>
      <c r="HHJ65" s="145"/>
      <c r="HHK65" s="145"/>
      <c r="HHL65" s="145"/>
      <c r="HHM65" s="145"/>
      <c r="HHN65" s="145"/>
      <c r="HHO65" s="145"/>
      <c r="HHP65" s="145"/>
      <c r="HHQ65" s="145"/>
      <c r="HHR65" s="145"/>
      <c r="HHS65" s="145"/>
      <c r="HHT65" s="145"/>
      <c r="HHU65" s="145"/>
      <c r="HHV65" s="145"/>
      <c r="HHW65" s="145"/>
      <c r="HHX65" s="145"/>
      <c r="HHY65" s="145"/>
      <c r="HHZ65" s="145"/>
      <c r="HIA65" s="145"/>
      <c r="HIB65" s="145"/>
      <c r="HIC65" s="145"/>
      <c r="HID65" s="145"/>
      <c r="HIE65" s="145"/>
      <c r="HIF65" s="145"/>
      <c r="HIG65" s="145"/>
      <c r="HIH65" s="145"/>
      <c r="HII65" s="145"/>
      <c r="HIJ65" s="145"/>
      <c r="HIK65" s="145"/>
      <c r="HIL65" s="145"/>
      <c r="HIM65" s="145"/>
      <c r="HIN65" s="145"/>
      <c r="HIO65" s="145"/>
      <c r="HIP65" s="145"/>
      <c r="HIQ65" s="145"/>
      <c r="HIR65" s="145"/>
      <c r="HIS65" s="145"/>
      <c r="HIT65" s="145"/>
      <c r="HIU65" s="145"/>
      <c r="HIV65" s="145"/>
      <c r="HIW65" s="145"/>
      <c r="HIX65" s="145"/>
      <c r="HIY65" s="145"/>
      <c r="HIZ65" s="145"/>
      <c r="HJA65" s="145"/>
      <c r="HJB65" s="145"/>
      <c r="HJC65" s="145"/>
      <c r="HJD65" s="145"/>
      <c r="HJE65" s="145"/>
      <c r="HJF65" s="145"/>
      <c r="HJG65" s="145"/>
      <c r="HJH65" s="145"/>
      <c r="HJI65" s="145"/>
      <c r="HJJ65" s="145"/>
      <c r="HJK65" s="145"/>
      <c r="HJL65" s="145"/>
      <c r="HJM65" s="145"/>
      <c r="HJN65" s="145"/>
      <c r="HJO65" s="145"/>
      <c r="HJP65" s="145"/>
      <c r="HJQ65" s="145"/>
      <c r="HJR65" s="145"/>
      <c r="HJS65" s="145"/>
      <c r="HJT65" s="145"/>
      <c r="HJU65" s="145"/>
      <c r="HJV65" s="145"/>
      <c r="HJW65" s="145"/>
      <c r="HJX65" s="145"/>
      <c r="HJY65" s="145"/>
      <c r="HJZ65" s="145"/>
      <c r="HKA65" s="145"/>
      <c r="HKB65" s="145"/>
      <c r="HKC65" s="145"/>
      <c r="HKD65" s="145"/>
      <c r="HKE65" s="145"/>
      <c r="HKF65" s="145"/>
      <c r="HKG65" s="145"/>
      <c r="HKH65" s="145"/>
      <c r="HKI65" s="145"/>
      <c r="HKJ65" s="145"/>
      <c r="HKK65" s="145"/>
      <c r="HKL65" s="145"/>
      <c r="HKM65" s="145"/>
      <c r="HKN65" s="145"/>
      <c r="HKO65" s="145"/>
      <c r="HKP65" s="145"/>
      <c r="HKQ65" s="145"/>
      <c r="HKR65" s="145"/>
      <c r="HKS65" s="145"/>
      <c r="HKT65" s="145"/>
      <c r="HKU65" s="145"/>
      <c r="HKV65" s="145"/>
      <c r="HKW65" s="145"/>
      <c r="HKX65" s="145"/>
      <c r="HKY65" s="145"/>
      <c r="HKZ65" s="145"/>
      <c r="HLA65" s="145"/>
      <c r="HLB65" s="145"/>
      <c r="HLC65" s="145"/>
      <c r="HLD65" s="145"/>
      <c r="HLE65" s="145"/>
      <c r="HLF65" s="145"/>
      <c r="HLG65" s="145"/>
      <c r="HLH65" s="145"/>
      <c r="HLI65" s="145"/>
      <c r="HLJ65" s="145"/>
      <c r="HLK65" s="145"/>
      <c r="HLL65" s="145"/>
      <c r="HLM65" s="145"/>
      <c r="HLN65" s="145"/>
      <c r="HLO65" s="145"/>
      <c r="HLP65" s="145"/>
      <c r="HLQ65" s="145"/>
      <c r="HLR65" s="145"/>
      <c r="HLS65" s="145"/>
      <c r="HLT65" s="145"/>
      <c r="HLU65" s="145"/>
      <c r="HLV65" s="145"/>
      <c r="HLW65" s="145"/>
      <c r="HLX65" s="145"/>
      <c r="HLY65" s="145"/>
      <c r="HLZ65" s="145"/>
      <c r="HMA65" s="145"/>
      <c r="HMB65" s="145"/>
      <c r="HMC65" s="145"/>
      <c r="HMD65" s="145"/>
      <c r="HME65" s="145"/>
      <c r="HMF65" s="145"/>
      <c r="HMG65" s="145"/>
      <c r="HMH65" s="145"/>
      <c r="HMI65" s="145"/>
      <c r="HMJ65" s="145"/>
      <c r="HMK65" s="145"/>
      <c r="HML65" s="145"/>
      <c r="HMM65" s="145"/>
      <c r="HMN65" s="145"/>
      <c r="HMO65" s="145"/>
      <c r="HMP65" s="145"/>
      <c r="HMQ65" s="145"/>
      <c r="HMR65" s="145"/>
      <c r="HMS65" s="145"/>
      <c r="HMT65" s="145"/>
      <c r="HMU65" s="145"/>
      <c r="HMV65" s="145"/>
      <c r="HMW65" s="145"/>
      <c r="HMX65" s="145"/>
      <c r="HMY65" s="145"/>
      <c r="HMZ65" s="145"/>
      <c r="HNA65" s="145"/>
      <c r="HNB65" s="145"/>
      <c r="HNC65" s="145"/>
      <c r="HND65" s="145"/>
      <c r="HNE65" s="145"/>
      <c r="HNF65" s="145"/>
      <c r="HNG65" s="145"/>
      <c r="HNH65" s="145"/>
      <c r="HNI65" s="145"/>
      <c r="HNJ65" s="145"/>
      <c r="HNK65" s="145"/>
      <c r="HNL65" s="145"/>
      <c r="HNM65" s="145"/>
      <c r="HNN65" s="145"/>
      <c r="HNO65" s="145"/>
      <c r="HNP65" s="145"/>
      <c r="HNQ65" s="145"/>
      <c r="HNR65" s="145"/>
      <c r="HNS65" s="145"/>
      <c r="HNT65" s="145"/>
      <c r="HNU65" s="145"/>
      <c r="HNV65" s="145"/>
      <c r="HNW65" s="145"/>
      <c r="HNX65" s="145"/>
      <c r="HNY65" s="145"/>
      <c r="HNZ65" s="145"/>
      <c r="HOA65" s="145"/>
      <c r="HOB65" s="145"/>
      <c r="HOC65" s="145"/>
      <c r="HOD65" s="145"/>
      <c r="HOE65" s="145"/>
      <c r="HOF65" s="145"/>
      <c r="HOG65" s="145"/>
      <c r="HOH65" s="145"/>
      <c r="HOI65" s="145"/>
      <c r="HOJ65" s="145"/>
      <c r="HOK65" s="145"/>
      <c r="HOL65" s="145"/>
      <c r="HOM65" s="145"/>
      <c r="HON65" s="145"/>
      <c r="HOO65" s="145"/>
      <c r="HOP65" s="145"/>
      <c r="HOQ65" s="145"/>
      <c r="HOR65" s="145"/>
      <c r="HOS65" s="145"/>
      <c r="HOT65" s="145"/>
      <c r="HOU65" s="145"/>
      <c r="HOV65" s="145"/>
      <c r="HOW65" s="145"/>
      <c r="HOX65" s="145"/>
      <c r="HOY65" s="145"/>
      <c r="HOZ65" s="145"/>
      <c r="HPA65" s="145"/>
      <c r="HPB65" s="145"/>
      <c r="HPC65" s="145"/>
      <c r="HPD65" s="145"/>
      <c r="HPE65" s="145"/>
      <c r="HPF65" s="145"/>
      <c r="HPG65" s="145"/>
      <c r="HPH65" s="145"/>
      <c r="HPI65" s="145"/>
      <c r="HPJ65" s="145"/>
      <c r="HPK65" s="145"/>
      <c r="HPL65" s="145"/>
      <c r="HPM65" s="145"/>
      <c r="HPN65" s="145"/>
      <c r="HPO65" s="145"/>
      <c r="HPP65" s="145"/>
      <c r="HPQ65" s="145"/>
      <c r="HPR65" s="145"/>
      <c r="HPS65" s="145"/>
      <c r="HPT65" s="145"/>
      <c r="HPU65" s="145"/>
      <c r="HPV65" s="145"/>
      <c r="HPW65" s="145"/>
      <c r="HPX65" s="145"/>
      <c r="HPY65" s="145"/>
      <c r="HPZ65" s="145"/>
      <c r="HQA65" s="145"/>
      <c r="HQB65" s="145"/>
      <c r="HQC65" s="145"/>
      <c r="HQD65" s="145"/>
      <c r="HQE65" s="145"/>
      <c r="HQF65" s="145"/>
      <c r="HQG65" s="145"/>
      <c r="HQH65" s="145"/>
      <c r="HQI65" s="145"/>
      <c r="HQJ65" s="145"/>
      <c r="HQK65" s="145"/>
      <c r="HQL65" s="145"/>
      <c r="HQM65" s="145"/>
      <c r="HQN65" s="145"/>
      <c r="HQO65" s="145"/>
      <c r="HQP65" s="145"/>
      <c r="HQQ65" s="145"/>
      <c r="HQR65" s="145"/>
      <c r="HQS65" s="145"/>
      <c r="HQT65" s="145"/>
      <c r="HQU65" s="145"/>
      <c r="HQV65" s="145"/>
      <c r="HQW65" s="145"/>
      <c r="HQX65" s="145"/>
      <c r="HQY65" s="145"/>
      <c r="HQZ65" s="145"/>
      <c r="HRA65" s="145"/>
      <c r="HRB65" s="145"/>
      <c r="HRC65" s="145"/>
      <c r="HRD65" s="145"/>
      <c r="HRE65" s="145"/>
      <c r="HRF65" s="145"/>
      <c r="HRG65" s="145"/>
      <c r="HRH65" s="145"/>
      <c r="HRI65" s="145"/>
      <c r="HRJ65" s="145"/>
      <c r="HRK65" s="145"/>
      <c r="HRL65" s="145"/>
      <c r="HRM65" s="145"/>
      <c r="HRN65" s="145"/>
      <c r="HRO65" s="145"/>
      <c r="HRP65" s="145"/>
      <c r="HRQ65" s="145"/>
      <c r="HRR65" s="145"/>
      <c r="HRS65" s="145"/>
      <c r="HRT65" s="145"/>
      <c r="HRU65" s="145"/>
      <c r="HRV65" s="145"/>
      <c r="HRW65" s="145"/>
      <c r="HRX65" s="145"/>
      <c r="HRY65" s="145"/>
      <c r="HRZ65" s="145"/>
      <c r="HSA65" s="145"/>
      <c r="HSB65" s="145"/>
      <c r="HSC65" s="145"/>
      <c r="HSD65" s="145"/>
      <c r="HSE65" s="145"/>
      <c r="HSF65" s="145"/>
      <c r="HSG65" s="145"/>
      <c r="HSH65" s="145"/>
      <c r="HSI65" s="145"/>
      <c r="HSJ65" s="145"/>
      <c r="HSK65" s="145"/>
      <c r="HSL65" s="145"/>
      <c r="HSM65" s="145"/>
      <c r="HSN65" s="145"/>
      <c r="HSO65" s="145"/>
      <c r="HSP65" s="145"/>
      <c r="HSQ65" s="145"/>
      <c r="HSR65" s="145"/>
      <c r="HSS65" s="145"/>
      <c r="HST65" s="145"/>
      <c r="HSU65" s="145"/>
      <c r="HSV65" s="145"/>
      <c r="HSW65" s="145"/>
      <c r="HSX65" s="145"/>
      <c r="HSY65" s="145"/>
      <c r="HSZ65" s="145"/>
      <c r="HTA65" s="145"/>
      <c r="HTB65" s="145"/>
      <c r="HTC65" s="145"/>
      <c r="HTD65" s="145"/>
      <c r="HTE65" s="145"/>
      <c r="HTF65" s="145"/>
      <c r="HTG65" s="145"/>
      <c r="HTH65" s="145"/>
      <c r="HTI65" s="145"/>
      <c r="HTJ65" s="145"/>
      <c r="HTK65" s="145"/>
      <c r="HTL65" s="145"/>
      <c r="HTM65" s="145"/>
      <c r="HTN65" s="145"/>
      <c r="HTO65" s="145"/>
      <c r="HTP65" s="145"/>
      <c r="HTQ65" s="145"/>
      <c r="HTR65" s="145"/>
      <c r="HTS65" s="145"/>
      <c r="HTT65" s="145"/>
      <c r="HTU65" s="145"/>
      <c r="HTV65" s="145"/>
      <c r="HTW65" s="145"/>
      <c r="HTX65" s="145"/>
      <c r="HTY65" s="145"/>
      <c r="HTZ65" s="145"/>
      <c r="HUA65" s="145"/>
      <c r="HUB65" s="145"/>
      <c r="HUC65" s="145"/>
      <c r="HUD65" s="145"/>
      <c r="HUE65" s="145"/>
      <c r="HUF65" s="145"/>
      <c r="HUG65" s="145"/>
      <c r="HUH65" s="145"/>
      <c r="HUI65" s="145"/>
      <c r="HUJ65" s="145"/>
      <c r="HUK65" s="145"/>
      <c r="HUL65" s="145"/>
      <c r="HUM65" s="145"/>
      <c r="HUN65" s="145"/>
      <c r="HUO65" s="145"/>
      <c r="HUP65" s="145"/>
      <c r="HUQ65" s="145"/>
      <c r="HUR65" s="145"/>
      <c r="HUS65" s="145"/>
      <c r="HUT65" s="145"/>
      <c r="HUU65" s="145"/>
      <c r="HUV65" s="145"/>
      <c r="HUW65" s="145"/>
      <c r="HUX65" s="145"/>
      <c r="HUY65" s="145"/>
      <c r="HUZ65" s="145"/>
      <c r="HVA65" s="145"/>
      <c r="HVB65" s="145"/>
      <c r="HVC65" s="145"/>
      <c r="HVD65" s="145"/>
      <c r="HVE65" s="145"/>
      <c r="HVF65" s="145"/>
      <c r="HVG65" s="145"/>
      <c r="HVH65" s="145"/>
      <c r="HVI65" s="145"/>
      <c r="HVJ65" s="145"/>
      <c r="HVK65" s="145"/>
      <c r="HVL65" s="145"/>
      <c r="HVM65" s="145"/>
      <c r="HVN65" s="145"/>
      <c r="HVO65" s="145"/>
      <c r="HVP65" s="145"/>
      <c r="HVQ65" s="145"/>
      <c r="HVR65" s="145"/>
      <c r="HVS65" s="145"/>
      <c r="HVT65" s="145"/>
      <c r="HVU65" s="145"/>
      <c r="HVV65" s="145"/>
      <c r="HVW65" s="145"/>
      <c r="HVX65" s="145"/>
      <c r="HVY65" s="145"/>
      <c r="HVZ65" s="145"/>
      <c r="HWA65" s="145"/>
      <c r="HWB65" s="145"/>
      <c r="HWC65" s="145"/>
      <c r="HWD65" s="145"/>
      <c r="HWE65" s="145"/>
      <c r="HWF65" s="145"/>
      <c r="HWG65" s="145"/>
      <c r="HWH65" s="145"/>
      <c r="HWI65" s="145"/>
      <c r="HWJ65" s="145"/>
      <c r="HWK65" s="145"/>
      <c r="HWL65" s="145"/>
      <c r="HWM65" s="145"/>
      <c r="HWN65" s="145"/>
      <c r="HWO65" s="145"/>
      <c r="HWP65" s="145"/>
      <c r="HWQ65" s="145"/>
      <c r="HWR65" s="145"/>
      <c r="HWS65" s="145"/>
      <c r="HWT65" s="145"/>
      <c r="HWU65" s="145"/>
      <c r="HWV65" s="145"/>
      <c r="HWW65" s="145"/>
      <c r="HWX65" s="145"/>
      <c r="HWY65" s="145"/>
      <c r="HWZ65" s="145"/>
      <c r="HXA65" s="145"/>
      <c r="HXB65" s="145"/>
      <c r="HXC65" s="145"/>
      <c r="HXD65" s="145"/>
      <c r="HXE65" s="145"/>
      <c r="HXF65" s="145"/>
      <c r="HXG65" s="145"/>
      <c r="HXH65" s="145"/>
      <c r="HXI65" s="145"/>
      <c r="HXJ65" s="145"/>
      <c r="HXK65" s="145"/>
      <c r="HXL65" s="145"/>
      <c r="HXM65" s="145"/>
      <c r="HXN65" s="145"/>
      <c r="HXO65" s="145"/>
      <c r="HXP65" s="145"/>
      <c r="HXQ65" s="145"/>
      <c r="HXR65" s="145"/>
      <c r="HXS65" s="145"/>
      <c r="HXT65" s="145"/>
      <c r="HXU65" s="145"/>
      <c r="HXV65" s="145"/>
      <c r="HXW65" s="145"/>
      <c r="HXX65" s="145"/>
      <c r="HXY65" s="145"/>
      <c r="HXZ65" s="145"/>
      <c r="HYA65" s="145"/>
      <c r="HYB65" s="145"/>
      <c r="HYC65" s="145"/>
      <c r="HYD65" s="145"/>
      <c r="HYE65" s="145"/>
      <c r="HYF65" s="145"/>
      <c r="HYG65" s="145"/>
      <c r="HYH65" s="145"/>
      <c r="HYI65" s="145"/>
      <c r="HYJ65" s="145"/>
      <c r="HYK65" s="145"/>
      <c r="HYL65" s="145"/>
      <c r="HYM65" s="145"/>
      <c r="HYN65" s="145"/>
      <c r="HYO65" s="145"/>
      <c r="HYP65" s="145"/>
      <c r="HYQ65" s="145"/>
      <c r="HYR65" s="145"/>
      <c r="HYS65" s="145"/>
      <c r="HYT65" s="145"/>
      <c r="HYU65" s="145"/>
      <c r="HYV65" s="145"/>
      <c r="HYW65" s="145"/>
      <c r="HYX65" s="145"/>
      <c r="HYY65" s="145"/>
      <c r="HYZ65" s="145"/>
      <c r="HZA65" s="145"/>
      <c r="HZB65" s="145"/>
      <c r="HZC65" s="145"/>
      <c r="HZD65" s="145"/>
      <c r="HZE65" s="145"/>
      <c r="HZF65" s="145"/>
      <c r="HZG65" s="145"/>
      <c r="HZH65" s="145"/>
      <c r="HZI65" s="145"/>
      <c r="HZJ65" s="145"/>
      <c r="HZK65" s="145"/>
      <c r="HZL65" s="145"/>
      <c r="HZM65" s="145"/>
      <c r="HZN65" s="145"/>
      <c r="HZO65" s="145"/>
      <c r="HZP65" s="145"/>
      <c r="HZQ65" s="145"/>
      <c r="HZR65" s="145"/>
      <c r="HZS65" s="145"/>
      <c r="HZT65" s="145"/>
      <c r="HZU65" s="145"/>
      <c r="HZV65" s="145"/>
      <c r="HZW65" s="145"/>
      <c r="HZX65" s="145"/>
      <c r="HZY65" s="145"/>
      <c r="HZZ65" s="145"/>
      <c r="IAA65" s="145"/>
      <c r="IAB65" s="145"/>
      <c r="IAC65" s="145"/>
      <c r="IAD65" s="145"/>
      <c r="IAE65" s="145"/>
      <c r="IAF65" s="145"/>
      <c r="IAG65" s="145"/>
      <c r="IAH65" s="145"/>
      <c r="IAI65" s="145"/>
      <c r="IAJ65" s="145"/>
      <c r="IAK65" s="145"/>
      <c r="IAL65" s="145"/>
      <c r="IAM65" s="145"/>
      <c r="IAN65" s="145"/>
      <c r="IAO65" s="145"/>
      <c r="IAP65" s="145"/>
      <c r="IAQ65" s="145"/>
      <c r="IAR65" s="145"/>
      <c r="IAS65" s="145"/>
      <c r="IAT65" s="145"/>
      <c r="IAU65" s="145"/>
      <c r="IAV65" s="145"/>
      <c r="IAW65" s="145"/>
      <c r="IAX65" s="145"/>
      <c r="IAY65" s="145"/>
      <c r="IAZ65" s="145"/>
      <c r="IBA65" s="145"/>
      <c r="IBB65" s="145"/>
      <c r="IBC65" s="145"/>
      <c r="IBD65" s="145"/>
      <c r="IBE65" s="145"/>
      <c r="IBF65" s="145"/>
      <c r="IBG65" s="145"/>
      <c r="IBH65" s="145"/>
      <c r="IBI65" s="145"/>
      <c r="IBJ65" s="145"/>
      <c r="IBK65" s="145"/>
      <c r="IBL65" s="145"/>
      <c r="IBM65" s="145"/>
      <c r="IBN65" s="145"/>
      <c r="IBO65" s="145"/>
      <c r="IBP65" s="145"/>
      <c r="IBQ65" s="145"/>
      <c r="IBR65" s="145"/>
      <c r="IBS65" s="145"/>
      <c r="IBT65" s="145"/>
      <c r="IBU65" s="145"/>
      <c r="IBV65" s="145"/>
      <c r="IBW65" s="145"/>
      <c r="IBX65" s="145"/>
      <c r="IBY65" s="145"/>
      <c r="IBZ65" s="145"/>
      <c r="ICA65" s="145"/>
      <c r="ICB65" s="145"/>
      <c r="ICC65" s="145"/>
      <c r="ICD65" s="145"/>
      <c r="ICE65" s="145"/>
      <c r="ICF65" s="145"/>
      <c r="ICG65" s="145"/>
      <c r="ICH65" s="145"/>
      <c r="ICI65" s="145"/>
      <c r="ICJ65" s="145"/>
      <c r="ICK65" s="145"/>
      <c r="ICL65" s="145"/>
      <c r="ICM65" s="145"/>
      <c r="ICN65" s="145"/>
      <c r="ICO65" s="145"/>
      <c r="ICP65" s="145"/>
      <c r="ICQ65" s="145"/>
      <c r="ICR65" s="145"/>
      <c r="ICS65" s="145"/>
      <c r="ICT65" s="145"/>
      <c r="ICU65" s="145"/>
      <c r="ICV65" s="145"/>
      <c r="ICW65" s="145"/>
      <c r="ICX65" s="145"/>
      <c r="ICY65" s="145"/>
      <c r="ICZ65" s="145"/>
      <c r="IDA65" s="145"/>
      <c r="IDB65" s="145"/>
      <c r="IDC65" s="145"/>
      <c r="IDD65" s="145"/>
      <c r="IDE65" s="145"/>
      <c r="IDF65" s="145"/>
      <c r="IDG65" s="145"/>
      <c r="IDH65" s="145"/>
      <c r="IDI65" s="145"/>
      <c r="IDJ65" s="145"/>
      <c r="IDK65" s="145"/>
      <c r="IDL65" s="145"/>
      <c r="IDM65" s="145"/>
      <c r="IDN65" s="145"/>
      <c r="IDO65" s="145"/>
      <c r="IDP65" s="145"/>
      <c r="IDQ65" s="145"/>
      <c r="IDR65" s="145"/>
      <c r="IDS65" s="145"/>
      <c r="IDT65" s="145"/>
      <c r="IDU65" s="145"/>
      <c r="IDV65" s="145"/>
      <c r="IDW65" s="145"/>
      <c r="IDX65" s="145"/>
      <c r="IDY65" s="145"/>
      <c r="IDZ65" s="145"/>
      <c r="IEA65" s="145"/>
      <c r="IEB65" s="145"/>
      <c r="IEC65" s="145"/>
      <c r="IED65" s="145"/>
      <c r="IEE65" s="145"/>
      <c r="IEF65" s="145"/>
      <c r="IEG65" s="145"/>
      <c r="IEH65" s="145"/>
      <c r="IEI65" s="145"/>
      <c r="IEJ65" s="145"/>
      <c r="IEK65" s="145"/>
      <c r="IEL65" s="145"/>
      <c r="IEM65" s="145"/>
      <c r="IEN65" s="145"/>
      <c r="IEO65" s="145"/>
      <c r="IEP65" s="145"/>
      <c r="IEQ65" s="145"/>
      <c r="IER65" s="145"/>
      <c r="IES65" s="145"/>
      <c r="IET65" s="145"/>
      <c r="IEU65" s="145"/>
      <c r="IEV65" s="145"/>
      <c r="IEW65" s="145"/>
      <c r="IEX65" s="145"/>
      <c r="IEY65" s="145"/>
      <c r="IEZ65" s="145"/>
      <c r="IFA65" s="145"/>
      <c r="IFB65" s="145"/>
      <c r="IFC65" s="145"/>
      <c r="IFD65" s="145"/>
      <c r="IFE65" s="145"/>
      <c r="IFF65" s="145"/>
      <c r="IFG65" s="145"/>
      <c r="IFH65" s="145"/>
      <c r="IFI65" s="145"/>
      <c r="IFJ65" s="145"/>
      <c r="IFK65" s="145"/>
      <c r="IFL65" s="145"/>
      <c r="IFM65" s="145"/>
      <c r="IFN65" s="145"/>
      <c r="IFO65" s="145"/>
      <c r="IFP65" s="145"/>
      <c r="IFQ65" s="145"/>
      <c r="IFR65" s="145"/>
      <c r="IFS65" s="145"/>
      <c r="IFT65" s="145"/>
      <c r="IFU65" s="145"/>
      <c r="IFV65" s="145"/>
      <c r="IFW65" s="145"/>
      <c r="IFX65" s="145"/>
      <c r="IFY65" s="145"/>
      <c r="IFZ65" s="145"/>
      <c r="IGA65" s="145"/>
      <c r="IGB65" s="145"/>
      <c r="IGC65" s="145"/>
      <c r="IGD65" s="145"/>
      <c r="IGE65" s="145"/>
      <c r="IGF65" s="145"/>
      <c r="IGG65" s="145"/>
      <c r="IGH65" s="145"/>
      <c r="IGI65" s="145"/>
      <c r="IGJ65" s="145"/>
      <c r="IGK65" s="145"/>
      <c r="IGL65" s="145"/>
      <c r="IGM65" s="145"/>
      <c r="IGN65" s="145"/>
      <c r="IGO65" s="145"/>
      <c r="IGP65" s="145"/>
      <c r="IGQ65" s="145"/>
      <c r="IGR65" s="145"/>
      <c r="IGS65" s="145"/>
      <c r="IGT65" s="145"/>
      <c r="IGU65" s="145"/>
      <c r="IGV65" s="145"/>
      <c r="IGW65" s="145"/>
      <c r="IGX65" s="145"/>
      <c r="IGY65" s="145"/>
      <c r="IGZ65" s="145"/>
      <c r="IHA65" s="145"/>
      <c r="IHB65" s="145"/>
      <c r="IHC65" s="145"/>
      <c r="IHD65" s="145"/>
      <c r="IHE65" s="145"/>
      <c r="IHF65" s="145"/>
      <c r="IHG65" s="145"/>
      <c r="IHH65" s="145"/>
      <c r="IHI65" s="145"/>
      <c r="IHJ65" s="145"/>
      <c r="IHK65" s="145"/>
      <c r="IHL65" s="145"/>
      <c r="IHM65" s="145"/>
      <c r="IHN65" s="145"/>
      <c r="IHO65" s="145"/>
      <c r="IHP65" s="145"/>
      <c r="IHQ65" s="145"/>
      <c r="IHR65" s="145"/>
      <c r="IHS65" s="145"/>
      <c r="IHT65" s="145"/>
      <c r="IHU65" s="145"/>
      <c r="IHV65" s="145"/>
      <c r="IHW65" s="145"/>
      <c r="IHX65" s="145"/>
      <c r="IHY65" s="145"/>
      <c r="IHZ65" s="145"/>
      <c r="IIA65" s="145"/>
      <c r="IIB65" s="145"/>
      <c r="IIC65" s="145"/>
      <c r="IID65" s="145"/>
      <c r="IIE65" s="145"/>
      <c r="IIF65" s="145"/>
      <c r="IIG65" s="145"/>
      <c r="IIH65" s="145"/>
      <c r="III65" s="145"/>
      <c r="IIJ65" s="145"/>
      <c r="IIK65" s="145"/>
      <c r="IIL65" s="145"/>
      <c r="IIM65" s="145"/>
      <c r="IIN65" s="145"/>
      <c r="IIO65" s="145"/>
      <c r="IIP65" s="145"/>
      <c r="IIQ65" s="145"/>
      <c r="IIR65" s="145"/>
      <c r="IIS65" s="145"/>
      <c r="IIT65" s="145"/>
      <c r="IIU65" s="145"/>
      <c r="IIV65" s="145"/>
      <c r="IIW65" s="145"/>
      <c r="IIX65" s="145"/>
      <c r="IIY65" s="145"/>
      <c r="IIZ65" s="145"/>
      <c r="IJA65" s="145"/>
      <c r="IJB65" s="145"/>
      <c r="IJC65" s="145"/>
      <c r="IJD65" s="145"/>
      <c r="IJE65" s="145"/>
      <c r="IJF65" s="145"/>
      <c r="IJG65" s="145"/>
      <c r="IJH65" s="145"/>
      <c r="IJI65" s="145"/>
      <c r="IJJ65" s="145"/>
      <c r="IJK65" s="145"/>
      <c r="IJL65" s="145"/>
      <c r="IJM65" s="145"/>
      <c r="IJN65" s="145"/>
      <c r="IJO65" s="145"/>
      <c r="IJP65" s="145"/>
      <c r="IJQ65" s="145"/>
      <c r="IJR65" s="145"/>
      <c r="IJS65" s="145"/>
      <c r="IJT65" s="145"/>
      <c r="IJU65" s="145"/>
      <c r="IJV65" s="145"/>
      <c r="IJW65" s="145"/>
      <c r="IJX65" s="145"/>
      <c r="IJY65" s="145"/>
      <c r="IJZ65" s="145"/>
      <c r="IKA65" s="145"/>
      <c r="IKB65" s="145"/>
      <c r="IKC65" s="145"/>
      <c r="IKD65" s="145"/>
      <c r="IKE65" s="145"/>
      <c r="IKF65" s="145"/>
      <c r="IKG65" s="145"/>
      <c r="IKH65" s="145"/>
      <c r="IKI65" s="145"/>
      <c r="IKJ65" s="145"/>
      <c r="IKK65" s="145"/>
      <c r="IKL65" s="145"/>
      <c r="IKM65" s="145"/>
      <c r="IKN65" s="145"/>
      <c r="IKO65" s="145"/>
      <c r="IKP65" s="145"/>
      <c r="IKQ65" s="145"/>
      <c r="IKR65" s="145"/>
      <c r="IKS65" s="145"/>
      <c r="IKT65" s="145"/>
      <c r="IKU65" s="145"/>
      <c r="IKV65" s="145"/>
      <c r="IKW65" s="145"/>
      <c r="IKX65" s="145"/>
      <c r="IKY65" s="145"/>
      <c r="IKZ65" s="145"/>
      <c r="ILA65" s="145"/>
      <c r="ILB65" s="145"/>
      <c r="ILC65" s="145"/>
      <c r="ILD65" s="145"/>
      <c r="ILE65" s="145"/>
      <c r="ILF65" s="145"/>
      <c r="ILG65" s="145"/>
      <c r="ILH65" s="145"/>
      <c r="ILI65" s="145"/>
      <c r="ILJ65" s="145"/>
      <c r="ILK65" s="145"/>
      <c r="ILL65" s="145"/>
      <c r="ILM65" s="145"/>
      <c r="ILN65" s="145"/>
      <c r="ILO65" s="145"/>
      <c r="ILP65" s="145"/>
      <c r="ILQ65" s="145"/>
      <c r="ILR65" s="145"/>
      <c r="ILS65" s="145"/>
      <c r="ILT65" s="145"/>
      <c r="ILU65" s="145"/>
      <c r="ILV65" s="145"/>
      <c r="ILW65" s="145"/>
      <c r="ILX65" s="145"/>
      <c r="ILY65" s="145"/>
      <c r="ILZ65" s="145"/>
      <c r="IMA65" s="145"/>
      <c r="IMB65" s="145"/>
      <c r="IMC65" s="145"/>
      <c r="IMD65" s="145"/>
      <c r="IME65" s="145"/>
      <c r="IMF65" s="145"/>
      <c r="IMG65" s="145"/>
      <c r="IMH65" s="145"/>
      <c r="IMI65" s="145"/>
      <c r="IMJ65" s="145"/>
      <c r="IMK65" s="145"/>
      <c r="IML65" s="145"/>
      <c r="IMM65" s="145"/>
      <c r="IMN65" s="145"/>
      <c r="IMO65" s="145"/>
      <c r="IMP65" s="145"/>
      <c r="IMQ65" s="145"/>
      <c r="IMR65" s="145"/>
      <c r="IMS65" s="145"/>
      <c r="IMT65" s="145"/>
      <c r="IMU65" s="145"/>
      <c r="IMV65" s="145"/>
      <c r="IMW65" s="145"/>
      <c r="IMX65" s="145"/>
      <c r="IMY65" s="145"/>
      <c r="IMZ65" s="145"/>
      <c r="INA65" s="145"/>
      <c r="INB65" s="145"/>
      <c r="INC65" s="145"/>
      <c r="IND65" s="145"/>
      <c r="INE65" s="145"/>
      <c r="INF65" s="145"/>
      <c r="ING65" s="145"/>
      <c r="INH65" s="145"/>
      <c r="INI65" s="145"/>
      <c r="INJ65" s="145"/>
      <c r="INK65" s="145"/>
      <c r="INL65" s="145"/>
      <c r="INM65" s="145"/>
      <c r="INN65" s="145"/>
      <c r="INO65" s="145"/>
      <c r="INP65" s="145"/>
      <c r="INQ65" s="145"/>
      <c r="INR65" s="145"/>
      <c r="INS65" s="145"/>
      <c r="INT65" s="145"/>
      <c r="INU65" s="145"/>
      <c r="INV65" s="145"/>
      <c r="INW65" s="145"/>
      <c r="INX65" s="145"/>
      <c r="INY65" s="145"/>
      <c r="INZ65" s="145"/>
      <c r="IOA65" s="145"/>
      <c r="IOB65" s="145"/>
      <c r="IOC65" s="145"/>
      <c r="IOD65" s="145"/>
      <c r="IOE65" s="145"/>
      <c r="IOF65" s="145"/>
      <c r="IOG65" s="145"/>
      <c r="IOH65" s="145"/>
      <c r="IOI65" s="145"/>
      <c r="IOJ65" s="145"/>
      <c r="IOK65" s="145"/>
      <c r="IOL65" s="145"/>
      <c r="IOM65" s="145"/>
      <c r="ION65" s="145"/>
      <c r="IOO65" s="145"/>
      <c r="IOP65" s="145"/>
      <c r="IOQ65" s="145"/>
      <c r="IOR65" s="145"/>
      <c r="IOS65" s="145"/>
      <c r="IOT65" s="145"/>
      <c r="IOU65" s="145"/>
      <c r="IOV65" s="145"/>
      <c r="IOW65" s="145"/>
      <c r="IOX65" s="145"/>
      <c r="IOY65" s="145"/>
      <c r="IOZ65" s="145"/>
      <c r="IPA65" s="145"/>
      <c r="IPB65" s="145"/>
      <c r="IPC65" s="145"/>
      <c r="IPD65" s="145"/>
      <c r="IPE65" s="145"/>
      <c r="IPF65" s="145"/>
      <c r="IPG65" s="145"/>
      <c r="IPH65" s="145"/>
      <c r="IPI65" s="145"/>
      <c r="IPJ65" s="145"/>
      <c r="IPK65" s="145"/>
      <c r="IPL65" s="145"/>
      <c r="IPM65" s="145"/>
      <c r="IPN65" s="145"/>
      <c r="IPO65" s="145"/>
      <c r="IPP65" s="145"/>
      <c r="IPQ65" s="145"/>
      <c r="IPR65" s="145"/>
      <c r="IPS65" s="145"/>
      <c r="IPT65" s="145"/>
      <c r="IPU65" s="145"/>
      <c r="IPV65" s="145"/>
      <c r="IPW65" s="145"/>
      <c r="IPX65" s="145"/>
      <c r="IPY65" s="145"/>
      <c r="IPZ65" s="145"/>
      <c r="IQA65" s="145"/>
      <c r="IQB65" s="145"/>
      <c r="IQC65" s="145"/>
      <c r="IQD65" s="145"/>
      <c r="IQE65" s="145"/>
      <c r="IQF65" s="145"/>
      <c r="IQG65" s="145"/>
      <c r="IQH65" s="145"/>
      <c r="IQI65" s="145"/>
      <c r="IQJ65" s="145"/>
      <c r="IQK65" s="145"/>
      <c r="IQL65" s="145"/>
      <c r="IQM65" s="145"/>
      <c r="IQN65" s="145"/>
      <c r="IQO65" s="145"/>
      <c r="IQP65" s="145"/>
      <c r="IQQ65" s="145"/>
      <c r="IQR65" s="145"/>
      <c r="IQS65" s="145"/>
      <c r="IQT65" s="145"/>
      <c r="IQU65" s="145"/>
      <c r="IQV65" s="145"/>
      <c r="IQW65" s="145"/>
      <c r="IQX65" s="145"/>
      <c r="IQY65" s="145"/>
      <c r="IQZ65" s="145"/>
      <c r="IRA65" s="145"/>
      <c r="IRB65" s="145"/>
      <c r="IRC65" s="145"/>
      <c r="IRD65" s="145"/>
      <c r="IRE65" s="145"/>
      <c r="IRF65" s="145"/>
      <c r="IRG65" s="145"/>
      <c r="IRH65" s="145"/>
      <c r="IRI65" s="145"/>
      <c r="IRJ65" s="145"/>
      <c r="IRK65" s="145"/>
      <c r="IRL65" s="145"/>
      <c r="IRM65" s="145"/>
      <c r="IRN65" s="145"/>
      <c r="IRO65" s="145"/>
      <c r="IRP65" s="145"/>
      <c r="IRQ65" s="145"/>
      <c r="IRR65" s="145"/>
      <c r="IRS65" s="145"/>
      <c r="IRT65" s="145"/>
      <c r="IRU65" s="145"/>
      <c r="IRV65" s="145"/>
      <c r="IRW65" s="145"/>
      <c r="IRX65" s="145"/>
      <c r="IRY65" s="145"/>
      <c r="IRZ65" s="145"/>
      <c r="ISA65" s="145"/>
      <c r="ISB65" s="145"/>
      <c r="ISC65" s="145"/>
      <c r="ISD65" s="145"/>
      <c r="ISE65" s="145"/>
      <c r="ISF65" s="145"/>
      <c r="ISG65" s="145"/>
      <c r="ISH65" s="145"/>
      <c r="ISI65" s="145"/>
      <c r="ISJ65" s="145"/>
      <c r="ISK65" s="145"/>
      <c r="ISL65" s="145"/>
      <c r="ISM65" s="145"/>
      <c r="ISN65" s="145"/>
      <c r="ISO65" s="145"/>
      <c r="ISP65" s="145"/>
      <c r="ISQ65" s="145"/>
      <c r="ISR65" s="145"/>
      <c r="ISS65" s="145"/>
      <c r="IST65" s="145"/>
      <c r="ISU65" s="145"/>
      <c r="ISV65" s="145"/>
      <c r="ISW65" s="145"/>
      <c r="ISX65" s="145"/>
      <c r="ISY65" s="145"/>
      <c r="ISZ65" s="145"/>
      <c r="ITA65" s="145"/>
      <c r="ITB65" s="145"/>
      <c r="ITC65" s="145"/>
      <c r="ITD65" s="145"/>
      <c r="ITE65" s="145"/>
      <c r="ITF65" s="145"/>
      <c r="ITG65" s="145"/>
      <c r="ITH65" s="145"/>
      <c r="ITI65" s="145"/>
      <c r="ITJ65" s="145"/>
      <c r="ITK65" s="145"/>
      <c r="ITL65" s="145"/>
      <c r="ITM65" s="145"/>
      <c r="ITN65" s="145"/>
      <c r="ITO65" s="145"/>
      <c r="ITP65" s="145"/>
      <c r="ITQ65" s="145"/>
      <c r="ITR65" s="145"/>
      <c r="ITS65" s="145"/>
      <c r="ITT65" s="145"/>
      <c r="ITU65" s="145"/>
      <c r="ITV65" s="145"/>
      <c r="ITW65" s="145"/>
      <c r="ITX65" s="145"/>
      <c r="ITY65" s="145"/>
      <c r="ITZ65" s="145"/>
      <c r="IUA65" s="145"/>
      <c r="IUB65" s="145"/>
      <c r="IUC65" s="145"/>
      <c r="IUD65" s="145"/>
      <c r="IUE65" s="145"/>
      <c r="IUF65" s="145"/>
      <c r="IUG65" s="145"/>
      <c r="IUH65" s="145"/>
      <c r="IUI65" s="145"/>
      <c r="IUJ65" s="145"/>
      <c r="IUK65" s="145"/>
      <c r="IUL65" s="145"/>
      <c r="IUM65" s="145"/>
      <c r="IUN65" s="145"/>
      <c r="IUO65" s="145"/>
      <c r="IUP65" s="145"/>
      <c r="IUQ65" s="145"/>
      <c r="IUR65" s="145"/>
      <c r="IUS65" s="145"/>
      <c r="IUT65" s="145"/>
      <c r="IUU65" s="145"/>
      <c r="IUV65" s="145"/>
      <c r="IUW65" s="145"/>
      <c r="IUX65" s="145"/>
      <c r="IUY65" s="145"/>
      <c r="IUZ65" s="145"/>
      <c r="IVA65" s="145"/>
      <c r="IVB65" s="145"/>
      <c r="IVC65" s="145"/>
      <c r="IVD65" s="145"/>
      <c r="IVE65" s="145"/>
      <c r="IVF65" s="145"/>
      <c r="IVG65" s="145"/>
      <c r="IVH65" s="145"/>
      <c r="IVI65" s="145"/>
      <c r="IVJ65" s="145"/>
      <c r="IVK65" s="145"/>
      <c r="IVL65" s="145"/>
      <c r="IVM65" s="145"/>
      <c r="IVN65" s="145"/>
      <c r="IVO65" s="145"/>
      <c r="IVP65" s="145"/>
      <c r="IVQ65" s="145"/>
      <c r="IVR65" s="145"/>
      <c r="IVS65" s="145"/>
      <c r="IVT65" s="145"/>
      <c r="IVU65" s="145"/>
      <c r="IVV65" s="145"/>
      <c r="IVW65" s="145"/>
      <c r="IVX65" s="145"/>
      <c r="IVY65" s="145"/>
      <c r="IVZ65" s="145"/>
      <c r="IWA65" s="145"/>
      <c r="IWB65" s="145"/>
      <c r="IWC65" s="145"/>
      <c r="IWD65" s="145"/>
      <c r="IWE65" s="145"/>
      <c r="IWF65" s="145"/>
      <c r="IWG65" s="145"/>
      <c r="IWH65" s="145"/>
      <c r="IWI65" s="145"/>
      <c r="IWJ65" s="145"/>
      <c r="IWK65" s="145"/>
      <c r="IWL65" s="145"/>
      <c r="IWM65" s="145"/>
      <c r="IWN65" s="145"/>
      <c r="IWO65" s="145"/>
      <c r="IWP65" s="145"/>
      <c r="IWQ65" s="145"/>
      <c r="IWR65" s="145"/>
      <c r="IWS65" s="145"/>
      <c r="IWT65" s="145"/>
      <c r="IWU65" s="145"/>
      <c r="IWV65" s="145"/>
      <c r="IWW65" s="145"/>
      <c r="IWX65" s="145"/>
      <c r="IWY65" s="145"/>
      <c r="IWZ65" s="145"/>
      <c r="IXA65" s="145"/>
      <c r="IXB65" s="145"/>
      <c r="IXC65" s="145"/>
      <c r="IXD65" s="145"/>
      <c r="IXE65" s="145"/>
      <c r="IXF65" s="145"/>
      <c r="IXG65" s="145"/>
      <c r="IXH65" s="145"/>
      <c r="IXI65" s="145"/>
      <c r="IXJ65" s="145"/>
      <c r="IXK65" s="145"/>
      <c r="IXL65" s="145"/>
      <c r="IXM65" s="145"/>
      <c r="IXN65" s="145"/>
      <c r="IXO65" s="145"/>
      <c r="IXP65" s="145"/>
      <c r="IXQ65" s="145"/>
      <c r="IXR65" s="145"/>
      <c r="IXS65" s="145"/>
      <c r="IXT65" s="145"/>
      <c r="IXU65" s="145"/>
      <c r="IXV65" s="145"/>
      <c r="IXW65" s="145"/>
      <c r="IXX65" s="145"/>
      <c r="IXY65" s="145"/>
      <c r="IXZ65" s="145"/>
      <c r="IYA65" s="145"/>
      <c r="IYB65" s="145"/>
      <c r="IYC65" s="145"/>
      <c r="IYD65" s="145"/>
      <c r="IYE65" s="145"/>
      <c r="IYF65" s="145"/>
      <c r="IYG65" s="145"/>
      <c r="IYH65" s="145"/>
      <c r="IYI65" s="145"/>
      <c r="IYJ65" s="145"/>
      <c r="IYK65" s="145"/>
      <c r="IYL65" s="145"/>
      <c r="IYM65" s="145"/>
      <c r="IYN65" s="145"/>
      <c r="IYO65" s="145"/>
      <c r="IYP65" s="145"/>
      <c r="IYQ65" s="145"/>
      <c r="IYR65" s="145"/>
      <c r="IYS65" s="145"/>
      <c r="IYT65" s="145"/>
      <c r="IYU65" s="145"/>
      <c r="IYV65" s="145"/>
      <c r="IYW65" s="145"/>
      <c r="IYX65" s="145"/>
      <c r="IYY65" s="145"/>
      <c r="IYZ65" s="145"/>
      <c r="IZA65" s="145"/>
      <c r="IZB65" s="145"/>
      <c r="IZC65" s="145"/>
      <c r="IZD65" s="145"/>
      <c r="IZE65" s="145"/>
      <c r="IZF65" s="145"/>
      <c r="IZG65" s="145"/>
      <c r="IZH65" s="145"/>
      <c r="IZI65" s="145"/>
      <c r="IZJ65" s="145"/>
      <c r="IZK65" s="145"/>
      <c r="IZL65" s="145"/>
      <c r="IZM65" s="145"/>
      <c r="IZN65" s="145"/>
      <c r="IZO65" s="145"/>
      <c r="IZP65" s="145"/>
      <c r="IZQ65" s="145"/>
      <c r="IZR65" s="145"/>
      <c r="IZS65" s="145"/>
      <c r="IZT65" s="145"/>
      <c r="IZU65" s="145"/>
      <c r="IZV65" s="145"/>
      <c r="IZW65" s="145"/>
      <c r="IZX65" s="145"/>
      <c r="IZY65" s="145"/>
      <c r="IZZ65" s="145"/>
      <c r="JAA65" s="145"/>
      <c r="JAB65" s="145"/>
      <c r="JAC65" s="145"/>
      <c r="JAD65" s="145"/>
      <c r="JAE65" s="145"/>
      <c r="JAF65" s="145"/>
      <c r="JAG65" s="145"/>
      <c r="JAH65" s="145"/>
      <c r="JAI65" s="145"/>
      <c r="JAJ65" s="145"/>
      <c r="JAK65" s="145"/>
      <c r="JAL65" s="145"/>
      <c r="JAM65" s="145"/>
      <c r="JAN65" s="145"/>
      <c r="JAO65" s="145"/>
      <c r="JAP65" s="145"/>
      <c r="JAQ65" s="145"/>
      <c r="JAR65" s="145"/>
      <c r="JAS65" s="145"/>
      <c r="JAT65" s="145"/>
      <c r="JAU65" s="145"/>
      <c r="JAV65" s="145"/>
      <c r="JAW65" s="145"/>
      <c r="JAX65" s="145"/>
      <c r="JAY65" s="145"/>
      <c r="JAZ65" s="145"/>
      <c r="JBA65" s="145"/>
      <c r="JBB65" s="145"/>
      <c r="JBC65" s="145"/>
      <c r="JBD65" s="145"/>
      <c r="JBE65" s="145"/>
      <c r="JBF65" s="145"/>
      <c r="JBG65" s="145"/>
      <c r="JBH65" s="145"/>
      <c r="JBI65" s="145"/>
      <c r="JBJ65" s="145"/>
      <c r="JBK65" s="145"/>
      <c r="JBL65" s="145"/>
      <c r="JBM65" s="145"/>
      <c r="JBN65" s="145"/>
      <c r="JBO65" s="145"/>
      <c r="JBP65" s="145"/>
      <c r="JBQ65" s="145"/>
      <c r="JBR65" s="145"/>
      <c r="JBS65" s="145"/>
      <c r="JBT65" s="145"/>
      <c r="JBU65" s="145"/>
      <c r="JBV65" s="145"/>
      <c r="JBW65" s="145"/>
      <c r="JBX65" s="145"/>
      <c r="JBY65" s="145"/>
      <c r="JBZ65" s="145"/>
      <c r="JCA65" s="145"/>
      <c r="JCB65" s="145"/>
      <c r="JCC65" s="145"/>
      <c r="JCD65" s="145"/>
      <c r="JCE65" s="145"/>
      <c r="JCF65" s="145"/>
      <c r="JCG65" s="145"/>
      <c r="JCH65" s="145"/>
      <c r="JCI65" s="145"/>
      <c r="JCJ65" s="145"/>
      <c r="JCK65" s="145"/>
      <c r="JCL65" s="145"/>
      <c r="JCM65" s="145"/>
      <c r="JCN65" s="145"/>
      <c r="JCO65" s="145"/>
      <c r="JCP65" s="145"/>
      <c r="JCQ65" s="145"/>
      <c r="JCR65" s="145"/>
      <c r="JCS65" s="145"/>
      <c r="JCT65" s="145"/>
      <c r="JCU65" s="145"/>
      <c r="JCV65" s="145"/>
      <c r="JCW65" s="145"/>
      <c r="JCX65" s="145"/>
      <c r="JCY65" s="145"/>
      <c r="JCZ65" s="145"/>
      <c r="JDA65" s="145"/>
      <c r="JDB65" s="145"/>
      <c r="JDC65" s="145"/>
      <c r="JDD65" s="145"/>
      <c r="JDE65" s="145"/>
      <c r="JDF65" s="145"/>
      <c r="JDG65" s="145"/>
      <c r="JDH65" s="145"/>
      <c r="JDI65" s="145"/>
      <c r="JDJ65" s="145"/>
      <c r="JDK65" s="145"/>
      <c r="JDL65" s="145"/>
      <c r="JDM65" s="145"/>
      <c r="JDN65" s="145"/>
      <c r="JDO65" s="145"/>
      <c r="JDP65" s="145"/>
      <c r="JDQ65" s="145"/>
      <c r="JDR65" s="145"/>
      <c r="JDS65" s="145"/>
      <c r="JDT65" s="145"/>
      <c r="JDU65" s="145"/>
      <c r="JDV65" s="145"/>
      <c r="JDW65" s="145"/>
      <c r="JDX65" s="145"/>
      <c r="JDY65" s="145"/>
      <c r="JDZ65" s="145"/>
      <c r="JEA65" s="145"/>
      <c r="JEB65" s="145"/>
      <c r="JEC65" s="145"/>
      <c r="JED65" s="145"/>
      <c r="JEE65" s="145"/>
      <c r="JEF65" s="145"/>
      <c r="JEG65" s="145"/>
      <c r="JEH65" s="145"/>
      <c r="JEI65" s="145"/>
      <c r="JEJ65" s="145"/>
      <c r="JEK65" s="145"/>
      <c r="JEL65" s="145"/>
      <c r="JEM65" s="145"/>
      <c r="JEN65" s="145"/>
      <c r="JEO65" s="145"/>
      <c r="JEP65" s="145"/>
      <c r="JEQ65" s="145"/>
      <c r="JER65" s="145"/>
      <c r="JES65" s="145"/>
      <c r="JET65" s="145"/>
      <c r="JEU65" s="145"/>
      <c r="JEV65" s="145"/>
      <c r="JEW65" s="145"/>
      <c r="JEX65" s="145"/>
      <c r="JEY65" s="145"/>
      <c r="JEZ65" s="145"/>
      <c r="JFA65" s="145"/>
      <c r="JFB65" s="145"/>
      <c r="JFC65" s="145"/>
      <c r="JFD65" s="145"/>
      <c r="JFE65" s="145"/>
      <c r="JFF65" s="145"/>
      <c r="JFG65" s="145"/>
      <c r="JFH65" s="145"/>
      <c r="JFI65" s="145"/>
      <c r="JFJ65" s="145"/>
      <c r="JFK65" s="145"/>
      <c r="JFL65" s="145"/>
      <c r="JFM65" s="145"/>
      <c r="JFN65" s="145"/>
      <c r="JFO65" s="145"/>
      <c r="JFP65" s="145"/>
      <c r="JFQ65" s="145"/>
      <c r="JFR65" s="145"/>
      <c r="JFS65" s="145"/>
      <c r="JFT65" s="145"/>
      <c r="JFU65" s="145"/>
      <c r="JFV65" s="145"/>
      <c r="JFW65" s="145"/>
      <c r="JFX65" s="145"/>
      <c r="JFY65" s="145"/>
      <c r="JFZ65" s="145"/>
      <c r="JGA65" s="145"/>
      <c r="JGB65" s="145"/>
      <c r="JGC65" s="145"/>
      <c r="JGD65" s="145"/>
      <c r="JGE65" s="145"/>
      <c r="JGF65" s="145"/>
      <c r="JGG65" s="145"/>
      <c r="JGH65" s="145"/>
      <c r="JGI65" s="145"/>
      <c r="JGJ65" s="145"/>
      <c r="JGK65" s="145"/>
      <c r="JGL65" s="145"/>
      <c r="JGM65" s="145"/>
      <c r="JGN65" s="145"/>
      <c r="JGO65" s="145"/>
      <c r="JGP65" s="145"/>
      <c r="JGQ65" s="145"/>
      <c r="JGR65" s="145"/>
      <c r="JGS65" s="145"/>
      <c r="JGT65" s="145"/>
      <c r="JGU65" s="145"/>
      <c r="JGV65" s="145"/>
      <c r="JGW65" s="145"/>
      <c r="JGX65" s="145"/>
      <c r="JGY65" s="145"/>
      <c r="JGZ65" s="145"/>
      <c r="JHA65" s="145"/>
      <c r="JHB65" s="145"/>
      <c r="JHC65" s="145"/>
      <c r="JHD65" s="145"/>
      <c r="JHE65" s="145"/>
      <c r="JHF65" s="145"/>
      <c r="JHG65" s="145"/>
      <c r="JHH65" s="145"/>
      <c r="JHI65" s="145"/>
      <c r="JHJ65" s="145"/>
      <c r="JHK65" s="145"/>
      <c r="JHL65" s="145"/>
      <c r="JHM65" s="145"/>
      <c r="JHN65" s="145"/>
      <c r="JHO65" s="145"/>
      <c r="JHP65" s="145"/>
      <c r="JHQ65" s="145"/>
      <c r="JHR65" s="145"/>
      <c r="JHS65" s="145"/>
      <c r="JHT65" s="145"/>
      <c r="JHU65" s="145"/>
      <c r="JHV65" s="145"/>
      <c r="JHW65" s="145"/>
      <c r="JHX65" s="145"/>
      <c r="JHY65" s="145"/>
      <c r="JHZ65" s="145"/>
      <c r="JIA65" s="145"/>
      <c r="JIB65" s="145"/>
      <c r="JIC65" s="145"/>
      <c r="JID65" s="145"/>
      <c r="JIE65" s="145"/>
      <c r="JIF65" s="145"/>
      <c r="JIG65" s="145"/>
      <c r="JIH65" s="145"/>
      <c r="JII65" s="145"/>
      <c r="JIJ65" s="145"/>
      <c r="JIK65" s="145"/>
      <c r="JIL65" s="145"/>
      <c r="JIM65" s="145"/>
      <c r="JIN65" s="145"/>
      <c r="JIO65" s="145"/>
      <c r="JIP65" s="145"/>
      <c r="JIQ65" s="145"/>
      <c r="JIR65" s="145"/>
      <c r="JIS65" s="145"/>
      <c r="JIT65" s="145"/>
      <c r="JIU65" s="145"/>
      <c r="JIV65" s="145"/>
      <c r="JIW65" s="145"/>
      <c r="JIX65" s="145"/>
      <c r="JIY65" s="145"/>
      <c r="JIZ65" s="145"/>
      <c r="JJA65" s="145"/>
      <c r="JJB65" s="145"/>
      <c r="JJC65" s="145"/>
      <c r="JJD65" s="145"/>
      <c r="JJE65" s="145"/>
      <c r="JJF65" s="145"/>
      <c r="JJG65" s="145"/>
      <c r="JJH65" s="145"/>
      <c r="JJI65" s="145"/>
      <c r="JJJ65" s="145"/>
      <c r="JJK65" s="145"/>
      <c r="JJL65" s="145"/>
      <c r="JJM65" s="145"/>
      <c r="JJN65" s="145"/>
      <c r="JJO65" s="145"/>
      <c r="JJP65" s="145"/>
      <c r="JJQ65" s="145"/>
      <c r="JJR65" s="145"/>
      <c r="JJS65" s="145"/>
      <c r="JJT65" s="145"/>
      <c r="JJU65" s="145"/>
      <c r="JJV65" s="145"/>
      <c r="JJW65" s="145"/>
      <c r="JJX65" s="145"/>
      <c r="JJY65" s="145"/>
      <c r="JJZ65" s="145"/>
      <c r="JKA65" s="145"/>
      <c r="JKB65" s="145"/>
      <c r="JKC65" s="145"/>
      <c r="JKD65" s="145"/>
      <c r="JKE65" s="145"/>
      <c r="JKF65" s="145"/>
      <c r="JKG65" s="145"/>
      <c r="JKH65" s="145"/>
      <c r="JKI65" s="145"/>
      <c r="JKJ65" s="145"/>
      <c r="JKK65" s="145"/>
      <c r="JKL65" s="145"/>
      <c r="JKM65" s="145"/>
      <c r="JKN65" s="145"/>
      <c r="JKO65" s="145"/>
      <c r="JKP65" s="145"/>
      <c r="JKQ65" s="145"/>
      <c r="JKR65" s="145"/>
      <c r="JKS65" s="145"/>
      <c r="JKT65" s="145"/>
      <c r="JKU65" s="145"/>
      <c r="JKV65" s="145"/>
      <c r="JKW65" s="145"/>
      <c r="JKX65" s="145"/>
      <c r="JKY65" s="145"/>
      <c r="JKZ65" s="145"/>
      <c r="JLA65" s="145"/>
      <c r="JLB65" s="145"/>
      <c r="JLC65" s="145"/>
      <c r="JLD65" s="145"/>
      <c r="JLE65" s="145"/>
      <c r="JLF65" s="145"/>
      <c r="JLG65" s="145"/>
      <c r="JLH65" s="145"/>
      <c r="JLI65" s="145"/>
      <c r="JLJ65" s="145"/>
      <c r="JLK65" s="145"/>
      <c r="JLL65" s="145"/>
      <c r="JLM65" s="145"/>
      <c r="JLN65" s="145"/>
      <c r="JLO65" s="145"/>
      <c r="JLP65" s="145"/>
      <c r="JLQ65" s="145"/>
      <c r="JLR65" s="145"/>
      <c r="JLS65" s="145"/>
      <c r="JLT65" s="145"/>
      <c r="JLU65" s="145"/>
      <c r="JLV65" s="145"/>
      <c r="JLW65" s="145"/>
      <c r="JLX65" s="145"/>
      <c r="JLY65" s="145"/>
      <c r="JLZ65" s="145"/>
      <c r="JMA65" s="145"/>
      <c r="JMB65" s="145"/>
      <c r="JMC65" s="145"/>
      <c r="JMD65" s="145"/>
      <c r="JME65" s="145"/>
      <c r="JMF65" s="145"/>
      <c r="JMG65" s="145"/>
      <c r="JMH65" s="145"/>
      <c r="JMI65" s="145"/>
      <c r="JMJ65" s="145"/>
      <c r="JMK65" s="145"/>
      <c r="JML65" s="145"/>
      <c r="JMM65" s="145"/>
      <c r="JMN65" s="145"/>
      <c r="JMO65" s="145"/>
      <c r="JMP65" s="145"/>
      <c r="JMQ65" s="145"/>
      <c r="JMR65" s="145"/>
      <c r="JMS65" s="145"/>
      <c r="JMT65" s="145"/>
      <c r="JMU65" s="145"/>
      <c r="JMV65" s="145"/>
      <c r="JMW65" s="145"/>
      <c r="JMX65" s="145"/>
      <c r="JMY65" s="145"/>
      <c r="JMZ65" s="145"/>
      <c r="JNA65" s="145"/>
      <c r="JNB65" s="145"/>
      <c r="JNC65" s="145"/>
      <c r="JND65" s="145"/>
      <c r="JNE65" s="145"/>
      <c r="JNF65" s="145"/>
      <c r="JNG65" s="145"/>
      <c r="JNH65" s="145"/>
      <c r="JNI65" s="145"/>
      <c r="JNJ65" s="145"/>
      <c r="JNK65" s="145"/>
      <c r="JNL65" s="145"/>
      <c r="JNM65" s="145"/>
      <c r="JNN65" s="145"/>
      <c r="JNO65" s="145"/>
      <c r="JNP65" s="145"/>
      <c r="JNQ65" s="145"/>
      <c r="JNR65" s="145"/>
      <c r="JNS65" s="145"/>
      <c r="JNT65" s="145"/>
      <c r="JNU65" s="145"/>
      <c r="JNV65" s="145"/>
      <c r="JNW65" s="145"/>
      <c r="JNX65" s="145"/>
      <c r="JNY65" s="145"/>
      <c r="JNZ65" s="145"/>
      <c r="JOA65" s="145"/>
      <c r="JOB65" s="145"/>
      <c r="JOC65" s="145"/>
      <c r="JOD65" s="145"/>
      <c r="JOE65" s="145"/>
      <c r="JOF65" s="145"/>
      <c r="JOG65" s="145"/>
      <c r="JOH65" s="145"/>
      <c r="JOI65" s="145"/>
      <c r="JOJ65" s="145"/>
      <c r="JOK65" s="145"/>
      <c r="JOL65" s="145"/>
      <c r="JOM65" s="145"/>
      <c r="JON65" s="145"/>
      <c r="JOO65" s="145"/>
      <c r="JOP65" s="145"/>
      <c r="JOQ65" s="145"/>
      <c r="JOR65" s="145"/>
      <c r="JOS65" s="145"/>
      <c r="JOT65" s="145"/>
      <c r="JOU65" s="145"/>
      <c r="JOV65" s="145"/>
      <c r="JOW65" s="145"/>
      <c r="JOX65" s="145"/>
      <c r="JOY65" s="145"/>
      <c r="JOZ65" s="145"/>
      <c r="JPA65" s="145"/>
      <c r="JPB65" s="145"/>
      <c r="JPC65" s="145"/>
      <c r="JPD65" s="145"/>
      <c r="JPE65" s="145"/>
      <c r="JPF65" s="145"/>
      <c r="JPG65" s="145"/>
      <c r="JPH65" s="145"/>
      <c r="JPI65" s="145"/>
      <c r="JPJ65" s="145"/>
      <c r="JPK65" s="145"/>
      <c r="JPL65" s="145"/>
      <c r="JPM65" s="145"/>
      <c r="JPN65" s="145"/>
      <c r="JPO65" s="145"/>
      <c r="JPP65" s="145"/>
      <c r="JPQ65" s="145"/>
      <c r="JPR65" s="145"/>
      <c r="JPS65" s="145"/>
      <c r="JPT65" s="145"/>
      <c r="JPU65" s="145"/>
      <c r="JPV65" s="145"/>
      <c r="JPW65" s="145"/>
      <c r="JPX65" s="145"/>
      <c r="JPY65" s="145"/>
      <c r="JPZ65" s="145"/>
      <c r="JQA65" s="145"/>
      <c r="JQB65" s="145"/>
      <c r="JQC65" s="145"/>
      <c r="JQD65" s="145"/>
      <c r="JQE65" s="145"/>
      <c r="JQF65" s="145"/>
      <c r="JQG65" s="145"/>
      <c r="JQH65" s="145"/>
      <c r="JQI65" s="145"/>
      <c r="JQJ65" s="145"/>
      <c r="JQK65" s="145"/>
      <c r="JQL65" s="145"/>
      <c r="JQM65" s="145"/>
      <c r="JQN65" s="145"/>
      <c r="JQO65" s="145"/>
      <c r="JQP65" s="145"/>
      <c r="JQQ65" s="145"/>
      <c r="JQR65" s="145"/>
      <c r="JQS65" s="145"/>
      <c r="JQT65" s="145"/>
      <c r="JQU65" s="145"/>
      <c r="JQV65" s="145"/>
      <c r="JQW65" s="145"/>
      <c r="JQX65" s="145"/>
      <c r="JQY65" s="145"/>
      <c r="JQZ65" s="145"/>
      <c r="JRA65" s="145"/>
      <c r="JRB65" s="145"/>
      <c r="JRC65" s="145"/>
      <c r="JRD65" s="145"/>
      <c r="JRE65" s="145"/>
      <c r="JRF65" s="145"/>
      <c r="JRG65" s="145"/>
      <c r="JRH65" s="145"/>
      <c r="JRI65" s="145"/>
      <c r="JRJ65" s="145"/>
      <c r="JRK65" s="145"/>
      <c r="JRL65" s="145"/>
      <c r="JRM65" s="145"/>
      <c r="JRN65" s="145"/>
      <c r="JRO65" s="145"/>
      <c r="JRP65" s="145"/>
      <c r="JRQ65" s="145"/>
      <c r="JRR65" s="145"/>
      <c r="JRS65" s="145"/>
      <c r="JRT65" s="145"/>
      <c r="JRU65" s="145"/>
      <c r="JRV65" s="145"/>
      <c r="JRW65" s="145"/>
      <c r="JRX65" s="145"/>
      <c r="JRY65" s="145"/>
      <c r="JRZ65" s="145"/>
      <c r="JSA65" s="145"/>
      <c r="JSB65" s="145"/>
      <c r="JSC65" s="145"/>
      <c r="JSD65" s="145"/>
      <c r="JSE65" s="145"/>
      <c r="JSF65" s="145"/>
      <c r="JSG65" s="145"/>
      <c r="JSH65" s="145"/>
      <c r="JSI65" s="145"/>
      <c r="JSJ65" s="145"/>
      <c r="JSK65" s="145"/>
      <c r="JSL65" s="145"/>
      <c r="JSM65" s="145"/>
      <c r="JSN65" s="145"/>
      <c r="JSO65" s="145"/>
      <c r="JSP65" s="145"/>
      <c r="JSQ65" s="145"/>
      <c r="JSR65" s="145"/>
      <c r="JSS65" s="145"/>
      <c r="JST65" s="145"/>
      <c r="JSU65" s="145"/>
      <c r="JSV65" s="145"/>
      <c r="JSW65" s="145"/>
      <c r="JSX65" s="145"/>
      <c r="JSY65" s="145"/>
      <c r="JSZ65" s="145"/>
      <c r="JTA65" s="145"/>
      <c r="JTB65" s="145"/>
      <c r="JTC65" s="145"/>
      <c r="JTD65" s="145"/>
      <c r="JTE65" s="145"/>
      <c r="JTF65" s="145"/>
      <c r="JTG65" s="145"/>
      <c r="JTH65" s="145"/>
      <c r="JTI65" s="145"/>
      <c r="JTJ65" s="145"/>
      <c r="JTK65" s="145"/>
      <c r="JTL65" s="145"/>
      <c r="JTM65" s="145"/>
      <c r="JTN65" s="145"/>
      <c r="JTO65" s="145"/>
      <c r="JTP65" s="145"/>
      <c r="JTQ65" s="145"/>
      <c r="JTR65" s="145"/>
      <c r="JTS65" s="145"/>
      <c r="JTT65" s="145"/>
      <c r="JTU65" s="145"/>
      <c r="JTV65" s="145"/>
      <c r="JTW65" s="145"/>
      <c r="JTX65" s="145"/>
      <c r="JTY65" s="145"/>
      <c r="JTZ65" s="145"/>
      <c r="JUA65" s="145"/>
      <c r="JUB65" s="145"/>
      <c r="JUC65" s="145"/>
      <c r="JUD65" s="145"/>
      <c r="JUE65" s="145"/>
      <c r="JUF65" s="145"/>
      <c r="JUG65" s="145"/>
      <c r="JUH65" s="145"/>
      <c r="JUI65" s="145"/>
      <c r="JUJ65" s="145"/>
      <c r="JUK65" s="145"/>
      <c r="JUL65" s="145"/>
      <c r="JUM65" s="145"/>
      <c r="JUN65" s="145"/>
      <c r="JUO65" s="145"/>
      <c r="JUP65" s="145"/>
      <c r="JUQ65" s="145"/>
      <c r="JUR65" s="145"/>
      <c r="JUS65" s="145"/>
      <c r="JUT65" s="145"/>
      <c r="JUU65" s="145"/>
      <c r="JUV65" s="145"/>
      <c r="JUW65" s="145"/>
      <c r="JUX65" s="145"/>
      <c r="JUY65" s="145"/>
      <c r="JUZ65" s="145"/>
      <c r="JVA65" s="145"/>
      <c r="JVB65" s="145"/>
      <c r="JVC65" s="145"/>
      <c r="JVD65" s="145"/>
      <c r="JVE65" s="145"/>
      <c r="JVF65" s="145"/>
      <c r="JVG65" s="145"/>
      <c r="JVH65" s="145"/>
      <c r="JVI65" s="145"/>
      <c r="JVJ65" s="145"/>
      <c r="JVK65" s="145"/>
      <c r="JVL65" s="145"/>
      <c r="JVM65" s="145"/>
      <c r="JVN65" s="145"/>
      <c r="JVO65" s="145"/>
      <c r="JVP65" s="145"/>
      <c r="JVQ65" s="145"/>
      <c r="JVR65" s="145"/>
      <c r="JVS65" s="145"/>
      <c r="JVT65" s="145"/>
      <c r="JVU65" s="145"/>
      <c r="JVV65" s="145"/>
      <c r="JVW65" s="145"/>
      <c r="JVX65" s="145"/>
      <c r="JVY65" s="145"/>
      <c r="JVZ65" s="145"/>
      <c r="JWA65" s="145"/>
      <c r="JWB65" s="145"/>
      <c r="JWC65" s="145"/>
      <c r="JWD65" s="145"/>
      <c r="JWE65" s="145"/>
      <c r="JWF65" s="145"/>
      <c r="JWG65" s="145"/>
      <c r="JWH65" s="145"/>
      <c r="JWI65" s="145"/>
      <c r="JWJ65" s="145"/>
      <c r="JWK65" s="145"/>
      <c r="JWL65" s="145"/>
      <c r="JWM65" s="145"/>
      <c r="JWN65" s="145"/>
      <c r="JWO65" s="145"/>
      <c r="JWP65" s="145"/>
      <c r="JWQ65" s="145"/>
      <c r="JWR65" s="145"/>
      <c r="JWS65" s="145"/>
      <c r="JWT65" s="145"/>
      <c r="JWU65" s="145"/>
      <c r="JWV65" s="145"/>
      <c r="JWW65" s="145"/>
      <c r="JWX65" s="145"/>
      <c r="JWY65" s="145"/>
      <c r="JWZ65" s="145"/>
      <c r="JXA65" s="145"/>
      <c r="JXB65" s="145"/>
      <c r="JXC65" s="145"/>
      <c r="JXD65" s="145"/>
      <c r="JXE65" s="145"/>
      <c r="JXF65" s="145"/>
      <c r="JXG65" s="145"/>
      <c r="JXH65" s="145"/>
      <c r="JXI65" s="145"/>
      <c r="JXJ65" s="145"/>
      <c r="JXK65" s="145"/>
      <c r="JXL65" s="145"/>
      <c r="JXM65" s="145"/>
      <c r="JXN65" s="145"/>
      <c r="JXO65" s="145"/>
      <c r="JXP65" s="145"/>
      <c r="JXQ65" s="145"/>
      <c r="JXR65" s="145"/>
      <c r="JXS65" s="145"/>
      <c r="JXT65" s="145"/>
      <c r="JXU65" s="145"/>
      <c r="JXV65" s="145"/>
      <c r="JXW65" s="145"/>
      <c r="JXX65" s="145"/>
      <c r="JXY65" s="145"/>
      <c r="JXZ65" s="145"/>
      <c r="JYA65" s="145"/>
      <c r="JYB65" s="145"/>
      <c r="JYC65" s="145"/>
      <c r="JYD65" s="145"/>
      <c r="JYE65" s="145"/>
      <c r="JYF65" s="145"/>
      <c r="JYG65" s="145"/>
      <c r="JYH65" s="145"/>
      <c r="JYI65" s="145"/>
      <c r="JYJ65" s="145"/>
      <c r="JYK65" s="145"/>
      <c r="JYL65" s="145"/>
      <c r="JYM65" s="145"/>
      <c r="JYN65" s="145"/>
      <c r="JYO65" s="145"/>
      <c r="JYP65" s="145"/>
      <c r="JYQ65" s="145"/>
      <c r="JYR65" s="145"/>
      <c r="JYS65" s="145"/>
      <c r="JYT65" s="145"/>
      <c r="JYU65" s="145"/>
      <c r="JYV65" s="145"/>
      <c r="JYW65" s="145"/>
      <c r="JYX65" s="145"/>
      <c r="JYY65" s="145"/>
      <c r="JYZ65" s="145"/>
      <c r="JZA65" s="145"/>
      <c r="JZB65" s="145"/>
      <c r="JZC65" s="145"/>
      <c r="JZD65" s="145"/>
      <c r="JZE65" s="145"/>
      <c r="JZF65" s="145"/>
      <c r="JZG65" s="145"/>
      <c r="JZH65" s="145"/>
      <c r="JZI65" s="145"/>
      <c r="JZJ65" s="145"/>
      <c r="JZK65" s="145"/>
      <c r="JZL65" s="145"/>
      <c r="JZM65" s="145"/>
      <c r="JZN65" s="145"/>
      <c r="JZO65" s="145"/>
      <c r="JZP65" s="145"/>
      <c r="JZQ65" s="145"/>
      <c r="JZR65" s="145"/>
      <c r="JZS65" s="145"/>
      <c r="JZT65" s="145"/>
      <c r="JZU65" s="145"/>
      <c r="JZV65" s="145"/>
      <c r="JZW65" s="145"/>
      <c r="JZX65" s="145"/>
      <c r="JZY65" s="145"/>
      <c r="JZZ65" s="145"/>
      <c r="KAA65" s="145"/>
      <c r="KAB65" s="145"/>
      <c r="KAC65" s="145"/>
      <c r="KAD65" s="145"/>
      <c r="KAE65" s="145"/>
      <c r="KAF65" s="145"/>
      <c r="KAG65" s="145"/>
      <c r="KAH65" s="145"/>
      <c r="KAI65" s="145"/>
      <c r="KAJ65" s="145"/>
      <c r="KAK65" s="145"/>
      <c r="KAL65" s="145"/>
      <c r="KAM65" s="145"/>
      <c r="KAN65" s="145"/>
      <c r="KAO65" s="145"/>
      <c r="KAP65" s="145"/>
      <c r="KAQ65" s="145"/>
      <c r="KAR65" s="145"/>
      <c r="KAS65" s="145"/>
      <c r="KAT65" s="145"/>
      <c r="KAU65" s="145"/>
      <c r="KAV65" s="145"/>
      <c r="KAW65" s="145"/>
      <c r="KAX65" s="145"/>
      <c r="KAY65" s="145"/>
      <c r="KAZ65" s="145"/>
      <c r="KBA65" s="145"/>
      <c r="KBB65" s="145"/>
      <c r="KBC65" s="145"/>
      <c r="KBD65" s="145"/>
      <c r="KBE65" s="145"/>
      <c r="KBF65" s="145"/>
      <c r="KBG65" s="145"/>
      <c r="KBH65" s="145"/>
      <c r="KBI65" s="145"/>
      <c r="KBJ65" s="145"/>
      <c r="KBK65" s="145"/>
      <c r="KBL65" s="145"/>
      <c r="KBM65" s="145"/>
      <c r="KBN65" s="145"/>
      <c r="KBO65" s="145"/>
      <c r="KBP65" s="145"/>
      <c r="KBQ65" s="145"/>
      <c r="KBR65" s="145"/>
      <c r="KBS65" s="145"/>
      <c r="KBT65" s="145"/>
      <c r="KBU65" s="145"/>
      <c r="KBV65" s="145"/>
      <c r="KBW65" s="145"/>
      <c r="KBX65" s="145"/>
      <c r="KBY65" s="145"/>
      <c r="KBZ65" s="145"/>
      <c r="KCA65" s="145"/>
      <c r="KCB65" s="145"/>
      <c r="KCC65" s="145"/>
      <c r="KCD65" s="145"/>
      <c r="KCE65" s="145"/>
      <c r="KCF65" s="145"/>
      <c r="KCG65" s="145"/>
      <c r="KCH65" s="145"/>
      <c r="KCI65" s="145"/>
      <c r="KCJ65" s="145"/>
      <c r="KCK65" s="145"/>
      <c r="KCL65" s="145"/>
      <c r="KCM65" s="145"/>
      <c r="KCN65" s="145"/>
      <c r="KCO65" s="145"/>
      <c r="KCP65" s="145"/>
      <c r="KCQ65" s="145"/>
      <c r="KCR65" s="145"/>
      <c r="KCS65" s="145"/>
      <c r="KCT65" s="145"/>
      <c r="KCU65" s="145"/>
      <c r="KCV65" s="145"/>
      <c r="KCW65" s="145"/>
      <c r="KCX65" s="145"/>
      <c r="KCY65" s="145"/>
      <c r="KCZ65" s="145"/>
      <c r="KDA65" s="145"/>
      <c r="KDB65" s="145"/>
      <c r="KDC65" s="145"/>
      <c r="KDD65" s="145"/>
      <c r="KDE65" s="145"/>
      <c r="KDF65" s="145"/>
      <c r="KDG65" s="145"/>
      <c r="KDH65" s="145"/>
      <c r="KDI65" s="145"/>
      <c r="KDJ65" s="145"/>
      <c r="KDK65" s="145"/>
      <c r="KDL65" s="145"/>
      <c r="KDM65" s="145"/>
      <c r="KDN65" s="145"/>
      <c r="KDO65" s="145"/>
      <c r="KDP65" s="145"/>
      <c r="KDQ65" s="145"/>
      <c r="KDR65" s="145"/>
      <c r="KDS65" s="145"/>
      <c r="KDT65" s="145"/>
      <c r="KDU65" s="145"/>
      <c r="KDV65" s="145"/>
      <c r="KDW65" s="145"/>
      <c r="KDX65" s="145"/>
      <c r="KDY65" s="145"/>
      <c r="KDZ65" s="145"/>
      <c r="KEA65" s="145"/>
      <c r="KEB65" s="145"/>
      <c r="KEC65" s="145"/>
      <c r="KED65" s="145"/>
      <c r="KEE65" s="145"/>
      <c r="KEF65" s="145"/>
      <c r="KEG65" s="145"/>
      <c r="KEH65" s="145"/>
      <c r="KEI65" s="145"/>
      <c r="KEJ65" s="145"/>
      <c r="KEK65" s="145"/>
      <c r="KEL65" s="145"/>
      <c r="KEM65" s="145"/>
      <c r="KEN65" s="145"/>
      <c r="KEO65" s="145"/>
      <c r="KEP65" s="145"/>
      <c r="KEQ65" s="145"/>
      <c r="KER65" s="145"/>
      <c r="KES65" s="145"/>
      <c r="KET65" s="145"/>
      <c r="KEU65" s="145"/>
      <c r="KEV65" s="145"/>
      <c r="KEW65" s="145"/>
      <c r="KEX65" s="145"/>
      <c r="KEY65" s="145"/>
      <c r="KEZ65" s="145"/>
      <c r="KFA65" s="145"/>
      <c r="KFB65" s="145"/>
      <c r="KFC65" s="145"/>
      <c r="KFD65" s="145"/>
      <c r="KFE65" s="145"/>
      <c r="KFF65" s="145"/>
      <c r="KFG65" s="145"/>
      <c r="KFH65" s="145"/>
      <c r="KFI65" s="145"/>
      <c r="KFJ65" s="145"/>
      <c r="KFK65" s="145"/>
      <c r="KFL65" s="145"/>
      <c r="KFM65" s="145"/>
      <c r="KFN65" s="145"/>
      <c r="KFO65" s="145"/>
      <c r="KFP65" s="145"/>
      <c r="KFQ65" s="145"/>
      <c r="KFR65" s="145"/>
      <c r="KFS65" s="145"/>
      <c r="KFT65" s="145"/>
      <c r="KFU65" s="145"/>
      <c r="KFV65" s="145"/>
      <c r="KFW65" s="145"/>
      <c r="KFX65" s="145"/>
      <c r="KFY65" s="145"/>
      <c r="KFZ65" s="145"/>
      <c r="KGA65" s="145"/>
      <c r="KGB65" s="145"/>
      <c r="KGC65" s="145"/>
      <c r="KGD65" s="145"/>
      <c r="KGE65" s="145"/>
      <c r="KGF65" s="145"/>
      <c r="KGG65" s="145"/>
      <c r="KGH65" s="145"/>
      <c r="KGI65" s="145"/>
      <c r="KGJ65" s="145"/>
      <c r="KGK65" s="145"/>
      <c r="KGL65" s="145"/>
      <c r="KGM65" s="145"/>
      <c r="KGN65" s="145"/>
      <c r="KGO65" s="145"/>
      <c r="KGP65" s="145"/>
      <c r="KGQ65" s="145"/>
      <c r="KGR65" s="145"/>
      <c r="KGS65" s="145"/>
      <c r="KGT65" s="145"/>
      <c r="KGU65" s="145"/>
      <c r="KGV65" s="145"/>
      <c r="KGW65" s="145"/>
      <c r="KGX65" s="145"/>
      <c r="KGY65" s="145"/>
      <c r="KGZ65" s="145"/>
      <c r="KHA65" s="145"/>
      <c r="KHB65" s="145"/>
      <c r="KHC65" s="145"/>
      <c r="KHD65" s="145"/>
      <c r="KHE65" s="145"/>
      <c r="KHF65" s="145"/>
      <c r="KHG65" s="145"/>
      <c r="KHH65" s="145"/>
      <c r="KHI65" s="145"/>
      <c r="KHJ65" s="145"/>
      <c r="KHK65" s="145"/>
      <c r="KHL65" s="145"/>
      <c r="KHM65" s="145"/>
      <c r="KHN65" s="145"/>
      <c r="KHO65" s="145"/>
      <c r="KHP65" s="145"/>
      <c r="KHQ65" s="145"/>
      <c r="KHR65" s="145"/>
      <c r="KHS65" s="145"/>
      <c r="KHT65" s="145"/>
      <c r="KHU65" s="145"/>
      <c r="KHV65" s="145"/>
      <c r="KHW65" s="145"/>
      <c r="KHX65" s="145"/>
      <c r="KHY65" s="145"/>
      <c r="KHZ65" s="145"/>
      <c r="KIA65" s="145"/>
      <c r="KIB65" s="145"/>
      <c r="KIC65" s="145"/>
      <c r="KID65" s="145"/>
      <c r="KIE65" s="145"/>
      <c r="KIF65" s="145"/>
      <c r="KIG65" s="145"/>
      <c r="KIH65" s="145"/>
      <c r="KII65" s="145"/>
      <c r="KIJ65" s="145"/>
      <c r="KIK65" s="145"/>
      <c r="KIL65" s="145"/>
      <c r="KIM65" s="145"/>
      <c r="KIN65" s="145"/>
      <c r="KIO65" s="145"/>
      <c r="KIP65" s="145"/>
      <c r="KIQ65" s="145"/>
      <c r="KIR65" s="145"/>
      <c r="KIS65" s="145"/>
      <c r="KIT65" s="145"/>
      <c r="KIU65" s="145"/>
      <c r="KIV65" s="145"/>
      <c r="KIW65" s="145"/>
      <c r="KIX65" s="145"/>
      <c r="KIY65" s="145"/>
      <c r="KIZ65" s="145"/>
      <c r="KJA65" s="145"/>
      <c r="KJB65" s="145"/>
      <c r="KJC65" s="145"/>
      <c r="KJD65" s="145"/>
      <c r="KJE65" s="145"/>
      <c r="KJF65" s="145"/>
      <c r="KJG65" s="145"/>
      <c r="KJH65" s="145"/>
      <c r="KJI65" s="145"/>
      <c r="KJJ65" s="145"/>
      <c r="KJK65" s="145"/>
      <c r="KJL65" s="145"/>
      <c r="KJM65" s="145"/>
      <c r="KJN65" s="145"/>
      <c r="KJO65" s="145"/>
      <c r="KJP65" s="145"/>
      <c r="KJQ65" s="145"/>
      <c r="KJR65" s="145"/>
      <c r="KJS65" s="145"/>
      <c r="KJT65" s="145"/>
      <c r="KJU65" s="145"/>
      <c r="KJV65" s="145"/>
      <c r="KJW65" s="145"/>
      <c r="KJX65" s="145"/>
      <c r="KJY65" s="145"/>
      <c r="KJZ65" s="145"/>
      <c r="KKA65" s="145"/>
      <c r="KKB65" s="145"/>
      <c r="KKC65" s="145"/>
      <c r="KKD65" s="145"/>
      <c r="KKE65" s="145"/>
      <c r="KKF65" s="145"/>
      <c r="KKG65" s="145"/>
      <c r="KKH65" s="145"/>
      <c r="KKI65" s="145"/>
      <c r="KKJ65" s="145"/>
      <c r="KKK65" s="145"/>
      <c r="KKL65" s="145"/>
      <c r="KKM65" s="145"/>
      <c r="KKN65" s="145"/>
      <c r="KKO65" s="145"/>
      <c r="KKP65" s="145"/>
      <c r="KKQ65" s="145"/>
      <c r="KKR65" s="145"/>
      <c r="KKS65" s="145"/>
      <c r="KKT65" s="145"/>
      <c r="KKU65" s="145"/>
      <c r="KKV65" s="145"/>
      <c r="KKW65" s="145"/>
      <c r="KKX65" s="145"/>
      <c r="KKY65" s="145"/>
      <c r="KKZ65" s="145"/>
      <c r="KLA65" s="145"/>
      <c r="KLB65" s="145"/>
      <c r="KLC65" s="145"/>
      <c r="KLD65" s="145"/>
      <c r="KLE65" s="145"/>
      <c r="KLF65" s="145"/>
      <c r="KLG65" s="145"/>
      <c r="KLH65" s="145"/>
      <c r="KLI65" s="145"/>
      <c r="KLJ65" s="145"/>
      <c r="KLK65" s="145"/>
      <c r="KLL65" s="145"/>
      <c r="KLM65" s="145"/>
      <c r="KLN65" s="145"/>
      <c r="KLO65" s="145"/>
      <c r="KLP65" s="145"/>
      <c r="KLQ65" s="145"/>
      <c r="KLR65" s="145"/>
      <c r="KLS65" s="145"/>
      <c r="KLT65" s="145"/>
      <c r="KLU65" s="145"/>
      <c r="KLV65" s="145"/>
      <c r="KLW65" s="145"/>
      <c r="KLX65" s="145"/>
      <c r="KLY65" s="145"/>
      <c r="KLZ65" s="145"/>
      <c r="KMA65" s="145"/>
      <c r="KMB65" s="145"/>
      <c r="KMC65" s="145"/>
      <c r="KMD65" s="145"/>
      <c r="KME65" s="145"/>
      <c r="KMF65" s="145"/>
      <c r="KMG65" s="145"/>
      <c r="KMH65" s="145"/>
      <c r="KMI65" s="145"/>
      <c r="KMJ65" s="145"/>
      <c r="KMK65" s="145"/>
      <c r="KML65" s="145"/>
      <c r="KMM65" s="145"/>
      <c r="KMN65" s="145"/>
      <c r="KMO65" s="145"/>
      <c r="KMP65" s="145"/>
      <c r="KMQ65" s="145"/>
      <c r="KMR65" s="145"/>
      <c r="KMS65" s="145"/>
      <c r="KMT65" s="145"/>
      <c r="KMU65" s="145"/>
      <c r="KMV65" s="145"/>
      <c r="KMW65" s="145"/>
      <c r="KMX65" s="145"/>
      <c r="KMY65" s="145"/>
      <c r="KMZ65" s="145"/>
      <c r="KNA65" s="145"/>
      <c r="KNB65" s="145"/>
      <c r="KNC65" s="145"/>
      <c r="KND65" s="145"/>
      <c r="KNE65" s="145"/>
      <c r="KNF65" s="145"/>
      <c r="KNG65" s="145"/>
      <c r="KNH65" s="145"/>
      <c r="KNI65" s="145"/>
      <c r="KNJ65" s="145"/>
      <c r="KNK65" s="145"/>
      <c r="KNL65" s="145"/>
      <c r="KNM65" s="145"/>
      <c r="KNN65" s="145"/>
      <c r="KNO65" s="145"/>
      <c r="KNP65" s="145"/>
      <c r="KNQ65" s="145"/>
      <c r="KNR65" s="145"/>
      <c r="KNS65" s="145"/>
      <c r="KNT65" s="145"/>
      <c r="KNU65" s="145"/>
      <c r="KNV65" s="145"/>
      <c r="KNW65" s="145"/>
      <c r="KNX65" s="145"/>
      <c r="KNY65" s="145"/>
      <c r="KNZ65" s="145"/>
      <c r="KOA65" s="145"/>
      <c r="KOB65" s="145"/>
      <c r="KOC65" s="145"/>
      <c r="KOD65" s="145"/>
      <c r="KOE65" s="145"/>
      <c r="KOF65" s="145"/>
      <c r="KOG65" s="145"/>
      <c r="KOH65" s="145"/>
      <c r="KOI65" s="145"/>
      <c r="KOJ65" s="145"/>
      <c r="KOK65" s="145"/>
      <c r="KOL65" s="145"/>
      <c r="KOM65" s="145"/>
      <c r="KON65" s="145"/>
      <c r="KOO65" s="145"/>
      <c r="KOP65" s="145"/>
      <c r="KOQ65" s="145"/>
      <c r="KOR65" s="145"/>
      <c r="KOS65" s="145"/>
      <c r="KOT65" s="145"/>
      <c r="KOU65" s="145"/>
      <c r="KOV65" s="145"/>
      <c r="KOW65" s="145"/>
      <c r="KOX65" s="145"/>
      <c r="KOY65" s="145"/>
      <c r="KOZ65" s="145"/>
      <c r="KPA65" s="145"/>
      <c r="KPB65" s="145"/>
      <c r="KPC65" s="145"/>
      <c r="KPD65" s="145"/>
      <c r="KPE65" s="145"/>
      <c r="KPF65" s="145"/>
      <c r="KPG65" s="145"/>
      <c r="KPH65" s="145"/>
      <c r="KPI65" s="145"/>
      <c r="KPJ65" s="145"/>
      <c r="KPK65" s="145"/>
      <c r="KPL65" s="145"/>
      <c r="KPM65" s="145"/>
      <c r="KPN65" s="145"/>
      <c r="KPO65" s="145"/>
      <c r="KPP65" s="145"/>
      <c r="KPQ65" s="145"/>
      <c r="KPR65" s="145"/>
      <c r="KPS65" s="145"/>
      <c r="KPT65" s="145"/>
      <c r="KPU65" s="145"/>
      <c r="KPV65" s="145"/>
      <c r="KPW65" s="145"/>
      <c r="KPX65" s="145"/>
      <c r="KPY65" s="145"/>
      <c r="KPZ65" s="145"/>
      <c r="KQA65" s="145"/>
      <c r="KQB65" s="145"/>
      <c r="KQC65" s="145"/>
      <c r="KQD65" s="145"/>
      <c r="KQE65" s="145"/>
      <c r="KQF65" s="145"/>
      <c r="KQG65" s="145"/>
      <c r="KQH65" s="145"/>
      <c r="KQI65" s="145"/>
      <c r="KQJ65" s="145"/>
      <c r="KQK65" s="145"/>
      <c r="KQL65" s="145"/>
      <c r="KQM65" s="145"/>
      <c r="KQN65" s="145"/>
      <c r="KQO65" s="145"/>
      <c r="KQP65" s="145"/>
      <c r="KQQ65" s="145"/>
      <c r="KQR65" s="145"/>
      <c r="KQS65" s="145"/>
      <c r="KQT65" s="145"/>
      <c r="KQU65" s="145"/>
      <c r="KQV65" s="145"/>
      <c r="KQW65" s="145"/>
      <c r="KQX65" s="145"/>
      <c r="KQY65" s="145"/>
      <c r="KQZ65" s="145"/>
      <c r="KRA65" s="145"/>
      <c r="KRB65" s="145"/>
      <c r="KRC65" s="145"/>
      <c r="KRD65" s="145"/>
      <c r="KRE65" s="145"/>
      <c r="KRF65" s="145"/>
      <c r="KRG65" s="145"/>
      <c r="KRH65" s="145"/>
      <c r="KRI65" s="145"/>
      <c r="KRJ65" s="145"/>
      <c r="KRK65" s="145"/>
      <c r="KRL65" s="145"/>
      <c r="KRM65" s="145"/>
      <c r="KRN65" s="145"/>
      <c r="KRO65" s="145"/>
      <c r="KRP65" s="145"/>
      <c r="KRQ65" s="145"/>
      <c r="KRR65" s="145"/>
      <c r="KRS65" s="145"/>
      <c r="KRT65" s="145"/>
      <c r="KRU65" s="145"/>
      <c r="KRV65" s="145"/>
      <c r="KRW65" s="145"/>
      <c r="KRX65" s="145"/>
      <c r="KRY65" s="145"/>
      <c r="KRZ65" s="145"/>
      <c r="KSA65" s="145"/>
      <c r="KSB65" s="145"/>
      <c r="KSC65" s="145"/>
      <c r="KSD65" s="145"/>
      <c r="KSE65" s="145"/>
      <c r="KSF65" s="145"/>
      <c r="KSG65" s="145"/>
      <c r="KSH65" s="145"/>
      <c r="KSI65" s="145"/>
      <c r="KSJ65" s="145"/>
      <c r="KSK65" s="145"/>
      <c r="KSL65" s="145"/>
      <c r="KSM65" s="145"/>
      <c r="KSN65" s="145"/>
      <c r="KSO65" s="145"/>
      <c r="KSP65" s="145"/>
      <c r="KSQ65" s="145"/>
      <c r="KSR65" s="145"/>
      <c r="KSS65" s="145"/>
      <c r="KST65" s="145"/>
      <c r="KSU65" s="145"/>
      <c r="KSV65" s="145"/>
      <c r="KSW65" s="145"/>
      <c r="KSX65" s="145"/>
      <c r="KSY65" s="145"/>
      <c r="KSZ65" s="145"/>
      <c r="KTA65" s="145"/>
      <c r="KTB65" s="145"/>
      <c r="KTC65" s="145"/>
      <c r="KTD65" s="145"/>
      <c r="KTE65" s="145"/>
      <c r="KTF65" s="145"/>
      <c r="KTG65" s="145"/>
      <c r="KTH65" s="145"/>
      <c r="KTI65" s="145"/>
      <c r="KTJ65" s="145"/>
      <c r="KTK65" s="145"/>
      <c r="KTL65" s="145"/>
      <c r="KTM65" s="145"/>
      <c r="KTN65" s="145"/>
      <c r="KTO65" s="145"/>
      <c r="KTP65" s="145"/>
      <c r="KTQ65" s="145"/>
      <c r="KTR65" s="145"/>
      <c r="KTS65" s="145"/>
      <c r="KTT65" s="145"/>
      <c r="KTU65" s="145"/>
      <c r="KTV65" s="145"/>
      <c r="KTW65" s="145"/>
      <c r="KTX65" s="145"/>
      <c r="KTY65" s="145"/>
      <c r="KTZ65" s="145"/>
      <c r="KUA65" s="145"/>
      <c r="KUB65" s="145"/>
      <c r="KUC65" s="145"/>
      <c r="KUD65" s="145"/>
      <c r="KUE65" s="145"/>
      <c r="KUF65" s="145"/>
      <c r="KUG65" s="145"/>
      <c r="KUH65" s="145"/>
      <c r="KUI65" s="145"/>
      <c r="KUJ65" s="145"/>
      <c r="KUK65" s="145"/>
      <c r="KUL65" s="145"/>
      <c r="KUM65" s="145"/>
      <c r="KUN65" s="145"/>
      <c r="KUO65" s="145"/>
      <c r="KUP65" s="145"/>
      <c r="KUQ65" s="145"/>
      <c r="KUR65" s="145"/>
      <c r="KUS65" s="145"/>
      <c r="KUT65" s="145"/>
      <c r="KUU65" s="145"/>
      <c r="KUV65" s="145"/>
      <c r="KUW65" s="145"/>
      <c r="KUX65" s="145"/>
      <c r="KUY65" s="145"/>
      <c r="KUZ65" s="145"/>
      <c r="KVA65" s="145"/>
      <c r="KVB65" s="145"/>
      <c r="KVC65" s="145"/>
      <c r="KVD65" s="145"/>
      <c r="KVE65" s="145"/>
      <c r="KVF65" s="145"/>
      <c r="KVG65" s="145"/>
      <c r="KVH65" s="145"/>
      <c r="KVI65" s="145"/>
      <c r="KVJ65" s="145"/>
      <c r="KVK65" s="145"/>
      <c r="KVL65" s="145"/>
      <c r="KVM65" s="145"/>
      <c r="KVN65" s="145"/>
      <c r="KVO65" s="145"/>
      <c r="KVP65" s="145"/>
      <c r="KVQ65" s="145"/>
      <c r="KVR65" s="145"/>
      <c r="KVS65" s="145"/>
      <c r="KVT65" s="145"/>
      <c r="KVU65" s="145"/>
      <c r="KVV65" s="145"/>
      <c r="KVW65" s="145"/>
      <c r="KVX65" s="145"/>
      <c r="KVY65" s="145"/>
      <c r="KVZ65" s="145"/>
      <c r="KWA65" s="145"/>
      <c r="KWB65" s="145"/>
      <c r="KWC65" s="145"/>
      <c r="KWD65" s="145"/>
      <c r="KWE65" s="145"/>
      <c r="KWF65" s="145"/>
      <c r="KWG65" s="145"/>
      <c r="KWH65" s="145"/>
      <c r="KWI65" s="145"/>
      <c r="KWJ65" s="145"/>
      <c r="KWK65" s="145"/>
      <c r="KWL65" s="145"/>
      <c r="KWM65" s="145"/>
      <c r="KWN65" s="145"/>
      <c r="KWO65" s="145"/>
      <c r="KWP65" s="145"/>
      <c r="KWQ65" s="145"/>
      <c r="KWR65" s="145"/>
      <c r="KWS65" s="145"/>
      <c r="KWT65" s="145"/>
      <c r="KWU65" s="145"/>
      <c r="KWV65" s="145"/>
      <c r="KWW65" s="145"/>
      <c r="KWX65" s="145"/>
      <c r="KWY65" s="145"/>
      <c r="KWZ65" s="145"/>
      <c r="KXA65" s="145"/>
      <c r="KXB65" s="145"/>
      <c r="KXC65" s="145"/>
      <c r="KXD65" s="145"/>
      <c r="KXE65" s="145"/>
      <c r="KXF65" s="145"/>
      <c r="KXG65" s="145"/>
      <c r="KXH65" s="145"/>
      <c r="KXI65" s="145"/>
      <c r="KXJ65" s="145"/>
      <c r="KXK65" s="145"/>
      <c r="KXL65" s="145"/>
      <c r="KXM65" s="145"/>
      <c r="KXN65" s="145"/>
      <c r="KXO65" s="145"/>
      <c r="KXP65" s="145"/>
      <c r="KXQ65" s="145"/>
      <c r="KXR65" s="145"/>
      <c r="KXS65" s="145"/>
      <c r="KXT65" s="145"/>
      <c r="KXU65" s="145"/>
      <c r="KXV65" s="145"/>
      <c r="KXW65" s="145"/>
      <c r="KXX65" s="145"/>
      <c r="KXY65" s="145"/>
      <c r="KXZ65" s="145"/>
      <c r="KYA65" s="145"/>
      <c r="KYB65" s="145"/>
      <c r="KYC65" s="145"/>
      <c r="KYD65" s="145"/>
      <c r="KYE65" s="145"/>
      <c r="KYF65" s="145"/>
      <c r="KYG65" s="145"/>
      <c r="KYH65" s="145"/>
      <c r="KYI65" s="145"/>
      <c r="KYJ65" s="145"/>
      <c r="KYK65" s="145"/>
      <c r="KYL65" s="145"/>
      <c r="KYM65" s="145"/>
      <c r="KYN65" s="145"/>
      <c r="KYO65" s="145"/>
      <c r="KYP65" s="145"/>
      <c r="KYQ65" s="145"/>
      <c r="KYR65" s="145"/>
      <c r="KYS65" s="145"/>
      <c r="KYT65" s="145"/>
      <c r="KYU65" s="145"/>
      <c r="KYV65" s="145"/>
      <c r="KYW65" s="145"/>
      <c r="KYX65" s="145"/>
      <c r="KYY65" s="145"/>
      <c r="KYZ65" s="145"/>
      <c r="KZA65" s="145"/>
      <c r="KZB65" s="145"/>
      <c r="KZC65" s="145"/>
      <c r="KZD65" s="145"/>
      <c r="KZE65" s="145"/>
      <c r="KZF65" s="145"/>
      <c r="KZG65" s="145"/>
      <c r="KZH65" s="145"/>
      <c r="KZI65" s="145"/>
      <c r="KZJ65" s="145"/>
      <c r="KZK65" s="145"/>
      <c r="KZL65" s="145"/>
      <c r="KZM65" s="145"/>
      <c r="KZN65" s="145"/>
      <c r="KZO65" s="145"/>
      <c r="KZP65" s="145"/>
      <c r="KZQ65" s="145"/>
      <c r="KZR65" s="145"/>
      <c r="KZS65" s="145"/>
      <c r="KZT65" s="145"/>
      <c r="KZU65" s="145"/>
      <c r="KZV65" s="145"/>
      <c r="KZW65" s="145"/>
      <c r="KZX65" s="145"/>
      <c r="KZY65" s="145"/>
      <c r="KZZ65" s="145"/>
      <c r="LAA65" s="145"/>
      <c r="LAB65" s="145"/>
      <c r="LAC65" s="145"/>
      <c r="LAD65" s="145"/>
      <c r="LAE65" s="145"/>
      <c r="LAF65" s="145"/>
      <c r="LAG65" s="145"/>
      <c r="LAH65" s="145"/>
      <c r="LAI65" s="145"/>
      <c r="LAJ65" s="145"/>
      <c r="LAK65" s="145"/>
      <c r="LAL65" s="145"/>
      <c r="LAM65" s="145"/>
      <c r="LAN65" s="145"/>
      <c r="LAO65" s="145"/>
      <c r="LAP65" s="145"/>
      <c r="LAQ65" s="145"/>
      <c r="LAR65" s="145"/>
      <c r="LAS65" s="145"/>
      <c r="LAT65" s="145"/>
      <c r="LAU65" s="145"/>
      <c r="LAV65" s="145"/>
      <c r="LAW65" s="145"/>
      <c r="LAX65" s="145"/>
      <c r="LAY65" s="145"/>
      <c r="LAZ65" s="145"/>
      <c r="LBA65" s="145"/>
      <c r="LBB65" s="145"/>
      <c r="LBC65" s="145"/>
      <c r="LBD65" s="145"/>
      <c r="LBE65" s="145"/>
      <c r="LBF65" s="145"/>
      <c r="LBG65" s="145"/>
      <c r="LBH65" s="145"/>
      <c r="LBI65" s="145"/>
      <c r="LBJ65" s="145"/>
      <c r="LBK65" s="145"/>
      <c r="LBL65" s="145"/>
      <c r="LBM65" s="145"/>
      <c r="LBN65" s="145"/>
      <c r="LBO65" s="145"/>
      <c r="LBP65" s="145"/>
      <c r="LBQ65" s="145"/>
      <c r="LBR65" s="145"/>
      <c r="LBS65" s="145"/>
      <c r="LBT65" s="145"/>
      <c r="LBU65" s="145"/>
      <c r="LBV65" s="145"/>
      <c r="LBW65" s="145"/>
      <c r="LBX65" s="145"/>
      <c r="LBY65" s="145"/>
      <c r="LBZ65" s="145"/>
      <c r="LCA65" s="145"/>
      <c r="LCB65" s="145"/>
      <c r="LCC65" s="145"/>
      <c r="LCD65" s="145"/>
      <c r="LCE65" s="145"/>
      <c r="LCF65" s="145"/>
      <c r="LCG65" s="145"/>
      <c r="LCH65" s="145"/>
      <c r="LCI65" s="145"/>
      <c r="LCJ65" s="145"/>
      <c r="LCK65" s="145"/>
      <c r="LCL65" s="145"/>
      <c r="LCM65" s="145"/>
      <c r="LCN65" s="145"/>
      <c r="LCO65" s="145"/>
      <c r="LCP65" s="145"/>
      <c r="LCQ65" s="145"/>
      <c r="LCR65" s="145"/>
      <c r="LCS65" s="145"/>
      <c r="LCT65" s="145"/>
      <c r="LCU65" s="145"/>
      <c r="LCV65" s="145"/>
      <c r="LCW65" s="145"/>
      <c r="LCX65" s="145"/>
      <c r="LCY65" s="145"/>
      <c r="LCZ65" s="145"/>
      <c r="LDA65" s="145"/>
      <c r="LDB65" s="145"/>
      <c r="LDC65" s="145"/>
      <c r="LDD65" s="145"/>
      <c r="LDE65" s="145"/>
      <c r="LDF65" s="145"/>
      <c r="LDG65" s="145"/>
      <c r="LDH65" s="145"/>
      <c r="LDI65" s="145"/>
      <c r="LDJ65" s="145"/>
      <c r="LDK65" s="145"/>
      <c r="LDL65" s="145"/>
      <c r="LDM65" s="145"/>
      <c r="LDN65" s="145"/>
      <c r="LDO65" s="145"/>
      <c r="LDP65" s="145"/>
      <c r="LDQ65" s="145"/>
      <c r="LDR65" s="145"/>
      <c r="LDS65" s="145"/>
      <c r="LDT65" s="145"/>
      <c r="LDU65" s="145"/>
      <c r="LDV65" s="145"/>
      <c r="LDW65" s="145"/>
      <c r="LDX65" s="145"/>
      <c r="LDY65" s="145"/>
      <c r="LDZ65" s="145"/>
      <c r="LEA65" s="145"/>
      <c r="LEB65" s="145"/>
      <c r="LEC65" s="145"/>
      <c r="LED65" s="145"/>
      <c r="LEE65" s="145"/>
      <c r="LEF65" s="145"/>
      <c r="LEG65" s="145"/>
      <c r="LEH65" s="145"/>
      <c r="LEI65" s="145"/>
      <c r="LEJ65" s="145"/>
      <c r="LEK65" s="145"/>
      <c r="LEL65" s="145"/>
      <c r="LEM65" s="145"/>
      <c r="LEN65" s="145"/>
      <c r="LEO65" s="145"/>
      <c r="LEP65" s="145"/>
      <c r="LEQ65" s="145"/>
      <c r="LER65" s="145"/>
      <c r="LES65" s="145"/>
      <c r="LET65" s="145"/>
      <c r="LEU65" s="145"/>
      <c r="LEV65" s="145"/>
      <c r="LEW65" s="145"/>
      <c r="LEX65" s="145"/>
      <c r="LEY65" s="145"/>
      <c r="LEZ65" s="145"/>
      <c r="LFA65" s="145"/>
      <c r="LFB65" s="145"/>
      <c r="LFC65" s="145"/>
      <c r="LFD65" s="145"/>
      <c r="LFE65" s="145"/>
      <c r="LFF65" s="145"/>
      <c r="LFG65" s="145"/>
      <c r="LFH65" s="145"/>
      <c r="LFI65" s="145"/>
      <c r="LFJ65" s="145"/>
      <c r="LFK65" s="145"/>
      <c r="LFL65" s="145"/>
      <c r="LFM65" s="145"/>
      <c r="LFN65" s="145"/>
      <c r="LFO65" s="145"/>
      <c r="LFP65" s="145"/>
      <c r="LFQ65" s="145"/>
      <c r="LFR65" s="145"/>
      <c r="LFS65" s="145"/>
      <c r="LFT65" s="145"/>
      <c r="LFU65" s="145"/>
      <c r="LFV65" s="145"/>
      <c r="LFW65" s="145"/>
      <c r="LFX65" s="145"/>
      <c r="LFY65" s="145"/>
      <c r="LFZ65" s="145"/>
      <c r="LGA65" s="145"/>
      <c r="LGB65" s="145"/>
      <c r="LGC65" s="145"/>
      <c r="LGD65" s="145"/>
      <c r="LGE65" s="145"/>
      <c r="LGF65" s="145"/>
      <c r="LGG65" s="145"/>
      <c r="LGH65" s="145"/>
      <c r="LGI65" s="145"/>
      <c r="LGJ65" s="145"/>
      <c r="LGK65" s="145"/>
      <c r="LGL65" s="145"/>
      <c r="LGM65" s="145"/>
      <c r="LGN65" s="145"/>
      <c r="LGO65" s="145"/>
      <c r="LGP65" s="145"/>
      <c r="LGQ65" s="145"/>
      <c r="LGR65" s="145"/>
      <c r="LGS65" s="145"/>
      <c r="LGT65" s="145"/>
      <c r="LGU65" s="145"/>
      <c r="LGV65" s="145"/>
      <c r="LGW65" s="145"/>
      <c r="LGX65" s="145"/>
      <c r="LGY65" s="145"/>
      <c r="LGZ65" s="145"/>
      <c r="LHA65" s="145"/>
      <c r="LHB65" s="145"/>
      <c r="LHC65" s="145"/>
      <c r="LHD65" s="145"/>
      <c r="LHE65" s="145"/>
      <c r="LHF65" s="145"/>
      <c r="LHG65" s="145"/>
      <c r="LHH65" s="145"/>
      <c r="LHI65" s="145"/>
      <c r="LHJ65" s="145"/>
      <c r="LHK65" s="145"/>
      <c r="LHL65" s="145"/>
      <c r="LHM65" s="145"/>
      <c r="LHN65" s="145"/>
      <c r="LHO65" s="145"/>
      <c r="LHP65" s="145"/>
      <c r="LHQ65" s="145"/>
      <c r="LHR65" s="145"/>
      <c r="LHS65" s="145"/>
      <c r="LHT65" s="145"/>
      <c r="LHU65" s="145"/>
      <c r="LHV65" s="145"/>
      <c r="LHW65" s="145"/>
      <c r="LHX65" s="145"/>
      <c r="LHY65" s="145"/>
      <c r="LHZ65" s="145"/>
      <c r="LIA65" s="145"/>
      <c r="LIB65" s="145"/>
      <c r="LIC65" s="145"/>
      <c r="LID65" s="145"/>
      <c r="LIE65" s="145"/>
      <c r="LIF65" s="145"/>
      <c r="LIG65" s="145"/>
      <c r="LIH65" s="145"/>
      <c r="LII65" s="145"/>
      <c r="LIJ65" s="145"/>
      <c r="LIK65" s="145"/>
      <c r="LIL65" s="145"/>
      <c r="LIM65" s="145"/>
      <c r="LIN65" s="145"/>
      <c r="LIO65" s="145"/>
      <c r="LIP65" s="145"/>
      <c r="LIQ65" s="145"/>
      <c r="LIR65" s="145"/>
      <c r="LIS65" s="145"/>
      <c r="LIT65" s="145"/>
      <c r="LIU65" s="145"/>
      <c r="LIV65" s="145"/>
      <c r="LIW65" s="145"/>
      <c r="LIX65" s="145"/>
      <c r="LIY65" s="145"/>
      <c r="LIZ65" s="145"/>
      <c r="LJA65" s="145"/>
      <c r="LJB65" s="145"/>
      <c r="LJC65" s="145"/>
      <c r="LJD65" s="145"/>
      <c r="LJE65" s="145"/>
      <c r="LJF65" s="145"/>
      <c r="LJG65" s="145"/>
      <c r="LJH65" s="145"/>
      <c r="LJI65" s="145"/>
      <c r="LJJ65" s="145"/>
      <c r="LJK65" s="145"/>
      <c r="LJL65" s="145"/>
      <c r="LJM65" s="145"/>
      <c r="LJN65" s="145"/>
      <c r="LJO65" s="145"/>
      <c r="LJP65" s="145"/>
      <c r="LJQ65" s="145"/>
      <c r="LJR65" s="145"/>
      <c r="LJS65" s="145"/>
      <c r="LJT65" s="145"/>
      <c r="LJU65" s="145"/>
      <c r="LJV65" s="145"/>
      <c r="LJW65" s="145"/>
      <c r="LJX65" s="145"/>
      <c r="LJY65" s="145"/>
      <c r="LJZ65" s="145"/>
      <c r="LKA65" s="145"/>
      <c r="LKB65" s="145"/>
      <c r="LKC65" s="145"/>
      <c r="LKD65" s="145"/>
      <c r="LKE65" s="145"/>
      <c r="LKF65" s="145"/>
      <c r="LKG65" s="145"/>
      <c r="LKH65" s="145"/>
      <c r="LKI65" s="145"/>
      <c r="LKJ65" s="145"/>
      <c r="LKK65" s="145"/>
      <c r="LKL65" s="145"/>
      <c r="LKM65" s="145"/>
      <c r="LKN65" s="145"/>
      <c r="LKO65" s="145"/>
      <c r="LKP65" s="145"/>
      <c r="LKQ65" s="145"/>
      <c r="LKR65" s="145"/>
      <c r="LKS65" s="145"/>
      <c r="LKT65" s="145"/>
      <c r="LKU65" s="145"/>
      <c r="LKV65" s="145"/>
      <c r="LKW65" s="145"/>
      <c r="LKX65" s="145"/>
      <c r="LKY65" s="145"/>
      <c r="LKZ65" s="145"/>
      <c r="LLA65" s="145"/>
      <c r="LLB65" s="145"/>
      <c r="LLC65" s="145"/>
      <c r="LLD65" s="145"/>
      <c r="LLE65" s="145"/>
      <c r="LLF65" s="145"/>
      <c r="LLG65" s="145"/>
      <c r="LLH65" s="145"/>
      <c r="LLI65" s="145"/>
      <c r="LLJ65" s="145"/>
      <c r="LLK65" s="145"/>
      <c r="LLL65" s="145"/>
      <c r="LLM65" s="145"/>
      <c r="LLN65" s="145"/>
      <c r="LLO65" s="145"/>
      <c r="LLP65" s="145"/>
      <c r="LLQ65" s="145"/>
      <c r="LLR65" s="145"/>
      <c r="LLS65" s="145"/>
      <c r="LLT65" s="145"/>
      <c r="LLU65" s="145"/>
      <c r="LLV65" s="145"/>
      <c r="LLW65" s="145"/>
      <c r="LLX65" s="145"/>
      <c r="LLY65" s="145"/>
      <c r="LLZ65" s="145"/>
      <c r="LMA65" s="145"/>
      <c r="LMB65" s="145"/>
      <c r="LMC65" s="145"/>
      <c r="LMD65" s="145"/>
      <c r="LME65" s="145"/>
      <c r="LMF65" s="145"/>
      <c r="LMG65" s="145"/>
      <c r="LMH65" s="145"/>
      <c r="LMI65" s="145"/>
      <c r="LMJ65" s="145"/>
      <c r="LMK65" s="145"/>
      <c r="LML65" s="145"/>
      <c r="LMM65" s="145"/>
      <c r="LMN65" s="145"/>
      <c r="LMO65" s="145"/>
      <c r="LMP65" s="145"/>
      <c r="LMQ65" s="145"/>
      <c r="LMR65" s="145"/>
      <c r="LMS65" s="145"/>
      <c r="LMT65" s="145"/>
      <c r="LMU65" s="145"/>
      <c r="LMV65" s="145"/>
      <c r="LMW65" s="145"/>
      <c r="LMX65" s="145"/>
      <c r="LMY65" s="145"/>
      <c r="LMZ65" s="145"/>
      <c r="LNA65" s="145"/>
      <c r="LNB65" s="145"/>
      <c r="LNC65" s="145"/>
      <c r="LND65" s="145"/>
      <c r="LNE65" s="145"/>
      <c r="LNF65" s="145"/>
      <c r="LNG65" s="145"/>
      <c r="LNH65" s="145"/>
      <c r="LNI65" s="145"/>
      <c r="LNJ65" s="145"/>
      <c r="LNK65" s="145"/>
      <c r="LNL65" s="145"/>
      <c r="LNM65" s="145"/>
      <c r="LNN65" s="145"/>
      <c r="LNO65" s="145"/>
      <c r="LNP65" s="145"/>
      <c r="LNQ65" s="145"/>
      <c r="LNR65" s="145"/>
      <c r="LNS65" s="145"/>
      <c r="LNT65" s="145"/>
      <c r="LNU65" s="145"/>
      <c r="LNV65" s="145"/>
      <c r="LNW65" s="145"/>
      <c r="LNX65" s="145"/>
      <c r="LNY65" s="145"/>
      <c r="LNZ65" s="145"/>
      <c r="LOA65" s="145"/>
      <c r="LOB65" s="145"/>
      <c r="LOC65" s="145"/>
      <c r="LOD65" s="145"/>
      <c r="LOE65" s="145"/>
      <c r="LOF65" s="145"/>
      <c r="LOG65" s="145"/>
      <c r="LOH65" s="145"/>
      <c r="LOI65" s="145"/>
      <c r="LOJ65" s="145"/>
      <c r="LOK65" s="145"/>
      <c r="LOL65" s="145"/>
      <c r="LOM65" s="145"/>
      <c r="LON65" s="145"/>
      <c r="LOO65" s="145"/>
      <c r="LOP65" s="145"/>
      <c r="LOQ65" s="145"/>
      <c r="LOR65" s="145"/>
      <c r="LOS65" s="145"/>
      <c r="LOT65" s="145"/>
      <c r="LOU65" s="145"/>
      <c r="LOV65" s="145"/>
      <c r="LOW65" s="145"/>
      <c r="LOX65" s="145"/>
      <c r="LOY65" s="145"/>
      <c r="LOZ65" s="145"/>
      <c r="LPA65" s="145"/>
      <c r="LPB65" s="145"/>
      <c r="LPC65" s="145"/>
      <c r="LPD65" s="145"/>
      <c r="LPE65" s="145"/>
      <c r="LPF65" s="145"/>
      <c r="LPG65" s="145"/>
      <c r="LPH65" s="145"/>
      <c r="LPI65" s="145"/>
      <c r="LPJ65" s="145"/>
      <c r="LPK65" s="145"/>
      <c r="LPL65" s="145"/>
      <c r="LPM65" s="145"/>
      <c r="LPN65" s="145"/>
      <c r="LPO65" s="145"/>
      <c r="LPP65" s="145"/>
      <c r="LPQ65" s="145"/>
      <c r="LPR65" s="145"/>
      <c r="LPS65" s="145"/>
      <c r="LPT65" s="145"/>
      <c r="LPU65" s="145"/>
      <c r="LPV65" s="145"/>
      <c r="LPW65" s="145"/>
      <c r="LPX65" s="145"/>
      <c r="LPY65" s="145"/>
      <c r="LPZ65" s="145"/>
      <c r="LQA65" s="145"/>
      <c r="LQB65" s="145"/>
      <c r="LQC65" s="145"/>
      <c r="LQD65" s="145"/>
      <c r="LQE65" s="145"/>
      <c r="LQF65" s="145"/>
      <c r="LQG65" s="145"/>
      <c r="LQH65" s="145"/>
      <c r="LQI65" s="145"/>
      <c r="LQJ65" s="145"/>
      <c r="LQK65" s="145"/>
      <c r="LQL65" s="145"/>
      <c r="LQM65" s="145"/>
      <c r="LQN65" s="145"/>
      <c r="LQO65" s="145"/>
      <c r="LQP65" s="145"/>
      <c r="LQQ65" s="145"/>
      <c r="LQR65" s="145"/>
      <c r="LQS65" s="145"/>
      <c r="LQT65" s="145"/>
      <c r="LQU65" s="145"/>
      <c r="LQV65" s="145"/>
      <c r="LQW65" s="145"/>
      <c r="LQX65" s="145"/>
      <c r="LQY65" s="145"/>
      <c r="LQZ65" s="145"/>
      <c r="LRA65" s="145"/>
      <c r="LRB65" s="145"/>
      <c r="LRC65" s="145"/>
      <c r="LRD65" s="145"/>
      <c r="LRE65" s="145"/>
      <c r="LRF65" s="145"/>
      <c r="LRG65" s="145"/>
      <c r="LRH65" s="145"/>
      <c r="LRI65" s="145"/>
      <c r="LRJ65" s="145"/>
      <c r="LRK65" s="145"/>
      <c r="LRL65" s="145"/>
      <c r="LRM65" s="145"/>
      <c r="LRN65" s="145"/>
      <c r="LRO65" s="145"/>
      <c r="LRP65" s="145"/>
      <c r="LRQ65" s="145"/>
      <c r="LRR65" s="145"/>
      <c r="LRS65" s="145"/>
      <c r="LRT65" s="145"/>
      <c r="LRU65" s="145"/>
      <c r="LRV65" s="145"/>
      <c r="LRW65" s="145"/>
      <c r="LRX65" s="145"/>
      <c r="LRY65" s="145"/>
      <c r="LRZ65" s="145"/>
      <c r="LSA65" s="145"/>
      <c r="LSB65" s="145"/>
      <c r="LSC65" s="145"/>
      <c r="LSD65" s="145"/>
      <c r="LSE65" s="145"/>
      <c r="LSF65" s="145"/>
      <c r="LSG65" s="145"/>
      <c r="LSH65" s="145"/>
      <c r="LSI65" s="145"/>
      <c r="LSJ65" s="145"/>
      <c r="LSK65" s="145"/>
      <c r="LSL65" s="145"/>
      <c r="LSM65" s="145"/>
      <c r="LSN65" s="145"/>
      <c r="LSO65" s="145"/>
      <c r="LSP65" s="145"/>
      <c r="LSQ65" s="145"/>
      <c r="LSR65" s="145"/>
      <c r="LSS65" s="145"/>
      <c r="LST65" s="145"/>
      <c r="LSU65" s="145"/>
      <c r="LSV65" s="145"/>
      <c r="LSW65" s="145"/>
      <c r="LSX65" s="145"/>
      <c r="LSY65" s="145"/>
      <c r="LSZ65" s="145"/>
      <c r="LTA65" s="145"/>
      <c r="LTB65" s="145"/>
      <c r="LTC65" s="145"/>
      <c r="LTD65" s="145"/>
      <c r="LTE65" s="145"/>
      <c r="LTF65" s="145"/>
      <c r="LTG65" s="145"/>
      <c r="LTH65" s="145"/>
      <c r="LTI65" s="145"/>
      <c r="LTJ65" s="145"/>
      <c r="LTK65" s="145"/>
      <c r="LTL65" s="145"/>
      <c r="LTM65" s="145"/>
      <c r="LTN65" s="145"/>
      <c r="LTO65" s="145"/>
      <c r="LTP65" s="145"/>
      <c r="LTQ65" s="145"/>
      <c r="LTR65" s="145"/>
      <c r="LTS65" s="145"/>
      <c r="LTT65" s="145"/>
      <c r="LTU65" s="145"/>
      <c r="LTV65" s="145"/>
      <c r="LTW65" s="145"/>
      <c r="LTX65" s="145"/>
      <c r="LTY65" s="145"/>
      <c r="LTZ65" s="145"/>
      <c r="LUA65" s="145"/>
      <c r="LUB65" s="145"/>
      <c r="LUC65" s="145"/>
      <c r="LUD65" s="145"/>
      <c r="LUE65" s="145"/>
      <c r="LUF65" s="145"/>
      <c r="LUG65" s="145"/>
      <c r="LUH65" s="145"/>
      <c r="LUI65" s="145"/>
      <c r="LUJ65" s="145"/>
      <c r="LUK65" s="145"/>
      <c r="LUL65" s="145"/>
      <c r="LUM65" s="145"/>
      <c r="LUN65" s="145"/>
      <c r="LUO65" s="145"/>
      <c r="LUP65" s="145"/>
      <c r="LUQ65" s="145"/>
      <c r="LUR65" s="145"/>
      <c r="LUS65" s="145"/>
      <c r="LUT65" s="145"/>
      <c r="LUU65" s="145"/>
      <c r="LUV65" s="145"/>
      <c r="LUW65" s="145"/>
      <c r="LUX65" s="145"/>
      <c r="LUY65" s="145"/>
      <c r="LUZ65" s="145"/>
      <c r="LVA65" s="145"/>
      <c r="LVB65" s="145"/>
      <c r="LVC65" s="145"/>
      <c r="LVD65" s="145"/>
      <c r="LVE65" s="145"/>
      <c r="LVF65" s="145"/>
      <c r="LVG65" s="145"/>
      <c r="LVH65" s="145"/>
      <c r="LVI65" s="145"/>
      <c r="LVJ65" s="145"/>
      <c r="LVK65" s="145"/>
      <c r="LVL65" s="145"/>
      <c r="LVM65" s="145"/>
      <c r="LVN65" s="145"/>
      <c r="LVO65" s="145"/>
      <c r="LVP65" s="145"/>
      <c r="LVQ65" s="145"/>
      <c r="LVR65" s="145"/>
      <c r="LVS65" s="145"/>
      <c r="LVT65" s="145"/>
      <c r="LVU65" s="145"/>
      <c r="LVV65" s="145"/>
      <c r="LVW65" s="145"/>
      <c r="LVX65" s="145"/>
      <c r="LVY65" s="145"/>
      <c r="LVZ65" s="145"/>
      <c r="LWA65" s="145"/>
      <c r="LWB65" s="145"/>
      <c r="LWC65" s="145"/>
      <c r="LWD65" s="145"/>
      <c r="LWE65" s="145"/>
      <c r="LWF65" s="145"/>
      <c r="LWG65" s="145"/>
      <c r="LWH65" s="145"/>
      <c r="LWI65" s="145"/>
      <c r="LWJ65" s="145"/>
      <c r="LWK65" s="145"/>
      <c r="LWL65" s="145"/>
      <c r="LWM65" s="145"/>
      <c r="LWN65" s="145"/>
      <c r="LWO65" s="145"/>
      <c r="LWP65" s="145"/>
      <c r="LWQ65" s="145"/>
      <c r="LWR65" s="145"/>
      <c r="LWS65" s="145"/>
      <c r="LWT65" s="145"/>
      <c r="LWU65" s="145"/>
      <c r="LWV65" s="145"/>
      <c r="LWW65" s="145"/>
      <c r="LWX65" s="145"/>
      <c r="LWY65" s="145"/>
      <c r="LWZ65" s="145"/>
      <c r="LXA65" s="145"/>
      <c r="LXB65" s="145"/>
      <c r="LXC65" s="145"/>
      <c r="LXD65" s="145"/>
      <c r="LXE65" s="145"/>
      <c r="LXF65" s="145"/>
      <c r="LXG65" s="145"/>
      <c r="LXH65" s="145"/>
      <c r="LXI65" s="145"/>
      <c r="LXJ65" s="145"/>
      <c r="LXK65" s="145"/>
      <c r="LXL65" s="145"/>
      <c r="LXM65" s="145"/>
      <c r="LXN65" s="145"/>
      <c r="LXO65" s="145"/>
      <c r="LXP65" s="145"/>
      <c r="LXQ65" s="145"/>
      <c r="LXR65" s="145"/>
      <c r="LXS65" s="145"/>
      <c r="LXT65" s="145"/>
      <c r="LXU65" s="145"/>
      <c r="LXV65" s="145"/>
      <c r="LXW65" s="145"/>
      <c r="LXX65" s="145"/>
      <c r="LXY65" s="145"/>
      <c r="LXZ65" s="145"/>
      <c r="LYA65" s="145"/>
      <c r="LYB65" s="145"/>
      <c r="LYC65" s="145"/>
      <c r="LYD65" s="145"/>
      <c r="LYE65" s="145"/>
      <c r="LYF65" s="145"/>
      <c r="LYG65" s="145"/>
      <c r="LYH65" s="145"/>
      <c r="LYI65" s="145"/>
      <c r="LYJ65" s="145"/>
      <c r="LYK65" s="145"/>
      <c r="LYL65" s="145"/>
      <c r="LYM65" s="145"/>
      <c r="LYN65" s="145"/>
      <c r="LYO65" s="145"/>
      <c r="LYP65" s="145"/>
      <c r="LYQ65" s="145"/>
      <c r="LYR65" s="145"/>
      <c r="LYS65" s="145"/>
      <c r="LYT65" s="145"/>
      <c r="LYU65" s="145"/>
      <c r="LYV65" s="145"/>
      <c r="LYW65" s="145"/>
      <c r="LYX65" s="145"/>
      <c r="LYY65" s="145"/>
      <c r="LYZ65" s="145"/>
      <c r="LZA65" s="145"/>
      <c r="LZB65" s="145"/>
      <c r="LZC65" s="145"/>
      <c r="LZD65" s="145"/>
      <c r="LZE65" s="145"/>
      <c r="LZF65" s="145"/>
      <c r="LZG65" s="145"/>
      <c r="LZH65" s="145"/>
      <c r="LZI65" s="145"/>
      <c r="LZJ65" s="145"/>
      <c r="LZK65" s="145"/>
      <c r="LZL65" s="145"/>
      <c r="LZM65" s="145"/>
      <c r="LZN65" s="145"/>
      <c r="LZO65" s="145"/>
      <c r="LZP65" s="145"/>
      <c r="LZQ65" s="145"/>
      <c r="LZR65" s="145"/>
      <c r="LZS65" s="145"/>
      <c r="LZT65" s="145"/>
      <c r="LZU65" s="145"/>
      <c r="LZV65" s="145"/>
      <c r="LZW65" s="145"/>
      <c r="LZX65" s="145"/>
      <c r="LZY65" s="145"/>
      <c r="LZZ65" s="145"/>
      <c r="MAA65" s="145"/>
      <c r="MAB65" s="145"/>
      <c r="MAC65" s="145"/>
      <c r="MAD65" s="145"/>
      <c r="MAE65" s="145"/>
      <c r="MAF65" s="145"/>
      <c r="MAG65" s="145"/>
      <c r="MAH65" s="145"/>
      <c r="MAI65" s="145"/>
      <c r="MAJ65" s="145"/>
      <c r="MAK65" s="145"/>
      <c r="MAL65" s="145"/>
      <c r="MAM65" s="145"/>
      <c r="MAN65" s="145"/>
      <c r="MAO65" s="145"/>
      <c r="MAP65" s="145"/>
      <c r="MAQ65" s="145"/>
      <c r="MAR65" s="145"/>
      <c r="MAS65" s="145"/>
      <c r="MAT65" s="145"/>
      <c r="MAU65" s="145"/>
      <c r="MAV65" s="145"/>
      <c r="MAW65" s="145"/>
      <c r="MAX65" s="145"/>
      <c r="MAY65" s="145"/>
      <c r="MAZ65" s="145"/>
      <c r="MBA65" s="145"/>
      <c r="MBB65" s="145"/>
      <c r="MBC65" s="145"/>
      <c r="MBD65" s="145"/>
      <c r="MBE65" s="145"/>
      <c r="MBF65" s="145"/>
      <c r="MBG65" s="145"/>
      <c r="MBH65" s="145"/>
      <c r="MBI65" s="145"/>
      <c r="MBJ65" s="145"/>
      <c r="MBK65" s="145"/>
      <c r="MBL65" s="145"/>
      <c r="MBM65" s="145"/>
      <c r="MBN65" s="145"/>
      <c r="MBO65" s="145"/>
      <c r="MBP65" s="145"/>
      <c r="MBQ65" s="145"/>
      <c r="MBR65" s="145"/>
      <c r="MBS65" s="145"/>
      <c r="MBT65" s="145"/>
      <c r="MBU65" s="145"/>
      <c r="MBV65" s="145"/>
      <c r="MBW65" s="145"/>
      <c r="MBX65" s="145"/>
      <c r="MBY65" s="145"/>
      <c r="MBZ65" s="145"/>
      <c r="MCA65" s="145"/>
      <c r="MCB65" s="145"/>
      <c r="MCC65" s="145"/>
      <c r="MCD65" s="145"/>
      <c r="MCE65" s="145"/>
      <c r="MCF65" s="145"/>
      <c r="MCG65" s="145"/>
      <c r="MCH65" s="145"/>
      <c r="MCI65" s="145"/>
      <c r="MCJ65" s="145"/>
      <c r="MCK65" s="145"/>
      <c r="MCL65" s="145"/>
      <c r="MCM65" s="145"/>
      <c r="MCN65" s="145"/>
      <c r="MCO65" s="145"/>
      <c r="MCP65" s="145"/>
      <c r="MCQ65" s="145"/>
      <c r="MCR65" s="145"/>
      <c r="MCS65" s="145"/>
      <c r="MCT65" s="145"/>
      <c r="MCU65" s="145"/>
      <c r="MCV65" s="145"/>
      <c r="MCW65" s="145"/>
      <c r="MCX65" s="145"/>
      <c r="MCY65" s="145"/>
      <c r="MCZ65" s="145"/>
      <c r="MDA65" s="145"/>
      <c r="MDB65" s="145"/>
      <c r="MDC65" s="145"/>
      <c r="MDD65" s="145"/>
      <c r="MDE65" s="145"/>
      <c r="MDF65" s="145"/>
      <c r="MDG65" s="145"/>
      <c r="MDH65" s="145"/>
      <c r="MDI65" s="145"/>
      <c r="MDJ65" s="145"/>
      <c r="MDK65" s="145"/>
      <c r="MDL65" s="145"/>
      <c r="MDM65" s="145"/>
      <c r="MDN65" s="145"/>
      <c r="MDO65" s="145"/>
      <c r="MDP65" s="145"/>
      <c r="MDQ65" s="145"/>
      <c r="MDR65" s="145"/>
      <c r="MDS65" s="145"/>
      <c r="MDT65" s="145"/>
      <c r="MDU65" s="145"/>
      <c r="MDV65" s="145"/>
      <c r="MDW65" s="145"/>
      <c r="MDX65" s="145"/>
      <c r="MDY65" s="145"/>
      <c r="MDZ65" s="145"/>
      <c r="MEA65" s="145"/>
      <c r="MEB65" s="145"/>
      <c r="MEC65" s="145"/>
      <c r="MED65" s="145"/>
      <c r="MEE65" s="145"/>
      <c r="MEF65" s="145"/>
      <c r="MEG65" s="145"/>
      <c r="MEH65" s="145"/>
      <c r="MEI65" s="145"/>
      <c r="MEJ65" s="145"/>
      <c r="MEK65" s="145"/>
      <c r="MEL65" s="145"/>
      <c r="MEM65" s="145"/>
      <c r="MEN65" s="145"/>
      <c r="MEO65" s="145"/>
      <c r="MEP65" s="145"/>
      <c r="MEQ65" s="145"/>
      <c r="MER65" s="145"/>
      <c r="MES65" s="145"/>
      <c r="MET65" s="145"/>
      <c r="MEU65" s="145"/>
      <c r="MEV65" s="145"/>
      <c r="MEW65" s="145"/>
      <c r="MEX65" s="145"/>
      <c r="MEY65" s="145"/>
      <c r="MEZ65" s="145"/>
      <c r="MFA65" s="145"/>
      <c r="MFB65" s="145"/>
      <c r="MFC65" s="145"/>
      <c r="MFD65" s="145"/>
      <c r="MFE65" s="145"/>
      <c r="MFF65" s="145"/>
      <c r="MFG65" s="145"/>
      <c r="MFH65" s="145"/>
      <c r="MFI65" s="145"/>
      <c r="MFJ65" s="145"/>
      <c r="MFK65" s="145"/>
      <c r="MFL65" s="145"/>
      <c r="MFM65" s="145"/>
      <c r="MFN65" s="145"/>
      <c r="MFO65" s="145"/>
      <c r="MFP65" s="145"/>
      <c r="MFQ65" s="145"/>
      <c r="MFR65" s="145"/>
      <c r="MFS65" s="145"/>
      <c r="MFT65" s="145"/>
      <c r="MFU65" s="145"/>
      <c r="MFV65" s="145"/>
      <c r="MFW65" s="145"/>
      <c r="MFX65" s="145"/>
      <c r="MFY65" s="145"/>
      <c r="MFZ65" s="145"/>
      <c r="MGA65" s="145"/>
      <c r="MGB65" s="145"/>
      <c r="MGC65" s="145"/>
      <c r="MGD65" s="145"/>
      <c r="MGE65" s="145"/>
      <c r="MGF65" s="145"/>
      <c r="MGG65" s="145"/>
      <c r="MGH65" s="145"/>
      <c r="MGI65" s="145"/>
      <c r="MGJ65" s="145"/>
      <c r="MGK65" s="145"/>
      <c r="MGL65" s="145"/>
      <c r="MGM65" s="145"/>
      <c r="MGN65" s="145"/>
      <c r="MGO65" s="145"/>
      <c r="MGP65" s="145"/>
      <c r="MGQ65" s="145"/>
      <c r="MGR65" s="145"/>
      <c r="MGS65" s="145"/>
      <c r="MGT65" s="145"/>
      <c r="MGU65" s="145"/>
      <c r="MGV65" s="145"/>
      <c r="MGW65" s="145"/>
      <c r="MGX65" s="145"/>
      <c r="MGY65" s="145"/>
      <c r="MGZ65" s="145"/>
      <c r="MHA65" s="145"/>
      <c r="MHB65" s="145"/>
      <c r="MHC65" s="145"/>
      <c r="MHD65" s="145"/>
      <c r="MHE65" s="145"/>
      <c r="MHF65" s="145"/>
      <c r="MHG65" s="145"/>
      <c r="MHH65" s="145"/>
      <c r="MHI65" s="145"/>
      <c r="MHJ65" s="145"/>
      <c r="MHK65" s="145"/>
      <c r="MHL65" s="145"/>
      <c r="MHM65" s="145"/>
      <c r="MHN65" s="145"/>
      <c r="MHO65" s="145"/>
      <c r="MHP65" s="145"/>
      <c r="MHQ65" s="145"/>
      <c r="MHR65" s="145"/>
      <c r="MHS65" s="145"/>
      <c r="MHT65" s="145"/>
      <c r="MHU65" s="145"/>
      <c r="MHV65" s="145"/>
      <c r="MHW65" s="145"/>
      <c r="MHX65" s="145"/>
      <c r="MHY65" s="145"/>
      <c r="MHZ65" s="145"/>
      <c r="MIA65" s="145"/>
      <c r="MIB65" s="145"/>
      <c r="MIC65" s="145"/>
      <c r="MID65" s="145"/>
      <c r="MIE65" s="145"/>
      <c r="MIF65" s="145"/>
      <c r="MIG65" s="145"/>
      <c r="MIH65" s="145"/>
      <c r="MII65" s="145"/>
      <c r="MIJ65" s="145"/>
      <c r="MIK65" s="145"/>
      <c r="MIL65" s="145"/>
      <c r="MIM65" s="145"/>
      <c r="MIN65" s="145"/>
      <c r="MIO65" s="145"/>
      <c r="MIP65" s="145"/>
      <c r="MIQ65" s="145"/>
      <c r="MIR65" s="145"/>
      <c r="MIS65" s="145"/>
      <c r="MIT65" s="145"/>
      <c r="MIU65" s="145"/>
      <c r="MIV65" s="145"/>
      <c r="MIW65" s="145"/>
      <c r="MIX65" s="145"/>
      <c r="MIY65" s="145"/>
      <c r="MIZ65" s="145"/>
      <c r="MJA65" s="145"/>
      <c r="MJB65" s="145"/>
      <c r="MJC65" s="145"/>
      <c r="MJD65" s="145"/>
      <c r="MJE65" s="145"/>
      <c r="MJF65" s="145"/>
      <c r="MJG65" s="145"/>
      <c r="MJH65" s="145"/>
      <c r="MJI65" s="145"/>
      <c r="MJJ65" s="145"/>
      <c r="MJK65" s="145"/>
      <c r="MJL65" s="145"/>
      <c r="MJM65" s="145"/>
      <c r="MJN65" s="145"/>
      <c r="MJO65" s="145"/>
      <c r="MJP65" s="145"/>
      <c r="MJQ65" s="145"/>
      <c r="MJR65" s="145"/>
      <c r="MJS65" s="145"/>
      <c r="MJT65" s="145"/>
      <c r="MJU65" s="145"/>
      <c r="MJV65" s="145"/>
      <c r="MJW65" s="145"/>
      <c r="MJX65" s="145"/>
      <c r="MJY65" s="145"/>
      <c r="MJZ65" s="145"/>
      <c r="MKA65" s="145"/>
      <c r="MKB65" s="145"/>
      <c r="MKC65" s="145"/>
      <c r="MKD65" s="145"/>
      <c r="MKE65" s="145"/>
      <c r="MKF65" s="145"/>
      <c r="MKG65" s="145"/>
      <c r="MKH65" s="145"/>
      <c r="MKI65" s="145"/>
      <c r="MKJ65" s="145"/>
      <c r="MKK65" s="145"/>
      <c r="MKL65" s="145"/>
      <c r="MKM65" s="145"/>
      <c r="MKN65" s="145"/>
      <c r="MKO65" s="145"/>
      <c r="MKP65" s="145"/>
      <c r="MKQ65" s="145"/>
      <c r="MKR65" s="145"/>
      <c r="MKS65" s="145"/>
      <c r="MKT65" s="145"/>
      <c r="MKU65" s="145"/>
      <c r="MKV65" s="145"/>
      <c r="MKW65" s="145"/>
      <c r="MKX65" s="145"/>
      <c r="MKY65" s="145"/>
      <c r="MKZ65" s="145"/>
      <c r="MLA65" s="145"/>
      <c r="MLB65" s="145"/>
      <c r="MLC65" s="145"/>
      <c r="MLD65" s="145"/>
      <c r="MLE65" s="145"/>
      <c r="MLF65" s="145"/>
      <c r="MLG65" s="145"/>
      <c r="MLH65" s="145"/>
      <c r="MLI65" s="145"/>
      <c r="MLJ65" s="145"/>
      <c r="MLK65" s="145"/>
      <c r="MLL65" s="145"/>
      <c r="MLM65" s="145"/>
      <c r="MLN65" s="145"/>
      <c r="MLO65" s="145"/>
      <c r="MLP65" s="145"/>
      <c r="MLQ65" s="145"/>
      <c r="MLR65" s="145"/>
      <c r="MLS65" s="145"/>
      <c r="MLT65" s="145"/>
      <c r="MLU65" s="145"/>
      <c r="MLV65" s="145"/>
      <c r="MLW65" s="145"/>
      <c r="MLX65" s="145"/>
      <c r="MLY65" s="145"/>
      <c r="MLZ65" s="145"/>
      <c r="MMA65" s="145"/>
      <c r="MMB65" s="145"/>
      <c r="MMC65" s="145"/>
      <c r="MMD65" s="145"/>
      <c r="MME65" s="145"/>
      <c r="MMF65" s="145"/>
      <c r="MMG65" s="145"/>
      <c r="MMH65" s="145"/>
      <c r="MMI65" s="145"/>
      <c r="MMJ65" s="145"/>
      <c r="MMK65" s="145"/>
      <c r="MML65" s="145"/>
      <c r="MMM65" s="145"/>
      <c r="MMN65" s="145"/>
      <c r="MMO65" s="145"/>
      <c r="MMP65" s="145"/>
      <c r="MMQ65" s="145"/>
      <c r="MMR65" s="145"/>
      <c r="MMS65" s="145"/>
      <c r="MMT65" s="145"/>
      <c r="MMU65" s="145"/>
      <c r="MMV65" s="145"/>
      <c r="MMW65" s="145"/>
      <c r="MMX65" s="145"/>
      <c r="MMY65" s="145"/>
      <c r="MMZ65" s="145"/>
      <c r="MNA65" s="145"/>
      <c r="MNB65" s="145"/>
      <c r="MNC65" s="145"/>
      <c r="MND65" s="145"/>
      <c r="MNE65" s="145"/>
      <c r="MNF65" s="145"/>
      <c r="MNG65" s="145"/>
      <c r="MNH65" s="145"/>
      <c r="MNI65" s="145"/>
      <c r="MNJ65" s="145"/>
      <c r="MNK65" s="145"/>
      <c r="MNL65" s="145"/>
      <c r="MNM65" s="145"/>
      <c r="MNN65" s="145"/>
      <c r="MNO65" s="145"/>
      <c r="MNP65" s="145"/>
      <c r="MNQ65" s="145"/>
      <c r="MNR65" s="145"/>
      <c r="MNS65" s="145"/>
      <c r="MNT65" s="145"/>
      <c r="MNU65" s="145"/>
      <c r="MNV65" s="145"/>
      <c r="MNW65" s="145"/>
      <c r="MNX65" s="145"/>
      <c r="MNY65" s="145"/>
      <c r="MNZ65" s="145"/>
      <c r="MOA65" s="145"/>
      <c r="MOB65" s="145"/>
      <c r="MOC65" s="145"/>
      <c r="MOD65" s="145"/>
      <c r="MOE65" s="145"/>
      <c r="MOF65" s="145"/>
      <c r="MOG65" s="145"/>
      <c r="MOH65" s="145"/>
      <c r="MOI65" s="145"/>
      <c r="MOJ65" s="145"/>
      <c r="MOK65" s="145"/>
      <c r="MOL65" s="145"/>
      <c r="MOM65" s="145"/>
      <c r="MON65" s="145"/>
      <c r="MOO65" s="145"/>
      <c r="MOP65" s="145"/>
      <c r="MOQ65" s="145"/>
      <c r="MOR65" s="145"/>
      <c r="MOS65" s="145"/>
      <c r="MOT65" s="145"/>
      <c r="MOU65" s="145"/>
      <c r="MOV65" s="145"/>
      <c r="MOW65" s="145"/>
      <c r="MOX65" s="145"/>
      <c r="MOY65" s="145"/>
      <c r="MOZ65" s="145"/>
      <c r="MPA65" s="145"/>
      <c r="MPB65" s="145"/>
      <c r="MPC65" s="145"/>
      <c r="MPD65" s="145"/>
      <c r="MPE65" s="145"/>
      <c r="MPF65" s="145"/>
      <c r="MPG65" s="145"/>
      <c r="MPH65" s="145"/>
      <c r="MPI65" s="145"/>
      <c r="MPJ65" s="145"/>
      <c r="MPK65" s="145"/>
      <c r="MPL65" s="145"/>
      <c r="MPM65" s="145"/>
      <c r="MPN65" s="145"/>
      <c r="MPO65" s="145"/>
      <c r="MPP65" s="145"/>
      <c r="MPQ65" s="145"/>
      <c r="MPR65" s="145"/>
      <c r="MPS65" s="145"/>
      <c r="MPT65" s="145"/>
      <c r="MPU65" s="145"/>
      <c r="MPV65" s="145"/>
      <c r="MPW65" s="145"/>
      <c r="MPX65" s="145"/>
      <c r="MPY65" s="145"/>
      <c r="MPZ65" s="145"/>
      <c r="MQA65" s="145"/>
      <c r="MQB65" s="145"/>
      <c r="MQC65" s="145"/>
      <c r="MQD65" s="145"/>
      <c r="MQE65" s="145"/>
      <c r="MQF65" s="145"/>
      <c r="MQG65" s="145"/>
      <c r="MQH65" s="145"/>
      <c r="MQI65" s="145"/>
      <c r="MQJ65" s="145"/>
      <c r="MQK65" s="145"/>
      <c r="MQL65" s="145"/>
      <c r="MQM65" s="145"/>
      <c r="MQN65" s="145"/>
      <c r="MQO65" s="145"/>
      <c r="MQP65" s="145"/>
      <c r="MQQ65" s="145"/>
      <c r="MQR65" s="145"/>
      <c r="MQS65" s="145"/>
      <c r="MQT65" s="145"/>
      <c r="MQU65" s="145"/>
      <c r="MQV65" s="145"/>
      <c r="MQW65" s="145"/>
      <c r="MQX65" s="145"/>
      <c r="MQY65" s="145"/>
      <c r="MQZ65" s="145"/>
      <c r="MRA65" s="145"/>
      <c r="MRB65" s="145"/>
      <c r="MRC65" s="145"/>
      <c r="MRD65" s="145"/>
      <c r="MRE65" s="145"/>
      <c r="MRF65" s="145"/>
      <c r="MRG65" s="145"/>
      <c r="MRH65" s="145"/>
      <c r="MRI65" s="145"/>
      <c r="MRJ65" s="145"/>
      <c r="MRK65" s="145"/>
      <c r="MRL65" s="145"/>
      <c r="MRM65" s="145"/>
      <c r="MRN65" s="145"/>
      <c r="MRO65" s="145"/>
      <c r="MRP65" s="145"/>
      <c r="MRQ65" s="145"/>
      <c r="MRR65" s="145"/>
      <c r="MRS65" s="145"/>
      <c r="MRT65" s="145"/>
      <c r="MRU65" s="145"/>
      <c r="MRV65" s="145"/>
      <c r="MRW65" s="145"/>
      <c r="MRX65" s="145"/>
      <c r="MRY65" s="145"/>
      <c r="MRZ65" s="145"/>
      <c r="MSA65" s="145"/>
      <c r="MSB65" s="145"/>
      <c r="MSC65" s="145"/>
      <c r="MSD65" s="145"/>
      <c r="MSE65" s="145"/>
      <c r="MSF65" s="145"/>
      <c r="MSG65" s="145"/>
      <c r="MSH65" s="145"/>
      <c r="MSI65" s="145"/>
      <c r="MSJ65" s="145"/>
      <c r="MSK65" s="145"/>
      <c r="MSL65" s="145"/>
      <c r="MSM65" s="145"/>
      <c r="MSN65" s="145"/>
      <c r="MSO65" s="145"/>
      <c r="MSP65" s="145"/>
      <c r="MSQ65" s="145"/>
      <c r="MSR65" s="145"/>
      <c r="MSS65" s="145"/>
      <c r="MST65" s="145"/>
      <c r="MSU65" s="145"/>
      <c r="MSV65" s="145"/>
      <c r="MSW65" s="145"/>
      <c r="MSX65" s="145"/>
      <c r="MSY65" s="145"/>
      <c r="MSZ65" s="145"/>
      <c r="MTA65" s="145"/>
      <c r="MTB65" s="145"/>
      <c r="MTC65" s="145"/>
      <c r="MTD65" s="145"/>
      <c r="MTE65" s="145"/>
      <c r="MTF65" s="145"/>
      <c r="MTG65" s="145"/>
      <c r="MTH65" s="145"/>
      <c r="MTI65" s="145"/>
      <c r="MTJ65" s="145"/>
      <c r="MTK65" s="145"/>
      <c r="MTL65" s="145"/>
      <c r="MTM65" s="145"/>
      <c r="MTN65" s="145"/>
      <c r="MTO65" s="145"/>
      <c r="MTP65" s="145"/>
      <c r="MTQ65" s="145"/>
      <c r="MTR65" s="145"/>
      <c r="MTS65" s="145"/>
      <c r="MTT65" s="145"/>
      <c r="MTU65" s="145"/>
      <c r="MTV65" s="145"/>
      <c r="MTW65" s="145"/>
      <c r="MTX65" s="145"/>
      <c r="MTY65" s="145"/>
      <c r="MTZ65" s="145"/>
      <c r="MUA65" s="145"/>
      <c r="MUB65" s="145"/>
      <c r="MUC65" s="145"/>
      <c r="MUD65" s="145"/>
      <c r="MUE65" s="145"/>
      <c r="MUF65" s="145"/>
      <c r="MUG65" s="145"/>
      <c r="MUH65" s="145"/>
      <c r="MUI65" s="145"/>
      <c r="MUJ65" s="145"/>
      <c r="MUK65" s="145"/>
      <c r="MUL65" s="145"/>
      <c r="MUM65" s="145"/>
      <c r="MUN65" s="145"/>
      <c r="MUO65" s="145"/>
      <c r="MUP65" s="145"/>
      <c r="MUQ65" s="145"/>
      <c r="MUR65" s="145"/>
      <c r="MUS65" s="145"/>
      <c r="MUT65" s="145"/>
      <c r="MUU65" s="145"/>
      <c r="MUV65" s="145"/>
      <c r="MUW65" s="145"/>
      <c r="MUX65" s="145"/>
      <c r="MUY65" s="145"/>
      <c r="MUZ65" s="145"/>
      <c r="MVA65" s="145"/>
      <c r="MVB65" s="145"/>
      <c r="MVC65" s="145"/>
      <c r="MVD65" s="145"/>
      <c r="MVE65" s="145"/>
      <c r="MVF65" s="145"/>
      <c r="MVG65" s="145"/>
      <c r="MVH65" s="145"/>
      <c r="MVI65" s="145"/>
      <c r="MVJ65" s="145"/>
      <c r="MVK65" s="145"/>
      <c r="MVL65" s="145"/>
      <c r="MVM65" s="145"/>
      <c r="MVN65" s="145"/>
      <c r="MVO65" s="145"/>
      <c r="MVP65" s="145"/>
      <c r="MVQ65" s="145"/>
      <c r="MVR65" s="145"/>
      <c r="MVS65" s="145"/>
      <c r="MVT65" s="145"/>
      <c r="MVU65" s="145"/>
      <c r="MVV65" s="145"/>
      <c r="MVW65" s="145"/>
      <c r="MVX65" s="145"/>
      <c r="MVY65" s="145"/>
      <c r="MVZ65" s="145"/>
      <c r="MWA65" s="145"/>
      <c r="MWB65" s="145"/>
      <c r="MWC65" s="145"/>
      <c r="MWD65" s="145"/>
      <c r="MWE65" s="145"/>
      <c r="MWF65" s="145"/>
      <c r="MWG65" s="145"/>
      <c r="MWH65" s="145"/>
      <c r="MWI65" s="145"/>
      <c r="MWJ65" s="145"/>
      <c r="MWK65" s="145"/>
      <c r="MWL65" s="145"/>
      <c r="MWM65" s="145"/>
      <c r="MWN65" s="145"/>
      <c r="MWO65" s="145"/>
      <c r="MWP65" s="145"/>
      <c r="MWQ65" s="145"/>
      <c r="MWR65" s="145"/>
      <c r="MWS65" s="145"/>
      <c r="MWT65" s="145"/>
      <c r="MWU65" s="145"/>
      <c r="MWV65" s="145"/>
      <c r="MWW65" s="145"/>
      <c r="MWX65" s="145"/>
      <c r="MWY65" s="145"/>
      <c r="MWZ65" s="145"/>
      <c r="MXA65" s="145"/>
      <c r="MXB65" s="145"/>
      <c r="MXC65" s="145"/>
      <c r="MXD65" s="145"/>
      <c r="MXE65" s="145"/>
      <c r="MXF65" s="145"/>
      <c r="MXG65" s="145"/>
      <c r="MXH65" s="145"/>
      <c r="MXI65" s="145"/>
      <c r="MXJ65" s="145"/>
      <c r="MXK65" s="145"/>
      <c r="MXL65" s="145"/>
      <c r="MXM65" s="145"/>
      <c r="MXN65" s="145"/>
      <c r="MXO65" s="145"/>
      <c r="MXP65" s="145"/>
      <c r="MXQ65" s="145"/>
      <c r="MXR65" s="145"/>
      <c r="MXS65" s="145"/>
      <c r="MXT65" s="145"/>
      <c r="MXU65" s="145"/>
      <c r="MXV65" s="145"/>
      <c r="MXW65" s="145"/>
      <c r="MXX65" s="145"/>
      <c r="MXY65" s="145"/>
      <c r="MXZ65" s="145"/>
      <c r="MYA65" s="145"/>
      <c r="MYB65" s="145"/>
      <c r="MYC65" s="145"/>
      <c r="MYD65" s="145"/>
      <c r="MYE65" s="145"/>
      <c r="MYF65" s="145"/>
      <c r="MYG65" s="145"/>
      <c r="MYH65" s="145"/>
      <c r="MYI65" s="145"/>
      <c r="MYJ65" s="145"/>
      <c r="MYK65" s="145"/>
      <c r="MYL65" s="145"/>
      <c r="MYM65" s="145"/>
      <c r="MYN65" s="145"/>
      <c r="MYO65" s="145"/>
      <c r="MYP65" s="145"/>
      <c r="MYQ65" s="145"/>
      <c r="MYR65" s="145"/>
      <c r="MYS65" s="145"/>
      <c r="MYT65" s="145"/>
      <c r="MYU65" s="145"/>
      <c r="MYV65" s="145"/>
      <c r="MYW65" s="145"/>
      <c r="MYX65" s="145"/>
      <c r="MYY65" s="145"/>
      <c r="MYZ65" s="145"/>
      <c r="MZA65" s="145"/>
      <c r="MZB65" s="145"/>
      <c r="MZC65" s="145"/>
      <c r="MZD65" s="145"/>
      <c r="MZE65" s="145"/>
      <c r="MZF65" s="145"/>
      <c r="MZG65" s="145"/>
      <c r="MZH65" s="145"/>
      <c r="MZI65" s="145"/>
      <c r="MZJ65" s="145"/>
      <c r="MZK65" s="145"/>
      <c r="MZL65" s="145"/>
      <c r="MZM65" s="145"/>
      <c r="MZN65" s="145"/>
      <c r="MZO65" s="145"/>
      <c r="MZP65" s="145"/>
      <c r="MZQ65" s="145"/>
      <c r="MZR65" s="145"/>
      <c r="MZS65" s="145"/>
      <c r="MZT65" s="145"/>
      <c r="MZU65" s="145"/>
      <c r="MZV65" s="145"/>
      <c r="MZW65" s="145"/>
      <c r="MZX65" s="145"/>
      <c r="MZY65" s="145"/>
      <c r="MZZ65" s="145"/>
      <c r="NAA65" s="145"/>
      <c r="NAB65" s="145"/>
      <c r="NAC65" s="145"/>
      <c r="NAD65" s="145"/>
      <c r="NAE65" s="145"/>
      <c r="NAF65" s="145"/>
      <c r="NAG65" s="145"/>
      <c r="NAH65" s="145"/>
      <c r="NAI65" s="145"/>
      <c r="NAJ65" s="145"/>
      <c r="NAK65" s="145"/>
      <c r="NAL65" s="145"/>
      <c r="NAM65" s="145"/>
      <c r="NAN65" s="145"/>
      <c r="NAO65" s="145"/>
      <c r="NAP65" s="145"/>
      <c r="NAQ65" s="145"/>
      <c r="NAR65" s="145"/>
      <c r="NAS65" s="145"/>
      <c r="NAT65" s="145"/>
      <c r="NAU65" s="145"/>
      <c r="NAV65" s="145"/>
      <c r="NAW65" s="145"/>
      <c r="NAX65" s="145"/>
      <c r="NAY65" s="145"/>
      <c r="NAZ65" s="145"/>
      <c r="NBA65" s="145"/>
      <c r="NBB65" s="145"/>
      <c r="NBC65" s="145"/>
      <c r="NBD65" s="145"/>
      <c r="NBE65" s="145"/>
      <c r="NBF65" s="145"/>
      <c r="NBG65" s="145"/>
      <c r="NBH65" s="145"/>
      <c r="NBI65" s="145"/>
      <c r="NBJ65" s="145"/>
      <c r="NBK65" s="145"/>
      <c r="NBL65" s="145"/>
      <c r="NBM65" s="145"/>
      <c r="NBN65" s="145"/>
      <c r="NBO65" s="145"/>
      <c r="NBP65" s="145"/>
      <c r="NBQ65" s="145"/>
      <c r="NBR65" s="145"/>
      <c r="NBS65" s="145"/>
      <c r="NBT65" s="145"/>
      <c r="NBU65" s="145"/>
      <c r="NBV65" s="145"/>
      <c r="NBW65" s="145"/>
      <c r="NBX65" s="145"/>
      <c r="NBY65" s="145"/>
      <c r="NBZ65" s="145"/>
      <c r="NCA65" s="145"/>
      <c r="NCB65" s="145"/>
      <c r="NCC65" s="145"/>
      <c r="NCD65" s="145"/>
      <c r="NCE65" s="145"/>
      <c r="NCF65" s="145"/>
      <c r="NCG65" s="145"/>
      <c r="NCH65" s="145"/>
      <c r="NCI65" s="145"/>
      <c r="NCJ65" s="145"/>
      <c r="NCK65" s="145"/>
      <c r="NCL65" s="145"/>
      <c r="NCM65" s="145"/>
      <c r="NCN65" s="145"/>
      <c r="NCO65" s="145"/>
      <c r="NCP65" s="145"/>
      <c r="NCQ65" s="145"/>
      <c r="NCR65" s="145"/>
      <c r="NCS65" s="145"/>
      <c r="NCT65" s="145"/>
      <c r="NCU65" s="145"/>
      <c r="NCV65" s="145"/>
      <c r="NCW65" s="145"/>
      <c r="NCX65" s="145"/>
      <c r="NCY65" s="145"/>
      <c r="NCZ65" s="145"/>
      <c r="NDA65" s="145"/>
      <c r="NDB65" s="145"/>
      <c r="NDC65" s="145"/>
      <c r="NDD65" s="145"/>
      <c r="NDE65" s="145"/>
      <c r="NDF65" s="145"/>
      <c r="NDG65" s="145"/>
      <c r="NDH65" s="145"/>
      <c r="NDI65" s="145"/>
      <c r="NDJ65" s="145"/>
      <c r="NDK65" s="145"/>
      <c r="NDL65" s="145"/>
      <c r="NDM65" s="145"/>
      <c r="NDN65" s="145"/>
      <c r="NDO65" s="145"/>
      <c r="NDP65" s="145"/>
      <c r="NDQ65" s="145"/>
      <c r="NDR65" s="145"/>
      <c r="NDS65" s="145"/>
      <c r="NDT65" s="145"/>
      <c r="NDU65" s="145"/>
      <c r="NDV65" s="145"/>
      <c r="NDW65" s="145"/>
      <c r="NDX65" s="145"/>
      <c r="NDY65" s="145"/>
      <c r="NDZ65" s="145"/>
      <c r="NEA65" s="145"/>
      <c r="NEB65" s="145"/>
      <c r="NEC65" s="145"/>
      <c r="NED65" s="145"/>
      <c r="NEE65" s="145"/>
      <c r="NEF65" s="145"/>
      <c r="NEG65" s="145"/>
      <c r="NEH65" s="145"/>
      <c r="NEI65" s="145"/>
      <c r="NEJ65" s="145"/>
      <c r="NEK65" s="145"/>
      <c r="NEL65" s="145"/>
      <c r="NEM65" s="145"/>
      <c r="NEN65" s="145"/>
      <c r="NEO65" s="145"/>
      <c r="NEP65" s="145"/>
      <c r="NEQ65" s="145"/>
      <c r="NER65" s="145"/>
      <c r="NES65" s="145"/>
      <c r="NET65" s="145"/>
      <c r="NEU65" s="145"/>
      <c r="NEV65" s="145"/>
      <c r="NEW65" s="145"/>
      <c r="NEX65" s="145"/>
      <c r="NEY65" s="145"/>
      <c r="NEZ65" s="145"/>
      <c r="NFA65" s="145"/>
      <c r="NFB65" s="145"/>
      <c r="NFC65" s="145"/>
      <c r="NFD65" s="145"/>
      <c r="NFE65" s="145"/>
      <c r="NFF65" s="145"/>
      <c r="NFG65" s="145"/>
      <c r="NFH65" s="145"/>
      <c r="NFI65" s="145"/>
      <c r="NFJ65" s="145"/>
      <c r="NFK65" s="145"/>
      <c r="NFL65" s="145"/>
      <c r="NFM65" s="145"/>
      <c r="NFN65" s="145"/>
      <c r="NFO65" s="145"/>
      <c r="NFP65" s="145"/>
      <c r="NFQ65" s="145"/>
      <c r="NFR65" s="145"/>
      <c r="NFS65" s="145"/>
      <c r="NFT65" s="145"/>
      <c r="NFU65" s="145"/>
      <c r="NFV65" s="145"/>
      <c r="NFW65" s="145"/>
      <c r="NFX65" s="145"/>
      <c r="NFY65" s="145"/>
      <c r="NFZ65" s="145"/>
      <c r="NGA65" s="145"/>
      <c r="NGB65" s="145"/>
      <c r="NGC65" s="145"/>
      <c r="NGD65" s="145"/>
      <c r="NGE65" s="145"/>
      <c r="NGF65" s="145"/>
      <c r="NGG65" s="145"/>
      <c r="NGH65" s="145"/>
      <c r="NGI65" s="145"/>
      <c r="NGJ65" s="145"/>
      <c r="NGK65" s="145"/>
      <c r="NGL65" s="145"/>
      <c r="NGM65" s="145"/>
      <c r="NGN65" s="145"/>
      <c r="NGO65" s="145"/>
      <c r="NGP65" s="145"/>
      <c r="NGQ65" s="145"/>
      <c r="NGR65" s="145"/>
      <c r="NGS65" s="145"/>
      <c r="NGT65" s="145"/>
      <c r="NGU65" s="145"/>
      <c r="NGV65" s="145"/>
      <c r="NGW65" s="145"/>
      <c r="NGX65" s="145"/>
      <c r="NGY65" s="145"/>
      <c r="NGZ65" s="145"/>
      <c r="NHA65" s="145"/>
      <c r="NHB65" s="145"/>
      <c r="NHC65" s="145"/>
      <c r="NHD65" s="145"/>
      <c r="NHE65" s="145"/>
      <c r="NHF65" s="145"/>
      <c r="NHG65" s="145"/>
      <c r="NHH65" s="145"/>
      <c r="NHI65" s="145"/>
      <c r="NHJ65" s="145"/>
      <c r="NHK65" s="145"/>
      <c r="NHL65" s="145"/>
      <c r="NHM65" s="145"/>
      <c r="NHN65" s="145"/>
      <c r="NHO65" s="145"/>
      <c r="NHP65" s="145"/>
      <c r="NHQ65" s="145"/>
      <c r="NHR65" s="145"/>
      <c r="NHS65" s="145"/>
      <c r="NHT65" s="145"/>
      <c r="NHU65" s="145"/>
      <c r="NHV65" s="145"/>
      <c r="NHW65" s="145"/>
      <c r="NHX65" s="145"/>
      <c r="NHY65" s="145"/>
      <c r="NHZ65" s="145"/>
      <c r="NIA65" s="145"/>
      <c r="NIB65" s="145"/>
      <c r="NIC65" s="145"/>
      <c r="NID65" s="145"/>
      <c r="NIE65" s="145"/>
      <c r="NIF65" s="145"/>
      <c r="NIG65" s="145"/>
      <c r="NIH65" s="145"/>
      <c r="NII65" s="145"/>
      <c r="NIJ65" s="145"/>
      <c r="NIK65" s="145"/>
      <c r="NIL65" s="145"/>
      <c r="NIM65" s="145"/>
      <c r="NIN65" s="145"/>
      <c r="NIO65" s="145"/>
      <c r="NIP65" s="145"/>
      <c r="NIQ65" s="145"/>
      <c r="NIR65" s="145"/>
      <c r="NIS65" s="145"/>
      <c r="NIT65" s="145"/>
      <c r="NIU65" s="145"/>
      <c r="NIV65" s="145"/>
      <c r="NIW65" s="145"/>
      <c r="NIX65" s="145"/>
      <c r="NIY65" s="145"/>
      <c r="NIZ65" s="145"/>
      <c r="NJA65" s="145"/>
      <c r="NJB65" s="145"/>
      <c r="NJC65" s="145"/>
      <c r="NJD65" s="145"/>
      <c r="NJE65" s="145"/>
      <c r="NJF65" s="145"/>
      <c r="NJG65" s="145"/>
      <c r="NJH65" s="145"/>
      <c r="NJI65" s="145"/>
      <c r="NJJ65" s="145"/>
      <c r="NJK65" s="145"/>
      <c r="NJL65" s="145"/>
      <c r="NJM65" s="145"/>
      <c r="NJN65" s="145"/>
      <c r="NJO65" s="145"/>
      <c r="NJP65" s="145"/>
      <c r="NJQ65" s="145"/>
      <c r="NJR65" s="145"/>
      <c r="NJS65" s="145"/>
      <c r="NJT65" s="145"/>
      <c r="NJU65" s="145"/>
      <c r="NJV65" s="145"/>
      <c r="NJW65" s="145"/>
      <c r="NJX65" s="145"/>
      <c r="NJY65" s="145"/>
      <c r="NJZ65" s="145"/>
      <c r="NKA65" s="145"/>
      <c r="NKB65" s="145"/>
      <c r="NKC65" s="145"/>
      <c r="NKD65" s="145"/>
      <c r="NKE65" s="145"/>
      <c r="NKF65" s="145"/>
      <c r="NKG65" s="145"/>
      <c r="NKH65" s="145"/>
      <c r="NKI65" s="145"/>
      <c r="NKJ65" s="145"/>
      <c r="NKK65" s="145"/>
      <c r="NKL65" s="145"/>
      <c r="NKM65" s="145"/>
      <c r="NKN65" s="145"/>
      <c r="NKO65" s="145"/>
      <c r="NKP65" s="145"/>
      <c r="NKQ65" s="145"/>
      <c r="NKR65" s="145"/>
      <c r="NKS65" s="145"/>
      <c r="NKT65" s="145"/>
      <c r="NKU65" s="145"/>
      <c r="NKV65" s="145"/>
      <c r="NKW65" s="145"/>
      <c r="NKX65" s="145"/>
      <c r="NKY65" s="145"/>
      <c r="NKZ65" s="145"/>
      <c r="NLA65" s="145"/>
      <c r="NLB65" s="145"/>
      <c r="NLC65" s="145"/>
      <c r="NLD65" s="145"/>
      <c r="NLE65" s="145"/>
      <c r="NLF65" s="145"/>
      <c r="NLG65" s="145"/>
      <c r="NLH65" s="145"/>
      <c r="NLI65" s="145"/>
      <c r="NLJ65" s="145"/>
      <c r="NLK65" s="145"/>
      <c r="NLL65" s="145"/>
      <c r="NLM65" s="145"/>
      <c r="NLN65" s="145"/>
      <c r="NLO65" s="145"/>
      <c r="NLP65" s="145"/>
      <c r="NLQ65" s="145"/>
      <c r="NLR65" s="145"/>
      <c r="NLS65" s="145"/>
      <c r="NLT65" s="145"/>
      <c r="NLU65" s="145"/>
      <c r="NLV65" s="145"/>
      <c r="NLW65" s="145"/>
      <c r="NLX65" s="145"/>
      <c r="NLY65" s="145"/>
      <c r="NLZ65" s="145"/>
      <c r="NMA65" s="145"/>
      <c r="NMB65" s="145"/>
      <c r="NMC65" s="145"/>
      <c r="NMD65" s="145"/>
      <c r="NME65" s="145"/>
      <c r="NMF65" s="145"/>
      <c r="NMG65" s="145"/>
      <c r="NMH65" s="145"/>
      <c r="NMI65" s="145"/>
      <c r="NMJ65" s="145"/>
      <c r="NMK65" s="145"/>
      <c r="NML65" s="145"/>
      <c r="NMM65" s="145"/>
      <c r="NMN65" s="145"/>
      <c r="NMO65" s="145"/>
      <c r="NMP65" s="145"/>
      <c r="NMQ65" s="145"/>
      <c r="NMR65" s="145"/>
      <c r="NMS65" s="145"/>
      <c r="NMT65" s="145"/>
      <c r="NMU65" s="145"/>
      <c r="NMV65" s="145"/>
      <c r="NMW65" s="145"/>
      <c r="NMX65" s="145"/>
      <c r="NMY65" s="145"/>
      <c r="NMZ65" s="145"/>
      <c r="NNA65" s="145"/>
      <c r="NNB65" s="145"/>
      <c r="NNC65" s="145"/>
      <c r="NND65" s="145"/>
      <c r="NNE65" s="145"/>
      <c r="NNF65" s="145"/>
      <c r="NNG65" s="145"/>
      <c r="NNH65" s="145"/>
      <c r="NNI65" s="145"/>
      <c r="NNJ65" s="145"/>
      <c r="NNK65" s="145"/>
      <c r="NNL65" s="145"/>
      <c r="NNM65" s="145"/>
      <c r="NNN65" s="145"/>
      <c r="NNO65" s="145"/>
      <c r="NNP65" s="145"/>
      <c r="NNQ65" s="145"/>
      <c r="NNR65" s="145"/>
      <c r="NNS65" s="145"/>
      <c r="NNT65" s="145"/>
      <c r="NNU65" s="145"/>
      <c r="NNV65" s="145"/>
      <c r="NNW65" s="145"/>
      <c r="NNX65" s="145"/>
      <c r="NNY65" s="145"/>
      <c r="NNZ65" s="145"/>
      <c r="NOA65" s="145"/>
      <c r="NOB65" s="145"/>
      <c r="NOC65" s="145"/>
      <c r="NOD65" s="145"/>
      <c r="NOE65" s="145"/>
      <c r="NOF65" s="145"/>
      <c r="NOG65" s="145"/>
      <c r="NOH65" s="145"/>
      <c r="NOI65" s="145"/>
      <c r="NOJ65" s="145"/>
      <c r="NOK65" s="145"/>
      <c r="NOL65" s="145"/>
      <c r="NOM65" s="145"/>
      <c r="NON65" s="145"/>
      <c r="NOO65" s="145"/>
      <c r="NOP65" s="145"/>
      <c r="NOQ65" s="145"/>
      <c r="NOR65" s="145"/>
      <c r="NOS65" s="145"/>
      <c r="NOT65" s="145"/>
      <c r="NOU65" s="145"/>
      <c r="NOV65" s="145"/>
      <c r="NOW65" s="145"/>
      <c r="NOX65" s="145"/>
      <c r="NOY65" s="145"/>
      <c r="NOZ65" s="145"/>
      <c r="NPA65" s="145"/>
      <c r="NPB65" s="145"/>
      <c r="NPC65" s="145"/>
      <c r="NPD65" s="145"/>
      <c r="NPE65" s="145"/>
      <c r="NPF65" s="145"/>
      <c r="NPG65" s="145"/>
      <c r="NPH65" s="145"/>
      <c r="NPI65" s="145"/>
      <c r="NPJ65" s="145"/>
      <c r="NPK65" s="145"/>
      <c r="NPL65" s="145"/>
      <c r="NPM65" s="145"/>
      <c r="NPN65" s="145"/>
      <c r="NPO65" s="145"/>
      <c r="NPP65" s="145"/>
      <c r="NPQ65" s="145"/>
      <c r="NPR65" s="145"/>
      <c r="NPS65" s="145"/>
      <c r="NPT65" s="145"/>
      <c r="NPU65" s="145"/>
      <c r="NPV65" s="145"/>
      <c r="NPW65" s="145"/>
      <c r="NPX65" s="145"/>
      <c r="NPY65" s="145"/>
      <c r="NPZ65" s="145"/>
      <c r="NQA65" s="145"/>
      <c r="NQB65" s="145"/>
      <c r="NQC65" s="145"/>
      <c r="NQD65" s="145"/>
      <c r="NQE65" s="145"/>
      <c r="NQF65" s="145"/>
      <c r="NQG65" s="145"/>
      <c r="NQH65" s="145"/>
      <c r="NQI65" s="145"/>
      <c r="NQJ65" s="145"/>
      <c r="NQK65" s="145"/>
      <c r="NQL65" s="145"/>
      <c r="NQM65" s="145"/>
      <c r="NQN65" s="145"/>
      <c r="NQO65" s="145"/>
      <c r="NQP65" s="145"/>
      <c r="NQQ65" s="145"/>
      <c r="NQR65" s="145"/>
      <c r="NQS65" s="145"/>
      <c r="NQT65" s="145"/>
      <c r="NQU65" s="145"/>
      <c r="NQV65" s="145"/>
      <c r="NQW65" s="145"/>
      <c r="NQX65" s="145"/>
      <c r="NQY65" s="145"/>
      <c r="NQZ65" s="145"/>
      <c r="NRA65" s="145"/>
      <c r="NRB65" s="145"/>
      <c r="NRC65" s="145"/>
      <c r="NRD65" s="145"/>
      <c r="NRE65" s="145"/>
      <c r="NRF65" s="145"/>
      <c r="NRG65" s="145"/>
      <c r="NRH65" s="145"/>
      <c r="NRI65" s="145"/>
      <c r="NRJ65" s="145"/>
      <c r="NRK65" s="145"/>
      <c r="NRL65" s="145"/>
      <c r="NRM65" s="145"/>
      <c r="NRN65" s="145"/>
      <c r="NRO65" s="145"/>
      <c r="NRP65" s="145"/>
      <c r="NRQ65" s="145"/>
      <c r="NRR65" s="145"/>
      <c r="NRS65" s="145"/>
      <c r="NRT65" s="145"/>
      <c r="NRU65" s="145"/>
      <c r="NRV65" s="145"/>
      <c r="NRW65" s="145"/>
      <c r="NRX65" s="145"/>
      <c r="NRY65" s="145"/>
      <c r="NRZ65" s="145"/>
      <c r="NSA65" s="145"/>
      <c r="NSB65" s="145"/>
      <c r="NSC65" s="145"/>
      <c r="NSD65" s="145"/>
      <c r="NSE65" s="145"/>
      <c r="NSF65" s="145"/>
      <c r="NSG65" s="145"/>
      <c r="NSH65" s="145"/>
      <c r="NSI65" s="145"/>
      <c r="NSJ65" s="145"/>
      <c r="NSK65" s="145"/>
      <c r="NSL65" s="145"/>
      <c r="NSM65" s="145"/>
      <c r="NSN65" s="145"/>
      <c r="NSO65" s="145"/>
      <c r="NSP65" s="145"/>
      <c r="NSQ65" s="145"/>
      <c r="NSR65" s="145"/>
      <c r="NSS65" s="145"/>
      <c r="NST65" s="145"/>
      <c r="NSU65" s="145"/>
      <c r="NSV65" s="145"/>
      <c r="NSW65" s="145"/>
      <c r="NSX65" s="145"/>
      <c r="NSY65" s="145"/>
      <c r="NSZ65" s="145"/>
      <c r="NTA65" s="145"/>
      <c r="NTB65" s="145"/>
      <c r="NTC65" s="145"/>
      <c r="NTD65" s="145"/>
      <c r="NTE65" s="145"/>
      <c r="NTF65" s="145"/>
      <c r="NTG65" s="145"/>
      <c r="NTH65" s="145"/>
      <c r="NTI65" s="145"/>
      <c r="NTJ65" s="145"/>
      <c r="NTK65" s="145"/>
      <c r="NTL65" s="145"/>
      <c r="NTM65" s="145"/>
      <c r="NTN65" s="145"/>
      <c r="NTO65" s="145"/>
      <c r="NTP65" s="145"/>
      <c r="NTQ65" s="145"/>
      <c r="NTR65" s="145"/>
      <c r="NTS65" s="145"/>
      <c r="NTT65" s="145"/>
      <c r="NTU65" s="145"/>
      <c r="NTV65" s="145"/>
      <c r="NTW65" s="145"/>
      <c r="NTX65" s="145"/>
      <c r="NTY65" s="145"/>
      <c r="NTZ65" s="145"/>
      <c r="NUA65" s="145"/>
      <c r="NUB65" s="145"/>
      <c r="NUC65" s="145"/>
      <c r="NUD65" s="145"/>
      <c r="NUE65" s="145"/>
      <c r="NUF65" s="145"/>
      <c r="NUG65" s="145"/>
      <c r="NUH65" s="145"/>
      <c r="NUI65" s="145"/>
      <c r="NUJ65" s="145"/>
      <c r="NUK65" s="145"/>
      <c r="NUL65" s="145"/>
      <c r="NUM65" s="145"/>
      <c r="NUN65" s="145"/>
      <c r="NUO65" s="145"/>
      <c r="NUP65" s="145"/>
      <c r="NUQ65" s="145"/>
      <c r="NUR65" s="145"/>
      <c r="NUS65" s="145"/>
      <c r="NUT65" s="145"/>
      <c r="NUU65" s="145"/>
      <c r="NUV65" s="145"/>
      <c r="NUW65" s="145"/>
      <c r="NUX65" s="145"/>
      <c r="NUY65" s="145"/>
      <c r="NUZ65" s="145"/>
      <c r="NVA65" s="145"/>
      <c r="NVB65" s="145"/>
      <c r="NVC65" s="145"/>
      <c r="NVD65" s="145"/>
      <c r="NVE65" s="145"/>
      <c r="NVF65" s="145"/>
      <c r="NVG65" s="145"/>
      <c r="NVH65" s="145"/>
      <c r="NVI65" s="145"/>
      <c r="NVJ65" s="145"/>
      <c r="NVK65" s="145"/>
      <c r="NVL65" s="145"/>
      <c r="NVM65" s="145"/>
      <c r="NVN65" s="145"/>
      <c r="NVO65" s="145"/>
      <c r="NVP65" s="145"/>
      <c r="NVQ65" s="145"/>
      <c r="NVR65" s="145"/>
      <c r="NVS65" s="145"/>
      <c r="NVT65" s="145"/>
      <c r="NVU65" s="145"/>
      <c r="NVV65" s="145"/>
      <c r="NVW65" s="145"/>
      <c r="NVX65" s="145"/>
      <c r="NVY65" s="145"/>
      <c r="NVZ65" s="145"/>
      <c r="NWA65" s="145"/>
      <c r="NWB65" s="145"/>
      <c r="NWC65" s="145"/>
      <c r="NWD65" s="145"/>
      <c r="NWE65" s="145"/>
      <c r="NWF65" s="145"/>
      <c r="NWG65" s="145"/>
      <c r="NWH65" s="145"/>
      <c r="NWI65" s="145"/>
      <c r="NWJ65" s="145"/>
      <c r="NWK65" s="145"/>
      <c r="NWL65" s="145"/>
      <c r="NWM65" s="145"/>
      <c r="NWN65" s="145"/>
      <c r="NWO65" s="145"/>
      <c r="NWP65" s="145"/>
      <c r="NWQ65" s="145"/>
      <c r="NWR65" s="145"/>
      <c r="NWS65" s="145"/>
      <c r="NWT65" s="145"/>
      <c r="NWU65" s="145"/>
      <c r="NWV65" s="145"/>
      <c r="NWW65" s="145"/>
      <c r="NWX65" s="145"/>
      <c r="NWY65" s="145"/>
      <c r="NWZ65" s="145"/>
      <c r="NXA65" s="145"/>
      <c r="NXB65" s="145"/>
      <c r="NXC65" s="145"/>
      <c r="NXD65" s="145"/>
      <c r="NXE65" s="145"/>
      <c r="NXF65" s="145"/>
      <c r="NXG65" s="145"/>
      <c r="NXH65" s="145"/>
      <c r="NXI65" s="145"/>
      <c r="NXJ65" s="145"/>
      <c r="NXK65" s="145"/>
      <c r="NXL65" s="145"/>
      <c r="NXM65" s="145"/>
      <c r="NXN65" s="145"/>
      <c r="NXO65" s="145"/>
      <c r="NXP65" s="145"/>
      <c r="NXQ65" s="145"/>
      <c r="NXR65" s="145"/>
      <c r="NXS65" s="145"/>
      <c r="NXT65" s="145"/>
      <c r="NXU65" s="145"/>
      <c r="NXV65" s="145"/>
      <c r="NXW65" s="145"/>
      <c r="NXX65" s="145"/>
      <c r="NXY65" s="145"/>
      <c r="NXZ65" s="145"/>
      <c r="NYA65" s="145"/>
      <c r="NYB65" s="145"/>
      <c r="NYC65" s="145"/>
      <c r="NYD65" s="145"/>
      <c r="NYE65" s="145"/>
      <c r="NYF65" s="145"/>
      <c r="NYG65" s="145"/>
      <c r="NYH65" s="145"/>
      <c r="NYI65" s="145"/>
      <c r="NYJ65" s="145"/>
      <c r="NYK65" s="145"/>
      <c r="NYL65" s="145"/>
      <c r="NYM65" s="145"/>
      <c r="NYN65" s="145"/>
      <c r="NYO65" s="145"/>
      <c r="NYP65" s="145"/>
      <c r="NYQ65" s="145"/>
      <c r="NYR65" s="145"/>
      <c r="NYS65" s="145"/>
      <c r="NYT65" s="145"/>
      <c r="NYU65" s="145"/>
      <c r="NYV65" s="145"/>
      <c r="NYW65" s="145"/>
      <c r="NYX65" s="145"/>
      <c r="NYY65" s="145"/>
      <c r="NYZ65" s="145"/>
      <c r="NZA65" s="145"/>
      <c r="NZB65" s="145"/>
      <c r="NZC65" s="145"/>
      <c r="NZD65" s="145"/>
      <c r="NZE65" s="145"/>
      <c r="NZF65" s="145"/>
      <c r="NZG65" s="145"/>
      <c r="NZH65" s="145"/>
      <c r="NZI65" s="145"/>
      <c r="NZJ65" s="145"/>
      <c r="NZK65" s="145"/>
      <c r="NZL65" s="145"/>
      <c r="NZM65" s="145"/>
      <c r="NZN65" s="145"/>
      <c r="NZO65" s="145"/>
      <c r="NZP65" s="145"/>
      <c r="NZQ65" s="145"/>
      <c r="NZR65" s="145"/>
      <c r="NZS65" s="145"/>
      <c r="NZT65" s="145"/>
      <c r="NZU65" s="145"/>
      <c r="NZV65" s="145"/>
      <c r="NZW65" s="145"/>
      <c r="NZX65" s="145"/>
      <c r="NZY65" s="145"/>
      <c r="NZZ65" s="145"/>
      <c r="OAA65" s="145"/>
      <c r="OAB65" s="145"/>
      <c r="OAC65" s="145"/>
      <c r="OAD65" s="145"/>
      <c r="OAE65" s="145"/>
      <c r="OAF65" s="145"/>
      <c r="OAG65" s="145"/>
      <c r="OAH65" s="145"/>
      <c r="OAI65" s="145"/>
      <c r="OAJ65" s="145"/>
      <c r="OAK65" s="145"/>
      <c r="OAL65" s="145"/>
      <c r="OAM65" s="145"/>
      <c r="OAN65" s="145"/>
      <c r="OAO65" s="145"/>
      <c r="OAP65" s="145"/>
      <c r="OAQ65" s="145"/>
      <c r="OAR65" s="145"/>
      <c r="OAS65" s="145"/>
      <c r="OAT65" s="145"/>
      <c r="OAU65" s="145"/>
      <c r="OAV65" s="145"/>
      <c r="OAW65" s="145"/>
      <c r="OAX65" s="145"/>
      <c r="OAY65" s="145"/>
      <c r="OAZ65" s="145"/>
      <c r="OBA65" s="145"/>
      <c r="OBB65" s="145"/>
      <c r="OBC65" s="145"/>
      <c r="OBD65" s="145"/>
      <c r="OBE65" s="145"/>
      <c r="OBF65" s="145"/>
      <c r="OBG65" s="145"/>
      <c r="OBH65" s="145"/>
      <c r="OBI65" s="145"/>
      <c r="OBJ65" s="145"/>
      <c r="OBK65" s="145"/>
      <c r="OBL65" s="145"/>
      <c r="OBM65" s="145"/>
      <c r="OBN65" s="145"/>
      <c r="OBO65" s="145"/>
      <c r="OBP65" s="145"/>
      <c r="OBQ65" s="145"/>
      <c r="OBR65" s="145"/>
      <c r="OBS65" s="145"/>
      <c r="OBT65" s="145"/>
      <c r="OBU65" s="145"/>
      <c r="OBV65" s="145"/>
      <c r="OBW65" s="145"/>
      <c r="OBX65" s="145"/>
      <c r="OBY65" s="145"/>
      <c r="OBZ65" s="145"/>
      <c r="OCA65" s="145"/>
      <c r="OCB65" s="145"/>
      <c r="OCC65" s="145"/>
      <c r="OCD65" s="145"/>
      <c r="OCE65" s="145"/>
      <c r="OCF65" s="145"/>
      <c r="OCG65" s="145"/>
      <c r="OCH65" s="145"/>
      <c r="OCI65" s="145"/>
      <c r="OCJ65" s="145"/>
      <c r="OCK65" s="145"/>
      <c r="OCL65" s="145"/>
      <c r="OCM65" s="145"/>
      <c r="OCN65" s="145"/>
      <c r="OCO65" s="145"/>
      <c r="OCP65" s="145"/>
      <c r="OCQ65" s="145"/>
      <c r="OCR65" s="145"/>
      <c r="OCS65" s="145"/>
      <c r="OCT65" s="145"/>
      <c r="OCU65" s="145"/>
      <c r="OCV65" s="145"/>
      <c r="OCW65" s="145"/>
      <c r="OCX65" s="145"/>
      <c r="OCY65" s="145"/>
      <c r="OCZ65" s="145"/>
      <c r="ODA65" s="145"/>
      <c r="ODB65" s="145"/>
      <c r="ODC65" s="145"/>
      <c r="ODD65" s="145"/>
      <c r="ODE65" s="145"/>
      <c r="ODF65" s="145"/>
      <c r="ODG65" s="145"/>
      <c r="ODH65" s="145"/>
      <c r="ODI65" s="145"/>
      <c r="ODJ65" s="145"/>
      <c r="ODK65" s="145"/>
      <c r="ODL65" s="145"/>
      <c r="ODM65" s="145"/>
      <c r="ODN65" s="145"/>
      <c r="ODO65" s="145"/>
      <c r="ODP65" s="145"/>
      <c r="ODQ65" s="145"/>
      <c r="ODR65" s="145"/>
      <c r="ODS65" s="145"/>
      <c r="ODT65" s="145"/>
      <c r="ODU65" s="145"/>
      <c r="ODV65" s="145"/>
      <c r="ODW65" s="145"/>
      <c r="ODX65" s="145"/>
      <c r="ODY65" s="145"/>
      <c r="ODZ65" s="145"/>
      <c r="OEA65" s="145"/>
      <c r="OEB65" s="145"/>
      <c r="OEC65" s="145"/>
      <c r="OED65" s="145"/>
      <c r="OEE65" s="145"/>
      <c r="OEF65" s="145"/>
      <c r="OEG65" s="145"/>
      <c r="OEH65" s="145"/>
      <c r="OEI65" s="145"/>
      <c r="OEJ65" s="145"/>
      <c r="OEK65" s="145"/>
      <c r="OEL65" s="145"/>
      <c r="OEM65" s="145"/>
      <c r="OEN65" s="145"/>
      <c r="OEO65" s="145"/>
      <c r="OEP65" s="145"/>
      <c r="OEQ65" s="145"/>
      <c r="OER65" s="145"/>
      <c r="OES65" s="145"/>
      <c r="OET65" s="145"/>
      <c r="OEU65" s="145"/>
      <c r="OEV65" s="145"/>
      <c r="OEW65" s="145"/>
      <c r="OEX65" s="145"/>
      <c r="OEY65" s="145"/>
      <c r="OEZ65" s="145"/>
      <c r="OFA65" s="145"/>
      <c r="OFB65" s="145"/>
      <c r="OFC65" s="145"/>
      <c r="OFD65" s="145"/>
      <c r="OFE65" s="145"/>
      <c r="OFF65" s="145"/>
      <c r="OFG65" s="145"/>
      <c r="OFH65" s="145"/>
      <c r="OFI65" s="145"/>
      <c r="OFJ65" s="145"/>
      <c r="OFK65" s="145"/>
      <c r="OFL65" s="145"/>
      <c r="OFM65" s="145"/>
      <c r="OFN65" s="145"/>
      <c r="OFO65" s="145"/>
      <c r="OFP65" s="145"/>
      <c r="OFQ65" s="145"/>
      <c r="OFR65" s="145"/>
      <c r="OFS65" s="145"/>
      <c r="OFT65" s="145"/>
      <c r="OFU65" s="145"/>
      <c r="OFV65" s="145"/>
      <c r="OFW65" s="145"/>
      <c r="OFX65" s="145"/>
      <c r="OFY65" s="145"/>
      <c r="OFZ65" s="145"/>
      <c r="OGA65" s="145"/>
      <c r="OGB65" s="145"/>
      <c r="OGC65" s="145"/>
      <c r="OGD65" s="145"/>
      <c r="OGE65" s="145"/>
      <c r="OGF65" s="145"/>
      <c r="OGG65" s="145"/>
      <c r="OGH65" s="145"/>
      <c r="OGI65" s="145"/>
      <c r="OGJ65" s="145"/>
      <c r="OGK65" s="145"/>
      <c r="OGL65" s="145"/>
      <c r="OGM65" s="145"/>
      <c r="OGN65" s="145"/>
      <c r="OGO65" s="145"/>
      <c r="OGP65" s="145"/>
      <c r="OGQ65" s="145"/>
      <c r="OGR65" s="145"/>
      <c r="OGS65" s="145"/>
      <c r="OGT65" s="145"/>
      <c r="OGU65" s="145"/>
      <c r="OGV65" s="145"/>
      <c r="OGW65" s="145"/>
      <c r="OGX65" s="145"/>
      <c r="OGY65" s="145"/>
      <c r="OGZ65" s="145"/>
      <c r="OHA65" s="145"/>
      <c r="OHB65" s="145"/>
      <c r="OHC65" s="145"/>
      <c r="OHD65" s="145"/>
      <c r="OHE65" s="145"/>
      <c r="OHF65" s="145"/>
      <c r="OHG65" s="145"/>
      <c r="OHH65" s="145"/>
      <c r="OHI65" s="145"/>
      <c r="OHJ65" s="145"/>
      <c r="OHK65" s="145"/>
      <c r="OHL65" s="145"/>
      <c r="OHM65" s="145"/>
      <c r="OHN65" s="145"/>
      <c r="OHO65" s="145"/>
      <c r="OHP65" s="145"/>
      <c r="OHQ65" s="145"/>
      <c r="OHR65" s="145"/>
      <c r="OHS65" s="145"/>
      <c r="OHT65" s="145"/>
      <c r="OHU65" s="145"/>
      <c r="OHV65" s="145"/>
      <c r="OHW65" s="145"/>
      <c r="OHX65" s="145"/>
      <c r="OHY65" s="145"/>
      <c r="OHZ65" s="145"/>
      <c r="OIA65" s="145"/>
      <c r="OIB65" s="145"/>
      <c r="OIC65" s="145"/>
      <c r="OID65" s="145"/>
      <c r="OIE65" s="145"/>
      <c r="OIF65" s="145"/>
      <c r="OIG65" s="145"/>
      <c r="OIH65" s="145"/>
      <c r="OII65" s="145"/>
      <c r="OIJ65" s="145"/>
      <c r="OIK65" s="145"/>
      <c r="OIL65" s="145"/>
      <c r="OIM65" s="145"/>
      <c r="OIN65" s="145"/>
      <c r="OIO65" s="145"/>
      <c r="OIP65" s="145"/>
      <c r="OIQ65" s="145"/>
      <c r="OIR65" s="145"/>
      <c r="OIS65" s="145"/>
      <c r="OIT65" s="145"/>
      <c r="OIU65" s="145"/>
      <c r="OIV65" s="145"/>
      <c r="OIW65" s="145"/>
      <c r="OIX65" s="145"/>
      <c r="OIY65" s="145"/>
      <c r="OIZ65" s="145"/>
      <c r="OJA65" s="145"/>
      <c r="OJB65" s="145"/>
      <c r="OJC65" s="145"/>
      <c r="OJD65" s="145"/>
      <c r="OJE65" s="145"/>
      <c r="OJF65" s="145"/>
      <c r="OJG65" s="145"/>
      <c r="OJH65" s="145"/>
      <c r="OJI65" s="145"/>
      <c r="OJJ65" s="145"/>
      <c r="OJK65" s="145"/>
      <c r="OJL65" s="145"/>
      <c r="OJM65" s="145"/>
      <c r="OJN65" s="145"/>
      <c r="OJO65" s="145"/>
      <c r="OJP65" s="145"/>
      <c r="OJQ65" s="145"/>
      <c r="OJR65" s="145"/>
      <c r="OJS65" s="145"/>
      <c r="OJT65" s="145"/>
      <c r="OJU65" s="145"/>
      <c r="OJV65" s="145"/>
      <c r="OJW65" s="145"/>
      <c r="OJX65" s="145"/>
      <c r="OJY65" s="145"/>
      <c r="OJZ65" s="145"/>
      <c r="OKA65" s="145"/>
      <c r="OKB65" s="145"/>
      <c r="OKC65" s="145"/>
      <c r="OKD65" s="145"/>
      <c r="OKE65" s="145"/>
      <c r="OKF65" s="145"/>
      <c r="OKG65" s="145"/>
      <c r="OKH65" s="145"/>
      <c r="OKI65" s="145"/>
      <c r="OKJ65" s="145"/>
      <c r="OKK65" s="145"/>
      <c r="OKL65" s="145"/>
      <c r="OKM65" s="145"/>
      <c r="OKN65" s="145"/>
      <c r="OKO65" s="145"/>
      <c r="OKP65" s="145"/>
      <c r="OKQ65" s="145"/>
      <c r="OKR65" s="145"/>
      <c r="OKS65" s="145"/>
      <c r="OKT65" s="145"/>
      <c r="OKU65" s="145"/>
      <c r="OKV65" s="145"/>
      <c r="OKW65" s="145"/>
      <c r="OKX65" s="145"/>
      <c r="OKY65" s="145"/>
      <c r="OKZ65" s="145"/>
      <c r="OLA65" s="145"/>
      <c r="OLB65" s="145"/>
      <c r="OLC65" s="145"/>
      <c r="OLD65" s="145"/>
      <c r="OLE65" s="145"/>
      <c r="OLF65" s="145"/>
      <c r="OLG65" s="145"/>
      <c r="OLH65" s="145"/>
      <c r="OLI65" s="145"/>
      <c r="OLJ65" s="145"/>
      <c r="OLK65" s="145"/>
      <c r="OLL65" s="145"/>
      <c r="OLM65" s="145"/>
      <c r="OLN65" s="145"/>
      <c r="OLO65" s="145"/>
      <c r="OLP65" s="145"/>
      <c r="OLQ65" s="145"/>
      <c r="OLR65" s="145"/>
      <c r="OLS65" s="145"/>
      <c r="OLT65" s="145"/>
      <c r="OLU65" s="145"/>
      <c r="OLV65" s="145"/>
      <c r="OLW65" s="145"/>
      <c r="OLX65" s="145"/>
      <c r="OLY65" s="145"/>
      <c r="OLZ65" s="145"/>
      <c r="OMA65" s="145"/>
      <c r="OMB65" s="145"/>
      <c r="OMC65" s="145"/>
      <c r="OMD65" s="145"/>
      <c r="OME65" s="145"/>
      <c r="OMF65" s="145"/>
      <c r="OMG65" s="145"/>
      <c r="OMH65" s="145"/>
      <c r="OMI65" s="145"/>
      <c r="OMJ65" s="145"/>
      <c r="OMK65" s="145"/>
      <c r="OML65" s="145"/>
      <c r="OMM65" s="145"/>
      <c r="OMN65" s="145"/>
      <c r="OMO65" s="145"/>
      <c r="OMP65" s="145"/>
      <c r="OMQ65" s="145"/>
      <c r="OMR65" s="145"/>
      <c r="OMS65" s="145"/>
      <c r="OMT65" s="145"/>
      <c r="OMU65" s="145"/>
      <c r="OMV65" s="145"/>
      <c r="OMW65" s="145"/>
      <c r="OMX65" s="145"/>
      <c r="OMY65" s="145"/>
      <c r="OMZ65" s="145"/>
      <c r="ONA65" s="145"/>
      <c r="ONB65" s="145"/>
      <c r="ONC65" s="145"/>
      <c r="OND65" s="145"/>
      <c r="ONE65" s="145"/>
      <c r="ONF65" s="145"/>
      <c r="ONG65" s="145"/>
      <c r="ONH65" s="145"/>
      <c r="ONI65" s="145"/>
      <c r="ONJ65" s="145"/>
      <c r="ONK65" s="145"/>
      <c r="ONL65" s="145"/>
      <c r="ONM65" s="145"/>
      <c r="ONN65" s="145"/>
      <c r="ONO65" s="145"/>
      <c r="ONP65" s="145"/>
      <c r="ONQ65" s="145"/>
      <c r="ONR65" s="145"/>
      <c r="ONS65" s="145"/>
      <c r="ONT65" s="145"/>
      <c r="ONU65" s="145"/>
      <c r="ONV65" s="145"/>
      <c r="ONW65" s="145"/>
      <c r="ONX65" s="145"/>
      <c r="ONY65" s="145"/>
      <c r="ONZ65" s="145"/>
      <c r="OOA65" s="145"/>
      <c r="OOB65" s="145"/>
      <c r="OOC65" s="145"/>
      <c r="OOD65" s="145"/>
      <c r="OOE65" s="145"/>
      <c r="OOF65" s="145"/>
      <c r="OOG65" s="145"/>
      <c r="OOH65" s="145"/>
      <c r="OOI65" s="145"/>
      <c r="OOJ65" s="145"/>
      <c r="OOK65" s="145"/>
      <c r="OOL65" s="145"/>
      <c r="OOM65" s="145"/>
      <c r="OON65" s="145"/>
      <c r="OOO65" s="145"/>
      <c r="OOP65" s="145"/>
      <c r="OOQ65" s="145"/>
      <c r="OOR65" s="145"/>
      <c r="OOS65" s="145"/>
      <c r="OOT65" s="145"/>
      <c r="OOU65" s="145"/>
      <c r="OOV65" s="145"/>
      <c r="OOW65" s="145"/>
      <c r="OOX65" s="145"/>
      <c r="OOY65" s="145"/>
      <c r="OOZ65" s="145"/>
      <c r="OPA65" s="145"/>
      <c r="OPB65" s="145"/>
      <c r="OPC65" s="145"/>
      <c r="OPD65" s="145"/>
      <c r="OPE65" s="145"/>
      <c r="OPF65" s="145"/>
      <c r="OPG65" s="145"/>
      <c r="OPH65" s="145"/>
      <c r="OPI65" s="145"/>
      <c r="OPJ65" s="145"/>
      <c r="OPK65" s="145"/>
      <c r="OPL65" s="145"/>
      <c r="OPM65" s="145"/>
      <c r="OPN65" s="145"/>
      <c r="OPO65" s="145"/>
      <c r="OPP65" s="145"/>
      <c r="OPQ65" s="145"/>
      <c r="OPR65" s="145"/>
      <c r="OPS65" s="145"/>
      <c r="OPT65" s="145"/>
      <c r="OPU65" s="145"/>
      <c r="OPV65" s="145"/>
      <c r="OPW65" s="145"/>
      <c r="OPX65" s="145"/>
      <c r="OPY65" s="145"/>
      <c r="OPZ65" s="145"/>
      <c r="OQA65" s="145"/>
      <c r="OQB65" s="145"/>
      <c r="OQC65" s="145"/>
      <c r="OQD65" s="145"/>
      <c r="OQE65" s="145"/>
      <c r="OQF65" s="145"/>
      <c r="OQG65" s="145"/>
      <c r="OQH65" s="145"/>
      <c r="OQI65" s="145"/>
      <c r="OQJ65" s="145"/>
      <c r="OQK65" s="145"/>
      <c r="OQL65" s="145"/>
      <c r="OQM65" s="145"/>
      <c r="OQN65" s="145"/>
      <c r="OQO65" s="145"/>
      <c r="OQP65" s="145"/>
      <c r="OQQ65" s="145"/>
      <c r="OQR65" s="145"/>
      <c r="OQS65" s="145"/>
      <c r="OQT65" s="145"/>
      <c r="OQU65" s="145"/>
      <c r="OQV65" s="145"/>
      <c r="OQW65" s="145"/>
      <c r="OQX65" s="145"/>
      <c r="OQY65" s="145"/>
      <c r="OQZ65" s="145"/>
      <c r="ORA65" s="145"/>
      <c r="ORB65" s="145"/>
      <c r="ORC65" s="145"/>
      <c r="ORD65" s="145"/>
      <c r="ORE65" s="145"/>
      <c r="ORF65" s="145"/>
      <c r="ORG65" s="145"/>
      <c r="ORH65" s="145"/>
      <c r="ORI65" s="145"/>
      <c r="ORJ65" s="145"/>
      <c r="ORK65" s="145"/>
      <c r="ORL65" s="145"/>
      <c r="ORM65" s="145"/>
      <c r="ORN65" s="145"/>
      <c r="ORO65" s="145"/>
      <c r="ORP65" s="145"/>
      <c r="ORQ65" s="145"/>
      <c r="ORR65" s="145"/>
      <c r="ORS65" s="145"/>
      <c r="ORT65" s="145"/>
      <c r="ORU65" s="145"/>
      <c r="ORV65" s="145"/>
      <c r="ORW65" s="145"/>
      <c r="ORX65" s="145"/>
      <c r="ORY65" s="145"/>
      <c r="ORZ65" s="145"/>
      <c r="OSA65" s="145"/>
      <c r="OSB65" s="145"/>
      <c r="OSC65" s="145"/>
      <c r="OSD65" s="145"/>
      <c r="OSE65" s="145"/>
      <c r="OSF65" s="145"/>
      <c r="OSG65" s="145"/>
      <c r="OSH65" s="145"/>
      <c r="OSI65" s="145"/>
      <c r="OSJ65" s="145"/>
      <c r="OSK65" s="145"/>
      <c r="OSL65" s="145"/>
      <c r="OSM65" s="145"/>
      <c r="OSN65" s="145"/>
      <c r="OSO65" s="145"/>
      <c r="OSP65" s="145"/>
      <c r="OSQ65" s="145"/>
      <c r="OSR65" s="145"/>
      <c r="OSS65" s="145"/>
      <c r="OST65" s="145"/>
      <c r="OSU65" s="145"/>
      <c r="OSV65" s="145"/>
      <c r="OSW65" s="145"/>
      <c r="OSX65" s="145"/>
      <c r="OSY65" s="145"/>
      <c r="OSZ65" s="145"/>
      <c r="OTA65" s="145"/>
      <c r="OTB65" s="145"/>
      <c r="OTC65" s="145"/>
      <c r="OTD65" s="145"/>
      <c r="OTE65" s="145"/>
      <c r="OTF65" s="145"/>
      <c r="OTG65" s="145"/>
      <c r="OTH65" s="145"/>
      <c r="OTI65" s="145"/>
      <c r="OTJ65" s="145"/>
      <c r="OTK65" s="145"/>
      <c r="OTL65" s="145"/>
      <c r="OTM65" s="145"/>
      <c r="OTN65" s="145"/>
      <c r="OTO65" s="145"/>
      <c r="OTP65" s="145"/>
      <c r="OTQ65" s="145"/>
      <c r="OTR65" s="145"/>
      <c r="OTS65" s="145"/>
      <c r="OTT65" s="145"/>
      <c r="OTU65" s="145"/>
      <c r="OTV65" s="145"/>
      <c r="OTW65" s="145"/>
      <c r="OTX65" s="145"/>
      <c r="OTY65" s="145"/>
      <c r="OTZ65" s="145"/>
      <c r="OUA65" s="145"/>
      <c r="OUB65" s="145"/>
      <c r="OUC65" s="145"/>
      <c r="OUD65" s="145"/>
      <c r="OUE65" s="145"/>
      <c r="OUF65" s="145"/>
      <c r="OUG65" s="145"/>
      <c r="OUH65" s="145"/>
      <c r="OUI65" s="145"/>
      <c r="OUJ65" s="145"/>
      <c r="OUK65" s="145"/>
      <c r="OUL65" s="145"/>
      <c r="OUM65" s="145"/>
      <c r="OUN65" s="145"/>
      <c r="OUO65" s="145"/>
      <c r="OUP65" s="145"/>
      <c r="OUQ65" s="145"/>
      <c r="OUR65" s="145"/>
      <c r="OUS65" s="145"/>
      <c r="OUT65" s="145"/>
      <c r="OUU65" s="145"/>
      <c r="OUV65" s="145"/>
      <c r="OUW65" s="145"/>
      <c r="OUX65" s="145"/>
      <c r="OUY65" s="145"/>
      <c r="OUZ65" s="145"/>
      <c r="OVA65" s="145"/>
      <c r="OVB65" s="145"/>
      <c r="OVC65" s="145"/>
      <c r="OVD65" s="145"/>
      <c r="OVE65" s="145"/>
      <c r="OVF65" s="145"/>
      <c r="OVG65" s="145"/>
      <c r="OVH65" s="145"/>
      <c r="OVI65" s="145"/>
      <c r="OVJ65" s="145"/>
      <c r="OVK65" s="145"/>
      <c r="OVL65" s="145"/>
      <c r="OVM65" s="145"/>
      <c r="OVN65" s="145"/>
      <c r="OVO65" s="145"/>
      <c r="OVP65" s="145"/>
      <c r="OVQ65" s="145"/>
      <c r="OVR65" s="145"/>
      <c r="OVS65" s="145"/>
      <c r="OVT65" s="145"/>
      <c r="OVU65" s="145"/>
      <c r="OVV65" s="145"/>
      <c r="OVW65" s="145"/>
      <c r="OVX65" s="145"/>
      <c r="OVY65" s="145"/>
      <c r="OVZ65" s="145"/>
      <c r="OWA65" s="145"/>
      <c r="OWB65" s="145"/>
      <c r="OWC65" s="145"/>
      <c r="OWD65" s="145"/>
      <c r="OWE65" s="145"/>
      <c r="OWF65" s="145"/>
      <c r="OWG65" s="145"/>
      <c r="OWH65" s="145"/>
      <c r="OWI65" s="145"/>
      <c r="OWJ65" s="145"/>
      <c r="OWK65" s="145"/>
      <c r="OWL65" s="145"/>
      <c r="OWM65" s="145"/>
      <c r="OWN65" s="145"/>
      <c r="OWO65" s="145"/>
      <c r="OWP65" s="145"/>
      <c r="OWQ65" s="145"/>
      <c r="OWR65" s="145"/>
      <c r="OWS65" s="145"/>
      <c r="OWT65" s="145"/>
      <c r="OWU65" s="145"/>
      <c r="OWV65" s="145"/>
      <c r="OWW65" s="145"/>
      <c r="OWX65" s="145"/>
      <c r="OWY65" s="145"/>
      <c r="OWZ65" s="145"/>
      <c r="OXA65" s="145"/>
      <c r="OXB65" s="145"/>
      <c r="OXC65" s="145"/>
      <c r="OXD65" s="145"/>
      <c r="OXE65" s="145"/>
      <c r="OXF65" s="145"/>
      <c r="OXG65" s="145"/>
      <c r="OXH65" s="145"/>
      <c r="OXI65" s="145"/>
      <c r="OXJ65" s="145"/>
      <c r="OXK65" s="145"/>
      <c r="OXL65" s="145"/>
      <c r="OXM65" s="145"/>
      <c r="OXN65" s="145"/>
      <c r="OXO65" s="145"/>
      <c r="OXP65" s="145"/>
      <c r="OXQ65" s="145"/>
      <c r="OXR65" s="145"/>
      <c r="OXS65" s="145"/>
      <c r="OXT65" s="145"/>
      <c r="OXU65" s="145"/>
      <c r="OXV65" s="145"/>
      <c r="OXW65" s="145"/>
      <c r="OXX65" s="145"/>
      <c r="OXY65" s="145"/>
      <c r="OXZ65" s="145"/>
      <c r="OYA65" s="145"/>
      <c r="OYB65" s="145"/>
      <c r="OYC65" s="145"/>
      <c r="OYD65" s="145"/>
      <c r="OYE65" s="145"/>
      <c r="OYF65" s="145"/>
      <c r="OYG65" s="145"/>
      <c r="OYH65" s="145"/>
      <c r="OYI65" s="145"/>
      <c r="OYJ65" s="145"/>
      <c r="OYK65" s="145"/>
      <c r="OYL65" s="145"/>
      <c r="OYM65" s="145"/>
      <c r="OYN65" s="145"/>
      <c r="OYO65" s="145"/>
      <c r="OYP65" s="145"/>
      <c r="OYQ65" s="145"/>
      <c r="OYR65" s="145"/>
      <c r="OYS65" s="145"/>
      <c r="OYT65" s="145"/>
      <c r="OYU65" s="145"/>
      <c r="OYV65" s="145"/>
      <c r="OYW65" s="145"/>
      <c r="OYX65" s="145"/>
      <c r="OYY65" s="145"/>
      <c r="OYZ65" s="145"/>
      <c r="OZA65" s="145"/>
      <c r="OZB65" s="145"/>
      <c r="OZC65" s="145"/>
      <c r="OZD65" s="145"/>
      <c r="OZE65" s="145"/>
      <c r="OZF65" s="145"/>
      <c r="OZG65" s="145"/>
      <c r="OZH65" s="145"/>
      <c r="OZI65" s="145"/>
      <c r="OZJ65" s="145"/>
      <c r="OZK65" s="145"/>
      <c r="OZL65" s="145"/>
      <c r="OZM65" s="145"/>
      <c r="OZN65" s="145"/>
      <c r="OZO65" s="145"/>
      <c r="OZP65" s="145"/>
      <c r="OZQ65" s="145"/>
      <c r="OZR65" s="145"/>
      <c r="OZS65" s="145"/>
      <c r="OZT65" s="145"/>
      <c r="OZU65" s="145"/>
      <c r="OZV65" s="145"/>
      <c r="OZW65" s="145"/>
      <c r="OZX65" s="145"/>
      <c r="OZY65" s="145"/>
      <c r="OZZ65" s="145"/>
      <c r="PAA65" s="145"/>
      <c r="PAB65" s="145"/>
      <c r="PAC65" s="145"/>
      <c r="PAD65" s="145"/>
      <c r="PAE65" s="145"/>
      <c r="PAF65" s="145"/>
      <c r="PAG65" s="145"/>
      <c r="PAH65" s="145"/>
      <c r="PAI65" s="145"/>
      <c r="PAJ65" s="145"/>
      <c r="PAK65" s="145"/>
      <c r="PAL65" s="145"/>
      <c r="PAM65" s="145"/>
      <c r="PAN65" s="145"/>
      <c r="PAO65" s="145"/>
      <c r="PAP65" s="145"/>
      <c r="PAQ65" s="145"/>
      <c r="PAR65" s="145"/>
      <c r="PAS65" s="145"/>
      <c r="PAT65" s="145"/>
      <c r="PAU65" s="145"/>
      <c r="PAV65" s="145"/>
      <c r="PAW65" s="145"/>
      <c r="PAX65" s="145"/>
      <c r="PAY65" s="145"/>
      <c r="PAZ65" s="145"/>
      <c r="PBA65" s="145"/>
      <c r="PBB65" s="145"/>
      <c r="PBC65" s="145"/>
      <c r="PBD65" s="145"/>
      <c r="PBE65" s="145"/>
      <c r="PBF65" s="145"/>
      <c r="PBG65" s="145"/>
      <c r="PBH65" s="145"/>
      <c r="PBI65" s="145"/>
      <c r="PBJ65" s="145"/>
      <c r="PBK65" s="145"/>
      <c r="PBL65" s="145"/>
      <c r="PBM65" s="145"/>
      <c r="PBN65" s="145"/>
      <c r="PBO65" s="145"/>
      <c r="PBP65" s="145"/>
      <c r="PBQ65" s="145"/>
      <c r="PBR65" s="145"/>
      <c r="PBS65" s="145"/>
      <c r="PBT65" s="145"/>
      <c r="PBU65" s="145"/>
      <c r="PBV65" s="145"/>
      <c r="PBW65" s="145"/>
      <c r="PBX65" s="145"/>
      <c r="PBY65" s="145"/>
      <c r="PBZ65" s="145"/>
      <c r="PCA65" s="145"/>
      <c r="PCB65" s="145"/>
      <c r="PCC65" s="145"/>
      <c r="PCD65" s="145"/>
      <c r="PCE65" s="145"/>
      <c r="PCF65" s="145"/>
      <c r="PCG65" s="145"/>
      <c r="PCH65" s="145"/>
      <c r="PCI65" s="145"/>
      <c r="PCJ65" s="145"/>
      <c r="PCK65" s="145"/>
      <c r="PCL65" s="145"/>
      <c r="PCM65" s="145"/>
      <c r="PCN65" s="145"/>
      <c r="PCO65" s="145"/>
      <c r="PCP65" s="145"/>
      <c r="PCQ65" s="145"/>
      <c r="PCR65" s="145"/>
      <c r="PCS65" s="145"/>
      <c r="PCT65" s="145"/>
      <c r="PCU65" s="145"/>
      <c r="PCV65" s="145"/>
      <c r="PCW65" s="145"/>
      <c r="PCX65" s="145"/>
      <c r="PCY65" s="145"/>
      <c r="PCZ65" s="145"/>
      <c r="PDA65" s="145"/>
      <c r="PDB65" s="145"/>
      <c r="PDC65" s="145"/>
      <c r="PDD65" s="145"/>
      <c r="PDE65" s="145"/>
      <c r="PDF65" s="145"/>
      <c r="PDG65" s="145"/>
      <c r="PDH65" s="145"/>
      <c r="PDI65" s="145"/>
      <c r="PDJ65" s="145"/>
      <c r="PDK65" s="145"/>
      <c r="PDL65" s="145"/>
      <c r="PDM65" s="145"/>
      <c r="PDN65" s="145"/>
      <c r="PDO65" s="145"/>
      <c r="PDP65" s="145"/>
      <c r="PDQ65" s="145"/>
      <c r="PDR65" s="145"/>
      <c r="PDS65" s="145"/>
      <c r="PDT65" s="145"/>
      <c r="PDU65" s="145"/>
      <c r="PDV65" s="145"/>
      <c r="PDW65" s="145"/>
      <c r="PDX65" s="145"/>
      <c r="PDY65" s="145"/>
      <c r="PDZ65" s="145"/>
      <c r="PEA65" s="145"/>
      <c r="PEB65" s="145"/>
      <c r="PEC65" s="145"/>
      <c r="PED65" s="145"/>
      <c r="PEE65" s="145"/>
      <c r="PEF65" s="145"/>
      <c r="PEG65" s="145"/>
      <c r="PEH65" s="145"/>
      <c r="PEI65" s="145"/>
      <c r="PEJ65" s="145"/>
      <c r="PEK65" s="145"/>
      <c r="PEL65" s="145"/>
      <c r="PEM65" s="145"/>
      <c r="PEN65" s="145"/>
      <c r="PEO65" s="145"/>
      <c r="PEP65" s="145"/>
      <c r="PEQ65" s="145"/>
      <c r="PER65" s="145"/>
      <c r="PES65" s="145"/>
      <c r="PET65" s="145"/>
      <c r="PEU65" s="145"/>
      <c r="PEV65" s="145"/>
      <c r="PEW65" s="145"/>
      <c r="PEX65" s="145"/>
      <c r="PEY65" s="145"/>
      <c r="PEZ65" s="145"/>
      <c r="PFA65" s="145"/>
      <c r="PFB65" s="145"/>
      <c r="PFC65" s="145"/>
      <c r="PFD65" s="145"/>
      <c r="PFE65" s="145"/>
      <c r="PFF65" s="145"/>
      <c r="PFG65" s="145"/>
      <c r="PFH65" s="145"/>
      <c r="PFI65" s="145"/>
      <c r="PFJ65" s="145"/>
      <c r="PFK65" s="145"/>
      <c r="PFL65" s="145"/>
      <c r="PFM65" s="145"/>
      <c r="PFN65" s="145"/>
      <c r="PFO65" s="145"/>
      <c r="PFP65" s="145"/>
      <c r="PFQ65" s="145"/>
      <c r="PFR65" s="145"/>
      <c r="PFS65" s="145"/>
      <c r="PFT65" s="145"/>
      <c r="PFU65" s="145"/>
      <c r="PFV65" s="145"/>
      <c r="PFW65" s="145"/>
      <c r="PFX65" s="145"/>
      <c r="PFY65" s="145"/>
      <c r="PFZ65" s="145"/>
      <c r="PGA65" s="145"/>
      <c r="PGB65" s="145"/>
      <c r="PGC65" s="145"/>
      <c r="PGD65" s="145"/>
      <c r="PGE65" s="145"/>
      <c r="PGF65" s="145"/>
      <c r="PGG65" s="145"/>
      <c r="PGH65" s="145"/>
      <c r="PGI65" s="145"/>
      <c r="PGJ65" s="145"/>
      <c r="PGK65" s="145"/>
      <c r="PGL65" s="145"/>
      <c r="PGM65" s="145"/>
      <c r="PGN65" s="145"/>
      <c r="PGO65" s="145"/>
      <c r="PGP65" s="145"/>
      <c r="PGQ65" s="145"/>
      <c r="PGR65" s="145"/>
      <c r="PGS65" s="145"/>
      <c r="PGT65" s="145"/>
      <c r="PGU65" s="145"/>
      <c r="PGV65" s="145"/>
      <c r="PGW65" s="145"/>
      <c r="PGX65" s="145"/>
      <c r="PGY65" s="145"/>
      <c r="PGZ65" s="145"/>
      <c r="PHA65" s="145"/>
      <c r="PHB65" s="145"/>
      <c r="PHC65" s="145"/>
      <c r="PHD65" s="145"/>
      <c r="PHE65" s="145"/>
      <c r="PHF65" s="145"/>
      <c r="PHG65" s="145"/>
      <c r="PHH65" s="145"/>
      <c r="PHI65" s="145"/>
      <c r="PHJ65" s="145"/>
      <c r="PHK65" s="145"/>
      <c r="PHL65" s="145"/>
      <c r="PHM65" s="145"/>
      <c r="PHN65" s="145"/>
      <c r="PHO65" s="145"/>
      <c r="PHP65" s="145"/>
      <c r="PHQ65" s="145"/>
      <c r="PHR65" s="145"/>
      <c r="PHS65" s="145"/>
      <c r="PHT65" s="145"/>
      <c r="PHU65" s="145"/>
      <c r="PHV65" s="145"/>
      <c r="PHW65" s="145"/>
      <c r="PHX65" s="145"/>
      <c r="PHY65" s="145"/>
      <c r="PHZ65" s="145"/>
      <c r="PIA65" s="145"/>
      <c r="PIB65" s="145"/>
      <c r="PIC65" s="145"/>
      <c r="PID65" s="145"/>
      <c r="PIE65" s="145"/>
      <c r="PIF65" s="145"/>
      <c r="PIG65" s="145"/>
      <c r="PIH65" s="145"/>
      <c r="PII65" s="145"/>
      <c r="PIJ65" s="145"/>
      <c r="PIK65" s="145"/>
      <c r="PIL65" s="145"/>
      <c r="PIM65" s="145"/>
      <c r="PIN65" s="145"/>
      <c r="PIO65" s="145"/>
      <c r="PIP65" s="145"/>
      <c r="PIQ65" s="145"/>
      <c r="PIR65" s="145"/>
      <c r="PIS65" s="145"/>
      <c r="PIT65" s="145"/>
      <c r="PIU65" s="145"/>
      <c r="PIV65" s="145"/>
      <c r="PIW65" s="145"/>
      <c r="PIX65" s="145"/>
      <c r="PIY65" s="145"/>
      <c r="PIZ65" s="145"/>
      <c r="PJA65" s="145"/>
      <c r="PJB65" s="145"/>
      <c r="PJC65" s="145"/>
      <c r="PJD65" s="145"/>
      <c r="PJE65" s="145"/>
      <c r="PJF65" s="145"/>
      <c r="PJG65" s="145"/>
      <c r="PJH65" s="145"/>
      <c r="PJI65" s="145"/>
      <c r="PJJ65" s="145"/>
      <c r="PJK65" s="145"/>
      <c r="PJL65" s="145"/>
      <c r="PJM65" s="145"/>
      <c r="PJN65" s="145"/>
      <c r="PJO65" s="145"/>
      <c r="PJP65" s="145"/>
      <c r="PJQ65" s="145"/>
      <c r="PJR65" s="145"/>
      <c r="PJS65" s="145"/>
      <c r="PJT65" s="145"/>
      <c r="PJU65" s="145"/>
      <c r="PJV65" s="145"/>
      <c r="PJW65" s="145"/>
      <c r="PJX65" s="145"/>
      <c r="PJY65" s="145"/>
      <c r="PJZ65" s="145"/>
      <c r="PKA65" s="145"/>
      <c r="PKB65" s="145"/>
      <c r="PKC65" s="145"/>
      <c r="PKD65" s="145"/>
      <c r="PKE65" s="145"/>
      <c r="PKF65" s="145"/>
      <c r="PKG65" s="145"/>
      <c r="PKH65" s="145"/>
      <c r="PKI65" s="145"/>
      <c r="PKJ65" s="145"/>
      <c r="PKK65" s="145"/>
      <c r="PKL65" s="145"/>
      <c r="PKM65" s="145"/>
      <c r="PKN65" s="145"/>
      <c r="PKO65" s="145"/>
      <c r="PKP65" s="145"/>
      <c r="PKQ65" s="145"/>
      <c r="PKR65" s="145"/>
      <c r="PKS65" s="145"/>
      <c r="PKT65" s="145"/>
      <c r="PKU65" s="145"/>
      <c r="PKV65" s="145"/>
      <c r="PKW65" s="145"/>
      <c r="PKX65" s="145"/>
      <c r="PKY65" s="145"/>
      <c r="PKZ65" s="145"/>
      <c r="PLA65" s="145"/>
      <c r="PLB65" s="145"/>
      <c r="PLC65" s="145"/>
      <c r="PLD65" s="145"/>
      <c r="PLE65" s="145"/>
      <c r="PLF65" s="145"/>
      <c r="PLG65" s="145"/>
      <c r="PLH65" s="145"/>
      <c r="PLI65" s="145"/>
      <c r="PLJ65" s="145"/>
      <c r="PLK65" s="145"/>
      <c r="PLL65" s="145"/>
      <c r="PLM65" s="145"/>
      <c r="PLN65" s="145"/>
      <c r="PLO65" s="145"/>
      <c r="PLP65" s="145"/>
      <c r="PLQ65" s="145"/>
      <c r="PLR65" s="145"/>
      <c r="PLS65" s="145"/>
      <c r="PLT65" s="145"/>
      <c r="PLU65" s="145"/>
      <c r="PLV65" s="145"/>
      <c r="PLW65" s="145"/>
      <c r="PLX65" s="145"/>
      <c r="PLY65" s="145"/>
      <c r="PLZ65" s="145"/>
      <c r="PMA65" s="145"/>
      <c r="PMB65" s="145"/>
      <c r="PMC65" s="145"/>
      <c r="PMD65" s="145"/>
      <c r="PME65" s="145"/>
      <c r="PMF65" s="145"/>
      <c r="PMG65" s="145"/>
      <c r="PMH65" s="145"/>
      <c r="PMI65" s="145"/>
      <c r="PMJ65" s="145"/>
      <c r="PMK65" s="145"/>
      <c r="PML65" s="145"/>
      <c r="PMM65" s="145"/>
      <c r="PMN65" s="145"/>
      <c r="PMO65" s="145"/>
      <c r="PMP65" s="145"/>
      <c r="PMQ65" s="145"/>
      <c r="PMR65" s="145"/>
      <c r="PMS65" s="145"/>
      <c r="PMT65" s="145"/>
      <c r="PMU65" s="145"/>
      <c r="PMV65" s="145"/>
      <c r="PMW65" s="145"/>
      <c r="PMX65" s="145"/>
      <c r="PMY65" s="145"/>
      <c r="PMZ65" s="145"/>
      <c r="PNA65" s="145"/>
      <c r="PNB65" s="145"/>
      <c r="PNC65" s="145"/>
      <c r="PND65" s="145"/>
      <c r="PNE65" s="145"/>
      <c r="PNF65" s="145"/>
      <c r="PNG65" s="145"/>
      <c r="PNH65" s="145"/>
      <c r="PNI65" s="145"/>
      <c r="PNJ65" s="145"/>
      <c r="PNK65" s="145"/>
      <c r="PNL65" s="145"/>
      <c r="PNM65" s="145"/>
      <c r="PNN65" s="145"/>
      <c r="PNO65" s="145"/>
      <c r="PNP65" s="145"/>
      <c r="PNQ65" s="145"/>
      <c r="PNR65" s="145"/>
      <c r="PNS65" s="145"/>
      <c r="PNT65" s="145"/>
      <c r="PNU65" s="145"/>
      <c r="PNV65" s="145"/>
      <c r="PNW65" s="145"/>
      <c r="PNX65" s="145"/>
      <c r="PNY65" s="145"/>
      <c r="PNZ65" s="145"/>
      <c r="POA65" s="145"/>
      <c r="POB65" s="145"/>
      <c r="POC65" s="145"/>
      <c r="POD65" s="145"/>
      <c r="POE65" s="145"/>
      <c r="POF65" s="145"/>
      <c r="POG65" s="145"/>
      <c r="POH65" s="145"/>
      <c r="POI65" s="145"/>
      <c r="POJ65" s="145"/>
      <c r="POK65" s="145"/>
      <c r="POL65" s="145"/>
      <c r="POM65" s="145"/>
      <c r="PON65" s="145"/>
      <c r="POO65" s="145"/>
      <c r="POP65" s="145"/>
      <c r="POQ65" s="145"/>
      <c r="POR65" s="145"/>
      <c r="POS65" s="145"/>
      <c r="POT65" s="145"/>
      <c r="POU65" s="145"/>
      <c r="POV65" s="145"/>
      <c r="POW65" s="145"/>
      <c r="POX65" s="145"/>
      <c r="POY65" s="145"/>
      <c r="POZ65" s="145"/>
      <c r="PPA65" s="145"/>
      <c r="PPB65" s="145"/>
      <c r="PPC65" s="145"/>
      <c r="PPD65" s="145"/>
      <c r="PPE65" s="145"/>
      <c r="PPF65" s="145"/>
      <c r="PPG65" s="145"/>
      <c r="PPH65" s="145"/>
      <c r="PPI65" s="145"/>
      <c r="PPJ65" s="145"/>
      <c r="PPK65" s="145"/>
      <c r="PPL65" s="145"/>
      <c r="PPM65" s="145"/>
      <c r="PPN65" s="145"/>
      <c r="PPO65" s="145"/>
      <c r="PPP65" s="145"/>
      <c r="PPQ65" s="145"/>
      <c r="PPR65" s="145"/>
      <c r="PPS65" s="145"/>
      <c r="PPT65" s="145"/>
      <c r="PPU65" s="145"/>
      <c r="PPV65" s="145"/>
      <c r="PPW65" s="145"/>
      <c r="PPX65" s="145"/>
      <c r="PPY65" s="145"/>
      <c r="PPZ65" s="145"/>
      <c r="PQA65" s="145"/>
      <c r="PQB65" s="145"/>
      <c r="PQC65" s="145"/>
      <c r="PQD65" s="145"/>
      <c r="PQE65" s="145"/>
      <c r="PQF65" s="145"/>
      <c r="PQG65" s="145"/>
      <c r="PQH65" s="145"/>
      <c r="PQI65" s="145"/>
      <c r="PQJ65" s="145"/>
      <c r="PQK65" s="145"/>
      <c r="PQL65" s="145"/>
      <c r="PQM65" s="145"/>
      <c r="PQN65" s="145"/>
      <c r="PQO65" s="145"/>
      <c r="PQP65" s="145"/>
      <c r="PQQ65" s="145"/>
      <c r="PQR65" s="145"/>
      <c r="PQS65" s="145"/>
      <c r="PQT65" s="145"/>
      <c r="PQU65" s="145"/>
      <c r="PQV65" s="145"/>
      <c r="PQW65" s="145"/>
      <c r="PQX65" s="145"/>
      <c r="PQY65" s="145"/>
      <c r="PQZ65" s="145"/>
      <c r="PRA65" s="145"/>
      <c r="PRB65" s="145"/>
      <c r="PRC65" s="145"/>
      <c r="PRD65" s="145"/>
      <c r="PRE65" s="145"/>
      <c r="PRF65" s="145"/>
      <c r="PRG65" s="145"/>
      <c r="PRH65" s="145"/>
      <c r="PRI65" s="145"/>
      <c r="PRJ65" s="145"/>
      <c r="PRK65" s="145"/>
      <c r="PRL65" s="145"/>
      <c r="PRM65" s="145"/>
      <c r="PRN65" s="145"/>
      <c r="PRO65" s="145"/>
      <c r="PRP65" s="145"/>
      <c r="PRQ65" s="145"/>
      <c r="PRR65" s="145"/>
      <c r="PRS65" s="145"/>
      <c r="PRT65" s="145"/>
      <c r="PRU65" s="145"/>
      <c r="PRV65" s="145"/>
      <c r="PRW65" s="145"/>
      <c r="PRX65" s="145"/>
      <c r="PRY65" s="145"/>
      <c r="PRZ65" s="145"/>
      <c r="PSA65" s="145"/>
      <c r="PSB65" s="145"/>
      <c r="PSC65" s="145"/>
      <c r="PSD65" s="145"/>
      <c r="PSE65" s="145"/>
      <c r="PSF65" s="145"/>
      <c r="PSG65" s="145"/>
      <c r="PSH65" s="145"/>
      <c r="PSI65" s="145"/>
      <c r="PSJ65" s="145"/>
      <c r="PSK65" s="145"/>
      <c r="PSL65" s="145"/>
      <c r="PSM65" s="145"/>
      <c r="PSN65" s="145"/>
      <c r="PSO65" s="145"/>
      <c r="PSP65" s="145"/>
      <c r="PSQ65" s="145"/>
      <c r="PSR65" s="145"/>
      <c r="PSS65" s="145"/>
      <c r="PST65" s="145"/>
      <c r="PSU65" s="145"/>
      <c r="PSV65" s="145"/>
      <c r="PSW65" s="145"/>
      <c r="PSX65" s="145"/>
      <c r="PSY65" s="145"/>
      <c r="PSZ65" s="145"/>
      <c r="PTA65" s="145"/>
      <c r="PTB65" s="145"/>
      <c r="PTC65" s="145"/>
      <c r="PTD65" s="145"/>
      <c r="PTE65" s="145"/>
      <c r="PTF65" s="145"/>
      <c r="PTG65" s="145"/>
      <c r="PTH65" s="145"/>
      <c r="PTI65" s="145"/>
      <c r="PTJ65" s="145"/>
      <c r="PTK65" s="145"/>
      <c r="PTL65" s="145"/>
      <c r="PTM65" s="145"/>
      <c r="PTN65" s="145"/>
      <c r="PTO65" s="145"/>
      <c r="PTP65" s="145"/>
      <c r="PTQ65" s="145"/>
      <c r="PTR65" s="145"/>
      <c r="PTS65" s="145"/>
      <c r="PTT65" s="145"/>
      <c r="PTU65" s="145"/>
      <c r="PTV65" s="145"/>
      <c r="PTW65" s="145"/>
      <c r="PTX65" s="145"/>
      <c r="PTY65" s="145"/>
      <c r="PTZ65" s="145"/>
      <c r="PUA65" s="145"/>
      <c r="PUB65" s="145"/>
      <c r="PUC65" s="145"/>
      <c r="PUD65" s="145"/>
      <c r="PUE65" s="145"/>
      <c r="PUF65" s="145"/>
      <c r="PUG65" s="145"/>
      <c r="PUH65" s="145"/>
      <c r="PUI65" s="145"/>
      <c r="PUJ65" s="145"/>
      <c r="PUK65" s="145"/>
      <c r="PUL65" s="145"/>
      <c r="PUM65" s="145"/>
      <c r="PUN65" s="145"/>
      <c r="PUO65" s="145"/>
      <c r="PUP65" s="145"/>
      <c r="PUQ65" s="145"/>
      <c r="PUR65" s="145"/>
      <c r="PUS65" s="145"/>
      <c r="PUT65" s="145"/>
      <c r="PUU65" s="145"/>
      <c r="PUV65" s="145"/>
      <c r="PUW65" s="145"/>
      <c r="PUX65" s="145"/>
      <c r="PUY65" s="145"/>
      <c r="PUZ65" s="145"/>
      <c r="PVA65" s="145"/>
      <c r="PVB65" s="145"/>
      <c r="PVC65" s="145"/>
      <c r="PVD65" s="145"/>
      <c r="PVE65" s="145"/>
      <c r="PVF65" s="145"/>
      <c r="PVG65" s="145"/>
      <c r="PVH65" s="145"/>
      <c r="PVI65" s="145"/>
      <c r="PVJ65" s="145"/>
      <c r="PVK65" s="145"/>
      <c r="PVL65" s="145"/>
      <c r="PVM65" s="145"/>
      <c r="PVN65" s="145"/>
      <c r="PVO65" s="145"/>
      <c r="PVP65" s="145"/>
      <c r="PVQ65" s="145"/>
      <c r="PVR65" s="145"/>
      <c r="PVS65" s="145"/>
      <c r="PVT65" s="145"/>
      <c r="PVU65" s="145"/>
      <c r="PVV65" s="145"/>
      <c r="PVW65" s="145"/>
      <c r="PVX65" s="145"/>
      <c r="PVY65" s="145"/>
      <c r="PVZ65" s="145"/>
      <c r="PWA65" s="145"/>
      <c r="PWB65" s="145"/>
      <c r="PWC65" s="145"/>
      <c r="PWD65" s="145"/>
      <c r="PWE65" s="145"/>
      <c r="PWF65" s="145"/>
      <c r="PWG65" s="145"/>
      <c r="PWH65" s="145"/>
      <c r="PWI65" s="145"/>
      <c r="PWJ65" s="145"/>
      <c r="PWK65" s="145"/>
      <c r="PWL65" s="145"/>
      <c r="PWM65" s="145"/>
      <c r="PWN65" s="145"/>
      <c r="PWO65" s="145"/>
      <c r="PWP65" s="145"/>
      <c r="PWQ65" s="145"/>
      <c r="PWR65" s="145"/>
      <c r="PWS65" s="145"/>
      <c r="PWT65" s="145"/>
      <c r="PWU65" s="145"/>
      <c r="PWV65" s="145"/>
      <c r="PWW65" s="145"/>
      <c r="PWX65" s="145"/>
      <c r="PWY65" s="145"/>
      <c r="PWZ65" s="145"/>
      <c r="PXA65" s="145"/>
      <c r="PXB65" s="145"/>
      <c r="PXC65" s="145"/>
      <c r="PXD65" s="145"/>
      <c r="PXE65" s="145"/>
      <c r="PXF65" s="145"/>
      <c r="PXG65" s="145"/>
      <c r="PXH65" s="145"/>
      <c r="PXI65" s="145"/>
      <c r="PXJ65" s="145"/>
      <c r="PXK65" s="145"/>
      <c r="PXL65" s="145"/>
      <c r="PXM65" s="145"/>
      <c r="PXN65" s="145"/>
      <c r="PXO65" s="145"/>
      <c r="PXP65" s="145"/>
      <c r="PXQ65" s="145"/>
      <c r="PXR65" s="145"/>
      <c r="PXS65" s="145"/>
      <c r="PXT65" s="145"/>
      <c r="PXU65" s="145"/>
      <c r="PXV65" s="145"/>
      <c r="PXW65" s="145"/>
      <c r="PXX65" s="145"/>
      <c r="PXY65" s="145"/>
      <c r="PXZ65" s="145"/>
      <c r="PYA65" s="145"/>
      <c r="PYB65" s="145"/>
      <c r="PYC65" s="145"/>
      <c r="PYD65" s="145"/>
      <c r="PYE65" s="145"/>
      <c r="PYF65" s="145"/>
      <c r="PYG65" s="145"/>
      <c r="PYH65" s="145"/>
      <c r="PYI65" s="145"/>
      <c r="PYJ65" s="145"/>
      <c r="PYK65" s="145"/>
      <c r="PYL65" s="145"/>
      <c r="PYM65" s="145"/>
      <c r="PYN65" s="145"/>
      <c r="PYO65" s="145"/>
      <c r="PYP65" s="145"/>
      <c r="PYQ65" s="145"/>
      <c r="PYR65" s="145"/>
      <c r="PYS65" s="145"/>
      <c r="PYT65" s="145"/>
      <c r="PYU65" s="145"/>
      <c r="PYV65" s="145"/>
      <c r="PYW65" s="145"/>
      <c r="PYX65" s="145"/>
      <c r="PYY65" s="145"/>
      <c r="PYZ65" s="145"/>
      <c r="PZA65" s="145"/>
      <c r="PZB65" s="145"/>
      <c r="PZC65" s="145"/>
      <c r="PZD65" s="145"/>
      <c r="PZE65" s="145"/>
      <c r="PZF65" s="145"/>
      <c r="PZG65" s="145"/>
      <c r="PZH65" s="145"/>
      <c r="PZI65" s="145"/>
      <c r="PZJ65" s="145"/>
      <c r="PZK65" s="145"/>
      <c r="PZL65" s="145"/>
      <c r="PZM65" s="145"/>
      <c r="PZN65" s="145"/>
      <c r="PZO65" s="145"/>
      <c r="PZP65" s="145"/>
      <c r="PZQ65" s="145"/>
      <c r="PZR65" s="145"/>
      <c r="PZS65" s="145"/>
      <c r="PZT65" s="145"/>
      <c r="PZU65" s="145"/>
      <c r="PZV65" s="145"/>
      <c r="PZW65" s="145"/>
      <c r="PZX65" s="145"/>
      <c r="PZY65" s="145"/>
      <c r="PZZ65" s="145"/>
      <c r="QAA65" s="145"/>
      <c r="QAB65" s="145"/>
      <c r="QAC65" s="145"/>
      <c r="QAD65" s="145"/>
      <c r="QAE65" s="145"/>
      <c r="QAF65" s="145"/>
      <c r="QAG65" s="145"/>
      <c r="QAH65" s="145"/>
      <c r="QAI65" s="145"/>
      <c r="QAJ65" s="145"/>
      <c r="QAK65" s="145"/>
      <c r="QAL65" s="145"/>
      <c r="QAM65" s="145"/>
      <c r="QAN65" s="145"/>
      <c r="QAO65" s="145"/>
      <c r="QAP65" s="145"/>
      <c r="QAQ65" s="145"/>
      <c r="QAR65" s="145"/>
      <c r="QAS65" s="145"/>
      <c r="QAT65" s="145"/>
      <c r="QAU65" s="145"/>
      <c r="QAV65" s="145"/>
      <c r="QAW65" s="145"/>
      <c r="QAX65" s="145"/>
      <c r="QAY65" s="145"/>
      <c r="QAZ65" s="145"/>
      <c r="QBA65" s="145"/>
      <c r="QBB65" s="145"/>
      <c r="QBC65" s="145"/>
      <c r="QBD65" s="145"/>
      <c r="QBE65" s="145"/>
      <c r="QBF65" s="145"/>
      <c r="QBG65" s="145"/>
      <c r="QBH65" s="145"/>
      <c r="QBI65" s="145"/>
      <c r="QBJ65" s="145"/>
      <c r="QBK65" s="145"/>
      <c r="QBL65" s="145"/>
      <c r="QBM65" s="145"/>
      <c r="QBN65" s="145"/>
      <c r="QBO65" s="145"/>
      <c r="QBP65" s="145"/>
      <c r="QBQ65" s="145"/>
      <c r="QBR65" s="145"/>
      <c r="QBS65" s="145"/>
      <c r="QBT65" s="145"/>
      <c r="QBU65" s="145"/>
      <c r="QBV65" s="145"/>
      <c r="QBW65" s="145"/>
      <c r="QBX65" s="145"/>
      <c r="QBY65" s="145"/>
      <c r="QBZ65" s="145"/>
      <c r="QCA65" s="145"/>
      <c r="QCB65" s="145"/>
      <c r="QCC65" s="145"/>
      <c r="QCD65" s="145"/>
      <c r="QCE65" s="145"/>
      <c r="QCF65" s="145"/>
      <c r="QCG65" s="145"/>
      <c r="QCH65" s="145"/>
      <c r="QCI65" s="145"/>
      <c r="QCJ65" s="145"/>
      <c r="QCK65" s="145"/>
      <c r="QCL65" s="145"/>
      <c r="QCM65" s="145"/>
      <c r="QCN65" s="145"/>
      <c r="QCO65" s="145"/>
      <c r="QCP65" s="145"/>
      <c r="QCQ65" s="145"/>
      <c r="QCR65" s="145"/>
      <c r="QCS65" s="145"/>
      <c r="QCT65" s="145"/>
      <c r="QCU65" s="145"/>
      <c r="QCV65" s="145"/>
      <c r="QCW65" s="145"/>
      <c r="QCX65" s="145"/>
      <c r="QCY65" s="145"/>
      <c r="QCZ65" s="145"/>
      <c r="QDA65" s="145"/>
      <c r="QDB65" s="145"/>
      <c r="QDC65" s="145"/>
      <c r="QDD65" s="145"/>
      <c r="QDE65" s="145"/>
      <c r="QDF65" s="145"/>
      <c r="QDG65" s="145"/>
      <c r="QDH65" s="145"/>
      <c r="QDI65" s="145"/>
      <c r="QDJ65" s="145"/>
      <c r="QDK65" s="145"/>
      <c r="QDL65" s="145"/>
      <c r="QDM65" s="145"/>
      <c r="QDN65" s="145"/>
      <c r="QDO65" s="145"/>
      <c r="QDP65" s="145"/>
      <c r="QDQ65" s="145"/>
      <c r="QDR65" s="145"/>
      <c r="QDS65" s="145"/>
      <c r="QDT65" s="145"/>
      <c r="QDU65" s="145"/>
      <c r="QDV65" s="145"/>
      <c r="QDW65" s="145"/>
      <c r="QDX65" s="145"/>
      <c r="QDY65" s="145"/>
      <c r="QDZ65" s="145"/>
      <c r="QEA65" s="145"/>
      <c r="QEB65" s="145"/>
      <c r="QEC65" s="145"/>
      <c r="QED65" s="145"/>
      <c r="QEE65" s="145"/>
      <c r="QEF65" s="145"/>
      <c r="QEG65" s="145"/>
      <c r="QEH65" s="145"/>
      <c r="QEI65" s="145"/>
      <c r="QEJ65" s="145"/>
      <c r="QEK65" s="145"/>
      <c r="QEL65" s="145"/>
      <c r="QEM65" s="145"/>
      <c r="QEN65" s="145"/>
      <c r="QEO65" s="145"/>
      <c r="QEP65" s="145"/>
      <c r="QEQ65" s="145"/>
      <c r="QER65" s="145"/>
      <c r="QES65" s="145"/>
      <c r="QET65" s="145"/>
      <c r="QEU65" s="145"/>
      <c r="QEV65" s="145"/>
      <c r="QEW65" s="145"/>
      <c r="QEX65" s="145"/>
      <c r="QEY65" s="145"/>
      <c r="QEZ65" s="145"/>
      <c r="QFA65" s="145"/>
      <c r="QFB65" s="145"/>
      <c r="QFC65" s="145"/>
      <c r="QFD65" s="145"/>
      <c r="QFE65" s="145"/>
      <c r="QFF65" s="145"/>
      <c r="QFG65" s="145"/>
      <c r="QFH65" s="145"/>
      <c r="QFI65" s="145"/>
      <c r="QFJ65" s="145"/>
      <c r="QFK65" s="145"/>
      <c r="QFL65" s="145"/>
      <c r="QFM65" s="145"/>
      <c r="QFN65" s="145"/>
      <c r="QFO65" s="145"/>
      <c r="QFP65" s="145"/>
      <c r="QFQ65" s="145"/>
      <c r="QFR65" s="145"/>
      <c r="QFS65" s="145"/>
      <c r="QFT65" s="145"/>
      <c r="QFU65" s="145"/>
      <c r="QFV65" s="145"/>
      <c r="QFW65" s="145"/>
      <c r="QFX65" s="145"/>
      <c r="QFY65" s="145"/>
      <c r="QFZ65" s="145"/>
      <c r="QGA65" s="145"/>
      <c r="QGB65" s="145"/>
      <c r="QGC65" s="145"/>
      <c r="QGD65" s="145"/>
      <c r="QGE65" s="145"/>
      <c r="QGF65" s="145"/>
      <c r="QGG65" s="145"/>
      <c r="QGH65" s="145"/>
      <c r="QGI65" s="145"/>
      <c r="QGJ65" s="145"/>
      <c r="QGK65" s="145"/>
      <c r="QGL65" s="145"/>
      <c r="QGM65" s="145"/>
      <c r="QGN65" s="145"/>
      <c r="QGO65" s="145"/>
      <c r="QGP65" s="145"/>
      <c r="QGQ65" s="145"/>
      <c r="QGR65" s="145"/>
      <c r="QGS65" s="145"/>
      <c r="QGT65" s="145"/>
      <c r="QGU65" s="145"/>
      <c r="QGV65" s="145"/>
      <c r="QGW65" s="145"/>
      <c r="QGX65" s="145"/>
      <c r="QGY65" s="145"/>
      <c r="QGZ65" s="145"/>
      <c r="QHA65" s="145"/>
      <c r="QHB65" s="145"/>
      <c r="QHC65" s="145"/>
      <c r="QHD65" s="145"/>
      <c r="QHE65" s="145"/>
      <c r="QHF65" s="145"/>
      <c r="QHG65" s="145"/>
      <c r="QHH65" s="145"/>
      <c r="QHI65" s="145"/>
      <c r="QHJ65" s="145"/>
      <c r="QHK65" s="145"/>
      <c r="QHL65" s="145"/>
      <c r="QHM65" s="145"/>
      <c r="QHN65" s="145"/>
      <c r="QHO65" s="145"/>
      <c r="QHP65" s="145"/>
      <c r="QHQ65" s="145"/>
      <c r="QHR65" s="145"/>
      <c r="QHS65" s="145"/>
      <c r="QHT65" s="145"/>
      <c r="QHU65" s="145"/>
      <c r="QHV65" s="145"/>
      <c r="QHW65" s="145"/>
      <c r="QHX65" s="145"/>
      <c r="QHY65" s="145"/>
      <c r="QHZ65" s="145"/>
      <c r="QIA65" s="145"/>
      <c r="QIB65" s="145"/>
      <c r="QIC65" s="145"/>
      <c r="QID65" s="145"/>
      <c r="QIE65" s="145"/>
      <c r="QIF65" s="145"/>
      <c r="QIG65" s="145"/>
      <c r="QIH65" s="145"/>
      <c r="QII65" s="145"/>
      <c r="QIJ65" s="145"/>
      <c r="QIK65" s="145"/>
      <c r="QIL65" s="145"/>
      <c r="QIM65" s="145"/>
      <c r="QIN65" s="145"/>
      <c r="QIO65" s="145"/>
      <c r="QIP65" s="145"/>
      <c r="QIQ65" s="145"/>
      <c r="QIR65" s="145"/>
      <c r="QIS65" s="145"/>
      <c r="QIT65" s="145"/>
      <c r="QIU65" s="145"/>
      <c r="QIV65" s="145"/>
      <c r="QIW65" s="145"/>
      <c r="QIX65" s="145"/>
      <c r="QIY65" s="145"/>
      <c r="QIZ65" s="145"/>
      <c r="QJA65" s="145"/>
      <c r="QJB65" s="145"/>
      <c r="QJC65" s="145"/>
      <c r="QJD65" s="145"/>
      <c r="QJE65" s="145"/>
      <c r="QJF65" s="145"/>
      <c r="QJG65" s="145"/>
      <c r="QJH65" s="145"/>
      <c r="QJI65" s="145"/>
      <c r="QJJ65" s="145"/>
      <c r="QJK65" s="145"/>
      <c r="QJL65" s="145"/>
      <c r="QJM65" s="145"/>
      <c r="QJN65" s="145"/>
      <c r="QJO65" s="145"/>
      <c r="QJP65" s="145"/>
      <c r="QJQ65" s="145"/>
      <c r="QJR65" s="145"/>
      <c r="QJS65" s="145"/>
      <c r="QJT65" s="145"/>
      <c r="QJU65" s="145"/>
      <c r="QJV65" s="145"/>
      <c r="QJW65" s="145"/>
      <c r="QJX65" s="145"/>
      <c r="QJY65" s="145"/>
      <c r="QJZ65" s="145"/>
      <c r="QKA65" s="145"/>
      <c r="QKB65" s="145"/>
      <c r="QKC65" s="145"/>
      <c r="QKD65" s="145"/>
      <c r="QKE65" s="145"/>
      <c r="QKF65" s="145"/>
      <c r="QKG65" s="145"/>
      <c r="QKH65" s="145"/>
      <c r="QKI65" s="145"/>
      <c r="QKJ65" s="145"/>
      <c r="QKK65" s="145"/>
      <c r="QKL65" s="145"/>
      <c r="QKM65" s="145"/>
      <c r="QKN65" s="145"/>
      <c r="QKO65" s="145"/>
      <c r="QKP65" s="145"/>
      <c r="QKQ65" s="145"/>
      <c r="QKR65" s="145"/>
      <c r="QKS65" s="145"/>
      <c r="QKT65" s="145"/>
      <c r="QKU65" s="145"/>
      <c r="QKV65" s="145"/>
      <c r="QKW65" s="145"/>
      <c r="QKX65" s="145"/>
      <c r="QKY65" s="145"/>
      <c r="QKZ65" s="145"/>
      <c r="QLA65" s="145"/>
      <c r="QLB65" s="145"/>
      <c r="QLC65" s="145"/>
      <c r="QLD65" s="145"/>
      <c r="QLE65" s="145"/>
      <c r="QLF65" s="145"/>
      <c r="QLG65" s="145"/>
      <c r="QLH65" s="145"/>
      <c r="QLI65" s="145"/>
      <c r="QLJ65" s="145"/>
      <c r="QLK65" s="145"/>
      <c r="QLL65" s="145"/>
      <c r="QLM65" s="145"/>
      <c r="QLN65" s="145"/>
      <c r="QLO65" s="145"/>
      <c r="QLP65" s="145"/>
      <c r="QLQ65" s="145"/>
      <c r="QLR65" s="145"/>
      <c r="QLS65" s="145"/>
      <c r="QLT65" s="145"/>
      <c r="QLU65" s="145"/>
      <c r="QLV65" s="145"/>
      <c r="QLW65" s="145"/>
      <c r="QLX65" s="145"/>
      <c r="QLY65" s="145"/>
      <c r="QLZ65" s="145"/>
      <c r="QMA65" s="145"/>
      <c r="QMB65" s="145"/>
      <c r="QMC65" s="145"/>
      <c r="QMD65" s="145"/>
      <c r="QME65" s="145"/>
      <c r="QMF65" s="145"/>
      <c r="QMG65" s="145"/>
      <c r="QMH65" s="145"/>
      <c r="QMI65" s="145"/>
      <c r="QMJ65" s="145"/>
      <c r="QMK65" s="145"/>
      <c r="QML65" s="145"/>
      <c r="QMM65" s="145"/>
      <c r="QMN65" s="145"/>
      <c r="QMO65" s="145"/>
      <c r="QMP65" s="145"/>
      <c r="QMQ65" s="145"/>
      <c r="QMR65" s="145"/>
      <c r="QMS65" s="145"/>
      <c r="QMT65" s="145"/>
      <c r="QMU65" s="145"/>
      <c r="QMV65" s="145"/>
      <c r="QMW65" s="145"/>
      <c r="QMX65" s="145"/>
      <c r="QMY65" s="145"/>
      <c r="QMZ65" s="145"/>
      <c r="QNA65" s="145"/>
      <c r="QNB65" s="145"/>
      <c r="QNC65" s="145"/>
      <c r="QND65" s="145"/>
      <c r="QNE65" s="145"/>
      <c r="QNF65" s="145"/>
      <c r="QNG65" s="145"/>
      <c r="QNH65" s="145"/>
      <c r="QNI65" s="145"/>
      <c r="QNJ65" s="145"/>
      <c r="QNK65" s="145"/>
      <c r="QNL65" s="145"/>
      <c r="QNM65" s="145"/>
      <c r="QNN65" s="145"/>
      <c r="QNO65" s="145"/>
      <c r="QNP65" s="145"/>
      <c r="QNQ65" s="145"/>
      <c r="QNR65" s="145"/>
      <c r="QNS65" s="145"/>
      <c r="QNT65" s="145"/>
      <c r="QNU65" s="145"/>
      <c r="QNV65" s="145"/>
      <c r="QNW65" s="145"/>
      <c r="QNX65" s="145"/>
      <c r="QNY65" s="145"/>
      <c r="QNZ65" s="145"/>
      <c r="QOA65" s="145"/>
      <c r="QOB65" s="145"/>
      <c r="QOC65" s="145"/>
      <c r="QOD65" s="145"/>
      <c r="QOE65" s="145"/>
      <c r="QOF65" s="145"/>
      <c r="QOG65" s="145"/>
      <c r="QOH65" s="145"/>
      <c r="QOI65" s="145"/>
      <c r="QOJ65" s="145"/>
      <c r="QOK65" s="145"/>
      <c r="QOL65" s="145"/>
      <c r="QOM65" s="145"/>
      <c r="QON65" s="145"/>
      <c r="QOO65" s="145"/>
      <c r="QOP65" s="145"/>
      <c r="QOQ65" s="145"/>
      <c r="QOR65" s="145"/>
      <c r="QOS65" s="145"/>
      <c r="QOT65" s="145"/>
      <c r="QOU65" s="145"/>
      <c r="QOV65" s="145"/>
      <c r="QOW65" s="145"/>
      <c r="QOX65" s="145"/>
      <c r="QOY65" s="145"/>
      <c r="QOZ65" s="145"/>
      <c r="QPA65" s="145"/>
      <c r="QPB65" s="145"/>
      <c r="QPC65" s="145"/>
      <c r="QPD65" s="145"/>
      <c r="QPE65" s="145"/>
      <c r="QPF65" s="145"/>
      <c r="QPG65" s="145"/>
      <c r="QPH65" s="145"/>
      <c r="QPI65" s="145"/>
      <c r="QPJ65" s="145"/>
      <c r="QPK65" s="145"/>
      <c r="QPL65" s="145"/>
      <c r="QPM65" s="145"/>
      <c r="QPN65" s="145"/>
      <c r="QPO65" s="145"/>
      <c r="QPP65" s="145"/>
      <c r="QPQ65" s="145"/>
      <c r="QPR65" s="145"/>
      <c r="QPS65" s="145"/>
      <c r="QPT65" s="145"/>
      <c r="QPU65" s="145"/>
      <c r="QPV65" s="145"/>
      <c r="QPW65" s="145"/>
      <c r="QPX65" s="145"/>
      <c r="QPY65" s="145"/>
      <c r="QPZ65" s="145"/>
      <c r="QQA65" s="145"/>
      <c r="QQB65" s="145"/>
      <c r="QQC65" s="145"/>
      <c r="QQD65" s="145"/>
      <c r="QQE65" s="145"/>
      <c r="QQF65" s="145"/>
      <c r="QQG65" s="145"/>
      <c r="QQH65" s="145"/>
      <c r="QQI65" s="145"/>
      <c r="QQJ65" s="145"/>
      <c r="QQK65" s="145"/>
      <c r="QQL65" s="145"/>
      <c r="QQM65" s="145"/>
      <c r="QQN65" s="145"/>
      <c r="QQO65" s="145"/>
      <c r="QQP65" s="145"/>
      <c r="QQQ65" s="145"/>
      <c r="QQR65" s="145"/>
      <c r="QQS65" s="145"/>
      <c r="QQT65" s="145"/>
      <c r="QQU65" s="145"/>
      <c r="QQV65" s="145"/>
      <c r="QQW65" s="145"/>
      <c r="QQX65" s="145"/>
      <c r="QQY65" s="145"/>
      <c r="QQZ65" s="145"/>
      <c r="QRA65" s="145"/>
      <c r="QRB65" s="145"/>
      <c r="QRC65" s="145"/>
      <c r="QRD65" s="145"/>
      <c r="QRE65" s="145"/>
      <c r="QRF65" s="145"/>
      <c r="QRG65" s="145"/>
      <c r="QRH65" s="145"/>
      <c r="QRI65" s="145"/>
      <c r="QRJ65" s="145"/>
      <c r="QRK65" s="145"/>
      <c r="QRL65" s="145"/>
      <c r="QRM65" s="145"/>
      <c r="QRN65" s="145"/>
      <c r="QRO65" s="145"/>
      <c r="QRP65" s="145"/>
      <c r="QRQ65" s="145"/>
      <c r="QRR65" s="145"/>
      <c r="QRS65" s="145"/>
      <c r="QRT65" s="145"/>
      <c r="QRU65" s="145"/>
      <c r="QRV65" s="145"/>
      <c r="QRW65" s="145"/>
      <c r="QRX65" s="145"/>
      <c r="QRY65" s="145"/>
      <c r="QRZ65" s="145"/>
      <c r="QSA65" s="145"/>
      <c r="QSB65" s="145"/>
      <c r="QSC65" s="145"/>
      <c r="QSD65" s="145"/>
      <c r="QSE65" s="145"/>
      <c r="QSF65" s="145"/>
      <c r="QSG65" s="145"/>
      <c r="QSH65" s="145"/>
      <c r="QSI65" s="145"/>
      <c r="QSJ65" s="145"/>
      <c r="QSK65" s="145"/>
      <c r="QSL65" s="145"/>
      <c r="QSM65" s="145"/>
      <c r="QSN65" s="145"/>
      <c r="QSO65" s="145"/>
      <c r="QSP65" s="145"/>
      <c r="QSQ65" s="145"/>
      <c r="QSR65" s="145"/>
      <c r="QSS65" s="145"/>
      <c r="QST65" s="145"/>
      <c r="QSU65" s="145"/>
      <c r="QSV65" s="145"/>
      <c r="QSW65" s="145"/>
      <c r="QSX65" s="145"/>
      <c r="QSY65" s="145"/>
      <c r="QSZ65" s="145"/>
      <c r="QTA65" s="145"/>
      <c r="QTB65" s="145"/>
      <c r="QTC65" s="145"/>
      <c r="QTD65" s="145"/>
      <c r="QTE65" s="145"/>
      <c r="QTF65" s="145"/>
      <c r="QTG65" s="145"/>
      <c r="QTH65" s="145"/>
      <c r="QTI65" s="145"/>
      <c r="QTJ65" s="145"/>
      <c r="QTK65" s="145"/>
      <c r="QTL65" s="145"/>
      <c r="QTM65" s="145"/>
      <c r="QTN65" s="145"/>
      <c r="QTO65" s="145"/>
      <c r="QTP65" s="145"/>
      <c r="QTQ65" s="145"/>
      <c r="QTR65" s="145"/>
      <c r="QTS65" s="145"/>
      <c r="QTT65" s="145"/>
      <c r="QTU65" s="145"/>
      <c r="QTV65" s="145"/>
      <c r="QTW65" s="145"/>
      <c r="QTX65" s="145"/>
      <c r="QTY65" s="145"/>
      <c r="QTZ65" s="145"/>
      <c r="QUA65" s="145"/>
      <c r="QUB65" s="145"/>
      <c r="QUC65" s="145"/>
      <c r="QUD65" s="145"/>
      <c r="QUE65" s="145"/>
      <c r="QUF65" s="145"/>
      <c r="QUG65" s="145"/>
      <c r="QUH65" s="145"/>
      <c r="QUI65" s="145"/>
      <c r="QUJ65" s="145"/>
      <c r="QUK65" s="145"/>
      <c r="QUL65" s="145"/>
      <c r="QUM65" s="145"/>
      <c r="QUN65" s="145"/>
      <c r="QUO65" s="145"/>
      <c r="QUP65" s="145"/>
      <c r="QUQ65" s="145"/>
      <c r="QUR65" s="145"/>
      <c r="QUS65" s="145"/>
      <c r="QUT65" s="145"/>
      <c r="QUU65" s="145"/>
      <c r="QUV65" s="145"/>
      <c r="QUW65" s="145"/>
      <c r="QUX65" s="145"/>
      <c r="QUY65" s="145"/>
      <c r="QUZ65" s="145"/>
      <c r="QVA65" s="145"/>
      <c r="QVB65" s="145"/>
      <c r="QVC65" s="145"/>
      <c r="QVD65" s="145"/>
      <c r="QVE65" s="145"/>
      <c r="QVF65" s="145"/>
      <c r="QVG65" s="145"/>
      <c r="QVH65" s="145"/>
      <c r="QVI65" s="145"/>
      <c r="QVJ65" s="145"/>
      <c r="QVK65" s="145"/>
      <c r="QVL65" s="145"/>
      <c r="QVM65" s="145"/>
      <c r="QVN65" s="145"/>
      <c r="QVO65" s="145"/>
      <c r="QVP65" s="145"/>
      <c r="QVQ65" s="145"/>
      <c r="QVR65" s="145"/>
      <c r="QVS65" s="145"/>
      <c r="QVT65" s="145"/>
      <c r="QVU65" s="145"/>
      <c r="QVV65" s="145"/>
      <c r="QVW65" s="145"/>
      <c r="QVX65" s="145"/>
      <c r="QVY65" s="145"/>
      <c r="QVZ65" s="145"/>
      <c r="QWA65" s="145"/>
      <c r="QWB65" s="145"/>
      <c r="QWC65" s="145"/>
      <c r="QWD65" s="145"/>
      <c r="QWE65" s="145"/>
      <c r="QWF65" s="145"/>
      <c r="QWG65" s="145"/>
      <c r="QWH65" s="145"/>
      <c r="QWI65" s="145"/>
      <c r="QWJ65" s="145"/>
      <c r="QWK65" s="145"/>
      <c r="QWL65" s="145"/>
      <c r="QWM65" s="145"/>
      <c r="QWN65" s="145"/>
      <c r="QWO65" s="145"/>
      <c r="QWP65" s="145"/>
      <c r="QWQ65" s="145"/>
      <c r="QWR65" s="145"/>
      <c r="QWS65" s="145"/>
      <c r="QWT65" s="145"/>
      <c r="QWU65" s="145"/>
      <c r="QWV65" s="145"/>
      <c r="QWW65" s="145"/>
      <c r="QWX65" s="145"/>
      <c r="QWY65" s="145"/>
      <c r="QWZ65" s="145"/>
      <c r="QXA65" s="145"/>
      <c r="QXB65" s="145"/>
      <c r="QXC65" s="145"/>
      <c r="QXD65" s="145"/>
      <c r="QXE65" s="145"/>
      <c r="QXF65" s="145"/>
      <c r="QXG65" s="145"/>
      <c r="QXH65" s="145"/>
      <c r="QXI65" s="145"/>
      <c r="QXJ65" s="145"/>
      <c r="QXK65" s="145"/>
      <c r="QXL65" s="145"/>
      <c r="QXM65" s="145"/>
      <c r="QXN65" s="145"/>
      <c r="QXO65" s="145"/>
      <c r="QXP65" s="145"/>
      <c r="QXQ65" s="145"/>
      <c r="QXR65" s="145"/>
      <c r="QXS65" s="145"/>
      <c r="QXT65" s="145"/>
      <c r="QXU65" s="145"/>
      <c r="QXV65" s="145"/>
      <c r="QXW65" s="145"/>
      <c r="QXX65" s="145"/>
      <c r="QXY65" s="145"/>
      <c r="QXZ65" s="145"/>
      <c r="QYA65" s="145"/>
      <c r="QYB65" s="145"/>
      <c r="QYC65" s="145"/>
      <c r="QYD65" s="145"/>
      <c r="QYE65" s="145"/>
      <c r="QYF65" s="145"/>
      <c r="QYG65" s="145"/>
      <c r="QYH65" s="145"/>
      <c r="QYI65" s="145"/>
      <c r="QYJ65" s="145"/>
      <c r="QYK65" s="145"/>
      <c r="QYL65" s="145"/>
      <c r="QYM65" s="145"/>
      <c r="QYN65" s="145"/>
      <c r="QYO65" s="145"/>
      <c r="QYP65" s="145"/>
      <c r="QYQ65" s="145"/>
      <c r="QYR65" s="145"/>
      <c r="QYS65" s="145"/>
      <c r="QYT65" s="145"/>
      <c r="QYU65" s="145"/>
      <c r="QYV65" s="145"/>
      <c r="QYW65" s="145"/>
      <c r="QYX65" s="145"/>
      <c r="QYY65" s="145"/>
      <c r="QYZ65" s="145"/>
      <c r="QZA65" s="145"/>
      <c r="QZB65" s="145"/>
      <c r="QZC65" s="145"/>
      <c r="QZD65" s="145"/>
      <c r="QZE65" s="145"/>
      <c r="QZF65" s="145"/>
      <c r="QZG65" s="145"/>
      <c r="QZH65" s="145"/>
      <c r="QZI65" s="145"/>
      <c r="QZJ65" s="145"/>
      <c r="QZK65" s="145"/>
      <c r="QZL65" s="145"/>
      <c r="QZM65" s="145"/>
      <c r="QZN65" s="145"/>
      <c r="QZO65" s="145"/>
      <c r="QZP65" s="145"/>
      <c r="QZQ65" s="145"/>
      <c r="QZR65" s="145"/>
      <c r="QZS65" s="145"/>
      <c r="QZT65" s="145"/>
      <c r="QZU65" s="145"/>
      <c r="QZV65" s="145"/>
      <c r="QZW65" s="145"/>
      <c r="QZX65" s="145"/>
      <c r="QZY65" s="145"/>
      <c r="QZZ65" s="145"/>
      <c r="RAA65" s="145"/>
      <c r="RAB65" s="145"/>
      <c r="RAC65" s="145"/>
      <c r="RAD65" s="145"/>
      <c r="RAE65" s="145"/>
      <c r="RAF65" s="145"/>
      <c r="RAG65" s="145"/>
      <c r="RAH65" s="145"/>
      <c r="RAI65" s="145"/>
      <c r="RAJ65" s="145"/>
      <c r="RAK65" s="145"/>
      <c r="RAL65" s="145"/>
      <c r="RAM65" s="145"/>
      <c r="RAN65" s="145"/>
      <c r="RAO65" s="145"/>
      <c r="RAP65" s="145"/>
      <c r="RAQ65" s="145"/>
      <c r="RAR65" s="145"/>
      <c r="RAS65" s="145"/>
      <c r="RAT65" s="145"/>
      <c r="RAU65" s="145"/>
      <c r="RAV65" s="145"/>
      <c r="RAW65" s="145"/>
      <c r="RAX65" s="145"/>
      <c r="RAY65" s="145"/>
      <c r="RAZ65" s="145"/>
      <c r="RBA65" s="145"/>
      <c r="RBB65" s="145"/>
      <c r="RBC65" s="145"/>
      <c r="RBD65" s="145"/>
      <c r="RBE65" s="145"/>
      <c r="RBF65" s="145"/>
      <c r="RBG65" s="145"/>
      <c r="RBH65" s="145"/>
      <c r="RBI65" s="145"/>
      <c r="RBJ65" s="145"/>
      <c r="RBK65" s="145"/>
      <c r="RBL65" s="145"/>
      <c r="RBM65" s="145"/>
      <c r="RBN65" s="145"/>
      <c r="RBO65" s="145"/>
      <c r="RBP65" s="145"/>
      <c r="RBQ65" s="145"/>
      <c r="RBR65" s="145"/>
      <c r="RBS65" s="145"/>
      <c r="RBT65" s="145"/>
      <c r="RBU65" s="145"/>
      <c r="RBV65" s="145"/>
      <c r="RBW65" s="145"/>
      <c r="RBX65" s="145"/>
      <c r="RBY65" s="145"/>
      <c r="RBZ65" s="145"/>
      <c r="RCA65" s="145"/>
      <c r="RCB65" s="145"/>
      <c r="RCC65" s="145"/>
      <c r="RCD65" s="145"/>
      <c r="RCE65" s="145"/>
      <c r="RCF65" s="145"/>
      <c r="RCG65" s="145"/>
      <c r="RCH65" s="145"/>
      <c r="RCI65" s="145"/>
      <c r="RCJ65" s="145"/>
      <c r="RCK65" s="145"/>
      <c r="RCL65" s="145"/>
      <c r="RCM65" s="145"/>
      <c r="RCN65" s="145"/>
      <c r="RCO65" s="145"/>
      <c r="RCP65" s="145"/>
      <c r="RCQ65" s="145"/>
      <c r="RCR65" s="145"/>
      <c r="RCS65" s="145"/>
      <c r="RCT65" s="145"/>
      <c r="RCU65" s="145"/>
      <c r="RCV65" s="145"/>
      <c r="RCW65" s="145"/>
      <c r="RCX65" s="145"/>
      <c r="RCY65" s="145"/>
      <c r="RCZ65" s="145"/>
      <c r="RDA65" s="145"/>
      <c r="RDB65" s="145"/>
      <c r="RDC65" s="145"/>
      <c r="RDD65" s="145"/>
      <c r="RDE65" s="145"/>
      <c r="RDF65" s="145"/>
      <c r="RDG65" s="145"/>
      <c r="RDH65" s="145"/>
      <c r="RDI65" s="145"/>
      <c r="RDJ65" s="145"/>
      <c r="RDK65" s="145"/>
      <c r="RDL65" s="145"/>
      <c r="RDM65" s="145"/>
      <c r="RDN65" s="145"/>
      <c r="RDO65" s="145"/>
      <c r="RDP65" s="145"/>
      <c r="RDQ65" s="145"/>
      <c r="RDR65" s="145"/>
      <c r="RDS65" s="145"/>
      <c r="RDT65" s="145"/>
      <c r="RDU65" s="145"/>
      <c r="RDV65" s="145"/>
      <c r="RDW65" s="145"/>
      <c r="RDX65" s="145"/>
      <c r="RDY65" s="145"/>
      <c r="RDZ65" s="145"/>
      <c r="REA65" s="145"/>
      <c r="REB65" s="145"/>
      <c r="REC65" s="145"/>
      <c r="RED65" s="145"/>
      <c r="REE65" s="145"/>
      <c r="REF65" s="145"/>
      <c r="REG65" s="145"/>
      <c r="REH65" s="145"/>
      <c r="REI65" s="145"/>
      <c r="REJ65" s="145"/>
      <c r="REK65" s="145"/>
      <c r="REL65" s="145"/>
      <c r="REM65" s="145"/>
      <c r="REN65" s="145"/>
      <c r="REO65" s="145"/>
      <c r="REP65" s="145"/>
      <c r="REQ65" s="145"/>
      <c r="RER65" s="145"/>
      <c r="RES65" s="145"/>
      <c r="RET65" s="145"/>
      <c r="REU65" s="145"/>
      <c r="REV65" s="145"/>
      <c r="REW65" s="145"/>
      <c r="REX65" s="145"/>
      <c r="REY65" s="145"/>
      <c r="REZ65" s="145"/>
      <c r="RFA65" s="145"/>
      <c r="RFB65" s="145"/>
      <c r="RFC65" s="145"/>
      <c r="RFD65" s="145"/>
      <c r="RFE65" s="145"/>
      <c r="RFF65" s="145"/>
      <c r="RFG65" s="145"/>
      <c r="RFH65" s="145"/>
      <c r="RFI65" s="145"/>
      <c r="RFJ65" s="145"/>
      <c r="RFK65" s="145"/>
      <c r="RFL65" s="145"/>
      <c r="RFM65" s="145"/>
      <c r="RFN65" s="145"/>
      <c r="RFO65" s="145"/>
      <c r="RFP65" s="145"/>
      <c r="RFQ65" s="145"/>
      <c r="RFR65" s="145"/>
      <c r="RFS65" s="145"/>
      <c r="RFT65" s="145"/>
      <c r="RFU65" s="145"/>
      <c r="RFV65" s="145"/>
      <c r="RFW65" s="145"/>
      <c r="RFX65" s="145"/>
      <c r="RFY65" s="145"/>
      <c r="RFZ65" s="145"/>
      <c r="RGA65" s="145"/>
      <c r="RGB65" s="145"/>
      <c r="RGC65" s="145"/>
      <c r="RGD65" s="145"/>
      <c r="RGE65" s="145"/>
      <c r="RGF65" s="145"/>
      <c r="RGG65" s="145"/>
      <c r="RGH65" s="145"/>
      <c r="RGI65" s="145"/>
      <c r="RGJ65" s="145"/>
      <c r="RGK65" s="145"/>
      <c r="RGL65" s="145"/>
      <c r="RGM65" s="145"/>
      <c r="RGN65" s="145"/>
      <c r="RGO65" s="145"/>
      <c r="RGP65" s="145"/>
      <c r="RGQ65" s="145"/>
      <c r="RGR65" s="145"/>
      <c r="RGS65" s="145"/>
      <c r="RGT65" s="145"/>
      <c r="RGU65" s="145"/>
      <c r="RGV65" s="145"/>
      <c r="RGW65" s="145"/>
      <c r="RGX65" s="145"/>
      <c r="RGY65" s="145"/>
      <c r="RGZ65" s="145"/>
      <c r="RHA65" s="145"/>
      <c r="RHB65" s="145"/>
      <c r="RHC65" s="145"/>
      <c r="RHD65" s="145"/>
      <c r="RHE65" s="145"/>
      <c r="RHF65" s="145"/>
      <c r="RHG65" s="145"/>
      <c r="RHH65" s="145"/>
      <c r="RHI65" s="145"/>
      <c r="RHJ65" s="145"/>
      <c r="RHK65" s="145"/>
      <c r="RHL65" s="145"/>
      <c r="RHM65" s="145"/>
      <c r="RHN65" s="145"/>
      <c r="RHO65" s="145"/>
      <c r="RHP65" s="145"/>
      <c r="RHQ65" s="145"/>
      <c r="RHR65" s="145"/>
      <c r="RHS65" s="145"/>
      <c r="RHT65" s="145"/>
      <c r="RHU65" s="145"/>
      <c r="RHV65" s="145"/>
      <c r="RHW65" s="145"/>
      <c r="RHX65" s="145"/>
      <c r="RHY65" s="145"/>
      <c r="RHZ65" s="145"/>
      <c r="RIA65" s="145"/>
      <c r="RIB65" s="145"/>
      <c r="RIC65" s="145"/>
      <c r="RID65" s="145"/>
      <c r="RIE65" s="145"/>
      <c r="RIF65" s="145"/>
      <c r="RIG65" s="145"/>
      <c r="RIH65" s="145"/>
      <c r="RII65" s="145"/>
      <c r="RIJ65" s="145"/>
      <c r="RIK65" s="145"/>
      <c r="RIL65" s="145"/>
      <c r="RIM65" s="145"/>
      <c r="RIN65" s="145"/>
      <c r="RIO65" s="145"/>
      <c r="RIP65" s="145"/>
      <c r="RIQ65" s="145"/>
      <c r="RIR65" s="145"/>
      <c r="RIS65" s="145"/>
      <c r="RIT65" s="145"/>
      <c r="RIU65" s="145"/>
      <c r="RIV65" s="145"/>
      <c r="RIW65" s="145"/>
      <c r="RIX65" s="145"/>
      <c r="RIY65" s="145"/>
      <c r="RIZ65" s="145"/>
      <c r="RJA65" s="145"/>
      <c r="RJB65" s="145"/>
      <c r="RJC65" s="145"/>
      <c r="RJD65" s="145"/>
      <c r="RJE65" s="145"/>
      <c r="RJF65" s="145"/>
      <c r="RJG65" s="145"/>
      <c r="RJH65" s="145"/>
      <c r="RJI65" s="145"/>
      <c r="RJJ65" s="145"/>
      <c r="RJK65" s="145"/>
      <c r="RJL65" s="145"/>
      <c r="RJM65" s="145"/>
      <c r="RJN65" s="145"/>
      <c r="RJO65" s="145"/>
      <c r="RJP65" s="145"/>
      <c r="RJQ65" s="145"/>
      <c r="RJR65" s="145"/>
      <c r="RJS65" s="145"/>
      <c r="RJT65" s="145"/>
      <c r="RJU65" s="145"/>
      <c r="RJV65" s="145"/>
      <c r="RJW65" s="145"/>
      <c r="RJX65" s="145"/>
      <c r="RJY65" s="145"/>
      <c r="RJZ65" s="145"/>
      <c r="RKA65" s="145"/>
      <c r="RKB65" s="145"/>
      <c r="RKC65" s="145"/>
      <c r="RKD65" s="145"/>
      <c r="RKE65" s="145"/>
      <c r="RKF65" s="145"/>
      <c r="RKG65" s="145"/>
      <c r="RKH65" s="145"/>
      <c r="RKI65" s="145"/>
      <c r="RKJ65" s="145"/>
      <c r="RKK65" s="145"/>
      <c r="RKL65" s="145"/>
      <c r="RKM65" s="145"/>
      <c r="RKN65" s="145"/>
      <c r="RKO65" s="145"/>
      <c r="RKP65" s="145"/>
      <c r="RKQ65" s="145"/>
      <c r="RKR65" s="145"/>
      <c r="RKS65" s="145"/>
      <c r="RKT65" s="145"/>
      <c r="RKU65" s="145"/>
      <c r="RKV65" s="145"/>
      <c r="RKW65" s="145"/>
      <c r="RKX65" s="145"/>
      <c r="RKY65" s="145"/>
      <c r="RKZ65" s="145"/>
      <c r="RLA65" s="145"/>
      <c r="RLB65" s="145"/>
      <c r="RLC65" s="145"/>
      <c r="RLD65" s="145"/>
      <c r="RLE65" s="145"/>
      <c r="RLF65" s="145"/>
      <c r="RLG65" s="145"/>
      <c r="RLH65" s="145"/>
      <c r="RLI65" s="145"/>
      <c r="RLJ65" s="145"/>
      <c r="RLK65" s="145"/>
      <c r="RLL65" s="145"/>
      <c r="RLM65" s="145"/>
      <c r="RLN65" s="145"/>
      <c r="RLO65" s="145"/>
      <c r="RLP65" s="145"/>
      <c r="RLQ65" s="145"/>
      <c r="RLR65" s="145"/>
      <c r="RLS65" s="145"/>
      <c r="RLT65" s="145"/>
      <c r="RLU65" s="145"/>
      <c r="RLV65" s="145"/>
      <c r="RLW65" s="145"/>
      <c r="RLX65" s="145"/>
      <c r="RLY65" s="145"/>
      <c r="RLZ65" s="145"/>
      <c r="RMA65" s="145"/>
      <c r="RMB65" s="145"/>
      <c r="RMC65" s="145"/>
      <c r="RMD65" s="145"/>
      <c r="RME65" s="145"/>
      <c r="RMF65" s="145"/>
      <c r="RMG65" s="145"/>
      <c r="RMH65" s="145"/>
      <c r="RMI65" s="145"/>
      <c r="RMJ65" s="145"/>
      <c r="RMK65" s="145"/>
      <c r="RML65" s="145"/>
      <c r="RMM65" s="145"/>
      <c r="RMN65" s="145"/>
      <c r="RMO65" s="145"/>
      <c r="RMP65" s="145"/>
      <c r="RMQ65" s="145"/>
      <c r="RMR65" s="145"/>
      <c r="RMS65" s="145"/>
      <c r="RMT65" s="145"/>
      <c r="RMU65" s="145"/>
      <c r="RMV65" s="145"/>
      <c r="RMW65" s="145"/>
      <c r="RMX65" s="145"/>
      <c r="RMY65" s="145"/>
      <c r="RMZ65" s="145"/>
      <c r="RNA65" s="145"/>
      <c r="RNB65" s="145"/>
      <c r="RNC65" s="145"/>
      <c r="RND65" s="145"/>
      <c r="RNE65" s="145"/>
      <c r="RNF65" s="145"/>
      <c r="RNG65" s="145"/>
      <c r="RNH65" s="145"/>
      <c r="RNI65" s="145"/>
      <c r="RNJ65" s="145"/>
      <c r="RNK65" s="145"/>
      <c r="RNL65" s="145"/>
      <c r="RNM65" s="145"/>
      <c r="RNN65" s="145"/>
      <c r="RNO65" s="145"/>
      <c r="RNP65" s="145"/>
      <c r="RNQ65" s="145"/>
      <c r="RNR65" s="145"/>
      <c r="RNS65" s="145"/>
      <c r="RNT65" s="145"/>
      <c r="RNU65" s="145"/>
      <c r="RNV65" s="145"/>
      <c r="RNW65" s="145"/>
      <c r="RNX65" s="145"/>
      <c r="RNY65" s="145"/>
      <c r="RNZ65" s="145"/>
      <c r="ROA65" s="145"/>
      <c r="ROB65" s="145"/>
      <c r="ROC65" s="145"/>
      <c r="ROD65" s="145"/>
      <c r="ROE65" s="145"/>
      <c r="ROF65" s="145"/>
      <c r="ROG65" s="145"/>
      <c r="ROH65" s="145"/>
      <c r="ROI65" s="145"/>
      <c r="ROJ65" s="145"/>
      <c r="ROK65" s="145"/>
      <c r="ROL65" s="145"/>
      <c r="ROM65" s="145"/>
      <c r="RON65" s="145"/>
      <c r="ROO65" s="145"/>
      <c r="ROP65" s="145"/>
      <c r="ROQ65" s="145"/>
      <c r="ROR65" s="145"/>
      <c r="ROS65" s="145"/>
      <c r="ROT65" s="145"/>
      <c r="ROU65" s="145"/>
      <c r="ROV65" s="145"/>
      <c r="ROW65" s="145"/>
      <c r="ROX65" s="145"/>
      <c r="ROY65" s="145"/>
      <c r="ROZ65" s="145"/>
      <c r="RPA65" s="145"/>
      <c r="RPB65" s="145"/>
      <c r="RPC65" s="145"/>
      <c r="RPD65" s="145"/>
      <c r="RPE65" s="145"/>
      <c r="RPF65" s="145"/>
      <c r="RPG65" s="145"/>
      <c r="RPH65" s="145"/>
      <c r="RPI65" s="145"/>
      <c r="RPJ65" s="145"/>
      <c r="RPK65" s="145"/>
      <c r="RPL65" s="145"/>
      <c r="RPM65" s="145"/>
      <c r="RPN65" s="145"/>
      <c r="RPO65" s="145"/>
      <c r="RPP65" s="145"/>
      <c r="RPQ65" s="145"/>
      <c r="RPR65" s="145"/>
      <c r="RPS65" s="145"/>
      <c r="RPT65" s="145"/>
      <c r="RPU65" s="145"/>
      <c r="RPV65" s="145"/>
      <c r="RPW65" s="145"/>
      <c r="RPX65" s="145"/>
      <c r="RPY65" s="145"/>
      <c r="RPZ65" s="145"/>
      <c r="RQA65" s="145"/>
      <c r="RQB65" s="145"/>
      <c r="RQC65" s="145"/>
      <c r="RQD65" s="145"/>
      <c r="RQE65" s="145"/>
      <c r="RQF65" s="145"/>
      <c r="RQG65" s="145"/>
      <c r="RQH65" s="145"/>
      <c r="RQI65" s="145"/>
      <c r="RQJ65" s="145"/>
      <c r="RQK65" s="145"/>
      <c r="RQL65" s="145"/>
      <c r="RQM65" s="145"/>
      <c r="RQN65" s="145"/>
      <c r="RQO65" s="145"/>
      <c r="RQP65" s="145"/>
      <c r="RQQ65" s="145"/>
      <c r="RQR65" s="145"/>
      <c r="RQS65" s="145"/>
      <c r="RQT65" s="145"/>
      <c r="RQU65" s="145"/>
      <c r="RQV65" s="145"/>
      <c r="RQW65" s="145"/>
      <c r="RQX65" s="145"/>
      <c r="RQY65" s="145"/>
      <c r="RQZ65" s="145"/>
      <c r="RRA65" s="145"/>
      <c r="RRB65" s="145"/>
      <c r="RRC65" s="145"/>
      <c r="RRD65" s="145"/>
      <c r="RRE65" s="145"/>
      <c r="RRF65" s="145"/>
      <c r="RRG65" s="145"/>
      <c r="RRH65" s="145"/>
      <c r="RRI65" s="145"/>
      <c r="RRJ65" s="145"/>
      <c r="RRK65" s="145"/>
      <c r="RRL65" s="145"/>
      <c r="RRM65" s="145"/>
      <c r="RRN65" s="145"/>
      <c r="RRO65" s="145"/>
      <c r="RRP65" s="145"/>
      <c r="RRQ65" s="145"/>
      <c r="RRR65" s="145"/>
      <c r="RRS65" s="145"/>
      <c r="RRT65" s="145"/>
      <c r="RRU65" s="145"/>
      <c r="RRV65" s="145"/>
      <c r="RRW65" s="145"/>
      <c r="RRX65" s="145"/>
      <c r="RRY65" s="145"/>
      <c r="RRZ65" s="145"/>
      <c r="RSA65" s="145"/>
      <c r="RSB65" s="145"/>
      <c r="RSC65" s="145"/>
      <c r="RSD65" s="145"/>
      <c r="RSE65" s="145"/>
      <c r="RSF65" s="145"/>
      <c r="RSG65" s="145"/>
      <c r="RSH65" s="145"/>
      <c r="RSI65" s="145"/>
      <c r="RSJ65" s="145"/>
      <c r="RSK65" s="145"/>
      <c r="RSL65" s="145"/>
      <c r="RSM65" s="145"/>
      <c r="RSN65" s="145"/>
      <c r="RSO65" s="145"/>
      <c r="RSP65" s="145"/>
      <c r="RSQ65" s="145"/>
      <c r="RSR65" s="145"/>
      <c r="RSS65" s="145"/>
      <c r="RST65" s="145"/>
      <c r="RSU65" s="145"/>
      <c r="RSV65" s="145"/>
      <c r="RSW65" s="145"/>
      <c r="RSX65" s="145"/>
      <c r="RSY65" s="145"/>
      <c r="RSZ65" s="145"/>
      <c r="RTA65" s="145"/>
      <c r="RTB65" s="145"/>
      <c r="RTC65" s="145"/>
      <c r="RTD65" s="145"/>
      <c r="RTE65" s="145"/>
      <c r="RTF65" s="145"/>
      <c r="RTG65" s="145"/>
      <c r="RTH65" s="145"/>
      <c r="RTI65" s="145"/>
      <c r="RTJ65" s="145"/>
      <c r="RTK65" s="145"/>
      <c r="RTL65" s="145"/>
      <c r="RTM65" s="145"/>
      <c r="RTN65" s="145"/>
      <c r="RTO65" s="145"/>
      <c r="RTP65" s="145"/>
      <c r="RTQ65" s="145"/>
      <c r="RTR65" s="145"/>
      <c r="RTS65" s="145"/>
      <c r="RTT65" s="145"/>
      <c r="RTU65" s="145"/>
      <c r="RTV65" s="145"/>
      <c r="RTW65" s="145"/>
      <c r="RTX65" s="145"/>
      <c r="RTY65" s="145"/>
      <c r="RTZ65" s="145"/>
      <c r="RUA65" s="145"/>
      <c r="RUB65" s="145"/>
      <c r="RUC65" s="145"/>
      <c r="RUD65" s="145"/>
      <c r="RUE65" s="145"/>
      <c r="RUF65" s="145"/>
      <c r="RUG65" s="145"/>
      <c r="RUH65" s="145"/>
      <c r="RUI65" s="145"/>
      <c r="RUJ65" s="145"/>
      <c r="RUK65" s="145"/>
      <c r="RUL65" s="145"/>
      <c r="RUM65" s="145"/>
      <c r="RUN65" s="145"/>
      <c r="RUO65" s="145"/>
      <c r="RUP65" s="145"/>
      <c r="RUQ65" s="145"/>
      <c r="RUR65" s="145"/>
      <c r="RUS65" s="145"/>
      <c r="RUT65" s="145"/>
      <c r="RUU65" s="145"/>
      <c r="RUV65" s="145"/>
      <c r="RUW65" s="145"/>
      <c r="RUX65" s="145"/>
      <c r="RUY65" s="145"/>
      <c r="RUZ65" s="145"/>
      <c r="RVA65" s="145"/>
      <c r="RVB65" s="145"/>
      <c r="RVC65" s="145"/>
      <c r="RVD65" s="145"/>
      <c r="RVE65" s="145"/>
      <c r="RVF65" s="145"/>
      <c r="RVG65" s="145"/>
      <c r="RVH65" s="145"/>
      <c r="RVI65" s="145"/>
      <c r="RVJ65" s="145"/>
      <c r="RVK65" s="145"/>
      <c r="RVL65" s="145"/>
      <c r="RVM65" s="145"/>
      <c r="RVN65" s="145"/>
      <c r="RVO65" s="145"/>
      <c r="RVP65" s="145"/>
      <c r="RVQ65" s="145"/>
      <c r="RVR65" s="145"/>
      <c r="RVS65" s="145"/>
      <c r="RVT65" s="145"/>
      <c r="RVU65" s="145"/>
      <c r="RVV65" s="145"/>
      <c r="RVW65" s="145"/>
      <c r="RVX65" s="145"/>
      <c r="RVY65" s="145"/>
      <c r="RVZ65" s="145"/>
      <c r="RWA65" s="145"/>
      <c r="RWB65" s="145"/>
      <c r="RWC65" s="145"/>
      <c r="RWD65" s="145"/>
      <c r="RWE65" s="145"/>
      <c r="RWF65" s="145"/>
      <c r="RWG65" s="145"/>
      <c r="RWH65" s="145"/>
      <c r="RWI65" s="145"/>
      <c r="RWJ65" s="145"/>
      <c r="RWK65" s="145"/>
      <c r="RWL65" s="145"/>
      <c r="RWM65" s="145"/>
      <c r="RWN65" s="145"/>
      <c r="RWO65" s="145"/>
      <c r="RWP65" s="145"/>
      <c r="RWQ65" s="145"/>
      <c r="RWR65" s="145"/>
      <c r="RWS65" s="145"/>
      <c r="RWT65" s="145"/>
      <c r="RWU65" s="145"/>
      <c r="RWV65" s="145"/>
      <c r="RWW65" s="145"/>
      <c r="RWX65" s="145"/>
      <c r="RWY65" s="145"/>
      <c r="RWZ65" s="145"/>
      <c r="RXA65" s="145"/>
      <c r="RXB65" s="145"/>
      <c r="RXC65" s="145"/>
      <c r="RXD65" s="145"/>
      <c r="RXE65" s="145"/>
      <c r="RXF65" s="145"/>
      <c r="RXG65" s="145"/>
      <c r="RXH65" s="145"/>
      <c r="RXI65" s="145"/>
      <c r="RXJ65" s="145"/>
      <c r="RXK65" s="145"/>
      <c r="RXL65" s="145"/>
      <c r="RXM65" s="145"/>
      <c r="RXN65" s="145"/>
      <c r="RXO65" s="145"/>
      <c r="RXP65" s="145"/>
      <c r="RXQ65" s="145"/>
      <c r="RXR65" s="145"/>
      <c r="RXS65" s="145"/>
      <c r="RXT65" s="145"/>
      <c r="RXU65" s="145"/>
      <c r="RXV65" s="145"/>
      <c r="RXW65" s="145"/>
      <c r="RXX65" s="145"/>
      <c r="RXY65" s="145"/>
      <c r="RXZ65" s="145"/>
      <c r="RYA65" s="145"/>
      <c r="RYB65" s="145"/>
      <c r="RYC65" s="145"/>
      <c r="RYD65" s="145"/>
      <c r="RYE65" s="145"/>
      <c r="RYF65" s="145"/>
      <c r="RYG65" s="145"/>
      <c r="RYH65" s="145"/>
      <c r="RYI65" s="145"/>
      <c r="RYJ65" s="145"/>
      <c r="RYK65" s="145"/>
      <c r="RYL65" s="145"/>
      <c r="RYM65" s="145"/>
      <c r="RYN65" s="145"/>
      <c r="RYO65" s="145"/>
      <c r="RYP65" s="145"/>
      <c r="RYQ65" s="145"/>
      <c r="RYR65" s="145"/>
      <c r="RYS65" s="145"/>
      <c r="RYT65" s="145"/>
      <c r="RYU65" s="145"/>
      <c r="RYV65" s="145"/>
      <c r="RYW65" s="145"/>
      <c r="RYX65" s="145"/>
      <c r="RYY65" s="145"/>
      <c r="RYZ65" s="145"/>
      <c r="RZA65" s="145"/>
      <c r="RZB65" s="145"/>
      <c r="RZC65" s="145"/>
      <c r="RZD65" s="145"/>
      <c r="RZE65" s="145"/>
      <c r="RZF65" s="145"/>
      <c r="RZG65" s="145"/>
      <c r="RZH65" s="145"/>
      <c r="RZI65" s="145"/>
      <c r="RZJ65" s="145"/>
      <c r="RZK65" s="145"/>
      <c r="RZL65" s="145"/>
      <c r="RZM65" s="145"/>
      <c r="RZN65" s="145"/>
      <c r="RZO65" s="145"/>
      <c r="RZP65" s="145"/>
      <c r="RZQ65" s="145"/>
      <c r="RZR65" s="145"/>
      <c r="RZS65" s="145"/>
      <c r="RZT65" s="145"/>
      <c r="RZU65" s="145"/>
      <c r="RZV65" s="145"/>
      <c r="RZW65" s="145"/>
      <c r="RZX65" s="145"/>
      <c r="RZY65" s="145"/>
      <c r="RZZ65" s="145"/>
      <c r="SAA65" s="145"/>
      <c r="SAB65" s="145"/>
      <c r="SAC65" s="145"/>
      <c r="SAD65" s="145"/>
      <c r="SAE65" s="145"/>
      <c r="SAF65" s="145"/>
      <c r="SAG65" s="145"/>
      <c r="SAH65" s="145"/>
      <c r="SAI65" s="145"/>
      <c r="SAJ65" s="145"/>
      <c r="SAK65" s="145"/>
      <c r="SAL65" s="145"/>
      <c r="SAM65" s="145"/>
      <c r="SAN65" s="145"/>
      <c r="SAO65" s="145"/>
      <c r="SAP65" s="145"/>
      <c r="SAQ65" s="145"/>
      <c r="SAR65" s="145"/>
      <c r="SAS65" s="145"/>
      <c r="SAT65" s="145"/>
      <c r="SAU65" s="145"/>
      <c r="SAV65" s="145"/>
      <c r="SAW65" s="145"/>
      <c r="SAX65" s="145"/>
      <c r="SAY65" s="145"/>
      <c r="SAZ65" s="145"/>
      <c r="SBA65" s="145"/>
      <c r="SBB65" s="145"/>
      <c r="SBC65" s="145"/>
      <c r="SBD65" s="145"/>
      <c r="SBE65" s="145"/>
      <c r="SBF65" s="145"/>
      <c r="SBG65" s="145"/>
      <c r="SBH65" s="145"/>
      <c r="SBI65" s="145"/>
      <c r="SBJ65" s="145"/>
      <c r="SBK65" s="145"/>
      <c r="SBL65" s="145"/>
      <c r="SBM65" s="145"/>
      <c r="SBN65" s="145"/>
      <c r="SBO65" s="145"/>
      <c r="SBP65" s="145"/>
      <c r="SBQ65" s="145"/>
      <c r="SBR65" s="145"/>
      <c r="SBS65" s="145"/>
      <c r="SBT65" s="145"/>
      <c r="SBU65" s="145"/>
      <c r="SBV65" s="145"/>
      <c r="SBW65" s="145"/>
      <c r="SBX65" s="145"/>
      <c r="SBY65" s="145"/>
      <c r="SBZ65" s="145"/>
      <c r="SCA65" s="145"/>
      <c r="SCB65" s="145"/>
      <c r="SCC65" s="145"/>
      <c r="SCD65" s="145"/>
      <c r="SCE65" s="145"/>
      <c r="SCF65" s="145"/>
      <c r="SCG65" s="145"/>
      <c r="SCH65" s="145"/>
      <c r="SCI65" s="145"/>
      <c r="SCJ65" s="145"/>
      <c r="SCK65" s="145"/>
      <c r="SCL65" s="145"/>
      <c r="SCM65" s="145"/>
      <c r="SCN65" s="145"/>
      <c r="SCO65" s="145"/>
      <c r="SCP65" s="145"/>
      <c r="SCQ65" s="145"/>
      <c r="SCR65" s="145"/>
      <c r="SCS65" s="145"/>
      <c r="SCT65" s="145"/>
      <c r="SCU65" s="145"/>
      <c r="SCV65" s="145"/>
      <c r="SCW65" s="145"/>
      <c r="SCX65" s="145"/>
      <c r="SCY65" s="145"/>
      <c r="SCZ65" s="145"/>
      <c r="SDA65" s="145"/>
      <c r="SDB65" s="145"/>
      <c r="SDC65" s="145"/>
      <c r="SDD65" s="145"/>
      <c r="SDE65" s="145"/>
      <c r="SDF65" s="145"/>
      <c r="SDG65" s="145"/>
      <c r="SDH65" s="145"/>
      <c r="SDI65" s="145"/>
      <c r="SDJ65" s="145"/>
      <c r="SDK65" s="145"/>
      <c r="SDL65" s="145"/>
      <c r="SDM65" s="145"/>
      <c r="SDN65" s="145"/>
      <c r="SDO65" s="145"/>
      <c r="SDP65" s="145"/>
      <c r="SDQ65" s="145"/>
      <c r="SDR65" s="145"/>
      <c r="SDS65" s="145"/>
      <c r="SDT65" s="145"/>
      <c r="SDU65" s="145"/>
      <c r="SDV65" s="145"/>
      <c r="SDW65" s="145"/>
      <c r="SDX65" s="145"/>
      <c r="SDY65" s="145"/>
      <c r="SDZ65" s="145"/>
      <c r="SEA65" s="145"/>
      <c r="SEB65" s="145"/>
      <c r="SEC65" s="145"/>
      <c r="SED65" s="145"/>
      <c r="SEE65" s="145"/>
      <c r="SEF65" s="145"/>
      <c r="SEG65" s="145"/>
      <c r="SEH65" s="145"/>
      <c r="SEI65" s="145"/>
      <c r="SEJ65" s="145"/>
      <c r="SEK65" s="145"/>
      <c r="SEL65" s="145"/>
      <c r="SEM65" s="145"/>
      <c r="SEN65" s="145"/>
      <c r="SEO65" s="145"/>
      <c r="SEP65" s="145"/>
      <c r="SEQ65" s="145"/>
      <c r="SER65" s="145"/>
      <c r="SES65" s="145"/>
      <c r="SET65" s="145"/>
      <c r="SEU65" s="145"/>
      <c r="SEV65" s="145"/>
      <c r="SEW65" s="145"/>
      <c r="SEX65" s="145"/>
      <c r="SEY65" s="145"/>
      <c r="SEZ65" s="145"/>
      <c r="SFA65" s="145"/>
      <c r="SFB65" s="145"/>
      <c r="SFC65" s="145"/>
      <c r="SFD65" s="145"/>
      <c r="SFE65" s="145"/>
      <c r="SFF65" s="145"/>
      <c r="SFG65" s="145"/>
      <c r="SFH65" s="145"/>
      <c r="SFI65" s="145"/>
      <c r="SFJ65" s="145"/>
      <c r="SFK65" s="145"/>
      <c r="SFL65" s="145"/>
      <c r="SFM65" s="145"/>
      <c r="SFN65" s="145"/>
      <c r="SFO65" s="145"/>
      <c r="SFP65" s="145"/>
      <c r="SFQ65" s="145"/>
      <c r="SFR65" s="145"/>
      <c r="SFS65" s="145"/>
      <c r="SFT65" s="145"/>
      <c r="SFU65" s="145"/>
      <c r="SFV65" s="145"/>
      <c r="SFW65" s="145"/>
      <c r="SFX65" s="145"/>
      <c r="SFY65" s="145"/>
      <c r="SFZ65" s="145"/>
      <c r="SGA65" s="145"/>
      <c r="SGB65" s="145"/>
      <c r="SGC65" s="145"/>
      <c r="SGD65" s="145"/>
      <c r="SGE65" s="145"/>
      <c r="SGF65" s="145"/>
      <c r="SGG65" s="145"/>
      <c r="SGH65" s="145"/>
      <c r="SGI65" s="145"/>
      <c r="SGJ65" s="145"/>
      <c r="SGK65" s="145"/>
      <c r="SGL65" s="145"/>
      <c r="SGM65" s="145"/>
      <c r="SGN65" s="145"/>
      <c r="SGO65" s="145"/>
      <c r="SGP65" s="145"/>
      <c r="SGQ65" s="145"/>
      <c r="SGR65" s="145"/>
      <c r="SGS65" s="145"/>
      <c r="SGT65" s="145"/>
      <c r="SGU65" s="145"/>
      <c r="SGV65" s="145"/>
      <c r="SGW65" s="145"/>
      <c r="SGX65" s="145"/>
      <c r="SGY65" s="145"/>
      <c r="SGZ65" s="145"/>
      <c r="SHA65" s="145"/>
      <c r="SHB65" s="145"/>
      <c r="SHC65" s="145"/>
      <c r="SHD65" s="145"/>
      <c r="SHE65" s="145"/>
      <c r="SHF65" s="145"/>
      <c r="SHG65" s="145"/>
      <c r="SHH65" s="145"/>
      <c r="SHI65" s="145"/>
      <c r="SHJ65" s="145"/>
      <c r="SHK65" s="145"/>
      <c r="SHL65" s="145"/>
      <c r="SHM65" s="145"/>
      <c r="SHN65" s="145"/>
      <c r="SHO65" s="145"/>
      <c r="SHP65" s="145"/>
      <c r="SHQ65" s="145"/>
      <c r="SHR65" s="145"/>
      <c r="SHS65" s="145"/>
      <c r="SHT65" s="145"/>
      <c r="SHU65" s="145"/>
      <c r="SHV65" s="145"/>
      <c r="SHW65" s="145"/>
      <c r="SHX65" s="145"/>
      <c r="SHY65" s="145"/>
      <c r="SHZ65" s="145"/>
      <c r="SIA65" s="145"/>
      <c r="SIB65" s="145"/>
      <c r="SIC65" s="145"/>
      <c r="SID65" s="145"/>
      <c r="SIE65" s="145"/>
      <c r="SIF65" s="145"/>
      <c r="SIG65" s="145"/>
      <c r="SIH65" s="145"/>
      <c r="SII65" s="145"/>
      <c r="SIJ65" s="145"/>
      <c r="SIK65" s="145"/>
      <c r="SIL65" s="145"/>
      <c r="SIM65" s="145"/>
      <c r="SIN65" s="145"/>
      <c r="SIO65" s="145"/>
      <c r="SIP65" s="145"/>
      <c r="SIQ65" s="145"/>
      <c r="SIR65" s="145"/>
      <c r="SIS65" s="145"/>
      <c r="SIT65" s="145"/>
      <c r="SIU65" s="145"/>
      <c r="SIV65" s="145"/>
      <c r="SIW65" s="145"/>
      <c r="SIX65" s="145"/>
      <c r="SIY65" s="145"/>
      <c r="SIZ65" s="145"/>
      <c r="SJA65" s="145"/>
      <c r="SJB65" s="145"/>
      <c r="SJC65" s="145"/>
      <c r="SJD65" s="145"/>
      <c r="SJE65" s="145"/>
      <c r="SJF65" s="145"/>
      <c r="SJG65" s="145"/>
      <c r="SJH65" s="145"/>
      <c r="SJI65" s="145"/>
      <c r="SJJ65" s="145"/>
      <c r="SJK65" s="145"/>
      <c r="SJL65" s="145"/>
      <c r="SJM65" s="145"/>
      <c r="SJN65" s="145"/>
      <c r="SJO65" s="145"/>
      <c r="SJP65" s="145"/>
      <c r="SJQ65" s="145"/>
      <c r="SJR65" s="145"/>
      <c r="SJS65" s="145"/>
      <c r="SJT65" s="145"/>
      <c r="SJU65" s="145"/>
      <c r="SJV65" s="145"/>
      <c r="SJW65" s="145"/>
      <c r="SJX65" s="145"/>
      <c r="SJY65" s="145"/>
      <c r="SJZ65" s="145"/>
      <c r="SKA65" s="145"/>
      <c r="SKB65" s="145"/>
      <c r="SKC65" s="145"/>
      <c r="SKD65" s="145"/>
      <c r="SKE65" s="145"/>
      <c r="SKF65" s="145"/>
      <c r="SKG65" s="145"/>
      <c r="SKH65" s="145"/>
      <c r="SKI65" s="145"/>
      <c r="SKJ65" s="145"/>
      <c r="SKK65" s="145"/>
      <c r="SKL65" s="145"/>
      <c r="SKM65" s="145"/>
      <c r="SKN65" s="145"/>
      <c r="SKO65" s="145"/>
      <c r="SKP65" s="145"/>
      <c r="SKQ65" s="145"/>
      <c r="SKR65" s="145"/>
      <c r="SKS65" s="145"/>
      <c r="SKT65" s="145"/>
      <c r="SKU65" s="145"/>
      <c r="SKV65" s="145"/>
      <c r="SKW65" s="145"/>
      <c r="SKX65" s="145"/>
      <c r="SKY65" s="145"/>
      <c r="SKZ65" s="145"/>
      <c r="SLA65" s="145"/>
      <c r="SLB65" s="145"/>
      <c r="SLC65" s="145"/>
      <c r="SLD65" s="145"/>
      <c r="SLE65" s="145"/>
      <c r="SLF65" s="145"/>
      <c r="SLG65" s="145"/>
      <c r="SLH65" s="145"/>
      <c r="SLI65" s="145"/>
      <c r="SLJ65" s="145"/>
      <c r="SLK65" s="145"/>
      <c r="SLL65" s="145"/>
      <c r="SLM65" s="145"/>
      <c r="SLN65" s="145"/>
      <c r="SLO65" s="145"/>
      <c r="SLP65" s="145"/>
      <c r="SLQ65" s="145"/>
      <c r="SLR65" s="145"/>
      <c r="SLS65" s="145"/>
      <c r="SLT65" s="145"/>
      <c r="SLU65" s="145"/>
      <c r="SLV65" s="145"/>
      <c r="SLW65" s="145"/>
      <c r="SLX65" s="145"/>
      <c r="SLY65" s="145"/>
      <c r="SLZ65" s="145"/>
      <c r="SMA65" s="145"/>
      <c r="SMB65" s="145"/>
      <c r="SMC65" s="145"/>
      <c r="SMD65" s="145"/>
      <c r="SME65" s="145"/>
      <c r="SMF65" s="145"/>
      <c r="SMG65" s="145"/>
      <c r="SMH65" s="145"/>
      <c r="SMI65" s="145"/>
      <c r="SMJ65" s="145"/>
      <c r="SMK65" s="145"/>
      <c r="SML65" s="145"/>
      <c r="SMM65" s="145"/>
      <c r="SMN65" s="145"/>
      <c r="SMO65" s="145"/>
      <c r="SMP65" s="145"/>
      <c r="SMQ65" s="145"/>
      <c r="SMR65" s="145"/>
      <c r="SMS65" s="145"/>
      <c r="SMT65" s="145"/>
      <c r="SMU65" s="145"/>
      <c r="SMV65" s="145"/>
      <c r="SMW65" s="145"/>
      <c r="SMX65" s="145"/>
      <c r="SMY65" s="145"/>
      <c r="SMZ65" s="145"/>
      <c r="SNA65" s="145"/>
      <c r="SNB65" s="145"/>
      <c r="SNC65" s="145"/>
      <c r="SND65" s="145"/>
      <c r="SNE65" s="145"/>
      <c r="SNF65" s="145"/>
      <c r="SNG65" s="145"/>
      <c r="SNH65" s="145"/>
      <c r="SNI65" s="145"/>
      <c r="SNJ65" s="145"/>
      <c r="SNK65" s="145"/>
      <c r="SNL65" s="145"/>
      <c r="SNM65" s="145"/>
      <c r="SNN65" s="145"/>
      <c r="SNO65" s="145"/>
      <c r="SNP65" s="145"/>
      <c r="SNQ65" s="145"/>
      <c r="SNR65" s="145"/>
      <c r="SNS65" s="145"/>
      <c r="SNT65" s="145"/>
      <c r="SNU65" s="145"/>
      <c r="SNV65" s="145"/>
      <c r="SNW65" s="145"/>
      <c r="SNX65" s="145"/>
      <c r="SNY65" s="145"/>
      <c r="SNZ65" s="145"/>
      <c r="SOA65" s="145"/>
      <c r="SOB65" s="145"/>
      <c r="SOC65" s="145"/>
      <c r="SOD65" s="145"/>
      <c r="SOE65" s="145"/>
      <c r="SOF65" s="145"/>
      <c r="SOG65" s="145"/>
      <c r="SOH65" s="145"/>
      <c r="SOI65" s="145"/>
      <c r="SOJ65" s="145"/>
      <c r="SOK65" s="145"/>
      <c r="SOL65" s="145"/>
      <c r="SOM65" s="145"/>
      <c r="SON65" s="145"/>
      <c r="SOO65" s="145"/>
      <c r="SOP65" s="145"/>
      <c r="SOQ65" s="145"/>
      <c r="SOR65" s="145"/>
      <c r="SOS65" s="145"/>
      <c r="SOT65" s="145"/>
      <c r="SOU65" s="145"/>
      <c r="SOV65" s="145"/>
      <c r="SOW65" s="145"/>
      <c r="SOX65" s="145"/>
      <c r="SOY65" s="145"/>
      <c r="SOZ65" s="145"/>
      <c r="SPA65" s="145"/>
      <c r="SPB65" s="145"/>
      <c r="SPC65" s="145"/>
      <c r="SPD65" s="145"/>
      <c r="SPE65" s="145"/>
      <c r="SPF65" s="145"/>
      <c r="SPG65" s="145"/>
      <c r="SPH65" s="145"/>
      <c r="SPI65" s="145"/>
      <c r="SPJ65" s="145"/>
      <c r="SPK65" s="145"/>
      <c r="SPL65" s="145"/>
      <c r="SPM65" s="145"/>
      <c r="SPN65" s="145"/>
      <c r="SPO65" s="145"/>
      <c r="SPP65" s="145"/>
      <c r="SPQ65" s="145"/>
      <c r="SPR65" s="145"/>
      <c r="SPS65" s="145"/>
      <c r="SPT65" s="145"/>
      <c r="SPU65" s="145"/>
      <c r="SPV65" s="145"/>
      <c r="SPW65" s="145"/>
      <c r="SPX65" s="145"/>
      <c r="SPY65" s="145"/>
      <c r="SPZ65" s="145"/>
      <c r="SQA65" s="145"/>
      <c r="SQB65" s="145"/>
      <c r="SQC65" s="145"/>
      <c r="SQD65" s="145"/>
      <c r="SQE65" s="145"/>
      <c r="SQF65" s="145"/>
      <c r="SQG65" s="145"/>
      <c r="SQH65" s="145"/>
      <c r="SQI65" s="145"/>
      <c r="SQJ65" s="145"/>
      <c r="SQK65" s="145"/>
      <c r="SQL65" s="145"/>
      <c r="SQM65" s="145"/>
      <c r="SQN65" s="145"/>
      <c r="SQO65" s="145"/>
      <c r="SQP65" s="145"/>
      <c r="SQQ65" s="145"/>
      <c r="SQR65" s="145"/>
      <c r="SQS65" s="145"/>
      <c r="SQT65" s="145"/>
      <c r="SQU65" s="145"/>
      <c r="SQV65" s="145"/>
      <c r="SQW65" s="145"/>
      <c r="SQX65" s="145"/>
      <c r="SQY65" s="145"/>
      <c r="SQZ65" s="145"/>
      <c r="SRA65" s="145"/>
      <c r="SRB65" s="145"/>
      <c r="SRC65" s="145"/>
      <c r="SRD65" s="145"/>
      <c r="SRE65" s="145"/>
      <c r="SRF65" s="145"/>
      <c r="SRG65" s="145"/>
      <c r="SRH65" s="145"/>
      <c r="SRI65" s="145"/>
      <c r="SRJ65" s="145"/>
      <c r="SRK65" s="145"/>
      <c r="SRL65" s="145"/>
      <c r="SRM65" s="145"/>
      <c r="SRN65" s="145"/>
      <c r="SRO65" s="145"/>
      <c r="SRP65" s="145"/>
      <c r="SRQ65" s="145"/>
      <c r="SRR65" s="145"/>
      <c r="SRS65" s="145"/>
      <c r="SRT65" s="145"/>
      <c r="SRU65" s="145"/>
      <c r="SRV65" s="145"/>
      <c r="SRW65" s="145"/>
      <c r="SRX65" s="145"/>
      <c r="SRY65" s="145"/>
      <c r="SRZ65" s="145"/>
      <c r="SSA65" s="145"/>
      <c r="SSB65" s="145"/>
      <c r="SSC65" s="145"/>
      <c r="SSD65" s="145"/>
      <c r="SSE65" s="145"/>
      <c r="SSF65" s="145"/>
      <c r="SSG65" s="145"/>
      <c r="SSH65" s="145"/>
      <c r="SSI65" s="145"/>
      <c r="SSJ65" s="145"/>
      <c r="SSK65" s="145"/>
      <c r="SSL65" s="145"/>
      <c r="SSM65" s="145"/>
      <c r="SSN65" s="145"/>
      <c r="SSO65" s="145"/>
      <c r="SSP65" s="145"/>
      <c r="SSQ65" s="145"/>
      <c r="SSR65" s="145"/>
      <c r="SSS65" s="145"/>
      <c r="SST65" s="145"/>
      <c r="SSU65" s="145"/>
      <c r="SSV65" s="145"/>
      <c r="SSW65" s="145"/>
      <c r="SSX65" s="145"/>
      <c r="SSY65" s="145"/>
      <c r="SSZ65" s="145"/>
      <c r="STA65" s="145"/>
      <c r="STB65" s="145"/>
      <c r="STC65" s="145"/>
      <c r="STD65" s="145"/>
      <c r="STE65" s="145"/>
      <c r="STF65" s="145"/>
      <c r="STG65" s="145"/>
      <c r="STH65" s="145"/>
      <c r="STI65" s="145"/>
      <c r="STJ65" s="145"/>
      <c r="STK65" s="145"/>
      <c r="STL65" s="145"/>
      <c r="STM65" s="145"/>
      <c r="STN65" s="145"/>
      <c r="STO65" s="145"/>
      <c r="STP65" s="145"/>
      <c r="STQ65" s="145"/>
      <c r="STR65" s="145"/>
      <c r="STS65" s="145"/>
      <c r="STT65" s="145"/>
      <c r="STU65" s="145"/>
      <c r="STV65" s="145"/>
      <c r="STW65" s="145"/>
      <c r="STX65" s="145"/>
      <c r="STY65" s="145"/>
      <c r="STZ65" s="145"/>
      <c r="SUA65" s="145"/>
      <c r="SUB65" s="145"/>
      <c r="SUC65" s="145"/>
      <c r="SUD65" s="145"/>
      <c r="SUE65" s="145"/>
      <c r="SUF65" s="145"/>
      <c r="SUG65" s="145"/>
      <c r="SUH65" s="145"/>
      <c r="SUI65" s="145"/>
      <c r="SUJ65" s="145"/>
      <c r="SUK65" s="145"/>
      <c r="SUL65" s="145"/>
      <c r="SUM65" s="145"/>
      <c r="SUN65" s="145"/>
      <c r="SUO65" s="145"/>
      <c r="SUP65" s="145"/>
      <c r="SUQ65" s="145"/>
      <c r="SUR65" s="145"/>
      <c r="SUS65" s="145"/>
      <c r="SUT65" s="145"/>
      <c r="SUU65" s="145"/>
      <c r="SUV65" s="145"/>
      <c r="SUW65" s="145"/>
      <c r="SUX65" s="145"/>
      <c r="SUY65" s="145"/>
      <c r="SUZ65" s="145"/>
      <c r="SVA65" s="145"/>
      <c r="SVB65" s="145"/>
      <c r="SVC65" s="145"/>
      <c r="SVD65" s="145"/>
      <c r="SVE65" s="145"/>
      <c r="SVF65" s="145"/>
      <c r="SVG65" s="145"/>
      <c r="SVH65" s="145"/>
      <c r="SVI65" s="145"/>
      <c r="SVJ65" s="145"/>
      <c r="SVK65" s="145"/>
      <c r="SVL65" s="145"/>
      <c r="SVM65" s="145"/>
      <c r="SVN65" s="145"/>
      <c r="SVO65" s="145"/>
      <c r="SVP65" s="145"/>
      <c r="SVQ65" s="145"/>
      <c r="SVR65" s="145"/>
      <c r="SVS65" s="145"/>
      <c r="SVT65" s="145"/>
      <c r="SVU65" s="145"/>
      <c r="SVV65" s="145"/>
      <c r="SVW65" s="145"/>
      <c r="SVX65" s="145"/>
      <c r="SVY65" s="145"/>
      <c r="SVZ65" s="145"/>
      <c r="SWA65" s="145"/>
      <c r="SWB65" s="145"/>
      <c r="SWC65" s="145"/>
      <c r="SWD65" s="145"/>
      <c r="SWE65" s="145"/>
      <c r="SWF65" s="145"/>
      <c r="SWG65" s="145"/>
      <c r="SWH65" s="145"/>
      <c r="SWI65" s="145"/>
      <c r="SWJ65" s="145"/>
      <c r="SWK65" s="145"/>
      <c r="SWL65" s="145"/>
      <c r="SWM65" s="145"/>
      <c r="SWN65" s="145"/>
      <c r="SWO65" s="145"/>
      <c r="SWP65" s="145"/>
      <c r="SWQ65" s="145"/>
      <c r="SWR65" s="145"/>
      <c r="SWS65" s="145"/>
      <c r="SWT65" s="145"/>
      <c r="SWU65" s="145"/>
      <c r="SWV65" s="145"/>
      <c r="SWW65" s="145"/>
      <c r="SWX65" s="145"/>
      <c r="SWY65" s="145"/>
      <c r="SWZ65" s="145"/>
      <c r="SXA65" s="145"/>
      <c r="SXB65" s="145"/>
      <c r="SXC65" s="145"/>
      <c r="SXD65" s="145"/>
      <c r="SXE65" s="145"/>
      <c r="SXF65" s="145"/>
      <c r="SXG65" s="145"/>
      <c r="SXH65" s="145"/>
      <c r="SXI65" s="145"/>
      <c r="SXJ65" s="145"/>
      <c r="SXK65" s="145"/>
      <c r="SXL65" s="145"/>
      <c r="SXM65" s="145"/>
      <c r="SXN65" s="145"/>
      <c r="SXO65" s="145"/>
      <c r="SXP65" s="145"/>
      <c r="SXQ65" s="145"/>
      <c r="SXR65" s="145"/>
      <c r="SXS65" s="145"/>
      <c r="SXT65" s="145"/>
      <c r="SXU65" s="145"/>
      <c r="SXV65" s="145"/>
      <c r="SXW65" s="145"/>
      <c r="SXX65" s="145"/>
      <c r="SXY65" s="145"/>
      <c r="SXZ65" s="145"/>
      <c r="SYA65" s="145"/>
      <c r="SYB65" s="145"/>
      <c r="SYC65" s="145"/>
      <c r="SYD65" s="145"/>
      <c r="SYE65" s="145"/>
      <c r="SYF65" s="145"/>
      <c r="SYG65" s="145"/>
      <c r="SYH65" s="145"/>
      <c r="SYI65" s="145"/>
      <c r="SYJ65" s="145"/>
      <c r="SYK65" s="145"/>
      <c r="SYL65" s="145"/>
      <c r="SYM65" s="145"/>
      <c r="SYN65" s="145"/>
      <c r="SYO65" s="145"/>
      <c r="SYP65" s="145"/>
      <c r="SYQ65" s="145"/>
      <c r="SYR65" s="145"/>
      <c r="SYS65" s="145"/>
      <c r="SYT65" s="145"/>
      <c r="SYU65" s="145"/>
      <c r="SYV65" s="145"/>
      <c r="SYW65" s="145"/>
      <c r="SYX65" s="145"/>
      <c r="SYY65" s="145"/>
      <c r="SYZ65" s="145"/>
      <c r="SZA65" s="145"/>
      <c r="SZB65" s="145"/>
      <c r="SZC65" s="145"/>
      <c r="SZD65" s="145"/>
      <c r="SZE65" s="145"/>
      <c r="SZF65" s="145"/>
      <c r="SZG65" s="145"/>
      <c r="SZH65" s="145"/>
      <c r="SZI65" s="145"/>
      <c r="SZJ65" s="145"/>
      <c r="SZK65" s="145"/>
      <c r="SZL65" s="145"/>
      <c r="SZM65" s="145"/>
      <c r="SZN65" s="145"/>
      <c r="SZO65" s="145"/>
      <c r="SZP65" s="145"/>
      <c r="SZQ65" s="145"/>
      <c r="SZR65" s="145"/>
      <c r="SZS65" s="145"/>
      <c r="SZT65" s="145"/>
      <c r="SZU65" s="145"/>
      <c r="SZV65" s="145"/>
      <c r="SZW65" s="145"/>
      <c r="SZX65" s="145"/>
      <c r="SZY65" s="145"/>
      <c r="SZZ65" s="145"/>
      <c r="TAA65" s="145"/>
      <c r="TAB65" s="145"/>
      <c r="TAC65" s="145"/>
      <c r="TAD65" s="145"/>
      <c r="TAE65" s="145"/>
      <c r="TAF65" s="145"/>
      <c r="TAG65" s="145"/>
      <c r="TAH65" s="145"/>
      <c r="TAI65" s="145"/>
      <c r="TAJ65" s="145"/>
      <c r="TAK65" s="145"/>
      <c r="TAL65" s="145"/>
      <c r="TAM65" s="145"/>
      <c r="TAN65" s="145"/>
      <c r="TAO65" s="145"/>
      <c r="TAP65" s="145"/>
      <c r="TAQ65" s="145"/>
      <c r="TAR65" s="145"/>
      <c r="TAS65" s="145"/>
      <c r="TAT65" s="145"/>
      <c r="TAU65" s="145"/>
      <c r="TAV65" s="145"/>
      <c r="TAW65" s="145"/>
      <c r="TAX65" s="145"/>
      <c r="TAY65" s="145"/>
      <c r="TAZ65" s="145"/>
      <c r="TBA65" s="145"/>
      <c r="TBB65" s="145"/>
      <c r="TBC65" s="145"/>
      <c r="TBD65" s="145"/>
      <c r="TBE65" s="145"/>
      <c r="TBF65" s="145"/>
      <c r="TBG65" s="145"/>
      <c r="TBH65" s="145"/>
      <c r="TBI65" s="145"/>
      <c r="TBJ65" s="145"/>
      <c r="TBK65" s="145"/>
      <c r="TBL65" s="145"/>
      <c r="TBM65" s="145"/>
      <c r="TBN65" s="145"/>
      <c r="TBO65" s="145"/>
      <c r="TBP65" s="145"/>
      <c r="TBQ65" s="145"/>
      <c r="TBR65" s="145"/>
      <c r="TBS65" s="145"/>
      <c r="TBT65" s="145"/>
      <c r="TBU65" s="145"/>
      <c r="TBV65" s="145"/>
      <c r="TBW65" s="145"/>
      <c r="TBX65" s="145"/>
      <c r="TBY65" s="145"/>
      <c r="TBZ65" s="145"/>
      <c r="TCA65" s="145"/>
      <c r="TCB65" s="145"/>
      <c r="TCC65" s="145"/>
      <c r="TCD65" s="145"/>
      <c r="TCE65" s="145"/>
      <c r="TCF65" s="145"/>
      <c r="TCG65" s="145"/>
      <c r="TCH65" s="145"/>
      <c r="TCI65" s="145"/>
      <c r="TCJ65" s="145"/>
      <c r="TCK65" s="145"/>
      <c r="TCL65" s="145"/>
      <c r="TCM65" s="145"/>
      <c r="TCN65" s="145"/>
      <c r="TCO65" s="145"/>
      <c r="TCP65" s="145"/>
      <c r="TCQ65" s="145"/>
      <c r="TCR65" s="145"/>
      <c r="TCS65" s="145"/>
      <c r="TCT65" s="145"/>
      <c r="TCU65" s="145"/>
      <c r="TCV65" s="145"/>
      <c r="TCW65" s="145"/>
      <c r="TCX65" s="145"/>
      <c r="TCY65" s="145"/>
      <c r="TCZ65" s="145"/>
      <c r="TDA65" s="145"/>
      <c r="TDB65" s="145"/>
      <c r="TDC65" s="145"/>
      <c r="TDD65" s="145"/>
      <c r="TDE65" s="145"/>
      <c r="TDF65" s="145"/>
      <c r="TDG65" s="145"/>
      <c r="TDH65" s="145"/>
      <c r="TDI65" s="145"/>
      <c r="TDJ65" s="145"/>
      <c r="TDK65" s="145"/>
      <c r="TDL65" s="145"/>
      <c r="TDM65" s="145"/>
      <c r="TDN65" s="145"/>
      <c r="TDO65" s="145"/>
      <c r="TDP65" s="145"/>
      <c r="TDQ65" s="145"/>
      <c r="TDR65" s="145"/>
      <c r="TDS65" s="145"/>
      <c r="TDT65" s="145"/>
      <c r="TDU65" s="145"/>
      <c r="TDV65" s="145"/>
      <c r="TDW65" s="145"/>
      <c r="TDX65" s="145"/>
      <c r="TDY65" s="145"/>
      <c r="TDZ65" s="145"/>
      <c r="TEA65" s="145"/>
      <c r="TEB65" s="145"/>
      <c r="TEC65" s="145"/>
      <c r="TED65" s="145"/>
      <c r="TEE65" s="145"/>
      <c r="TEF65" s="145"/>
      <c r="TEG65" s="145"/>
      <c r="TEH65" s="145"/>
      <c r="TEI65" s="145"/>
      <c r="TEJ65" s="145"/>
      <c r="TEK65" s="145"/>
      <c r="TEL65" s="145"/>
      <c r="TEM65" s="145"/>
      <c r="TEN65" s="145"/>
      <c r="TEO65" s="145"/>
      <c r="TEP65" s="145"/>
      <c r="TEQ65" s="145"/>
      <c r="TER65" s="145"/>
      <c r="TES65" s="145"/>
      <c r="TET65" s="145"/>
      <c r="TEU65" s="145"/>
      <c r="TEV65" s="145"/>
      <c r="TEW65" s="145"/>
      <c r="TEX65" s="145"/>
      <c r="TEY65" s="145"/>
      <c r="TEZ65" s="145"/>
      <c r="TFA65" s="145"/>
      <c r="TFB65" s="145"/>
      <c r="TFC65" s="145"/>
      <c r="TFD65" s="145"/>
      <c r="TFE65" s="145"/>
      <c r="TFF65" s="145"/>
      <c r="TFG65" s="145"/>
      <c r="TFH65" s="145"/>
      <c r="TFI65" s="145"/>
      <c r="TFJ65" s="145"/>
      <c r="TFK65" s="145"/>
      <c r="TFL65" s="145"/>
      <c r="TFM65" s="145"/>
      <c r="TFN65" s="145"/>
      <c r="TFO65" s="145"/>
      <c r="TFP65" s="145"/>
      <c r="TFQ65" s="145"/>
      <c r="TFR65" s="145"/>
      <c r="TFS65" s="145"/>
      <c r="TFT65" s="145"/>
      <c r="TFU65" s="145"/>
      <c r="TFV65" s="145"/>
      <c r="TFW65" s="145"/>
      <c r="TFX65" s="145"/>
      <c r="TFY65" s="145"/>
      <c r="TFZ65" s="145"/>
      <c r="TGA65" s="145"/>
      <c r="TGB65" s="145"/>
      <c r="TGC65" s="145"/>
      <c r="TGD65" s="145"/>
      <c r="TGE65" s="145"/>
      <c r="TGF65" s="145"/>
      <c r="TGG65" s="145"/>
      <c r="TGH65" s="145"/>
      <c r="TGI65" s="145"/>
      <c r="TGJ65" s="145"/>
      <c r="TGK65" s="145"/>
      <c r="TGL65" s="145"/>
      <c r="TGM65" s="145"/>
      <c r="TGN65" s="145"/>
      <c r="TGO65" s="145"/>
      <c r="TGP65" s="145"/>
      <c r="TGQ65" s="145"/>
      <c r="TGR65" s="145"/>
      <c r="TGS65" s="145"/>
      <c r="TGT65" s="145"/>
      <c r="TGU65" s="145"/>
      <c r="TGV65" s="145"/>
      <c r="TGW65" s="145"/>
      <c r="TGX65" s="145"/>
      <c r="TGY65" s="145"/>
      <c r="TGZ65" s="145"/>
      <c r="THA65" s="145"/>
      <c r="THB65" s="145"/>
      <c r="THC65" s="145"/>
      <c r="THD65" s="145"/>
      <c r="THE65" s="145"/>
      <c r="THF65" s="145"/>
      <c r="THG65" s="145"/>
      <c r="THH65" s="145"/>
      <c r="THI65" s="145"/>
      <c r="THJ65" s="145"/>
      <c r="THK65" s="145"/>
      <c r="THL65" s="145"/>
      <c r="THM65" s="145"/>
      <c r="THN65" s="145"/>
      <c r="THO65" s="145"/>
      <c r="THP65" s="145"/>
      <c r="THQ65" s="145"/>
      <c r="THR65" s="145"/>
      <c r="THS65" s="145"/>
      <c r="THT65" s="145"/>
      <c r="THU65" s="145"/>
      <c r="THV65" s="145"/>
      <c r="THW65" s="145"/>
      <c r="THX65" s="145"/>
      <c r="THY65" s="145"/>
      <c r="THZ65" s="145"/>
      <c r="TIA65" s="145"/>
      <c r="TIB65" s="145"/>
      <c r="TIC65" s="145"/>
      <c r="TID65" s="145"/>
      <c r="TIE65" s="145"/>
      <c r="TIF65" s="145"/>
      <c r="TIG65" s="145"/>
      <c r="TIH65" s="145"/>
      <c r="TII65" s="145"/>
      <c r="TIJ65" s="145"/>
      <c r="TIK65" s="145"/>
      <c r="TIL65" s="145"/>
      <c r="TIM65" s="145"/>
      <c r="TIN65" s="145"/>
      <c r="TIO65" s="145"/>
      <c r="TIP65" s="145"/>
      <c r="TIQ65" s="145"/>
      <c r="TIR65" s="145"/>
      <c r="TIS65" s="145"/>
      <c r="TIT65" s="145"/>
      <c r="TIU65" s="145"/>
      <c r="TIV65" s="145"/>
      <c r="TIW65" s="145"/>
      <c r="TIX65" s="145"/>
      <c r="TIY65" s="145"/>
      <c r="TIZ65" s="145"/>
      <c r="TJA65" s="145"/>
      <c r="TJB65" s="145"/>
      <c r="TJC65" s="145"/>
      <c r="TJD65" s="145"/>
      <c r="TJE65" s="145"/>
      <c r="TJF65" s="145"/>
      <c r="TJG65" s="145"/>
      <c r="TJH65" s="145"/>
      <c r="TJI65" s="145"/>
      <c r="TJJ65" s="145"/>
      <c r="TJK65" s="145"/>
      <c r="TJL65" s="145"/>
      <c r="TJM65" s="145"/>
      <c r="TJN65" s="145"/>
      <c r="TJO65" s="145"/>
      <c r="TJP65" s="145"/>
      <c r="TJQ65" s="145"/>
      <c r="TJR65" s="145"/>
      <c r="TJS65" s="145"/>
      <c r="TJT65" s="145"/>
      <c r="TJU65" s="145"/>
      <c r="TJV65" s="145"/>
      <c r="TJW65" s="145"/>
      <c r="TJX65" s="145"/>
      <c r="TJY65" s="145"/>
      <c r="TJZ65" s="145"/>
      <c r="TKA65" s="145"/>
      <c r="TKB65" s="145"/>
      <c r="TKC65" s="145"/>
      <c r="TKD65" s="145"/>
      <c r="TKE65" s="145"/>
      <c r="TKF65" s="145"/>
      <c r="TKG65" s="145"/>
      <c r="TKH65" s="145"/>
      <c r="TKI65" s="145"/>
      <c r="TKJ65" s="145"/>
      <c r="TKK65" s="145"/>
      <c r="TKL65" s="145"/>
      <c r="TKM65" s="145"/>
      <c r="TKN65" s="145"/>
      <c r="TKO65" s="145"/>
      <c r="TKP65" s="145"/>
      <c r="TKQ65" s="145"/>
      <c r="TKR65" s="145"/>
      <c r="TKS65" s="145"/>
      <c r="TKT65" s="145"/>
      <c r="TKU65" s="145"/>
      <c r="TKV65" s="145"/>
      <c r="TKW65" s="145"/>
      <c r="TKX65" s="145"/>
      <c r="TKY65" s="145"/>
      <c r="TKZ65" s="145"/>
      <c r="TLA65" s="145"/>
      <c r="TLB65" s="145"/>
      <c r="TLC65" s="145"/>
      <c r="TLD65" s="145"/>
      <c r="TLE65" s="145"/>
      <c r="TLF65" s="145"/>
      <c r="TLG65" s="145"/>
      <c r="TLH65" s="145"/>
      <c r="TLI65" s="145"/>
      <c r="TLJ65" s="145"/>
      <c r="TLK65" s="145"/>
      <c r="TLL65" s="145"/>
      <c r="TLM65" s="145"/>
      <c r="TLN65" s="145"/>
      <c r="TLO65" s="145"/>
      <c r="TLP65" s="145"/>
      <c r="TLQ65" s="145"/>
      <c r="TLR65" s="145"/>
      <c r="TLS65" s="145"/>
      <c r="TLT65" s="145"/>
      <c r="TLU65" s="145"/>
      <c r="TLV65" s="145"/>
      <c r="TLW65" s="145"/>
      <c r="TLX65" s="145"/>
      <c r="TLY65" s="145"/>
      <c r="TLZ65" s="145"/>
      <c r="TMA65" s="145"/>
      <c r="TMB65" s="145"/>
      <c r="TMC65" s="145"/>
      <c r="TMD65" s="145"/>
      <c r="TME65" s="145"/>
      <c r="TMF65" s="145"/>
      <c r="TMG65" s="145"/>
      <c r="TMH65" s="145"/>
      <c r="TMI65" s="145"/>
      <c r="TMJ65" s="145"/>
      <c r="TMK65" s="145"/>
      <c r="TML65" s="145"/>
      <c r="TMM65" s="145"/>
      <c r="TMN65" s="145"/>
      <c r="TMO65" s="145"/>
      <c r="TMP65" s="145"/>
      <c r="TMQ65" s="145"/>
      <c r="TMR65" s="145"/>
      <c r="TMS65" s="145"/>
      <c r="TMT65" s="145"/>
      <c r="TMU65" s="145"/>
      <c r="TMV65" s="145"/>
      <c r="TMW65" s="145"/>
      <c r="TMX65" s="145"/>
      <c r="TMY65" s="145"/>
      <c r="TMZ65" s="145"/>
      <c r="TNA65" s="145"/>
      <c r="TNB65" s="145"/>
      <c r="TNC65" s="145"/>
      <c r="TND65" s="145"/>
      <c r="TNE65" s="145"/>
      <c r="TNF65" s="145"/>
      <c r="TNG65" s="145"/>
      <c r="TNH65" s="145"/>
      <c r="TNI65" s="145"/>
      <c r="TNJ65" s="145"/>
      <c r="TNK65" s="145"/>
      <c r="TNL65" s="145"/>
      <c r="TNM65" s="145"/>
      <c r="TNN65" s="145"/>
      <c r="TNO65" s="145"/>
      <c r="TNP65" s="145"/>
      <c r="TNQ65" s="145"/>
      <c r="TNR65" s="145"/>
      <c r="TNS65" s="145"/>
      <c r="TNT65" s="145"/>
      <c r="TNU65" s="145"/>
      <c r="TNV65" s="145"/>
      <c r="TNW65" s="145"/>
      <c r="TNX65" s="145"/>
      <c r="TNY65" s="145"/>
      <c r="TNZ65" s="145"/>
      <c r="TOA65" s="145"/>
      <c r="TOB65" s="145"/>
      <c r="TOC65" s="145"/>
      <c r="TOD65" s="145"/>
      <c r="TOE65" s="145"/>
      <c r="TOF65" s="145"/>
      <c r="TOG65" s="145"/>
      <c r="TOH65" s="145"/>
      <c r="TOI65" s="145"/>
      <c r="TOJ65" s="145"/>
      <c r="TOK65" s="145"/>
      <c r="TOL65" s="145"/>
      <c r="TOM65" s="145"/>
      <c r="TON65" s="145"/>
      <c r="TOO65" s="145"/>
      <c r="TOP65" s="145"/>
      <c r="TOQ65" s="145"/>
      <c r="TOR65" s="145"/>
      <c r="TOS65" s="145"/>
      <c r="TOT65" s="145"/>
      <c r="TOU65" s="145"/>
      <c r="TOV65" s="145"/>
      <c r="TOW65" s="145"/>
      <c r="TOX65" s="145"/>
      <c r="TOY65" s="145"/>
      <c r="TOZ65" s="145"/>
      <c r="TPA65" s="145"/>
      <c r="TPB65" s="145"/>
      <c r="TPC65" s="145"/>
      <c r="TPD65" s="145"/>
      <c r="TPE65" s="145"/>
      <c r="TPF65" s="145"/>
      <c r="TPG65" s="145"/>
      <c r="TPH65" s="145"/>
      <c r="TPI65" s="145"/>
      <c r="TPJ65" s="145"/>
      <c r="TPK65" s="145"/>
      <c r="TPL65" s="145"/>
      <c r="TPM65" s="145"/>
      <c r="TPN65" s="145"/>
      <c r="TPO65" s="145"/>
      <c r="TPP65" s="145"/>
      <c r="TPQ65" s="145"/>
      <c r="TPR65" s="145"/>
      <c r="TPS65" s="145"/>
      <c r="TPT65" s="145"/>
      <c r="TPU65" s="145"/>
      <c r="TPV65" s="145"/>
      <c r="TPW65" s="145"/>
      <c r="TPX65" s="145"/>
      <c r="TPY65" s="145"/>
      <c r="TPZ65" s="145"/>
      <c r="TQA65" s="145"/>
      <c r="TQB65" s="145"/>
      <c r="TQC65" s="145"/>
      <c r="TQD65" s="145"/>
      <c r="TQE65" s="145"/>
      <c r="TQF65" s="145"/>
      <c r="TQG65" s="145"/>
      <c r="TQH65" s="145"/>
      <c r="TQI65" s="145"/>
      <c r="TQJ65" s="145"/>
      <c r="TQK65" s="145"/>
      <c r="TQL65" s="145"/>
      <c r="TQM65" s="145"/>
      <c r="TQN65" s="145"/>
      <c r="TQO65" s="145"/>
      <c r="TQP65" s="145"/>
      <c r="TQQ65" s="145"/>
      <c r="TQR65" s="145"/>
      <c r="TQS65" s="145"/>
      <c r="TQT65" s="145"/>
      <c r="TQU65" s="145"/>
      <c r="TQV65" s="145"/>
      <c r="TQW65" s="145"/>
      <c r="TQX65" s="145"/>
      <c r="TQY65" s="145"/>
      <c r="TQZ65" s="145"/>
      <c r="TRA65" s="145"/>
      <c r="TRB65" s="145"/>
      <c r="TRC65" s="145"/>
      <c r="TRD65" s="145"/>
      <c r="TRE65" s="145"/>
      <c r="TRF65" s="145"/>
      <c r="TRG65" s="145"/>
      <c r="TRH65" s="145"/>
      <c r="TRI65" s="145"/>
      <c r="TRJ65" s="145"/>
      <c r="TRK65" s="145"/>
      <c r="TRL65" s="145"/>
      <c r="TRM65" s="145"/>
      <c r="TRN65" s="145"/>
      <c r="TRO65" s="145"/>
      <c r="TRP65" s="145"/>
      <c r="TRQ65" s="145"/>
      <c r="TRR65" s="145"/>
      <c r="TRS65" s="145"/>
      <c r="TRT65" s="145"/>
      <c r="TRU65" s="145"/>
      <c r="TRV65" s="145"/>
      <c r="TRW65" s="145"/>
      <c r="TRX65" s="145"/>
      <c r="TRY65" s="145"/>
      <c r="TRZ65" s="145"/>
      <c r="TSA65" s="145"/>
      <c r="TSB65" s="145"/>
      <c r="TSC65" s="145"/>
      <c r="TSD65" s="145"/>
      <c r="TSE65" s="145"/>
      <c r="TSF65" s="145"/>
      <c r="TSG65" s="145"/>
      <c r="TSH65" s="145"/>
      <c r="TSI65" s="145"/>
      <c r="TSJ65" s="145"/>
      <c r="TSK65" s="145"/>
      <c r="TSL65" s="145"/>
      <c r="TSM65" s="145"/>
      <c r="TSN65" s="145"/>
      <c r="TSO65" s="145"/>
      <c r="TSP65" s="145"/>
      <c r="TSQ65" s="145"/>
      <c r="TSR65" s="145"/>
      <c r="TSS65" s="145"/>
      <c r="TST65" s="145"/>
      <c r="TSU65" s="145"/>
      <c r="TSV65" s="145"/>
      <c r="TSW65" s="145"/>
      <c r="TSX65" s="145"/>
      <c r="TSY65" s="145"/>
      <c r="TSZ65" s="145"/>
      <c r="TTA65" s="145"/>
      <c r="TTB65" s="145"/>
      <c r="TTC65" s="145"/>
      <c r="TTD65" s="145"/>
      <c r="TTE65" s="145"/>
      <c r="TTF65" s="145"/>
      <c r="TTG65" s="145"/>
      <c r="TTH65" s="145"/>
      <c r="TTI65" s="145"/>
      <c r="TTJ65" s="145"/>
      <c r="TTK65" s="145"/>
      <c r="TTL65" s="145"/>
      <c r="TTM65" s="145"/>
      <c r="TTN65" s="145"/>
      <c r="TTO65" s="145"/>
      <c r="TTP65" s="145"/>
      <c r="TTQ65" s="145"/>
      <c r="TTR65" s="145"/>
      <c r="TTS65" s="145"/>
      <c r="TTT65" s="145"/>
      <c r="TTU65" s="145"/>
      <c r="TTV65" s="145"/>
      <c r="TTW65" s="145"/>
      <c r="TTX65" s="145"/>
      <c r="TTY65" s="145"/>
      <c r="TTZ65" s="145"/>
      <c r="TUA65" s="145"/>
      <c r="TUB65" s="145"/>
      <c r="TUC65" s="145"/>
      <c r="TUD65" s="145"/>
      <c r="TUE65" s="145"/>
      <c r="TUF65" s="145"/>
      <c r="TUG65" s="145"/>
      <c r="TUH65" s="145"/>
      <c r="TUI65" s="145"/>
      <c r="TUJ65" s="145"/>
      <c r="TUK65" s="145"/>
      <c r="TUL65" s="145"/>
      <c r="TUM65" s="145"/>
      <c r="TUN65" s="145"/>
      <c r="TUO65" s="145"/>
      <c r="TUP65" s="145"/>
      <c r="TUQ65" s="145"/>
      <c r="TUR65" s="145"/>
      <c r="TUS65" s="145"/>
      <c r="TUT65" s="145"/>
      <c r="TUU65" s="145"/>
      <c r="TUV65" s="145"/>
      <c r="TUW65" s="145"/>
      <c r="TUX65" s="145"/>
      <c r="TUY65" s="145"/>
      <c r="TUZ65" s="145"/>
      <c r="TVA65" s="145"/>
      <c r="TVB65" s="145"/>
      <c r="TVC65" s="145"/>
      <c r="TVD65" s="145"/>
      <c r="TVE65" s="145"/>
      <c r="TVF65" s="145"/>
      <c r="TVG65" s="145"/>
      <c r="TVH65" s="145"/>
      <c r="TVI65" s="145"/>
      <c r="TVJ65" s="145"/>
      <c r="TVK65" s="145"/>
      <c r="TVL65" s="145"/>
      <c r="TVM65" s="145"/>
      <c r="TVN65" s="145"/>
      <c r="TVO65" s="145"/>
      <c r="TVP65" s="145"/>
      <c r="TVQ65" s="145"/>
      <c r="TVR65" s="145"/>
      <c r="TVS65" s="145"/>
      <c r="TVT65" s="145"/>
      <c r="TVU65" s="145"/>
      <c r="TVV65" s="145"/>
      <c r="TVW65" s="145"/>
      <c r="TVX65" s="145"/>
      <c r="TVY65" s="145"/>
      <c r="TVZ65" s="145"/>
      <c r="TWA65" s="145"/>
      <c r="TWB65" s="145"/>
      <c r="TWC65" s="145"/>
      <c r="TWD65" s="145"/>
      <c r="TWE65" s="145"/>
      <c r="TWF65" s="145"/>
      <c r="TWG65" s="145"/>
      <c r="TWH65" s="145"/>
      <c r="TWI65" s="145"/>
      <c r="TWJ65" s="145"/>
      <c r="TWK65" s="145"/>
      <c r="TWL65" s="145"/>
      <c r="TWM65" s="145"/>
      <c r="TWN65" s="145"/>
      <c r="TWO65" s="145"/>
      <c r="TWP65" s="145"/>
      <c r="TWQ65" s="145"/>
      <c r="TWR65" s="145"/>
      <c r="TWS65" s="145"/>
      <c r="TWT65" s="145"/>
      <c r="TWU65" s="145"/>
      <c r="TWV65" s="145"/>
      <c r="TWW65" s="145"/>
      <c r="TWX65" s="145"/>
      <c r="TWY65" s="145"/>
      <c r="TWZ65" s="145"/>
      <c r="TXA65" s="145"/>
      <c r="TXB65" s="145"/>
      <c r="TXC65" s="145"/>
      <c r="TXD65" s="145"/>
      <c r="TXE65" s="145"/>
      <c r="TXF65" s="145"/>
      <c r="TXG65" s="145"/>
      <c r="TXH65" s="145"/>
      <c r="TXI65" s="145"/>
      <c r="TXJ65" s="145"/>
      <c r="TXK65" s="145"/>
      <c r="TXL65" s="145"/>
      <c r="TXM65" s="145"/>
      <c r="TXN65" s="145"/>
      <c r="TXO65" s="145"/>
      <c r="TXP65" s="145"/>
      <c r="TXQ65" s="145"/>
      <c r="TXR65" s="145"/>
      <c r="TXS65" s="145"/>
      <c r="TXT65" s="145"/>
      <c r="TXU65" s="145"/>
      <c r="TXV65" s="145"/>
      <c r="TXW65" s="145"/>
      <c r="TXX65" s="145"/>
      <c r="TXY65" s="145"/>
      <c r="TXZ65" s="145"/>
      <c r="TYA65" s="145"/>
      <c r="TYB65" s="145"/>
      <c r="TYC65" s="145"/>
      <c r="TYD65" s="145"/>
      <c r="TYE65" s="145"/>
      <c r="TYF65" s="145"/>
      <c r="TYG65" s="145"/>
      <c r="TYH65" s="145"/>
      <c r="TYI65" s="145"/>
      <c r="TYJ65" s="145"/>
      <c r="TYK65" s="145"/>
      <c r="TYL65" s="145"/>
      <c r="TYM65" s="145"/>
      <c r="TYN65" s="145"/>
      <c r="TYO65" s="145"/>
      <c r="TYP65" s="145"/>
      <c r="TYQ65" s="145"/>
      <c r="TYR65" s="145"/>
      <c r="TYS65" s="145"/>
      <c r="TYT65" s="145"/>
      <c r="TYU65" s="145"/>
      <c r="TYV65" s="145"/>
      <c r="TYW65" s="145"/>
      <c r="TYX65" s="145"/>
      <c r="TYY65" s="145"/>
      <c r="TYZ65" s="145"/>
      <c r="TZA65" s="145"/>
      <c r="TZB65" s="145"/>
      <c r="TZC65" s="145"/>
      <c r="TZD65" s="145"/>
      <c r="TZE65" s="145"/>
      <c r="TZF65" s="145"/>
      <c r="TZG65" s="145"/>
      <c r="TZH65" s="145"/>
      <c r="TZI65" s="145"/>
      <c r="TZJ65" s="145"/>
      <c r="TZK65" s="145"/>
      <c r="TZL65" s="145"/>
      <c r="TZM65" s="145"/>
      <c r="TZN65" s="145"/>
      <c r="TZO65" s="145"/>
      <c r="TZP65" s="145"/>
      <c r="TZQ65" s="145"/>
      <c r="TZR65" s="145"/>
      <c r="TZS65" s="145"/>
      <c r="TZT65" s="145"/>
      <c r="TZU65" s="145"/>
      <c r="TZV65" s="145"/>
      <c r="TZW65" s="145"/>
      <c r="TZX65" s="145"/>
      <c r="TZY65" s="145"/>
      <c r="TZZ65" s="145"/>
      <c r="UAA65" s="145"/>
      <c r="UAB65" s="145"/>
      <c r="UAC65" s="145"/>
      <c r="UAD65" s="145"/>
      <c r="UAE65" s="145"/>
      <c r="UAF65" s="145"/>
      <c r="UAG65" s="145"/>
      <c r="UAH65" s="145"/>
      <c r="UAI65" s="145"/>
      <c r="UAJ65" s="145"/>
      <c r="UAK65" s="145"/>
      <c r="UAL65" s="145"/>
      <c r="UAM65" s="145"/>
      <c r="UAN65" s="145"/>
      <c r="UAO65" s="145"/>
      <c r="UAP65" s="145"/>
      <c r="UAQ65" s="145"/>
      <c r="UAR65" s="145"/>
      <c r="UAS65" s="145"/>
      <c r="UAT65" s="145"/>
      <c r="UAU65" s="145"/>
      <c r="UAV65" s="145"/>
      <c r="UAW65" s="145"/>
      <c r="UAX65" s="145"/>
      <c r="UAY65" s="145"/>
      <c r="UAZ65" s="145"/>
      <c r="UBA65" s="145"/>
      <c r="UBB65" s="145"/>
      <c r="UBC65" s="145"/>
      <c r="UBD65" s="145"/>
      <c r="UBE65" s="145"/>
      <c r="UBF65" s="145"/>
      <c r="UBG65" s="145"/>
      <c r="UBH65" s="145"/>
      <c r="UBI65" s="145"/>
      <c r="UBJ65" s="145"/>
      <c r="UBK65" s="145"/>
      <c r="UBL65" s="145"/>
      <c r="UBM65" s="145"/>
      <c r="UBN65" s="145"/>
      <c r="UBO65" s="145"/>
      <c r="UBP65" s="145"/>
      <c r="UBQ65" s="145"/>
      <c r="UBR65" s="145"/>
      <c r="UBS65" s="145"/>
      <c r="UBT65" s="145"/>
      <c r="UBU65" s="145"/>
      <c r="UBV65" s="145"/>
      <c r="UBW65" s="145"/>
      <c r="UBX65" s="145"/>
      <c r="UBY65" s="145"/>
      <c r="UBZ65" s="145"/>
      <c r="UCA65" s="145"/>
      <c r="UCB65" s="145"/>
      <c r="UCC65" s="145"/>
      <c r="UCD65" s="145"/>
      <c r="UCE65" s="145"/>
      <c r="UCF65" s="145"/>
      <c r="UCG65" s="145"/>
      <c r="UCH65" s="145"/>
      <c r="UCI65" s="145"/>
      <c r="UCJ65" s="145"/>
      <c r="UCK65" s="145"/>
      <c r="UCL65" s="145"/>
      <c r="UCM65" s="145"/>
      <c r="UCN65" s="145"/>
      <c r="UCO65" s="145"/>
      <c r="UCP65" s="145"/>
      <c r="UCQ65" s="145"/>
      <c r="UCR65" s="145"/>
      <c r="UCS65" s="145"/>
      <c r="UCT65" s="145"/>
      <c r="UCU65" s="145"/>
      <c r="UCV65" s="145"/>
      <c r="UCW65" s="145"/>
      <c r="UCX65" s="145"/>
      <c r="UCY65" s="145"/>
      <c r="UCZ65" s="145"/>
      <c r="UDA65" s="145"/>
      <c r="UDB65" s="145"/>
      <c r="UDC65" s="145"/>
      <c r="UDD65" s="145"/>
      <c r="UDE65" s="145"/>
      <c r="UDF65" s="145"/>
      <c r="UDG65" s="145"/>
      <c r="UDH65" s="145"/>
      <c r="UDI65" s="145"/>
      <c r="UDJ65" s="145"/>
      <c r="UDK65" s="145"/>
      <c r="UDL65" s="145"/>
      <c r="UDM65" s="145"/>
      <c r="UDN65" s="145"/>
      <c r="UDO65" s="145"/>
      <c r="UDP65" s="145"/>
      <c r="UDQ65" s="145"/>
      <c r="UDR65" s="145"/>
      <c r="UDS65" s="145"/>
      <c r="UDT65" s="145"/>
      <c r="UDU65" s="145"/>
      <c r="UDV65" s="145"/>
      <c r="UDW65" s="145"/>
      <c r="UDX65" s="145"/>
      <c r="UDY65" s="145"/>
      <c r="UDZ65" s="145"/>
      <c r="UEA65" s="145"/>
      <c r="UEB65" s="145"/>
      <c r="UEC65" s="145"/>
      <c r="UED65" s="145"/>
      <c r="UEE65" s="145"/>
      <c r="UEF65" s="145"/>
      <c r="UEG65" s="145"/>
      <c r="UEH65" s="145"/>
      <c r="UEI65" s="145"/>
      <c r="UEJ65" s="145"/>
      <c r="UEK65" s="145"/>
      <c r="UEL65" s="145"/>
      <c r="UEM65" s="145"/>
      <c r="UEN65" s="145"/>
      <c r="UEO65" s="145"/>
      <c r="UEP65" s="145"/>
      <c r="UEQ65" s="145"/>
      <c r="UER65" s="145"/>
      <c r="UES65" s="145"/>
      <c r="UET65" s="145"/>
      <c r="UEU65" s="145"/>
      <c r="UEV65" s="145"/>
      <c r="UEW65" s="145"/>
      <c r="UEX65" s="145"/>
      <c r="UEY65" s="145"/>
      <c r="UEZ65" s="145"/>
      <c r="UFA65" s="145"/>
      <c r="UFB65" s="145"/>
      <c r="UFC65" s="145"/>
      <c r="UFD65" s="145"/>
      <c r="UFE65" s="145"/>
      <c r="UFF65" s="145"/>
      <c r="UFG65" s="145"/>
      <c r="UFH65" s="145"/>
      <c r="UFI65" s="145"/>
      <c r="UFJ65" s="145"/>
      <c r="UFK65" s="145"/>
      <c r="UFL65" s="145"/>
      <c r="UFM65" s="145"/>
      <c r="UFN65" s="145"/>
      <c r="UFO65" s="145"/>
      <c r="UFP65" s="145"/>
      <c r="UFQ65" s="145"/>
      <c r="UFR65" s="145"/>
      <c r="UFS65" s="145"/>
      <c r="UFT65" s="145"/>
      <c r="UFU65" s="145"/>
      <c r="UFV65" s="145"/>
      <c r="UFW65" s="145"/>
      <c r="UFX65" s="145"/>
      <c r="UFY65" s="145"/>
      <c r="UFZ65" s="145"/>
      <c r="UGA65" s="145"/>
      <c r="UGB65" s="145"/>
      <c r="UGC65" s="145"/>
      <c r="UGD65" s="145"/>
      <c r="UGE65" s="145"/>
      <c r="UGF65" s="145"/>
      <c r="UGG65" s="145"/>
      <c r="UGH65" s="145"/>
      <c r="UGI65" s="145"/>
      <c r="UGJ65" s="145"/>
      <c r="UGK65" s="145"/>
      <c r="UGL65" s="145"/>
      <c r="UGM65" s="145"/>
      <c r="UGN65" s="145"/>
      <c r="UGO65" s="145"/>
      <c r="UGP65" s="145"/>
      <c r="UGQ65" s="145"/>
      <c r="UGR65" s="145"/>
      <c r="UGS65" s="145"/>
      <c r="UGT65" s="145"/>
      <c r="UGU65" s="145"/>
      <c r="UGV65" s="145"/>
      <c r="UGW65" s="145"/>
      <c r="UGX65" s="145"/>
      <c r="UGY65" s="145"/>
      <c r="UGZ65" s="145"/>
      <c r="UHA65" s="145"/>
      <c r="UHB65" s="145"/>
      <c r="UHC65" s="145"/>
      <c r="UHD65" s="145"/>
      <c r="UHE65" s="145"/>
      <c r="UHF65" s="145"/>
      <c r="UHG65" s="145"/>
      <c r="UHH65" s="145"/>
      <c r="UHI65" s="145"/>
      <c r="UHJ65" s="145"/>
      <c r="UHK65" s="145"/>
      <c r="UHL65" s="145"/>
      <c r="UHM65" s="145"/>
      <c r="UHN65" s="145"/>
      <c r="UHO65" s="145"/>
      <c r="UHP65" s="145"/>
      <c r="UHQ65" s="145"/>
      <c r="UHR65" s="145"/>
      <c r="UHS65" s="145"/>
      <c r="UHT65" s="145"/>
      <c r="UHU65" s="145"/>
      <c r="UHV65" s="145"/>
      <c r="UHW65" s="145"/>
      <c r="UHX65" s="145"/>
      <c r="UHY65" s="145"/>
      <c r="UHZ65" s="145"/>
      <c r="UIA65" s="145"/>
      <c r="UIB65" s="145"/>
      <c r="UIC65" s="145"/>
      <c r="UID65" s="145"/>
      <c r="UIE65" s="145"/>
      <c r="UIF65" s="145"/>
      <c r="UIG65" s="145"/>
      <c r="UIH65" s="145"/>
      <c r="UII65" s="145"/>
      <c r="UIJ65" s="145"/>
      <c r="UIK65" s="145"/>
      <c r="UIL65" s="145"/>
      <c r="UIM65" s="145"/>
      <c r="UIN65" s="145"/>
      <c r="UIO65" s="145"/>
      <c r="UIP65" s="145"/>
      <c r="UIQ65" s="145"/>
      <c r="UIR65" s="145"/>
      <c r="UIS65" s="145"/>
      <c r="UIT65" s="145"/>
      <c r="UIU65" s="145"/>
      <c r="UIV65" s="145"/>
      <c r="UIW65" s="145"/>
      <c r="UIX65" s="145"/>
      <c r="UIY65" s="145"/>
      <c r="UIZ65" s="145"/>
      <c r="UJA65" s="145"/>
      <c r="UJB65" s="145"/>
      <c r="UJC65" s="145"/>
      <c r="UJD65" s="145"/>
      <c r="UJE65" s="145"/>
      <c r="UJF65" s="145"/>
      <c r="UJG65" s="145"/>
      <c r="UJH65" s="145"/>
      <c r="UJI65" s="145"/>
      <c r="UJJ65" s="145"/>
      <c r="UJK65" s="145"/>
      <c r="UJL65" s="145"/>
      <c r="UJM65" s="145"/>
      <c r="UJN65" s="145"/>
      <c r="UJO65" s="145"/>
      <c r="UJP65" s="145"/>
      <c r="UJQ65" s="145"/>
      <c r="UJR65" s="145"/>
      <c r="UJS65" s="145"/>
      <c r="UJT65" s="145"/>
      <c r="UJU65" s="145"/>
      <c r="UJV65" s="145"/>
      <c r="UJW65" s="145"/>
      <c r="UJX65" s="145"/>
      <c r="UJY65" s="145"/>
      <c r="UJZ65" s="145"/>
      <c r="UKA65" s="145"/>
      <c r="UKB65" s="145"/>
      <c r="UKC65" s="145"/>
      <c r="UKD65" s="145"/>
      <c r="UKE65" s="145"/>
      <c r="UKF65" s="145"/>
      <c r="UKG65" s="145"/>
      <c r="UKH65" s="145"/>
      <c r="UKI65" s="145"/>
      <c r="UKJ65" s="145"/>
      <c r="UKK65" s="145"/>
      <c r="UKL65" s="145"/>
      <c r="UKM65" s="145"/>
      <c r="UKN65" s="145"/>
      <c r="UKO65" s="145"/>
      <c r="UKP65" s="145"/>
      <c r="UKQ65" s="145"/>
      <c r="UKR65" s="145"/>
      <c r="UKS65" s="145"/>
      <c r="UKT65" s="145"/>
      <c r="UKU65" s="145"/>
      <c r="UKV65" s="145"/>
      <c r="UKW65" s="145"/>
      <c r="UKX65" s="145"/>
      <c r="UKY65" s="145"/>
      <c r="UKZ65" s="145"/>
      <c r="ULA65" s="145"/>
      <c r="ULB65" s="145"/>
      <c r="ULC65" s="145"/>
      <c r="ULD65" s="145"/>
      <c r="ULE65" s="145"/>
      <c r="ULF65" s="145"/>
      <c r="ULG65" s="145"/>
      <c r="ULH65" s="145"/>
      <c r="ULI65" s="145"/>
      <c r="ULJ65" s="145"/>
      <c r="ULK65" s="145"/>
      <c r="ULL65" s="145"/>
      <c r="ULM65" s="145"/>
      <c r="ULN65" s="145"/>
      <c r="ULO65" s="145"/>
      <c r="ULP65" s="145"/>
      <c r="ULQ65" s="145"/>
      <c r="ULR65" s="145"/>
      <c r="ULS65" s="145"/>
      <c r="ULT65" s="145"/>
      <c r="ULU65" s="145"/>
      <c r="ULV65" s="145"/>
      <c r="ULW65" s="145"/>
      <c r="ULX65" s="145"/>
      <c r="ULY65" s="145"/>
      <c r="ULZ65" s="145"/>
      <c r="UMA65" s="145"/>
      <c r="UMB65" s="145"/>
      <c r="UMC65" s="145"/>
      <c r="UMD65" s="145"/>
      <c r="UME65" s="145"/>
      <c r="UMF65" s="145"/>
      <c r="UMG65" s="145"/>
      <c r="UMH65" s="145"/>
      <c r="UMI65" s="145"/>
      <c r="UMJ65" s="145"/>
      <c r="UMK65" s="145"/>
      <c r="UML65" s="145"/>
      <c r="UMM65" s="145"/>
      <c r="UMN65" s="145"/>
      <c r="UMO65" s="145"/>
      <c r="UMP65" s="145"/>
      <c r="UMQ65" s="145"/>
      <c r="UMR65" s="145"/>
      <c r="UMS65" s="145"/>
      <c r="UMT65" s="145"/>
      <c r="UMU65" s="145"/>
      <c r="UMV65" s="145"/>
      <c r="UMW65" s="145"/>
      <c r="UMX65" s="145"/>
      <c r="UMY65" s="145"/>
      <c r="UMZ65" s="145"/>
      <c r="UNA65" s="145"/>
      <c r="UNB65" s="145"/>
      <c r="UNC65" s="145"/>
      <c r="UND65" s="145"/>
      <c r="UNE65" s="145"/>
      <c r="UNF65" s="145"/>
      <c r="UNG65" s="145"/>
      <c r="UNH65" s="145"/>
      <c r="UNI65" s="145"/>
      <c r="UNJ65" s="145"/>
      <c r="UNK65" s="145"/>
      <c r="UNL65" s="145"/>
      <c r="UNM65" s="145"/>
      <c r="UNN65" s="145"/>
      <c r="UNO65" s="145"/>
      <c r="UNP65" s="145"/>
      <c r="UNQ65" s="145"/>
      <c r="UNR65" s="145"/>
      <c r="UNS65" s="145"/>
      <c r="UNT65" s="145"/>
      <c r="UNU65" s="145"/>
      <c r="UNV65" s="145"/>
      <c r="UNW65" s="145"/>
      <c r="UNX65" s="145"/>
      <c r="UNY65" s="145"/>
      <c r="UNZ65" s="145"/>
      <c r="UOA65" s="145"/>
      <c r="UOB65" s="145"/>
      <c r="UOC65" s="145"/>
      <c r="UOD65" s="145"/>
      <c r="UOE65" s="145"/>
      <c r="UOF65" s="145"/>
      <c r="UOG65" s="145"/>
      <c r="UOH65" s="145"/>
      <c r="UOI65" s="145"/>
      <c r="UOJ65" s="145"/>
      <c r="UOK65" s="145"/>
      <c r="UOL65" s="145"/>
      <c r="UOM65" s="145"/>
      <c r="UON65" s="145"/>
      <c r="UOO65" s="145"/>
      <c r="UOP65" s="145"/>
      <c r="UOQ65" s="145"/>
      <c r="UOR65" s="145"/>
      <c r="UOS65" s="145"/>
      <c r="UOT65" s="145"/>
      <c r="UOU65" s="145"/>
      <c r="UOV65" s="145"/>
      <c r="UOW65" s="145"/>
      <c r="UOX65" s="145"/>
      <c r="UOY65" s="145"/>
      <c r="UOZ65" s="145"/>
      <c r="UPA65" s="145"/>
      <c r="UPB65" s="145"/>
      <c r="UPC65" s="145"/>
      <c r="UPD65" s="145"/>
      <c r="UPE65" s="145"/>
      <c r="UPF65" s="145"/>
      <c r="UPG65" s="145"/>
      <c r="UPH65" s="145"/>
      <c r="UPI65" s="145"/>
      <c r="UPJ65" s="145"/>
      <c r="UPK65" s="145"/>
      <c r="UPL65" s="145"/>
      <c r="UPM65" s="145"/>
      <c r="UPN65" s="145"/>
      <c r="UPO65" s="145"/>
      <c r="UPP65" s="145"/>
      <c r="UPQ65" s="145"/>
      <c r="UPR65" s="145"/>
      <c r="UPS65" s="145"/>
      <c r="UPT65" s="145"/>
      <c r="UPU65" s="145"/>
      <c r="UPV65" s="145"/>
      <c r="UPW65" s="145"/>
      <c r="UPX65" s="145"/>
      <c r="UPY65" s="145"/>
      <c r="UPZ65" s="145"/>
      <c r="UQA65" s="145"/>
      <c r="UQB65" s="145"/>
      <c r="UQC65" s="145"/>
      <c r="UQD65" s="145"/>
      <c r="UQE65" s="145"/>
      <c r="UQF65" s="145"/>
      <c r="UQG65" s="145"/>
      <c r="UQH65" s="145"/>
      <c r="UQI65" s="145"/>
      <c r="UQJ65" s="145"/>
      <c r="UQK65" s="145"/>
      <c r="UQL65" s="145"/>
      <c r="UQM65" s="145"/>
      <c r="UQN65" s="145"/>
      <c r="UQO65" s="145"/>
      <c r="UQP65" s="145"/>
      <c r="UQQ65" s="145"/>
      <c r="UQR65" s="145"/>
      <c r="UQS65" s="145"/>
      <c r="UQT65" s="145"/>
      <c r="UQU65" s="145"/>
      <c r="UQV65" s="145"/>
      <c r="UQW65" s="145"/>
      <c r="UQX65" s="145"/>
      <c r="UQY65" s="145"/>
      <c r="UQZ65" s="145"/>
      <c r="URA65" s="145"/>
      <c r="URB65" s="145"/>
      <c r="URC65" s="145"/>
      <c r="URD65" s="145"/>
      <c r="URE65" s="145"/>
      <c r="URF65" s="145"/>
      <c r="URG65" s="145"/>
      <c r="URH65" s="145"/>
      <c r="URI65" s="145"/>
      <c r="URJ65" s="145"/>
      <c r="URK65" s="145"/>
      <c r="URL65" s="145"/>
      <c r="URM65" s="145"/>
      <c r="URN65" s="145"/>
      <c r="URO65" s="145"/>
      <c r="URP65" s="145"/>
      <c r="URQ65" s="145"/>
      <c r="URR65" s="145"/>
      <c r="URS65" s="145"/>
      <c r="URT65" s="145"/>
      <c r="URU65" s="145"/>
      <c r="URV65" s="145"/>
      <c r="URW65" s="145"/>
      <c r="URX65" s="145"/>
      <c r="URY65" s="145"/>
      <c r="URZ65" s="145"/>
      <c r="USA65" s="145"/>
      <c r="USB65" s="145"/>
      <c r="USC65" s="145"/>
      <c r="USD65" s="145"/>
      <c r="USE65" s="145"/>
      <c r="USF65" s="145"/>
      <c r="USG65" s="145"/>
      <c r="USH65" s="145"/>
      <c r="USI65" s="145"/>
      <c r="USJ65" s="145"/>
      <c r="USK65" s="145"/>
      <c r="USL65" s="145"/>
      <c r="USM65" s="145"/>
      <c r="USN65" s="145"/>
      <c r="USO65" s="145"/>
      <c r="USP65" s="145"/>
      <c r="USQ65" s="145"/>
      <c r="USR65" s="145"/>
      <c r="USS65" s="145"/>
      <c r="UST65" s="145"/>
      <c r="USU65" s="145"/>
      <c r="USV65" s="145"/>
      <c r="USW65" s="145"/>
      <c r="USX65" s="145"/>
      <c r="USY65" s="145"/>
      <c r="USZ65" s="145"/>
      <c r="UTA65" s="145"/>
      <c r="UTB65" s="145"/>
      <c r="UTC65" s="145"/>
      <c r="UTD65" s="145"/>
      <c r="UTE65" s="145"/>
      <c r="UTF65" s="145"/>
      <c r="UTG65" s="145"/>
      <c r="UTH65" s="145"/>
      <c r="UTI65" s="145"/>
      <c r="UTJ65" s="145"/>
      <c r="UTK65" s="145"/>
      <c r="UTL65" s="145"/>
      <c r="UTM65" s="145"/>
      <c r="UTN65" s="145"/>
      <c r="UTO65" s="145"/>
      <c r="UTP65" s="145"/>
      <c r="UTQ65" s="145"/>
      <c r="UTR65" s="145"/>
      <c r="UTS65" s="145"/>
      <c r="UTT65" s="145"/>
      <c r="UTU65" s="145"/>
      <c r="UTV65" s="145"/>
      <c r="UTW65" s="145"/>
      <c r="UTX65" s="145"/>
      <c r="UTY65" s="145"/>
      <c r="UTZ65" s="145"/>
      <c r="UUA65" s="145"/>
      <c r="UUB65" s="145"/>
      <c r="UUC65" s="145"/>
      <c r="UUD65" s="145"/>
      <c r="UUE65" s="145"/>
      <c r="UUF65" s="145"/>
      <c r="UUG65" s="145"/>
      <c r="UUH65" s="145"/>
      <c r="UUI65" s="145"/>
      <c r="UUJ65" s="145"/>
      <c r="UUK65" s="145"/>
      <c r="UUL65" s="145"/>
      <c r="UUM65" s="145"/>
      <c r="UUN65" s="145"/>
      <c r="UUO65" s="145"/>
      <c r="UUP65" s="145"/>
      <c r="UUQ65" s="145"/>
      <c r="UUR65" s="145"/>
      <c r="UUS65" s="145"/>
      <c r="UUT65" s="145"/>
      <c r="UUU65" s="145"/>
      <c r="UUV65" s="145"/>
      <c r="UUW65" s="145"/>
      <c r="UUX65" s="145"/>
      <c r="UUY65" s="145"/>
      <c r="UUZ65" s="145"/>
      <c r="UVA65" s="145"/>
      <c r="UVB65" s="145"/>
      <c r="UVC65" s="145"/>
      <c r="UVD65" s="145"/>
      <c r="UVE65" s="145"/>
      <c r="UVF65" s="145"/>
      <c r="UVG65" s="145"/>
      <c r="UVH65" s="145"/>
      <c r="UVI65" s="145"/>
      <c r="UVJ65" s="145"/>
      <c r="UVK65" s="145"/>
      <c r="UVL65" s="145"/>
      <c r="UVM65" s="145"/>
      <c r="UVN65" s="145"/>
      <c r="UVO65" s="145"/>
      <c r="UVP65" s="145"/>
      <c r="UVQ65" s="145"/>
      <c r="UVR65" s="145"/>
      <c r="UVS65" s="145"/>
      <c r="UVT65" s="145"/>
      <c r="UVU65" s="145"/>
      <c r="UVV65" s="145"/>
      <c r="UVW65" s="145"/>
      <c r="UVX65" s="145"/>
      <c r="UVY65" s="145"/>
      <c r="UVZ65" s="145"/>
      <c r="UWA65" s="145"/>
      <c r="UWB65" s="145"/>
      <c r="UWC65" s="145"/>
      <c r="UWD65" s="145"/>
      <c r="UWE65" s="145"/>
      <c r="UWF65" s="145"/>
      <c r="UWG65" s="145"/>
      <c r="UWH65" s="145"/>
      <c r="UWI65" s="145"/>
      <c r="UWJ65" s="145"/>
      <c r="UWK65" s="145"/>
      <c r="UWL65" s="145"/>
      <c r="UWM65" s="145"/>
      <c r="UWN65" s="145"/>
      <c r="UWO65" s="145"/>
      <c r="UWP65" s="145"/>
      <c r="UWQ65" s="145"/>
      <c r="UWR65" s="145"/>
      <c r="UWS65" s="145"/>
      <c r="UWT65" s="145"/>
      <c r="UWU65" s="145"/>
      <c r="UWV65" s="145"/>
      <c r="UWW65" s="145"/>
      <c r="UWX65" s="145"/>
      <c r="UWY65" s="145"/>
      <c r="UWZ65" s="145"/>
      <c r="UXA65" s="145"/>
      <c r="UXB65" s="145"/>
      <c r="UXC65" s="145"/>
      <c r="UXD65" s="145"/>
      <c r="UXE65" s="145"/>
      <c r="UXF65" s="145"/>
      <c r="UXG65" s="145"/>
      <c r="UXH65" s="145"/>
      <c r="UXI65" s="145"/>
      <c r="UXJ65" s="145"/>
      <c r="UXK65" s="145"/>
      <c r="UXL65" s="145"/>
      <c r="UXM65" s="145"/>
      <c r="UXN65" s="145"/>
      <c r="UXO65" s="145"/>
      <c r="UXP65" s="145"/>
      <c r="UXQ65" s="145"/>
      <c r="UXR65" s="145"/>
      <c r="UXS65" s="145"/>
      <c r="UXT65" s="145"/>
      <c r="UXU65" s="145"/>
      <c r="UXV65" s="145"/>
      <c r="UXW65" s="145"/>
      <c r="UXX65" s="145"/>
      <c r="UXY65" s="145"/>
      <c r="UXZ65" s="145"/>
      <c r="UYA65" s="145"/>
      <c r="UYB65" s="145"/>
      <c r="UYC65" s="145"/>
      <c r="UYD65" s="145"/>
      <c r="UYE65" s="145"/>
      <c r="UYF65" s="145"/>
      <c r="UYG65" s="145"/>
      <c r="UYH65" s="145"/>
      <c r="UYI65" s="145"/>
      <c r="UYJ65" s="145"/>
      <c r="UYK65" s="145"/>
      <c r="UYL65" s="145"/>
      <c r="UYM65" s="145"/>
      <c r="UYN65" s="145"/>
      <c r="UYO65" s="145"/>
      <c r="UYP65" s="145"/>
      <c r="UYQ65" s="145"/>
      <c r="UYR65" s="145"/>
      <c r="UYS65" s="145"/>
      <c r="UYT65" s="145"/>
      <c r="UYU65" s="145"/>
      <c r="UYV65" s="145"/>
      <c r="UYW65" s="145"/>
      <c r="UYX65" s="145"/>
      <c r="UYY65" s="145"/>
      <c r="UYZ65" s="145"/>
      <c r="UZA65" s="145"/>
      <c r="UZB65" s="145"/>
      <c r="UZC65" s="145"/>
      <c r="UZD65" s="145"/>
      <c r="UZE65" s="145"/>
      <c r="UZF65" s="145"/>
      <c r="UZG65" s="145"/>
      <c r="UZH65" s="145"/>
      <c r="UZI65" s="145"/>
      <c r="UZJ65" s="145"/>
      <c r="UZK65" s="145"/>
      <c r="UZL65" s="145"/>
      <c r="UZM65" s="145"/>
      <c r="UZN65" s="145"/>
      <c r="UZO65" s="145"/>
      <c r="UZP65" s="145"/>
      <c r="UZQ65" s="145"/>
      <c r="UZR65" s="145"/>
      <c r="UZS65" s="145"/>
      <c r="UZT65" s="145"/>
      <c r="UZU65" s="145"/>
      <c r="UZV65" s="145"/>
      <c r="UZW65" s="145"/>
      <c r="UZX65" s="145"/>
      <c r="UZY65" s="145"/>
      <c r="UZZ65" s="145"/>
      <c r="VAA65" s="145"/>
      <c r="VAB65" s="145"/>
      <c r="VAC65" s="145"/>
      <c r="VAD65" s="145"/>
      <c r="VAE65" s="145"/>
      <c r="VAF65" s="145"/>
      <c r="VAG65" s="145"/>
      <c r="VAH65" s="145"/>
      <c r="VAI65" s="145"/>
      <c r="VAJ65" s="145"/>
      <c r="VAK65" s="145"/>
      <c r="VAL65" s="145"/>
      <c r="VAM65" s="145"/>
      <c r="VAN65" s="145"/>
      <c r="VAO65" s="145"/>
      <c r="VAP65" s="145"/>
      <c r="VAQ65" s="145"/>
      <c r="VAR65" s="145"/>
      <c r="VAS65" s="145"/>
      <c r="VAT65" s="145"/>
      <c r="VAU65" s="145"/>
      <c r="VAV65" s="145"/>
      <c r="VAW65" s="145"/>
      <c r="VAX65" s="145"/>
      <c r="VAY65" s="145"/>
      <c r="VAZ65" s="145"/>
      <c r="VBA65" s="145"/>
      <c r="VBB65" s="145"/>
      <c r="VBC65" s="145"/>
      <c r="VBD65" s="145"/>
      <c r="VBE65" s="145"/>
      <c r="VBF65" s="145"/>
      <c r="VBG65" s="145"/>
      <c r="VBH65" s="145"/>
      <c r="VBI65" s="145"/>
      <c r="VBJ65" s="145"/>
      <c r="VBK65" s="145"/>
      <c r="VBL65" s="145"/>
      <c r="VBM65" s="145"/>
      <c r="VBN65" s="145"/>
      <c r="VBO65" s="145"/>
      <c r="VBP65" s="145"/>
      <c r="VBQ65" s="145"/>
      <c r="VBR65" s="145"/>
      <c r="VBS65" s="145"/>
      <c r="VBT65" s="145"/>
      <c r="VBU65" s="145"/>
      <c r="VBV65" s="145"/>
      <c r="VBW65" s="145"/>
      <c r="VBX65" s="145"/>
      <c r="VBY65" s="145"/>
      <c r="VBZ65" s="145"/>
      <c r="VCA65" s="145"/>
      <c r="VCB65" s="145"/>
      <c r="VCC65" s="145"/>
      <c r="VCD65" s="145"/>
      <c r="VCE65" s="145"/>
      <c r="VCF65" s="145"/>
      <c r="VCG65" s="145"/>
      <c r="VCH65" s="145"/>
      <c r="VCI65" s="145"/>
      <c r="VCJ65" s="145"/>
      <c r="VCK65" s="145"/>
      <c r="VCL65" s="145"/>
      <c r="VCM65" s="145"/>
      <c r="VCN65" s="145"/>
      <c r="VCO65" s="145"/>
      <c r="VCP65" s="145"/>
      <c r="VCQ65" s="145"/>
      <c r="VCR65" s="145"/>
      <c r="VCS65" s="145"/>
      <c r="VCT65" s="145"/>
      <c r="VCU65" s="145"/>
      <c r="VCV65" s="145"/>
      <c r="VCW65" s="145"/>
      <c r="VCX65" s="145"/>
      <c r="VCY65" s="145"/>
      <c r="VCZ65" s="145"/>
      <c r="VDA65" s="145"/>
      <c r="VDB65" s="145"/>
      <c r="VDC65" s="145"/>
      <c r="VDD65" s="145"/>
      <c r="VDE65" s="145"/>
      <c r="VDF65" s="145"/>
      <c r="VDG65" s="145"/>
      <c r="VDH65" s="145"/>
      <c r="VDI65" s="145"/>
      <c r="VDJ65" s="145"/>
      <c r="VDK65" s="145"/>
      <c r="VDL65" s="145"/>
      <c r="VDM65" s="145"/>
      <c r="VDN65" s="145"/>
      <c r="VDO65" s="145"/>
      <c r="VDP65" s="145"/>
      <c r="VDQ65" s="145"/>
      <c r="VDR65" s="145"/>
      <c r="VDS65" s="145"/>
      <c r="VDT65" s="145"/>
      <c r="VDU65" s="145"/>
      <c r="VDV65" s="145"/>
      <c r="VDW65" s="145"/>
      <c r="VDX65" s="145"/>
      <c r="VDY65" s="145"/>
      <c r="VDZ65" s="145"/>
      <c r="VEA65" s="145"/>
      <c r="VEB65" s="145"/>
      <c r="VEC65" s="145"/>
      <c r="VED65" s="145"/>
      <c r="VEE65" s="145"/>
      <c r="VEF65" s="145"/>
      <c r="VEG65" s="145"/>
      <c r="VEH65" s="145"/>
      <c r="VEI65" s="145"/>
      <c r="VEJ65" s="145"/>
      <c r="VEK65" s="145"/>
      <c r="VEL65" s="145"/>
      <c r="VEM65" s="145"/>
      <c r="VEN65" s="145"/>
      <c r="VEO65" s="145"/>
      <c r="VEP65" s="145"/>
      <c r="VEQ65" s="145"/>
      <c r="VER65" s="145"/>
      <c r="VES65" s="145"/>
      <c r="VET65" s="145"/>
      <c r="VEU65" s="145"/>
      <c r="VEV65" s="145"/>
      <c r="VEW65" s="145"/>
      <c r="VEX65" s="145"/>
      <c r="VEY65" s="145"/>
      <c r="VEZ65" s="145"/>
      <c r="VFA65" s="145"/>
      <c r="VFB65" s="145"/>
      <c r="VFC65" s="145"/>
      <c r="VFD65" s="145"/>
      <c r="VFE65" s="145"/>
      <c r="VFF65" s="145"/>
      <c r="VFG65" s="145"/>
      <c r="VFH65" s="145"/>
      <c r="VFI65" s="145"/>
      <c r="VFJ65" s="145"/>
      <c r="VFK65" s="145"/>
      <c r="VFL65" s="145"/>
      <c r="VFM65" s="145"/>
      <c r="VFN65" s="145"/>
      <c r="VFO65" s="145"/>
      <c r="VFP65" s="145"/>
      <c r="VFQ65" s="145"/>
      <c r="VFR65" s="145"/>
      <c r="VFS65" s="145"/>
      <c r="VFT65" s="145"/>
      <c r="VFU65" s="145"/>
      <c r="VFV65" s="145"/>
      <c r="VFW65" s="145"/>
      <c r="VFX65" s="145"/>
      <c r="VFY65" s="145"/>
      <c r="VFZ65" s="145"/>
      <c r="VGA65" s="145"/>
      <c r="VGB65" s="145"/>
      <c r="VGC65" s="145"/>
      <c r="VGD65" s="145"/>
      <c r="VGE65" s="145"/>
      <c r="VGF65" s="145"/>
      <c r="VGG65" s="145"/>
      <c r="VGH65" s="145"/>
      <c r="VGI65" s="145"/>
      <c r="VGJ65" s="145"/>
      <c r="VGK65" s="145"/>
      <c r="VGL65" s="145"/>
      <c r="VGM65" s="145"/>
      <c r="VGN65" s="145"/>
      <c r="VGO65" s="145"/>
      <c r="VGP65" s="145"/>
      <c r="VGQ65" s="145"/>
      <c r="VGR65" s="145"/>
      <c r="VGS65" s="145"/>
      <c r="VGT65" s="145"/>
      <c r="VGU65" s="145"/>
      <c r="VGV65" s="145"/>
      <c r="VGW65" s="145"/>
      <c r="VGX65" s="145"/>
      <c r="VGY65" s="145"/>
      <c r="VGZ65" s="145"/>
      <c r="VHA65" s="145"/>
      <c r="VHB65" s="145"/>
      <c r="VHC65" s="145"/>
      <c r="VHD65" s="145"/>
      <c r="VHE65" s="145"/>
      <c r="VHF65" s="145"/>
      <c r="VHG65" s="145"/>
      <c r="VHH65" s="145"/>
      <c r="VHI65" s="145"/>
      <c r="VHJ65" s="145"/>
      <c r="VHK65" s="145"/>
      <c r="VHL65" s="145"/>
      <c r="VHM65" s="145"/>
      <c r="VHN65" s="145"/>
      <c r="VHO65" s="145"/>
      <c r="VHP65" s="145"/>
      <c r="VHQ65" s="145"/>
      <c r="VHR65" s="145"/>
      <c r="VHS65" s="145"/>
      <c r="VHT65" s="145"/>
      <c r="VHU65" s="145"/>
      <c r="VHV65" s="145"/>
      <c r="VHW65" s="145"/>
      <c r="VHX65" s="145"/>
      <c r="VHY65" s="145"/>
      <c r="VHZ65" s="145"/>
      <c r="VIA65" s="145"/>
      <c r="VIB65" s="145"/>
      <c r="VIC65" s="145"/>
      <c r="VID65" s="145"/>
      <c r="VIE65" s="145"/>
      <c r="VIF65" s="145"/>
      <c r="VIG65" s="145"/>
      <c r="VIH65" s="145"/>
      <c r="VII65" s="145"/>
      <c r="VIJ65" s="145"/>
      <c r="VIK65" s="145"/>
      <c r="VIL65" s="145"/>
      <c r="VIM65" s="145"/>
      <c r="VIN65" s="145"/>
      <c r="VIO65" s="145"/>
      <c r="VIP65" s="145"/>
      <c r="VIQ65" s="145"/>
      <c r="VIR65" s="145"/>
      <c r="VIS65" s="145"/>
      <c r="VIT65" s="145"/>
      <c r="VIU65" s="145"/>
      <c r="VIV65" s="145"/>
      <c r="VIW65" s="145"/>
      <c r="VIX65" s="145"/>
      <c r="VIY65" s="145"/>
      <c r="VIZ65" s="145"/>
      <c r="VJA65" s="145"/>
      <c r="VJB65" s="145"/>
      <c r="VJC65" s="145"/>
      <c r="VJD65" s="145"/>
      <c r="VJE65" s="145"/>
      <c r="VJF65" s="145"/>
      <c r="VJG65" s="145"/>
      <c r="VJH65" s="145"/>
      <c r="VJI65" s="145"/>
      <c r="VJJ65" s="145"/>
      <c r="VJK65" s="145"/>
      <c r="VJL65" s="145"/>
      <c r="VJM65" s="145"/>
      <c r="VJN65" s="145"/>
      <c r="VJO65" s="145"/>
      <c r="VJP65" s="145"/>
      <c r="VJQ65" s="145"/>
      <c r="VJR65" s="145"/>
      <c r="VJS65" s="145"/>
      <c r="VJT65" s="145"/>
      <c r="VJU65" s="145"/>
      <c r="VJV65" s="145"/>
      <c r="VJW65" s="145"/>
      <c r="VJX65" s="145"/>
      <c r="VJY65" s="145"/>
      <c r="VJZ65" s="145"/>
      <c r="VKA65" s="145"/>
      <c r="VKB65" s="145"/>
      <c r="VKC65" s="145"/>
      <c r="VKD65" s="145"/>
      <c r="VKE65" s="145"/>
      <c r="VKF65" s="145"/>
      <c r="VKG65" s="145"/>
      <c r="VKH65" s="145"/>
      <c r="VKI65" s="145"/>
      <c r="VKJ65" s="145"/>
      <c r="VKK65" s="145"/>
      <c r="VKL65" s="145"/>
      <c r="VKM65" s="145"/>
      <c r="VKN65" s="145"/>
      <c r="VKO65" s="145"/>
      <c r="VKP65" s="145"/>
      <c r="VKQ65" s="145"/>
      <c r="VKR65" s="145"/>
      <c r="VKS65" s="145"/>
      <c r="VKT65" s="145"/>
      <c r="VKU65" s="145"/>
      <c r="VKV65" s="145"/>
      <c r="VKW65" s="145"/>
      <c r="VKX65" s="145"/>
      <c r="VKY65" s="145"/>
      <c r="VKZ65" s="145"/>
      <c r="VLA65" s="145"/>
      <c r="VLB65" s="145"/>
      <c r="VLC65" s="145"/>
      <c r="VLD65" s="145"/>
      <c r="VLE65" s="145"/>
      <c r="VLF65" s="145"/>
      <c r="VLG65" s="145"/>
      <c r="VLH65" s="145"/>
      <c r="VLI65" s="145"/>
      <c r="VLJ65" s="145"/>
      <c r="VLK65" s="145"/>
      <c r="VLL65" s="145"/>
      <c r="VLM65" s="145"/>
      <c r="VLN65" s="145"/>
      <c r="VLO65" s="145"/>
      <c r="VLP65" s="145"/>
      <c r="VLQ65" s="145"/>
      <c r="VLR65" s="145"/>
      <c r="VLS65" s="145"/>
      <c r="VLT65" s="145"/>
      <c r="VLU65" s="145"/>
      <c r="VLV65" s="145"/>
      <c r="VLW65" s="145"/>
      <c r="VLX65" s="145"/>
      <c r="VLY65" s="145"/>
      <c r="VLZ65" s="145"/>
      <c r="VMA65" s="145"/>
      <c r="VMB65" s="145"/>
      <c r="VMC65" s="145"/>
      <c r="VMD65" s="145"/>
      <c r="VME65" s="145"/>
      <c r="VMF65" s="145"/>
      <c r="VMG65" s="145"/>
      <c r="VMH65" s="145"/>
      <c r="VMI65" s="145"/>
      <c r="VMJ65" s="145"/>
      <c r="VMK65" s="145"/>
      <c r="VML65" s="145"/>
      <c r="VMM65" s="145"/>
      <c r="VMN65" s="145"/>
      <c r="VMO65" s="145"/>
      <c r="VMP65" s="145"/>
      <c r="VMQ65" s="145"/>
      <c r="VMR65" s="145"/>
      <c r="VMS65" s="145"/>
      <c r="VMT65" s="145"/>
      <c r="VMU65" s="145"/>
      <c r="VMV65" s="145"/>
      <c r="VMW65" s="145"/>
      <c r="VMX65" s="145"/>
      <c r="VMY65" s="145"/>
      <c r="VMZ65" s="145"/>
      <c r="VNA65" s="145"/>
      <c r="VNB65" s="145"/>
      <c r="VNC65" s="145"/>
      <c r="VND65" s="145"/>
      <c r="VNE65" s="145"/>
      <c r="VNF65" s="145"/>
      <c r="VNG65" s="145"/>
      <c r="VNH65" s="145"/>
      <c r="VNI65" s="145"/>
      <c r="VNJ65" s="145"/>
      <c r="VNK65" s="145"/>
      <c r="VNL65" s="145"/>
      <c r="VNM65" s="145"/>
      <c r="VNN65" s="145"/>
      <c r="VNO65" s="145"/>
      <c r="VNP65" s="145"/>
      <c r="VNQ65" s="145"/>
      <c r="VNR65" s="145"/>
      <c r="VNS65" s="145"/>
      <c r="VNT65" s="145"/>
      <c r="VNU65" s="145"/>
      <c r="VNV65" s="145"/>
      <c r="VNW65" s="145"/>
      <c r="VNX65" s="145"/>
      <c r="VNY65" s="145"/>
      <c r="VNZ65" s="145"/>
      <c r="VOA65" s="145"/>
      <c r="VOB65" s="145"/>
      <c r="VOC65" s="145"/>
      <c r="VOD65" s="145"/>
      <c r="VOE65" s="145"/>
      <c r="VOF65" s="145"/>
      <c r="VOG65" s="145"/>
      <c r="VOH65" s="145"/>
      <c r="VOI65" s="145"/>
      <c r="VOJ65" s="145"/>
      <c r="VOK65" s="145"/>
      <c r="VOL65" s="145"/>
      <c r="VOM65" s="145"/>
      <c r="VON65" s="145"/>
      <c r="VOO65" s="145"/>
      <c r="VOP65" s="145"/>
      <c r="VOQ65" s="145"/>
      <c r="VOR65" s="145"/>
      <c r="VOS65" s="145"/>
      <c r="VOT65" s="145"/>
      <c r="VOU65" s="145"/>
      <c r="VOV65" s="145"/>
      <c r="VOW65" s="145"/>
      <c r="VOX65" s="145"/>
      <c r="VOY65" s="145"/>
      <c r="VOZ65" s="145"/>
      <c r="VPA65" s="145"/>
      <c r="VPB65" s="145"/>
      <c r="VPC65" s="145"/>
      <c r="VPD65" s="145"/>
      <c r="VPE65" s="145"/>
      <c r="VPF65" s="145"/>
      <c r="VPG65" s="145"/>
      <c r="VPH65" s="145"/>
      <c r="VPI65" s="145"/>
      <c r="VPJ65" s="145"/>
      <c r="VPK65" s="145"/>
      <c r="VPL65" s="145"/>
      <c r="VPM65" s="145"/>
      <c r="VPN65" s="145"/>
      <c r="VPO65" s="145"/>
      <c r="VPP65" s="145"/>
      <c r="VPQ65" s="145"/>
      <c r="VPR65" s="145"/>
      <c r="VPS65" s="145"/>
      <c r="VPT65" s="145"/>
      <c r="VPU65" s="145"/>
      <c r="VPV65" s="145"/>
      <c r="VPW65" s="145"/>
      <c r="VPX65" s="145"/>
      <c r="VPY65" s="145"/>
      <c r="VPZ65" s="145"/>
      <c r="VQA65" s="145"/>
      <c r="VQB65" s="145"/>
      <c r="VQC65" s="145"/>
      <c r="VQD65" s="145"/>
      <c r="VQE65" s="145"/>
      <c r="VQF65" s="145"/>
      <c r="VQG65" s="145"/>
      <c r="VQH65" s="145"/>
      <c r="VQI65" s="145"/>
      <c r="VQJ65" s="145"/>
      <c r="VQK65" s="145"/>
      <c r="VQL65" s="145"/>
      <c r="VQM65" s="145"/>
      <c r="VQN65" s="145"/>
      <c r="VQO65" s="145"/>
      <c r="VQP65" s="145"/>
      <c r="VQQ65" s="145"/>
      <c r="VQR65" s="145"/>
      <c r="VQS65" s="145"/>
      <c r="VQT65" s="145"/>
      <c r="VQU65" s="145"/>
      <c r="VQV65" s="145"/>
      <c r="VQW65" s="145"/>
      <c r="VQX65" s="145"/>
      <c r="VQY65" s="145"/>
      <c r="VQZ65" s="145"/>
      <c r="VRA65" s="145"/>
      <c r="VRB65" s="145"/>
      <c r="VRC65" s="145"/>
      <c r="VRD65" s="145"/>
      <c r="VRE65" s="145"/>
      <c r="VRF65" s="145"/>
      <c r="VRG65" s="145"/>
      <c r="VRH65" s="145"/>
      <c r="VRI65" s="145"/>
      <c r="VRJ65" s="145"/>
      <c r="VRK65" s="145"/>
      <c r="VRL65" s="145"/>
      <c r="VRM65" s="145"/>
      <c r="VRN65" s="145"/>
      <c r="VRO65" s="145"/>
      <c r="VRP65" s="145"/>
      <c r="VRQ65" s="145"/>
      <c r="VRR65" s="145"/>
      <c r="VRS65" s="145"/>
      <c r="VRT65" s="145"/>
      <c r="VRU65" s="145"/>
      <c r="VRV65" s="145"/>
      <c r="VRW65" s="145"/>
      <c r="VRX65" s="145"/>
      <c r="VRY65" s="145"/>
      <c r="VRZ65" s="145"/>
      <c r="VSA65" s="145"/>
      <c r="VSB65" s="145"/>
      <c r="VSC65" s="145"/>
      <c r="VSD65" s="145"/>
      <c r="VSE65" s="145"/>
      <c r="VSF65" s="145"/>
      <c r="VSG65" s="145"/>
      <c r="VSH65" s="145"/>
      <c r="VSI65" s="145"/>
      <c r="VSJ65" s="145"/>
      <c r="VSK65" s="145"/>
      <c r="VSL65" s="145"/>
      <c r="VSM65" s="145"/>
      <c r="VSN65" s="145"/>
      <c r="VSO65" s="145"/>
      <c r="VSP65" s="145"/>
      <c r="VSQ65" s="145"/>
      <c r="VSR65" s="145"/>
      <c r="VSS65" s="145"/>
      <c r="VST65" s="145"/>
      <c r="VSU65" s="145"/>
      <c r="VSV65" s="145"/>
      <c r="VSW65" s="145"/>
      <c r="VSX65" s="145"/>
      <c r="VSY65" s="145"/>
      <c r="VSZ65" s="145"/>
      <c r="VTA65" s="145"/>
      <c r="VTB65" s="145"/>
      <c r="VTC65" s="145"/>
      <c r="VTD65" s="145"/>
      <c r="VTE65" s="145"/>
      <c r="VTF65" s="145"/>
      <c r="VTG65" s="145"/>
      <c r="VTH65" s="145"/>
      <c r="VTI65" s="145"/>
      <c r="VTJ65" s="145"/>
      <c r="VTK65" s="145"/>
      <c r="VTL65" s="145"/>
      <c r="VTM65" s="145"/>
      <c r="VTN65" s="145"/>
      <c r="VTO65" s="145"/>
      <c r="VTP65" s="145"/>
      <c r="VTQ65" s="145"/>
      <c r="VTR65" s="145"/>
      <c r="VTS65" s="145"/>
      <c r="VTT65" s="145"/>
      <c r="VTU65" s="145"/>
      <c r="VTV65" s="145"/>
      <c r="VTW65" s="145"/>
      <c r="VTX65" s="145"/>
      <c r="VTY65" s="145"/>
      <c r="VTZ65" s="145"/>
      <c r="VUA65" s="145"/>
      <c r="VUB65" s="145"/>
      <c r="VUC65" s="145"/>
      <c r="VUD65" s="145"/>
      <c r="VUE65" s="145"/>
      <c r="VUF65" s="145"/>
      <c r="VUG65" s="145"/>
      <c r="VUH65" s="145"/>
      <c r="VUI65" s="145"/>
      <c r="VUJ65" s="145"/>
      <c r="VUK65" s="145"/>
      <c r="VUL65" s="145"/>
      <c r="VUM65" s="145"/>
      <c r="VUN65" s="145"/>
      <c r="VUO65" s="145"/>
      <c r="VUP65" s="145"/>
      <c r="VUQ65" s="145"/>
      <c r="VUR65" s="145"/>
      <c r="VUS65" s="145"/>
      <c r="VUT65" s="145"/>
      <c r="VUU65" s="145"/>
      <c r="VUV65" s="145"/>
      <c r="VUW65" s="145"/>
      <c r="VUX65" s="145"/>
      <c r="VUY65" s="145"/>
      <c r="VUZ65" s="145"/>
      <c r="VVA65" s="145"/>
      <c r="VVB65" s="145"/>
      <c r="VVC65" s="145"/>
      <c r="VVD65" s="145"/>
      <c r="VVE65" s="145"/>
      <c r="VVF65" s="145"/>
      <c r="VVG65" s="145"/>
      <c r="VVH65" s="145"/>
      <c r="VVI65" s="145"/>
      <c r="VVJ65" s="145"/>
      <c r="VVK65" s="145"/>
      <c r="VVL65" s="145"/>
      <c r="VVM65" s="145"/>
      <c r="VVN65" s="145"/>
      <c r="VVO65" s="145"/>
      <c r="VVP65" s="145"/>
      <c r="VVQ65" s="145"/>
      <c r="VVR65" s="145"/>
      <c r="VVS65" s="145"/>
      <c r="VVT65" s="145"/>
      <c r="VVU65" s="145"/>
      <c r="VVV65" s="145"/>
      <c r="VVW65" s="145"/>
      <c r="VVX65" s="145"/>
      <c r="VVY65" s="145"/>
      <c r="VVZ65" s="145"/>
      <c r="VWA65" s="145"/>
      <c r="VWB65" s="145"/>
      <c r="VWC65" s="145"/>
      <c r="VWD65" s="145"/>
      <c r="VWE65" s="145"/>
      <c r="VWF65" s="145"/>
      <c r="VWG65" s="145"/>
      <c r="VWH65" s="145"/>
      <c r="VWI65" s="145"/>
      <c r="VWJ65" s="145"/>
      <c r="VWK65" s="145"/>
      <c r="VWL65" s="145"/>
      <c r="VWM65" s="145"/>
      <c r="VWN65" s="145"/>
      <c r="VWO65" s="145"/>
      <c r="VWP65" s="145"/>
      <c r="VWQ65" s="145"/>
      <c r="VWR65" s="145"/>
      <c r="VWS65" s="145"/>
      <c r="VWT65" s="145"/>
      <c r="VWU65" s="145"/>
      <c r="VWV65" s="145"/>
      <c r="VWW65" s="145"/>
      <c r="VWX65" s="145"/>
      <c r="VWY65" s="145"/>
      <c r="VWZ65" s="145"/>
      <c r="VXA65" s="145"/>
      <c r="VXB65" s="145"/>
      <c r="VXC65" s="145"/>
      <c r="VXD65" s="145"/>
      <c r="VXE65" s="145"/>
      <c r="VXF65" s="145"/>
      <c r="VXG65" s="145"/>
      <c r="VXH65" s="145"/>
      <c r="VXI65" s="145"/>
      <c r="VXJ65" s="145"/>
      <c r="VXK65" s="145"/>
      <c r="VXL65" s="145"/>
      <c r="VXM65" s="145"/>
      <c r="VXN65" s="145"/>
      <c r="VXO65" s="145"/>
      <c r="VXP65" s="145"/>
      <c r="VXQ65" s="145"/>
      <c r="VXR65" s="145"/>
      <c r="VXS65" s="145"/>
      <c r="VXT65" s="145"/>
      <c r="VXU65" s="145"/>
      <c r="VXV65" s="145"/>
      <c r="VXW65" s="145"/>
      <c r="VXX65" s="145"/>
      <c r="VXY65" s="145"/>
      <c r="VXZ65" s="145"/>
      <c r="VYA65" s="145"/>
      <c r="VYB65" s="145"/>
      <c r="VYC65" s="145"/>
      <c r="VYD65" s="145"/>
      <c r="VYE65" s="145"/>
      <c r="VYF65" s="145"/>
      <c r="VYG65" s="145"/>
      <c r="VYH65" s="145"/>
      <c r="VYI65" s="145"/>
      <c r="VYJ65" s="145"/>
      <c r="VYK65" s="145"/>
      <c r="VYL65" s="145"/>
      <c r="VYM65" s="145"/>
      <c r="VYN65" s="145"/>
      <c r="VYO65" s="145"/>
      <c r="VYP65" s="145"/>
      <c r="VYQ65" s="145"/>
      <c r="VYR65" s="145"/>
      <c r="VYS65" s="145"/>
      <c r="VYT65" s="145"/>
      <c r="VYU65" s="145"/>
      <c r="VYV65" s="145"/>
      <c r="VYW65" s="145"/>
      <c r="VYX65" s="145"/>
      <c r="VYY65" s="145"/>
      <c r="VYZ65" s="145"/>
      <c r="VZA65" s="145"/>
      <c r="VZB65" s="145"/>
      <c r="VZC65" s="145"/>
      <c r="VZD65" s="145"/>
      <c r="VZE65" s="145"/>
      <c r="VZF65" s="145"/>
      <c r="VZG65" s="145"/>
      <c r="VZH65" s="145"/>
      <c r="VZI65" s="145"/>
      <c r="VZJ65" s="145"/>
      <c r="VZK65" s="145"/>
      <c r="VZL65" s="145"/>
      <c r="VZM65" s="145"/>
      <c r="VZN65" s="145"/>
      <c r="VZO65" s="145"/>
      <c r="VZP65" s="145"/>
      <c r="VZQ65" s="145"/>
      <c r="VZR65" s="145"/>
      <c r="VZS65" s="145"/>
      <c r="VZT65" s="145"/>
      <c r="VZU65" s="145"/>
      <c r="VZV65" s="145"/>
      <c r="VZW65" s="145"/>
      <c r="VZX65" s="145"/>
      <c r="VZY65" s="145"/>
      <c r="VZZ65" s="145"/>
      <c r="WAA65" s="145"/>
      <c r="WAB65" s="145"/>
      <c r="WAC65" s="145"/>
      <c r="WAD65" s="145"/>
      <c r="WAE65" s="145"/>
      <c r="WAF65" s="145"/>
      <c r="WAG65" s="145"/>
      <c r="WAH65" s="145"/>
      <c r="WAI65" s="145"/>
      <c r="WAJ65" s="145"/>
      <c r="WAK65" s="145"/>
      <c r="WAL65" s="145"/>
      <c r="WAM65" s="145"/>
      <c r="WAN65" s="145"/>
      <c r="WAO65" s="145"/>
      <c r="WAP65" s="145"/>
      <c r="WAQ65" s="145"/>
      <c r="WAR65" s="145"/>
      <c r="WAS65" s="145"/>
      <c r="WAT65" s="145"/>
      <c r="WAU65" s="145"/>
      <c r="WAV65" s="145"/>
      <c r="WAW65" s="145"/>
      <c r="WAX65" s="145"/>
      <c r="WAY65" s="145"/>
      <c r="WAZ65" s="145"/>
      <c r="WBA65" s="145"/>
      <c r="WBB65" s="145"/>
      <c r="WBC65" s="145"/>
      <c r="WBD65" s="145"/>
      <c r="WBE65" s="145"/>
      <c r="WBF65" s="145"/>
      <c r="WBG65" s="145"/>
      <c r="WBH65" s="145"/>
      <c r="WBI65" s="145"/>
      <c r="WBJ65" s="145"/>
      <c r="WBK65" s="145"/>
      <c r="WBL65" s="145"/>
      <c r="WBM65" s="145"/>
      <c r="WBN65" s="145"/>
      <c r="WBO65" s="145"/>
      <c r="WBP65" s="145"/>
      <c r="WBQ65" s="145"/>
      <c r="WBR65" s="145"/>
      <c r="WBS65" s="145"/>
      <c r="WBT65" s="145"/>
      <c r="WBU65" s="145"/>
      <c r="WBV65" s="145"/>
      <c r="WBW65" s="145"/>
      <c r="WBX65" s="145"/>
      <c r="WBY65" s="145"/>
      <c r="WBZ65" s="145"/>
      <c r="WCA65" s="145"/>
      <c r="WCB65" s="145"/>
      <c r="WCC65" s="145"/>
      <c r="WCD65" s="145"/>
      <c r="WCE65" s="145"/>
      <c r="WCF65" s="145"/>
      <c r="WCG65" s="145"/>
      <c r="WCH65" s="145"/>
      <c r="WCI65" s="145"/>
      <c r="WCJ65" s="145"/>
      <c r="WCK65" s="145"/>
      <c r="WCL65" s="145"/>
      <c r="WCM65" s="145"/>
      <c r="WCN65" s="145"/>
      <c r="WCO65" s="145"/>
      <c r="WCP65" s="145"/>
      <c r="WCQ65" s="145"/>
      <c r="WCR65" s="145"/>
      <c r="WCS65" s="145"/>
      <c r="WCT65" s="145"/>
      <c r="WCU65" s="145"/>
      <c r="WCV65" s="145"/>
      <c r="WCW65" s="145"/>
      <c r="WCX65" s="145"/>
      <c r="WCY65" s="145"/>
      <c r="WCZ65" s="145"/>
      <c r="WDA65" s="145"/>
      <c r="WDB65" s="145"/>
      <c r="WDC65" s="145"/>
      <c r="WDD65" s="145"/>
      <c r="WDE65" s="145"/>
      <c r="WDF65" s="145"/>
      <c r="WDG65" s="145"/>
      <c r="WDH65" s="145"/>
      <c r="WDI65" s="145"/>
      <c r="WDJ65" s="145"/>
      <c r="WDK65" s="145"/>
      <c r="WDL65" s="145"/>
      <c r="WDM65" s="145"/>
      <c r="WDN65" s="145"/>
      <c r="WDO65" s="145"/>
      <c r="WDP65" s="145"/>
      <c r="WDQ65" s="145"/>
      <c r="WDR65" s="145"/>
      <c r="WDS65" s="145"/>
      <c r="WDT65" s="145"/>
      <c r="WDU65" s="145"/>
      <c r="WDV65" s="145"/>
      <c r="WDW65" s="145"/>
      <c r="WDX65" s="145"/>
      <c r="WDY65" s="145"/>
      <c r="WDZ65" s="145"/>
      <c r="WEA65" s="145"/>
      <c r="WEB65" s="145"/>
      <c r="WEC65" s="145"/>
      <c r="WED65" s="145"/>
      <c r="WEE65" s="145"/>
      <c r="WEF65" s="145"/>
      <c r="WEG65" s="145"/>
      <c r="WEH65" s="145"/>
      <c r="WEI65" s="145"/>
      <c r="WEJ65" s="145"/>
      <c r="WEK65" s="145"/>
      <c r="WEL65" s="145"/>
      <c r="WEM65" s="145"/>
      <c r="WEN65" s="145"/>
      <c r="WEO65" s="145"/>
      <c r="WEP65" s="145"/>
      <c r="WEQ65" s="145"/>
      <c r="WER65" s="145"/>
      <c r="WES65" s="145"/>
      <c r="WET65" s="145"/>
      <c r="WEU65" s="145"/>
      <c r="WEV65" s="145"/>
      <c r="WEW65" s="145"/>
      <c r="WEX65" s="145"/>
      <c r="WEY65" s="145"/>
      <c r="WEZ65" s="145"/>
      <c r="WFA65" s="145"/>
      <c r="WFB65" s="145"/>
      <c r="WFC65" s="145"/>
      <c r="WFD65" s="145"/>
      <c r="WFE65" s="145"/>
      <c r="WFF65" s="145"/>
      <c r="WFG65" s="145"/>
      <c r="WFH65" s="145"/>
      <c r="WFI65" s="145"/>
      <c r="WFJ65" s="145"/>
      <c r="WFK65" s="145"/>
      <c r="WFL65" s="145"/>
      <c r="WFM65" s="145"/>
      <c r="WFN65" s="145"/>
      <c r="WFO65" s="145"/>
      <c r="WFP65" s="145"/>
      <c r="WFQ65" s="145"/>
      <c r="WFR65" s="145"/>
      <c r="WFS65" s="145"/>
      <c r="WFT65" s="145"/>
      <c r="WFU65" s="145"/>
      <c r="WFV65" s="145"/>
      <c r="WFW65" s="145"/>
      <c r="WFX65" s="145"/>
      <c r="WFY65" s="145"/>
      <c r="WFZ65" s="145"/>
      <c r="WGA65" s="145"/>
      <c r="WGB65" s="145"/>
      <c r="WGC65" s="145"/>
      <c r="WGD65" s="145"/>
      <c r="WGE65" s="145"/>
      <c r="WGF65" s="145"/>
      <c r="WGG65" s="145"/>
      <c r="WGH65" s="145"/>
      <c r="WGI65" s="145"/>
      <c r="WGJ65" s="145"/>
      <c r="WGK65" s="145"/>
      <c r="WGL65" s="145"/>
      <c r="WGM65" s="145"/>
      <c r="WGN65" s="145"/>
      <c r="WGO65" s="145"/>
      <c r="WGP65" s="145"/>
      <c r="WGQ65" s="145"/>
      <c r="WGR65" s="145"/>
      <c r="WGS65" s="145"/>
      <c r="WGT65" s="145"/>
      <c r="WGU65" s="145"/>
      <c r="WGV65" s="145"/>
      <c r="WGW65" s="145"/>
      <c r="WGX65" s="145"/>
      <c r="WGY65" s="145"/>
      <c r="WGZ65" s="145"/>
      <c r="WHA65" s="145"/>
      <c r="WHB65" s="145"/>
      <c r="WHC65" s="145"/>
      <c r="WHD65" s="145"/>
      <c r="WHE65" s="145"/>
      <c r="WHF65" s="145"/>
      <c r="WHG65" s="145"/>
      <c r="WHH65" s="145"/>
      <c r="WHI65" s="145"/>
      <c r="WHJ65" s="145"/>
      <c r="WHK65" s="145"/>
      <c r="WHL65" s="145"/>
      <c r="WHM65" s="145"/>
      <c r="WHN65" s="145"/>
      <c r="WHO65" s="145"/>
      <c r="WHP65" s="145"/>
      <c r="WHQ65" s="145"/>
      <c r="WHR65" s="145"/>
      <c r="WHS65" s="145"/>
      <c r="WHT65" s="145"/>
      <c r="WHU65" s="145"/>
      <c r="WHV65" s="145"/>
      <c r="WHW65" s="145"/>
      <c r="WHX65" s="145"/>
      <c r="WHY65" s="145"/>
      <c r="WHZ65" s="145"/>
      <c r="WIA65" s="145"/>
      <c r="WIB65" s="145"/>
      <c r="WIC65" s="145"/>
      <c r="WID65" s="145"/>
      <c r="WIE65" s="145"/>
      <c r="WIF65" s="145"/>
      <c r="WIG65" s="145"/>
      <c r="WIH65" s="145"/>
      <c r="WII65" s="145"/>
      <c r="WIJ65" s="145"/>
      <c r="WIK65" s="145"/>
      <c r="WIL65" s="145"/>
      <c r="WIM65" s="145"/>
      <c r="WIN65" s="145"/>
      <c r="WIO65" s="145"/>
      <c r="WIP65" s="145"/>
      <c r="WIQ65" s="145"/>
      <c r="WIR65" s="145"/>
      <c r="WIS65" s="145"/>
      <c r="WIT65" s="145"/>
      <c r="WIU65" s="145"/>
      <c r="WIV65" s="145"/>
      <c r="WIW65" s="145"/>
      <c r="WIX65" s="145"/>
      <c r="WIY65" s="145"/>
      <c r="WIZ65" s="145"/>
      <c r="WJA65" s="145"/>
      <c r="WJB65" s="145"/>
      <c r="WJC65" s="145"/>
      <c r="WJD65" s="145"/>
      <c r="WJE65" s="145"/>
      <c r="WJF65" s="145"/>
      <c r="WJG65" s="145"/>
      <c r="WJH65" s="145"/>
      <c r="WJI65" s="145"/>
      <c r="WJJ65" s="145"/>
      <c r="WJK65" s="145"/>
      <c r="WJL65" s="145"/>
      <c r="WJM65" s="145"/>
      <c r="WJN65" s="145"/>
      <c r="WJO65" s="145"/>
      <c r="WJP65" s="145"/>
      <c r="WJQ65" s="145"/>
      <c r="WJR65" s="145"/>
      <c r="WJS65" s="145"/>
      <c r="WJT65" s="145"/>
      <c r="WJU65" s="145"/>
      <c r="WJV65" s="145"/>
      <c r="WJW65" s="145"/>
      <c r="WJX65" s="145"/>
      <c r="WJY65" s="145"/>
      <c r="WJZ65" s="145"/>
      <c r="WKA65" s="145"/>
      <c r="WKB65" s="145"/>
      <c r="WKC65" s="145"/>
      <c r="WKD65" s="145"/>
      <c r="WKE65" s="145"/>
      <c r="WKF65" s="145"/>
      <c r="WKG65" s="145"/>
      <c r="WKH65" s="145"/>
      <c r="WKI65" s="145"/>
      <c r="WKJ65" s="145"/>
      <c r="WKK65" s="145"/>
      <c r="WKL65" s="145"/>
      <c r="WKM65" s="145"/>
      <c r="WKN65" s="145"/>
      <c r="WKO65" s="145"/>
      <c r="WKP65" s="145"/>
      <c r="WKQ65" s="145"/>
      <c r="WKR65" s="145"/>
      <c r="WKS65" s="145"/>
      <c r="WKT65" s="145"/>
      <c r="WKU65" s="145"/>
      <c r="WKV65" s="145"/>
      <c r="WKW65" s="145"/>
      <c r="WKX65" s="145"/>
      <c r="WKY65" s="145"/>
      <c r="WKZ65" s="145"/>
      <c r="WLA65" s="145"/>
      <c r="WLB65" s="145"/>
      <c r="WLC65" s="145"/>
      <c r="WLD65" s="145"/>
      <c r="WLE65" s="145"/>
      <c r="WLF65" s="145"/>
      <c r="WLG65" s="145"/>
      <c r="WLH65" s="145"/>
      <c r="WLI65" s="145"/>
      <c r="WLJ65" s="145"/>
      <c r="WLK65" s="145"/>
      <c r="WLL65" s="145"/>
      <c r="WLM65" s="145"/>
      <c r="WLN65" s="145"/>
      <c r="WLO65" s="145"/>
      <c r="WLP65" s="145"/>
      <c r="WLQ65" s="145"/>
      <c r="WLR65" s="145"/>
      <c r="WLS65" s="145"/>
      <c r="WLT65" s="145"/>
      <c r="WLU65" s="145"/>
      <c r="WLV65" s="145"/>
      <c r="WLW65" s="145"/>
      <c r="WLX65" s="145"/>
      <c r="WLY65" s="145"/>
      <c r="WLZ65" s="145"/>
      <c r="WMA65" s="145"/>
      <c r="WMB65" s="145"/>
      <c r="WMC65" s="145"/>
      <c r="WMD65" s="145"/>
      <c r="WME65" s="145"/>
      <c r="WMF65" s="145"/>
      <c r="WMG65" s="145"/>
      <c r="WMH65" s="145"/>
      <c r="WMI65" s="145"/>
      <c r="WMJ65" s="145"/>
      <c r="WMK65" s="145"/>
      <c r="WML65" s="145"/>
      <c r="WMM65" s="145"/>
      <c r="WMN65" s="145"/>
      <c r="WMO65" s="145"/>
      <c r="WMP65" s="145"/>
      <c r="WMQ65" s="145"/>
      <c r="WMR65" s="145"/>
      <c r="WMS65" s="145"/>
      <c r="WMT65" s="145"/>
      <c r="WMU65" s="145"/>
      <c r="WMV65" s="145"/>
      <c r="WMW65" s="145"/>
      <c r="WMX65" s="145"/>
      <c r="WMY65" s="145"/>
      <c r="WMZ65" s="145"/>
      <c r="WNA65" s="145"/>
      <c r="WNB65" s="145"/>
      <c r="WNC65" s="145"/>
      <c r="WND65" s="145"/>
      <c r="WNE65" s="145"/>
      <c r="WNF65" s="145"/>
      <c r="WNG65" s="145"/>
      <c r="WNH65" s="145"/>
      <c r="WNI65" s="145"/>
      <c r="WNJ65" s="145"/>
      <c r="WNK65" s="145"/>
      <c r="WNL65" s="145"/>
      <c r="WNM65" s="145"/>
      <c r="WNN65" s="145"/>
      <c r="WNO65" s="145"/>
      <c r="WNP65" s="145"/>
      <c r="WNQ65" s="145"/>
      <c r="WNR65" s="145"/>
      <c r="WNS65" s="145"/>
      <c r="WNT65" s="145"/>
      <c r="WNU65" s="145"/>
      <c r="WNV65" s="145"/>
      <c r="WNW65" s="145"/>
      <c r="WNX65" s="145"/>
      <c r="WNY65" s="145"/>
      <c r="WNZ65" s="145"/>
      <c r="WOA65" s="145"/>
      <c r="WOB65" s="145"/>
      <c r="WOC65" s="145"/>
      <c r="WOD65" s="145"/>
      <c r="WOE65" s="145"/>
      <c r="WOF65" s="145"/>
      <c r="WOG65" s="145"/>
      <c r="WOH65" s="145"/>
      <c r="WOI65" s="145"/>
      <c r="WOJ65" s="145"/>
      <c r="WOK65" s="145"/>
      <c r="WOL65" s="145"/>
      <c r="WOM65" s="145"/>
      <c r="WON65" s="145"/>
      <c r="WOO65" s="145"/>
      <c r="WOP65" s="145"/>
      <c r="WOQ65" s="145"/>
      <c r="WOR65" s="145"/>
      <c r="WOS65" s="145"/>
      <c r="WOT65" s="145"/>
      <c r="WOU65" s="145"/>
      <c r="WOV65" s="145"/>
      <c r="WOW65" s="145"/>
      <c r="WOX65" s="145"/>
      <c r="WOY65" s="145"/>
      <c r="WOZ65" s="145"/>
      <c r="WPA65" s="145"/>
      <c r="WPB65" s="145"/>
      <c r="WPC65" s="145"/>
      <c r="WPD65" s="145"/>
      <c r="WPE65" s="145"/>
      <c r="WPF65" s="145"/>
      <c r="WPG65" s="145"/>
      <c r="WPH65" s="145"/>
      <c r="WPI65" s="145"/>
      <c r="WPJ65" s="145"/>
      <c r="WPK65" s="145"/>
      <c r="WPL65" s="145"/>
      <c r="WPM65" s="145"/>
      <c r="WPN65" s="145"/>
      <c r="WPO65" s="145"/>
      <c r="WPP65" s="145"/>
      <c r="WPQ65" s="145"/>
      <c r="WPR65" s="145"/>
      <c r="WPS65" s="145"/>
      <c r="WPT65" s="145"/>
      <c r="WPU65" s="145"/>
      <c r="WPV65" s="145"/>
      <c r="WPW65" s="145"/>
      <c r="WPX65" s="145"/>
      <c r="WPY65" s="145"/>
      <c r="WPZ65" s="145"/>
      <c r="WQA65" s="145"/>
      <c r="WQB65" s="145"/>
      <c r="WQC65" s="145"/>
      <c r="WQD65" s="145"/>
      <c r="WQE65" s="145"/>
      <c r="WQF65" s="145"/>
      <c r="WQG65" s="145"/>
      <c r="WQH65" s="145"/>
      <c r="WQI65" s="145"/>
      <c r="WQJ65" s="145"/>
      <c r="WQK65" s="145"/>
      <c r="WQL65" s="145"/>
      <c r="WQM65" s="145"/>
      <c r="WQN65" s="145"/>
      <c r="WQO65" s="145"/>
      <c r="WQP65" s="145"/>
      <c r="WQQ65" s="145"/>
      <c r="WQR65" s="145"/>
      <c r="WQS65" s="145"/>
      <c r="WQT65" s="145"/>
      <c r="WQU65" s="145"/>
      <c r="WQV65" s="145"/>
      <c r="WQW65" s="145"/>
      <c r="WQX65" s="145"/>
      <c r="WQY65" s="145"/>
      <c r="WQZ65" s="145"/>
      <c r="WRA65" s="145"/>
      <c r="WRB65" s="145"/>
      <c r="WRC65" s="145"/>
      <c r="WRD65" s="145"/>
      <c r="WRE65" s="145"/>
      <c r="WRF65" s="145"/>
      <c r="WRG65" s="145"/>
      <c r="WRH65" s="145"/>
      <c r="WRI65" s="145"/>
      <c r="WRJ65" s="145"/>
      <c r="WRK65" s="145"/>
      <c r="WRL65" s="145"/>
      <c r="WRM65" s="145"/>
      <c r="WRN65" s="145"/>
      <c r="WRO65" s="145"/>
      <c r="WRP65" s="145"/>
      <c r="WRQ65" s="145"/>
      <c r="WRR65" s="145"/>
      <c r="WRS65" s="145"/>
      <c r="WRT65" s="145"/>
      <c r="WRU65" s="145"/>
      <c r="WRV65" s="145"/>
      <c r="WRW65" s="145"/>
      <c r="WRX65" s="145"/>
      <c r="WRY65" s="145"/>
      <c r="WRZ65" s="145"/>
      <c r="WSA65" s="145"/>
      <c r="WSB65" s="145"/>
      <c r="WSC65" s="145"/>
      <c r="WSD65" s="145"/>
      <c r="WSE65" s="145"/>
      <c r="WSF65" s="145"/>
      <c r="WSG65" s="145"/>
      <c r="WSH65" s="145"/>
      <c r="WSI65" s="145"/>
      <c r="WSJ65" s="145"/>
      <c r="WSK65" s="145"/>
      <c r="WSL65" s="145"/>
      <c r="WSM65" s="145"/>
      <c r="WSN65" s="145"/>
      <c r="WSO65" s="145"/>
      <c r="WSP65" s="145"/>
      <c r="WSQ65" s="145"/>
      <c r="WSR65" s="145"/>
      <c r="WSS65" s="145"/>
      <c r="WST65" s="145"/>
      <c r="WSU65" s="145"/>
      <c r="WSV65" s="145"/>
      <c r="WSW65" s="145"/>
      <c r="WSX65" s="145"/>
      <c r="WSY65" s="145"/>
      <c r="WSZ65" s="145"/>
      <c r="WTA65" s="145"/>
      <c r="WTB65" s="145"/>
      <c r="WTC65" s="145"/>
      <c r="WTD65" s="145"/>
      <c r="WTE65" s="145"/>
      <c r="WTF65" s="145"/>
      <c r="WTG65" s="145"/>
      <c r="WTH65" s="145"/>
      <c r="WTI65" s="145"/>
      <c r="WTJ65" s="145"/>
      <c r="WTK65" s="145"/>
      <c r="WTL65" s="145"/>
      <c r="WTM65" s="145"/>
      <c r="WTN65" s="145"/>
      <c r="WTO65" s="145"/>
      <c r="WTP65" s="145"/>
      <c r="WTQ65" s="145"/>
      <c r="WTR65" s="145"/>
      <c r="WTS65" s="145"/>
      <c r="WTT65" s="145"/>
      <c r="WTU65" s="145"/>
      <c r="WTV65" s="145"/>
      <c r="WTW65" s="145"/>
      <c r="WTX65" s="145"/>
      <c r="WTY65" s="145"/>
      <c r="WTZ65" s="145"/>
      <c r="WUA65" s="145"/>
      <c r="WUB65" s="145"/>
      <c r="WUC65" s="145"/>
      <c r="WUD65" s="145"/>
      <c r="WUE65" s="145"/>
      <c r="WUF65" s="145"/>
      <c r="WUG65" s="145"/>
      <c r="WUH65" s="145"/>
      <c r="WUI65" s="145"/>
      <c r="WUJ65" s="145"/>
      <c r="WUK65" s="145"/>
      <c r="WUL65" s="145"/>
      <c r="WUM65" s="145"/>
      <c r="WUN65" s="145"/>
      <c r="WUO65" s="145"/>
      <c r="WUP65" s="145"/>
      <c r="WUQ65" s="145"/>
      <c r="WUR65" s="145"/>
      <c r="WUS65" s="145"/>
      <c r="WUT65" s="145"/>
      <c r="WUU65" s="145"/>
      <c r="WUV65" s="145"/>
      <c r="WUW65" s="145"/>
      <c r="WUX65" s="145"/>
      <c r="WUY65" s="145"/>
      <c r="WUZ65" s="145"/>
      <c r="WVA65" s="145"/>
      <c r="WVB65" s="145"/>
      <c r="WVC65" s="145"/>
      <c r="WVD65" s="145"/>
      <c r="WVE65" s="145"/>
      <c r="WVF65" s="145"/>
      <c r="WVG65" s="145"/>
      <c r="WVH65" s="145"/>
      <c r="WVI65" s="145"/>
      <c r="WVJ65" s="145"/>
      <c r="WVK65" s="145"/>
      <c r="WVL65" s="145"/>
      <c r="WVM65" s="145"/>
      <c r="WVN65" s="145"/>
      <c r="WVO65" s="145"/>
      <c r="WVP65" s="145"/>
      <c r="WVQ65" s="145"/>
      <c r="WVR65" s="145"/>
      <c r="WVS65" s="145"/>
      <c r="WVT65" s="145"/>
      <c r="WVU65" s="145"/>
      <c r="WVV65" s="145"/>
      <c r="WVW65" s="145"/>
      <c r="WVX65" s="145"/>
      <c r="WVY65" s="145"/>
      <c r="WVZ65" s="145"/>
      <c r="WWA65" s="145"/>
      <c r="WWB65" s="145"/>
      <c r="WWC65" s="145"/>
      <c r="WWD65" s="145"/>
      <c r="WWE65" s="145"/>
      <c r="WWF65" s="145"/>
      <c r="WWG65" s="145"/>
      <c r="WWH65" s="145"/>
      <c r="WWI65" s="145"/>
      <c r="WWJ65" s="145"/>
      <c r="WWK65" s="145"/>
      <c r="WWL65" s="145"/>
      <c r="WWM65" s="145"/>
      <c r="WWN65" s="145"/>
      <c r="WWO65" s="145"/>
      <c r="WWP65" s="145"/>
      <c r="WWQ65" s="145"/>
      <c r="WWR65" s="145"/>
      <c r="WWS65" s="145"/>
      <c r="WWT65" s="145"/>
      <c r="WWU65" s="145"/>
      <c r="WWV65" s="145"/>
      <c r="WWW65" s="145"/>
      <c r="WWX65" s="145"/>
      <c r="WWY65" s="145"/>
      <c r="WWZ65" s="145"/>
      <c r="WXA65" s="145"/>
      <c r="WXB65" s="145"/>
      <c r="WXC65" s="145"/>
      <c r="WXD65" s="145"/>
      <c r="WXE65" s="145"/>
      <c r="WXF65" s="145"/>
      <c r="WXG65" s="145"/>
      <c r="WXH65" s="145"/>
      <c r="WXI65" s="145"/>
      <c r="WXJ65" s="145"/>
      <c r="WXK65" s="145"/>
      <c r="WXL65" s="145"/>
      <c r="WXM65" s="145"/>
      <c r="WXN65" s="145"/>
      <c r="WXO65" s="145"/>
      <c r="WXP65" s="145"/>
      <c r="WXQ65" s="145"/>
      <c r="WXR65" s="145"/>
      <c r="WXS65" s="145"/>
      <c r="WXT65" s="145"/>
      <c r="WXU65" s="145"/>
      <c r="WXV65" s="145"/>
      <c r="WXW65" s="145"/>
      <c r="WXX65" s="145"/>
      <c r="WXY65" s="145"/>
      <c r="WXZ65" s="145"/>
      <c r="WYA65" s="145"/>
      <c r="WYB65" s="145"/>
      <c r="WYC65" s="145"/>
      <c r="WYD65" s="145"/>
      <c r="WYE65" s="145"/>
      <c r="WYF65" s="145"/>
      <c r="WYG65" s="145"/>
      <c r="WYH65" s="145"/>
      <c r="WYI65" s="145"/>
      <c r="WYJ65" s="145"/>
      <c r="WYK65" s="145"/>
      <c r="WYL65" s="145"/>
      <c r="WYM65" s="145"/>
      <c r="WYN65" s="145"/>
      <c r="WYO65" s="145"/>
      <c r="WYP65" s="145"/>
      <c r="WYQ65" s="145"/>
      <c r="WYR65" s="145"/>
      <c r="WYS65" s="145"/>
      <c r="WYT65" s="145"/>
      <c r="WYU65" s="145"/>
      <c r="WYV65" s="145"/>
      <c r="WYW65" s="145"/>
      <c r="WYX65" s="145"/>
      <c r="WYY65" s="145"/>
      <c r="WYZ65" s="145"/>
      <c r="WZA65" s="145"/>
      <c r="WZB65" s="145"/>
      <c r="WZC65" s="145"/>
      <c r="WZD65" s="145"/>
      <c r="WZE65" s="145"/>
      <c r="WZF65" s="145"/>
      <c r="WZG65" s="145"/>
      <c r="WZH65" s="145"/>
      <c r="WZI65" s="145"/>
      <c r="WZJ65" s="145"/>
      <c r="WZK65" s="145"/>
      <c r="WZL65" s="145"/>
      <c r="WZM65" s="145"/>
      <c r="WZN65" s="145"/>
      <c r="WZO65" s="145"/>
      <c r="WZP65" s="145"/>
      <c r="WZQ65" s="145"/>
      <c r="WZR65" s="145"/>
      <c r="WZS65" s="145"/>
      <c r="WZT65" s="145"/>
      <c r="WZU65" s="145"/>
      <c r="WZV65" s="145"/>
      <c r="WZW65" s="145"/>
      <c r="WZX65" s="145"/>
      <c r="WZY65" s="145"/>
      <c r="WZZ65" s="145"/>
      <c r="XAA65" s="145"/>
      <c r="XAB65" s="145"/>
      <c r="XAC65" s="145"/>
      <c r="XAD65" s="145"/>
      <c r="XAE65" s="145"/>
      <c r="XAF65" s="145"/>
      <c r="XAG65" s="145"/>
      <c r="XAH65" s="145"/>
      <c r="XAI65" s="145"/>
      <c r="XAJ65" s="145"/>
      <c r="XAK65" s="145"/>
      <c r="XAL65" s="145"/>
      <c r="XAM65" s="145"/>
      <c r="XAN65" s="145"/>
      <c r="XAO65" s="145"/>
      <c r="XAP65" s="145"/>
      <c r="XAQ65" s="145"/>
      <c r="XAR65" s="145"/>
      <c r="XAS65" s="145"/>
      <c r="XAT65" s="145"/>
      <c r="XAU65" s="145"/>
      <c r="XAV65" s="145"/>
      <c r="XAW65" s="145"/>
      <c r="XAX65" s="145"/>
      <c r="XAY65" s="145"/>
      <c r="XAZ65" s="145"/>
      <c r="XBA65" s="145"/>
      <c r="XBB65" s="145"/>
      <c r="XBC65" s="145"/>
      <c r="XBD65" s="145"/>
      <c r="XBE65" s="145"/>
      <c r="XBF65" s="145"/>
      <c r="XBG65" s="145"/>
      <c r="XBH65" s="145"/>
      <c r="XBI65" s="145"/>
      <c r="XBJ65" s="145"/>
      <c r="XBK65" s="145"/>
      <c r="XBL65" s="145"/>
      <c r="XBM65" s="145"/>
      <c r="XBN65" s="145"/>
      <c r="XBO65" s="145"/>
      <c r="XBP65" s="145"/>
      <c r="XBQ65" s="145"/>
      <c r="XBR65" s="145"/>
      <c r="XBS65" s="145"/>
      <c r="XBT65" s="145"/>
      <c r="XBU65" s="145"/>
      <c r="XBV65" s="145"/>
      <c r="XBW65" s="145"/>
      <c r="XBX65" s="145"/>
      <c r="XBY65" s="145"/>
      <c r="XBZ65" s="145"/>
      <c r="XCA65" s="145"/>
      <c r="XCB65" s="145"/>
      <c r="XCC65" s="145"/>
      <c r="XCD65" s="145"/>
      <c r="XCE65" s="145"/>
      <c r="XCF65" s="145"/>
      <c r="XCG65" s="145"/>
      <c r="XCH65" s="145"/>
      <c r="XCI65" s="145"/>
      <c r="XCJ65" s="145"/>
      <c r="XCK65" s="145"/>
      <c r="XCL65" s="145"/>
      <c r="XCM65" s="145"/>
      <c r="XCN65" s="145"/>
      <c r="XCO65" s="145"/>
      <c r="XCP65" s="145"/>
      <c r="XCQ65" s="145"/>
      <c r="XCR65" s="145"/>
      <c r="XCS65" s="145"/>
      <c r="XCT65" s="145"/>
      <c r="XCU65" s="145"/>
      <c r="XCV65" s="145"/>
      <c r="XCW65" s="145"/>
      <c r="XCX65" s="145"/>
      <c r="XCY65" s="145"/>
      <c r="XCZ65" s="145"/>
      <c r="XDA65" s="145"/>
      <c r="XDB65" s="145"/>
      <c r="XDC65" s="145"/>
      <c r="XDD65" s="145"/>
      <c r="XDE65" s="145"/>
      <c r="XDF65" s="145"/>
      <c r="XDG65" s="145"/>
      <c r="XDH65" s="145"/>
      <c r="XDI65" s="145"/>
      <c r="XDJ65" s="145"/>
      <c r="XDK65" s="145"/>
      <c r="XDL65" s="145"/>
      <c r="XDM65" s="145"/>
      <c r="XDN65" s="145"/>
      <c r="XDO65" s="145"/>
      <c r="XDP65" s="145"/>
      <c r="XDQ65" s="145"/>
      <c r="XDR65" s="145"/>
      <c r="XDS65" s="145"/>
      <c r="XDT65" s="145"/>
      <c r="XDU65" s="145"/>
      <c r="XDV65" s="145"/>
      <c r="XDW65" s="145"/>
      <c r="XDX65" s="145"/>
      <c r="XDY65" s="145"/>
      <c r="XDZ65" s="145"/>
      <c r="XEA65" s="145"/>
      <c r="XEB65" s="145"/>
      <c r="XEC65" s="145"/>
      <c r="XED65" s="145"/>
      <c r="XEE65" s="145"/>
      <c r="XEF65" s="145"/>
      <c r="XEG65" s="145"/>
      <c r="XEH65" s="145"/>
      <c r="XEI65" s="145"/>
      <c r="XEJ65" s="145"/>
      <c r="XEK65" s="145"/>
      <c r="XEL65" s="145"/>
      <c r="XEM65" s="145"/>
      <c r="XEN65" s="145"/>
      <c r="XEO65" s="145"/>
      <c r="XEP65" s="145"/>
      <c r="XEQ65" s="145"/>
      <c r="XER65" s="145"/>
      <c r="XES65" s="145"/>
      <c r="XET65" s="145"/>
      <c r="XEU65" s="145"/>
      <c r="XEV65" s="145"/>
      <c r="XEW65" s="145"/>
      <c r="XEX65" s="145"/>
      <c r="XEY65" s="145"/>
      <c r="XEZ65" s="145"/>
      <c r="XFA65" s="145"/>
      <c r="XFB65" s="145"/>
      <c r="XFC65" s="145"/>
      <c r="XFD65" s="145"/>
    </row>
    <row r="66" spans="1:16384" s="5" customFormat="1" ht="15.75" x14ac:dyDescent="0.25">
      <c r="A66" s="146">
        <f>DATEVALUE(TB!A3&amp;"/"&amp;TB!A4)</f>
        <v>46023</v>
      </c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6"/>
      <c r="AW66" s="146"/>
      <c r="AX66" s="146"/>
      <c r="AY66" s="146"/>
      <c r="AZ66" s="146"/>
      <c r="BA66" s="146"/>
      <c r="BB66" s="146"/>
      <c r="BC66" s="146"/>
      <c r="BD66" s="146"/>
      <c r="BE66" s="146"/>
      <c r="BF66" s="146"/>
      <c r="BG66" s="146"/>
      <c r="BH66" s="146"/>
      <c r="BI66" s="146"/>
      <c r="BJ66" s="146"/>
      <c r="BK66" s="146"/>
      <c r="BL66" s="146"/>
      <c r="BM66" s="146"/>
      <c r="BN66" s="146"/>
      <c r="BO66" s="146"/>
      <c r="BP66" s="146"/>
      <c r="BQ66" s="146"/>
      <c r="BR66" s="146"/>
      <c r="BS66" s="146"/>
      <c r="BT66" s="146"/>
      <c r="BU66" s="146"/>
      <c r="BV66" s="146"/>
      <c r="BW66" s="146"/>
      <c r="BX66" s="146"/>
      <c r="BY66" s="146"/>
      <c r="BZ66" s="146"/>
      <c r="CA66" s="146"/>
      <c r="CB66" s="146"/>
      <c r="CC66" s="146"/>
      <c r="CD66" s="146"/>
      <c r="CE66" s="146"/>
      <c r="CF66" s="146"/>
      <c r="CG66" s="146"/>
      <c r="CH66" s="146"/>
      <c r="CI66" s="146"/>
      <c r="CJ66" s="146"/>
      <c r="CK66" s="146"/>
      <c r="CL66" s="146"/>
      <c r="CM66" s="146"/>
      <c r="CN66" s="146"/>
      <c r="CO66" s="146"/>
      <c r="CP66" s="146"/>
      <c r="CQ66" s="146"/>
      <c r="CR66" s="146"/>
      <c r="CS66" s="146"/>
      <c r="CT66" s="146"/>
      <c r="CU66" s="146"/>
      <c r="CV66" s="146"/>
      <c r="CW66" s="146"/>
      <c r="CX66" s="146"/>
      <c r="CY66" s="146"/>
      <c r="CZ66" s="146"/>
      <c r="DA66" s="146"/>
      <c r="DB66" s="146"/>
      <c r="DC66" s="146"/>
      <c r="DD66" s="146"/>
      <c r="DE66" s="146"/>
      <c r="DF66" s="146"/>
      <c r="DG66" s="146"/>
      <c r="DH66" s="146"/>
      <c r="DI66" s="146"/>
      <c r="DJ66" s="146"/>
      <c r="DK66" s="146"/>
      <c r="DL66" s="146"/>
      <c r="DM66" s="146"/>
      <c r="DN66" s="146"/>
      <c r="DO66" s="146"/>
      <c r="DP66" s="146"/>
      <c r="DQ66" s="146"/>
      <c r="DR66" s="146"/>
      <c r="DS66" s="146"/>
      <c r="DT66" s="146"/>
      <c r="DU66" s="146"/>
      <c r="DV66" s="146"/>
      <c r="DW66" s="146"/>
      <c r="DX66" s="146"/>
      <c r="DY66" s="146"/>
      <c r="DZ66" s="146"/>
      <c r="EA66" s="146"/>
      <c r="EB66" s="146"/>
      <c r="EC66" s="146"/>
      <c r="ED66" s="146"/>
      <c r="EE66" s="146"/>
      <c r="EF66" s="146"/>
      <c r="EG66" s="146"/>
      <c r="EH66" s="146"/>
      <c r="EI66" s="146"/>
      <c r="EJ66" s="146"/>
      <c r="EK66" s="146"/>
      <c r="EL66" s="146"/>
      <c r="EM66" s="146"/>
      <c r="EN66" s="146"/>
      <c r="EO66" s="146"/>
      <c r="EP66" s="146"/>
      <c r="EQ66" s="146"/>
      <c r="ER66" s="146"/>
      <c r="ES66" s="146"/>
      <c r="ET66" s="146"/>
      <c r="EU66" s="146"/>
      <c r="EV66" s="146"/>
      <c r="EW66" s="146"/>
      <c r="EX66" s="146"/>
      <c r="EY66" s="146"/>
      <c r="EZ66" s="146"/>
      <c r="FA66" s="146"/>
      <c r="FB66" s="146"/>
      <c r="FC66" s="146"/>
      <c r="FD66" s="146"/>
      <c r="FE66" s="146"/>
      <c r="FF66" s="146"/>
      <c r="FG66" s="146"/>
      <c r="FH66" s="146"/>
      <c r="FI66" s="146"/>
      <c r="FJ66" s="146"/>
      <c r="FK66" s="146"/>
      <c r="FL66" s="146"/>
      <c r="FM66" s="146"/>
      <c r="FN66" s="146"/>
      <c r="FO66" s="146"/>
      <c r="FP66" s="146"/>
      <c r="FQ66" s="146"/>
      <c r="FR66" s="146"/>
      <c r="FS66" s="146"/>
      <c r="FT66" s="146"/>
      <c r="FU66" s="146"/>
      <c r="FV66" s="146"/>
      <c r="FW66" s="146"/>
      <c r="FX66" s="146"/>
      <c r="FY66" s="146"/>
      <c r="FZ66" s="146"/>
      <c r="GA66" s="146"/>
      <c r="GB66" s="146"/>
      <c r="GC66" s="146"/>
      <c r="GD66" s="146"/>
      <c r="GE66" s="146"/>
      <c r="GF66" s="146"/>
      <c r="GG66" s="146"/>
      <c r="GH66" s="146"/>
      <c r="GI66" s="146"/>
      <c r="GJ66" s="146"/>
      <c r="GK66" s="146"/>
      <c r="GL66" s="146"/>
      <c r="GM66" s="146"/>
      <c r="GN66" s="146"/>
      <c r="GO66" s="146"/>
      <c r="GP66" s="146"/>
      <c r="GQ66" s="146"/>
      <c r="GR66" s="146"/>
      <c r="GS66" s="146"/>
      <c r="GT66" s="146"/>
      <c r="GU66" s="146"/>
      <c r="GV66" s="146"/>
      <c r="GW66" s="146"/>
      <c r="GX66" s="146"/>
      <c r="GY66" s="146"/>
      <c r="GZ66" s="146"/>
      <c r="HA66" s="146"/>
      <c r="HB66" s="146"/>
      <c r="HC66" s="146"/>
      <c r="HD66" s="146"/>
      <c r="HE66" s="146"/>
      <c r="HF66" s="146"/>
      <c r="HG66" s="146"/>
      <c r="HH66" s="146"/>
      <c r="HI66" s="146"/>
      <c r="HJ66" s="146"/>
      <c r="HK66" s="146"/>
      <c r="HL66" s="146"/>
      <c r="HM66" s="146"/>
      <c r="HN66" s="146"/>
      <c r="HO66" s="146"/>
      <c r="HP66" s="146"/>
      <c r="HQ66" s="146"/>
      <c r="HR66" s="146"/>
      <c r="HS66" s="146"/>
      <c r="HT66" s="146"/>
      <c r="HU66" s="146"/>
      <c r="HV66" s="146"/>
      <c r="HW66" s="146"/>
      <c r="HX66" s="146"/>
      <c r="HY66" s="146"/>
      <c r="HZ66" s="146"/>
      <c r="IA66" s="146"/>
      <c r="IB66" s="146"/>
      <c r="IC66" s="146"/>
      <c r="ID66" s="146"/>
      <c r="IE66" s="146"/>
      <c r="IF66" s="146"/>
      <c r="IG66" s="146"/>
      <c r="IH66" s="146"/>
      <c r="II66" s="146"/>
      <c r="IJ66" s="146"/>
      <c r="IK66" s="146"/>
      <c r="IL66" s="146"/>
      <c r="IM66" s="146"/>
      <c r="IN66" s="146"/>
      <c r="IO66" s="146"/>
      <c r="IP66" s="146"/>
      <c r="IQ66" s="146"/>
      <c r="IR66" s="146"/>
      <c r="IS66" s="146"/>
      <c r="IT66" s="146"/>
      <c r="IU66" s="146"/>
      <c r="IV66" s="146"/>
      <c r="IW66" s="146"/>
      <c r="IX66" s="146"/>
      <c r="IY66" s="146"/>
      <c r="IZ66" s="146"/>
      <c r="JA66" s="146"/>
      <c r="JB66" s="146"/>
      <c r="JC66" s="146"/>
      <c r="JD66" s="146"/>
      <c r="JE66" s="146"/>
      <c r="JF66" s="146"/>
      <c r="JG66" s="146"/>
      <c r="JH66" s="146"/>
      <c r="JI66" s="146"/>
      <c r="JJ66" s="146"/>
      <c r="JK66" s="146"/>
      <c r="JL66" s="146"/>
      <c r="JM66" s="146"/>
      <c r="JN66" s="146"/>
      <c r="JO66" s="146"/>
      <c r="JP66" s="146"/>
      <c r="JQ66" s="146"/>
      <c r="JR66" s="146"/>
      <c r="JS66" s="146"/>
      <c r="JT66" s="146"/>
      <c r="JU66" s="146"/>
      <c r="JV66" s="146"/>
      <c r="JW66" s="146"/>
      <c r="JX66" s="146"/>
      <c r="JY66" s="146"/>
      <c r="JZ66" s="146"/>
      <c r="KA66" s="146"/>
      <c r="KB66" s="146"/>
      <c r="KC66" s="146"/>
      <c r="KD66" s="146"/>
      <c r="KE66" s="146"/>
      <c r="KF66" s="146"/>
      <c r="KG66" s="146"/>
      <c r="KH66" s="146"/>
      <c r="KI66" s="146"/>
      <c r="KJ66" s="146"/>
      <c r="KK66" s="146"/>
      <c r="KL66" s="146"/>
      <c r="KM66" s="146"/>
      <c r="KN66" s="146"/>
      <c r="KO66" s="146"/>
      <c r="KP66" s="146"/>
      <c r="KQ66" s="146"/>
      <c r="KR66" s="146"/>
      <c r="KS66" s="146"/>
      <c r="KT66" s="146"/>
      <c r="KU66" s="146"/>
      <c r="KV66" s="146"/>
      <c r="KW66" s="146"/>
      <c r="KX66" s="146"/>
      <c r="KY66" s="146"/>
      <c r="KZ66" s="146"/>
      <c r="LA66" s="146"/>
      <c r="LB66" s="146"/>
      <c r="LC66" s="146"/>
      <c r="LD66" s="146"/>
      <c r="LE66" s="146"/>
      <c r="LF66" s="146"/>
      <c r="LG66" s="146"/>
      <c r="LH66" s="146"/>
      <c r="LI66" s="146"/>
      <c r="LJ66" s="146"/>
      <c r="LK66" s="146"/>
      <c r="LL66" s="146"/>
      <c r="LM66" s="146"/>
      <c r="LN66" s="146"/>
      <c r="LO66" s="146"/>
      <c r="LP66" s="146"/>
      <c r="LQ66" s="146"/>
      <c r="LR66" s="146"/>
      <c r="LS66" s="146"/>
      <c r="LT66" s="146"/>
      <c r="LU66" s="146"/>
      <c r="LV66" s="146"/>
      <c r="LW66" s="146"/>
      <c r="LX66" s="146"/>
      <c r="LY66" s="146"/>
      <c r="LZ66" s="146"/>
      <c r="MA66" s="146"/>
      <c r="MB66" s="146"/>
      <c r="MC66" s="146"/>
      <c r="MD66" s="146"/>
      <c r="ME66" s="146"/>
      <c r="MF66" s="146"/>
      <c r="MG66" s="146"/>
      <c r="MH66" s="146"/>
      <c r="MI66" s="146"/>
      <c r="MJ66" s="146"/>
      <c r="MK66" s="146"/>
      <c r="ML66" s="146"/>
      <c r="MM66" s="146"/>
      <c r="MN66" s="146"/>
      <c r="MO66" s="146"/>
      <c r="MP66" s="146"/>
      <c r="MQ66" s="146"/>
      <c r="MR66" s="146"/>
      <c r="MS66" s="146"/>
      <c r="MT66" s="146"/>
      <c r="MU66" s="146"/>
      <c r="MV66" s="146"/>
      <c r="MW66" s="146"/>
      <c r="MX66" s="146"/>
      <c r="MY66" s="146"/>
      <c r="MZ66" s="146"/>
      <c r="NA66" s="146"/>
      <c r="NB66" s="146"/>
      <c r="NC66" s="146"/>
      <c r="ND66" s="146"/>
      <c r="NE66" s="146"/>
      <c r="NF66" s="146"/>
      <c r="NG66" s="146"/>
      <c r="NH66" s="146"/>
      <c r="NI66" s="146"/>
      <c r="NJ66" s="146"/>
      <c r="NK66" s="146"/>
      <c r="NL66" s="146"/>
      <c r="NM66" s="146"/>
      <c r="NN66" s="146"/>
      <c r="NO66" s="146"/>
      <c r="NP66" s="146"/>
      <c r="NQ66" s="146"/>
      <c r="NR66" s="146"/>
      <c r="NS66" s="146"/>
      <c r="NT66" s="146"/>
      <c r="NU66" s="146"/>
      <c r="NV66" s="146"/>
      <c r="NW66" s="146"/>
      <c r="NX66" s="146"/>
      <c r="NY66" s="146"/>
      <c r="NZ66" s="146"/>
      <c r="OA66" s="146"/>
      <c r="OB66" s="146"/>
      <c r="OC66" s="146"/>
      <c r="OD66" s="146"/>
      <c r="OE66" s="146"/>
      <c r="OF66" s="146"/>
      <c r="OG66" s="146"/>
      <c r="OH66" s="146"/>
      <c r="OI66" s="146"/>
      <c r="OJ66" s="146"/>
      <c r="OK66" s="146"/>
      <c r="OL66" s="146"/>
      <c r="OM66" s="146"/>
      <c r="ON66" s="146"/>
      <c r="OO66" s="146"/>
      <c r="OP66" s="146"/>
      <c r="OQ66" s="146"/>
      <c r="OR66" s="146"/>
      <c r="OS66" s="146"/>
      <c r="OT66" s="146"/>
      <c r="OU66" s="146"/>
      <c r="OV66" s="146"/>
      <c r="OW66" s="146"/>
      <c r="OX66" s="146"/>
      <c r="OY66" s="146"/>
      <c r="OZ66" s="146"/>
      <c r="PA66" s="146"/>
      <c r="PB66" s="146"/>
      <c r="PC66" s="146"/>
      <c r="PD66" s="146"/>
      <c r="PE66" s="146"/>
      <c r="PF66" s="146"/>
      <c r="PG66" s="146"/>
      <c r="PH66" s="146"/>
      <c r="PI66" s="146"/>
      <c r="PJ66" s="146"/>
      <c r="PK66" s="146"/>
      <c r="PL66" s="146"/>
      <c r="PM66" s="146"/>
      <c r="PN66" s="146"/>
      <c r="PO66" s="146"/>
      <c r="PP66" s="146"/>
      <c r="PQ66" s="146"/>
      <c r="PR66" s="146"/>
      <c r="PS66" s="146"/>
      <c r="PT66" s="146"/>
      <c r="PU66" s="146"/>
      <c r="PV66" s="146"/>
      <c r="PW66" s="146"/>
      <c r="PX66" s="146"/>
      <c r="PY66" s="146"/>
      <c r="PZ66" s="146"/>
      <c r="QA66" s="146"/>
      <c r="QB66" s="146"/>
      <c r="QC66" s="146"/>
      <c r="QD66" s="146"/>
      <c r="QE66" s="146"/>
      <c r="QF66" s="146"/>
      <c r="QG66" s="146"/>
      <c r="QH66" s="146"/>
      <c r="QI66" s="146"/>
      <c r="QJ66" s="146"/>
      <c r="QK66" s="146"/>
      <c r="QL66" s="146"/>
      <c r="QM66" s="146"/>
      <c r="QN66" s="146"/>
      <c r="QO66" s="146"/>
      <c r="QP66" s="146"/>
      <c r="QQ66" s="146"/>
      <c r="QR66" s="146"/>
      <c r="QS66" s="146"/>
      <c r="QT66" s="146"/>
      <c r="QU66" s="146"/>
      <c r="QV66" s="146"/>
      <c r="QW66" s="146"/>
      <c r="QX66" s="146"/>
      <c r="QY66" s="146"/>
      <c r="QZ66" s="146"/>
      <c r="RA66" s="146"/>
      <c r="RB66" s="146"/>
      <c r="RC66" s="146"/>
      <c r="RD66" s="146"/>
      <c r="RE66" s="146"/>
      <c r="RF66" s="146"/>
      <c r="RG66" s="146"/>
      <c r="RH66" s="146"/>
      <c r="RI66" s="146"/>
      <c r="RJ66" s="146"/>
      <c r="RK66" s="146"/>
      <c r="RL66" s="146"/>
      <c r="RM66" s="146"/>
      <c r="RN66" s="146"/>
      <c r="RO66" s="146"/>
      <c r="RP66" s="146"/>
      <c r="RQ66" s="146"/>
      <c r="RR66" s="146"/>
      <c r="RS66" s="146"/>
      <c r="RT66" s="146"/>
      <c r="RU66" s="146"/>
      <c r="RV66" s="146"/>
      <c r="RW66" s="146"/>
      <c r="RX66" s="146"/>
      <c r="RY66" s="146"/>
      <c r="RZ66" s="146"/>
      <c r="SA66" s="146"/>
      <c r="SB66" s="146"/>
      <c r="SC66" s="146"/>
      <c r="SD66" s="146"/>
      <c r="SE66" s="146"/>
      <c r="SF66" s="146"/>
      <c r="SG66" s="146"/>
      <c r="SH66" s="146"/>
      <c r="SI66" s="146"/>
      <c r="SJ66" s="146"/>
      <c r="SK66" s="146"/>
      <c r="SL66" s="146"/>
      <c r="SM66" s="146"/>
      <c r="SN66" s="146"/>
      <c r="SO66" s="146"/>
      <c r="SP66" s="146"/>
      <c r="SQ66" s="146"/>
      <c r="SR66" s="146"/>
      <c r="SS66" s="146"/>
      <c r="ST66" s="146"/>
      <c r="SU66" s="146"/>
      <c r="SV66" s="146"/>
      <c r="SW66" s="146"/>
      <c r="SX66" s="146"/>
      <c r="SY66" s="146"/>
      <c r="SZ66" s="146"/>
      <c r="TA66" s="146"/>
      <c r="TB66" s="146"/>
      <c r="TC66" s="146"/>
      <c r="TD66" s="146"/>
      <c r="TE66" s="146"/>
      <c r="TF66" s="146"/>
      <c r="TG66" s="146"/>
      <c r="TH66" s="146"/>
      <c r="TI66" s="146"/>
      <c r="TJ66" s="146"/>
      <c r="TK66" s="146"/>
      <c r="TL66" s="146"/>
      <c r="TM66" s="146"/>
      <c r="TN66" s="146"/>
      <c r="TO66" s="146"/>
      <c r="TP66" s="146"/>
      <c r="TQ66" s="146"/>
      <c r="TR66" s="146"/>
      <c r="TS66" s="146"/>
      <c r="TT66" s="146"/>
      <c r="TU66" s="146"/>
      <c r="TV66" s="146"/>
      <c r="TW66" s="146"/>
      <c r="TX66" s="146"/>
      <c r="TY66" s="146"/>
      <c r="TZ66" s="146"/>
      <c r="UA66" s="146"/>
      <c r="UB66" s="146"/>
      <c r="UC66" s="146"/>
      <c r="UD66" s="146"/>
      <c r="UE66" s="146"/>
      <c r="UF66" s="146"/>
      <c r="UG66" s="146"/>
      <c r="UH66" s="146"/>
      <c r="UI66" s="146"/>
      <c r="UJ66" s="146"/>
      <c r="UK66" s="146"/>
      <c r="UL66" s="146"/>
      <c r="UM66" s="146"/>
      <c r="UN66" s="146"/>
      <c r="UO66" s="146"/>
      <c r="UP66" s="146"/>
      <c r="UQ66" s="146"/>
      <c r="UR66" s="146"/>
      <c r="US66" s="146"/>
      <c r="UT66" s="146"/>
      <c r="UU66" s="146"/>
      <c r="UV66" s="146"/>
      <c r="UW66" s="146"/>
      <c r="UX66" s="146"/>
      <c r="UY66" s="146"/>
      <c r="UZ66" s="146"/>
      <c r="VA66" s="146"/>
      <c r="VB66" s="146"/>
      <c r="VC66" s="146"/>
      <c r="VD66" s="146"/>
      <c r="VE66" s="146"/>
      <c r="VF66" s="146"/>
      <c r="VG66" s="146"/>
      <c r="VH66" s="146"/>
      <c r="VI66" s="146"/>
      <c r="VJ66" s="146"/>
      <c r="VK66" s="146"/>
      <c r="VL66" s="146"/>
      <c r="VM66" s="146"/>
      <c r="VN66" s="146"/>
      <c r="VO66" s="146"/>
      <c r="VP66" s="146"/>
      <c r="VQ66" s="146"/>
      <c r="VR66" s="146"/>
      <c r="VS66" s="146"/>
      <c r="VT66" s="146"/>
      <c r="VU66" s="146"/>
      <c r="VV66" s="146"/>
      <c r="VW66" s="146"/>
      <c r="VX66" s="146"/>
      <c r="VY66" s="146"/>
      <c r="VZ66" s="146"/>
      <c r="WA66" s="146"/>
      <c r="WB66" s="146"/>
      <c r="WC66" s="146"/>
      <c r="WD66" s="146"/>
      <c r="WE66" s="146"/>
      <c r="WF66" s="146"/>
      <c r="WG66" s="146"/>
      <c r="WH66" s="146"/>
      <c r="WI66" s="146"/>
      <c r="WJ66" s="146"/>
      <c r="WK66" s="146"/>
      <c r="WL66" s="146"/>
      <c r="WM66" s="146"/>
      <c r="WN66" s="146"/>
      <c r="WO66" s="146"/>
      <c r="WP66" s="146"/>
      <c r="WQ66" s="146"/>
      <c r="WR66" s="146"/>
      <c r="WS66" s="146"/>
      <c r="WT66" s="146"/>
      <c r="WU66" s="146"/>
      <c r="WV66" s="146"/>
      <c r="WW66" s="146"/>
      <c r="WX66" s="146"/>
      <c r="WY66" s="146"/>
      <c r="WZ66" s="146"/>
      <c r="XA66" s="146"/>
      <c r="XB66" s="146"/>
      <c r="XC66" s="146"/>
      <c r="XD66" s="146"/>
      <c r="XE66" s="146"/>
      <c r="XF66" s="146"/>
      <c r="XG66" s="146"/>
      <c r="XH66" s="146"/>
      <c r="XI66" s="146"/>
      <c r="XJ66" s="146"/>
      <c r="XK66" s="146"/>
      <c r="XL66" s="146"/>
      <c r="XM66" s="146"/>
      <c r="XN66" s="146"/>
      <c r="XO66" s="146"/>
      <c r="XP66" s="146"/>
      <c r="XQ66" s="146"/>
      <c r="XR66" s="146"/>
      <c r="XS66" s="146"/>
      <c r="XT66" s="146"/>
      <c r="XU66" s="146"/>
      <c r="XV66" s="146"/>
      <c r="XW66" s="146"/>
      <c r="XX66" s="146"/>
      <c r="XY66" s="146"/>
      <c r="XZ66" s="146"/>
      <c r="YA66" s="146"/>
      <c r="YB66" s="146"/>
      <c r="YC66" s="146"/>
      <c r="YD66" s="146"/>
      <c r="YE66" s="146"/>
      <c r="YF66" s="146"/>
      <c r="YG66" s="146"/>
      <c r="YH66" s="146"/>
      <c r="YI66" s="146"/>
      <c r="YJ66" s="146"/>
      <c r="YK66" s="146"/>
      <c r="YL66" s="146"/>
      <c r="YM66" s="146"/>
      <c r="YN66" s="146"/>
      <c r="YO66" s="146"/>
      <c r="YP66" s="146"/>
      <c r="YQ66" s="146"/>
      <c r="YR66" s="146"/>
      <c r="YS66" s="146"/>
      <c r="YT66" s="146"/>
      <c r="YU66" s="146"/>
      <c r="YV66" s="146"/>
      <c r="YW66" s="146"/>
      <c r="YX66" s="146"/>
      <c r="YY66" s="146"/>
      <c r="YZ66" s="146"/>
      <c r="ZA66" s="146"/>
      <c r="ZB66" s="146"/>
      <c r="ZC66" s="146"/>
      <c r="ZD66" s="146"/>
      <c r="ZE66" s="146"/>
      <c r="ZF66" s="146"/>
      <c r="ZG66" s="146"/>
      <c r="ZH66" s="146"/>
      <c r="ZI66" s="146"/>
      <c r="ZJ66" s="146"/>
      <c r="ZK66" s="146"/>
      <c r="ZL66" s="146"/>
      <c r="ZM66" s="146"/>
      <c r="ZN66" s="146"/>
      <c r="ZO66" s="146"/>
      <c r="ZP66" s="146"/>
      <c r="ZQ66" s="146"/>
      <c r="ZR66" s="146"/>
      <c r="ZS66" s="146"/>
      <c r="ZT66" s="146"/>
      <c r="ZU66" s="146"/>
      <c r="ZV66" s="146"/>
      <c r="ZW66" s="146"/>
      <c r="ZX66" s="146"/>
      <c r="ZY66" s="146"/>
      <c r="ZZ66" s="146"/>
      <c r="AAA66" s="146"/>
      <c r="AAB66" s="146"/>
      <c r="AAC66" s="146"/>
      <c r="AAD66" s="146"/>
      <c r="AAE66" s="146"/>
      <c r="AAF66" s="146"/>
      <c r="AAG66" s="146"/>
      <c r="AAH66" s="146"/>
      <c r="AAI66" s="146"/>
      <c r="AAJ66" s="146"/>
      <c r="AAK66" s="146"/>
      <c r="AAL66" s="146"/>
      <c r="AAM66" s="146"/>
      <c r="AAN66" s="146"/>
      <c r="AAO66" s="146"/>
      <c r="AAP66" s="146"/>
      <c r="AAQ66" s="146"/>
      <c r="AAR66" s="146"/>
      <c r="AAS66" s="146"/>
      <c r="AAT66" s="146"/>
      <c r="AAU66" s="146"/>
      <c r="AAV66" s="146"/>
      <c r="AAW66" s="146"/>
      <c r="AAX66" s="146"/>
      <c r="AAY66" s="146"/>
      <c r="AAZ66" s="146"/>
      <c r="ABA66" s="146"/>
      <c r="ABB66" s="146"/>
      <c r="ABC66" s="146"/>
      <c r="ABD66" s="146"/>
      <c r="ABE66" s="146"/>
      <c r="ABF66" s="146"/>
      <c r="ABG66" s="146"/>
      <c r="ABH66" s="146"/>
      <c r="ABI66" s="146"/>
      <c r="ABJ66" s="146"/>
      <c r="ABK66" s="146"/>
      <c r="ABL66" s="146"/>
      <c r="ABM66" s="146"/>
      <c r="ABN66" s="146"/>
      <c r="ABO66" s="146"/>
      <c r="ABP66" s="146"/>
      <c r="ABQ66" s="146"/>
      <c r="ABR66" s="146"/>
      <c r="ABS66" s="146"/>
      <c r="ABT66" s="146"/>
      <c r="ABU66" s="146"/>
      <c r="ABV66" s="146"/>
      <c r="ABW66" s="146"/>
      <c r="ABX66" s="146"/>
      <c r="ABY66" s="146"/>
      <c r="ABZ66" s="146"/>
      <c r="ACA66" s="146"/>
      <c r="ACB66" s="146"/>
      <c r="ACC66" s="146"/>
      <c r="ACD66" s="146"/>
      <c r="ACE66" s="146"/>
      <c r="ACF66" s="146"/>
      <c r="ACG66" s="146"/>
      <c r="ACH66" s="146"/>
      <c r="ACI66" s="146"/>
      <c r="ACJ66" s="146"/>
      <c r="ACK66" s="146"/>
      <c r="ACL66" s="146"/>
      <c r="ACM66" s="146"/>
      <c r="ACN66" s="146"/>
      <c r="ACO66" s="146"/>
      <c r="ACP66" s="146"/>
      <c r="ACQ66" s="146"/>
      <c r="ACR66" s="146"/>
      <c r="ACS66" s="146"/>
      <c r="ACT66" s="146"/>
      <c r="ACU66" s="146"/>
      <c r="ACV66" s="146"/>
      <c r="ACW66" s="146"/>
      <c r="ACX66" s="146"/>
      <c r="ACY66" s="146"/>
      <c r="ACZ66" s="146"/>
      <c r="ADA66" s="146"/>
      <c r="ADB66" s="146"/>
      <c r="ADC66" s="146"/>
      <c r="ADD66" s="146"/>
      <c r="ADE66" s="146"/>
      <c r="ADF66" s="146"/>
      <c r="ADG66" s="146"/>
      <c r="ADH66" s="146"/>
      <c r="ADI66" s="146"/>
      <c r="ADJ66" s="146"/>
      <c r="ADK66" s="146"/>
      <c r="ADL66" s="146"/>
      <c r="ADM66" s="146"/>
      <c r="ADN66" s="146"/>
      <c r="ADO66" s="146"/>
      <c r="ADP66" s="146"/>
      <c r="ADQ66" s="146"/>
      <c r="ADR66" s="146"/>
      <c r="ADS66" s="146"/>
      <c r="ADT66" s="146"/>
      <c r="ADU66" s="146"/>
      <c r="ADV66" s="146"/>
      <c r="ADW66" s="146"/>
      <c r="ADX66" s="146"/>
      <c r="ADY66" s="146"/>
      <c r="ADZ66" s="146"/>
      <c r="AEA66" s="146"/>
      <c r="AEB66" s="146"/>
      <c r="AEC66" s="146"/>
      <c r="AED66" s="146"/>
      <c r="AEE66" s="146"/>
      <c r="AEF66" s="146"/>
      <c r="AEG66" s="146"/>
      <c r="AEH66" s="146"/>
      <c r="AEI66" s="146"/>
      <c r="AEJ66" s="146"/>
      <c r="AEK66" s="146"/>
      <c r="AEL66" s="146"/>
      <c r="AEM66" s="146"/>
      <c r="AEN66" s="146"/>
      <c r="AEO66" s="146"/>
      <c r="AEP66" s="146"/>
      <c r="AEQ66" s="146"/>
      <c r="AER66" s="146"/>
      <c r="AES66" s="146"/>
      <c r="AET66" s="146"/>
      <c r="AEU66" s="146"/>
      <c r="AEV66" s="146"/>
      <c r="AEW66" s="146"/>
      <c r="AEX66" s="146"/>
      <c r="AEY66" s="146"/>
      <c r="AEZ66" s="146"/>
      <c r="AFA66" s="146"/>
      <c r="AFB66" s="146"/>
      <c r="AFC66" s="146"/>
      <c r="AFD66" s="146"/>
      <c r="AFE66" s="146"/>
      <c r="AFF66" s="146"/>
      <c r="AFG66" s="146"/>
      <c r="AFH66" s="146"/>
      <c r="AFI66" s="146"/>
      <c r="AFJ66" s="146"/>
      <c r="AFK66" s="146"/>
      <c r="AFL66" s="146"/>
      <c r="AFM66" s="146"/>
      <c r="AFN66" s="146"/>
      <c r="AFO66" s="146"/>
      <c r="AFP66" s="146"/>
      <c r="AFQ66" s="146"/>
      <c r="AFR66" s="146"/>
      <c r="AFS66" s="146"/>
      <c r="AFT66" s="146"/>
      <c r="AFU66" s="146"/>
      <c r="AFV66" s="146"/>
      <c r="AFW66" s="146"/>
      <c r="AFX66" s="146"/>
      <c r="AFY66" s="146"/>
      <c r="AFZ66" s="146"/>
      <c r="AGA66" s="146"/>
      <c r="AGB66" s="146"/>
      <c r="AGC66" s="146"/>
      <c r="AGD66" s="146"/>
      <c r="AGE66" s="146"/>
      <c r="AGF66" s="146"/>
      <c r="AGG66" s="146"/>
      <c r="AGH66" s="146"/>
      <c r="AGI66" s="146"/>
      <c r="AGJ66" s="146"/>
      <c r="AGK66" s="146"/>
      <c r="AGL66" s="146"/>
      <c r="AGM66" s="146"/>
      <c r="AGN66" s="146"/>
      <c r="AGO66" s="146"/>
      <c r="AGP66" s="146"/>
      <c r="AGQ66" s="146"/>
      <c r="AGR66" s="146"/>
      <c r="AGS66" s="146"/>
      <c r="AGT66" s="146"/>
      <c r="AGU66" s="146"/>
      <c r="AGV66" s="146"/>
      <c r="AGW66" s="146"/>
      <c r="AGX66" s="146"/>
      <c r="AGY66" s="146"/>
      <c r="AGZ66" s="146"/>
      <c r="AHA66" s="146"/>
      <c r="AHB66" s="146"/>
      <c r="AHC66" s="146"/>
      <c r="AHD66" s="146"/>
      <c r="AHE66" s="146"/>
      <c r="AHF66" s="146"/>
      <c r="AHG66" s="146"/>
      <c r="AHH66" s="146"/>
      <c r="AHI66" s="146"/>
      <c r="AHJ66" s="146"/>
      <c r="AHK66" s="146"/>
      <c r="AHL66" s="146"/>
      <c r="AHM66" s="146"/>
      <c r="AHN66" s="146"/>
      <c r="AHO66" s="146"/>
      <c r="AHP66" s="146"/>
      <c r="AHQ66" s="146"/>
      <c r="AHR66" s="146"/>
      <c r="AHS66" s="146"/>
      <c r="AHT66" s="146"/>
      <c r="AHU66" s="146"/>
      <c r="AHV66" s="146"/>
      <c r="AHW66" s="146"/>
      <c r="AHX66" s="146"/>
      <c r="AHY66" s="146"/>
      <c r="AHZ66" s="146"/>
      <c r="AIA66" s="146"/>
      <c r="AIB66" s="146"/>
      <c r="AIC66" s="146"/>
      <c r="AID66" s="146"/>
      <c r="AIE66" s="146"/>
      <c r="AIF66" s="146"/>
      <c r="AIG66" s="146"/>
      <c r="AIH66" s="146"/>
      <c r="AII66" s="146"/>
      <c r="AIJ66" s="146"/>
      <c r="AIK66" s="146"/>
      <c r="AIL66" s="146"/>
      <c r="AIM66" s="146"/>
      <c r="AIN66" s="146"/>
      <c r="AIO66" s="146"/>
      <c r="AIP66" s="146"/>
      <c r="AIQ66" s="146"/>
      <c r="AIR66" s="146"/>
      <c r="AIS66" s="146"/>
      <c r="AIT66" s="146"/>
      <c r="AIU66" s="146"/>
      <c r="AIV66" s="146"/>
      <c r="AIW66" s="146"/>
      <c r="AIX66" s="146"/>
      <c r="AIY66" s="146"/>
      <c r="AIZ66" s="146"/>
      <c r="AJA66" s="146"/>
      <c r="AJB66" s="146"/>
      <c r="AJC66" s="146"/>
      <c r="AJD66" s="146"/>
      <c r="AJE66" s="146"/>
      <c r="AJF66" s="146"/>
      <c r="AJG66" s="146"/>
      <c r="AJH66" s="146"/>
      <c r="AJI66" s="146"/>
      <c r="AJJ66" s="146"/>
      <c r="AJK66" s="146"/>
      <c r="AJL66" s="146"/>
      <c r="AJM66" s="146"/>
      <c r="AJN66" s="146"/>
      <c r="AJO66" s="146"/>
      <c r="AJP66" s="146"/>
      <c r="AJQ66" s="146"/>
      <c r="AJR66" s="146"/>
      <c r="AJS66" s="146"/>
      <c r="AJT66" s="146"/>
      <c r="AJU66" s="146"/>
      <c r="AJV66" s="146"/>
      <c r="AJW66" s="146"/>
      <c r="AJX66" s="146"/>
      <c r="AJY66" s="146"/>
      <c r="AJZ66" s="146"/>
      <c r="AKA66" s="146"/>
      <c r="AKB66" s="146"/>
      <c r="AKC66" s="146"/>
      <c r="AKD66" s="146"/>
      <c r="AKE66" s="146"/>
      <c r="AKF66" s="146"/>
      <c r="AKG66" s="146"/>
      <c r="AKH66" s="146"/>
      <c r="AKI66" s="146"/>
      <c r="AKJ66" s="146"/>
      <c r="AKK66" s="146"/>
      <c r="AKL66" s="146"/>
      <c r="AKM66" s="146"/>
      <c r="AKN66" s="146"/>
      <c r="AKO66" s="146"/>
      <c r="AKP66" s="146"/>
      <c r="AKQ66" s="146"/>
      <c r="AKR66" s="146"/>
      <c r="AKS66" s="146"/>
      <c r="AKT66" s="146"/>
      <c r="AKU66" s="146"/>
      <c r="AKV66" s="146"/>
      <c r="AKW66" s="146"/>
      <c r="AKX66" s="146"/>
      <c r="AKY66" s="146"/>
      <c r="AKZ66" s="146"/>
      <c r="ALA66" s="146"/>
      <c r="ALB66" s="146"/>
      <c r="ALC66" s="146"/>
      <c r="ALD66" s="146"/>
      <c r="ALE66" s="146"/>
      <c r="ALF66" s="146"/>
      <c r="ALG66" s="146"/>
      <c r="ALH66" s="146"/>
      <c r="ALI66" s="146"/>
      <c r="ALJ66" s="146"/>
      <c r="ALK66" s="146"/>
      <c r="ALL66" s="146"/>
      <c r="ALM66" s="146"/>
      <c r="ALN66" s="146"/>
      <c r="ALO66" s="146"/>
      <c r="ALP66" s="146"/>
      <c r="ALQ66" s="146"/>
      <c r="ALR66" s="146"/>
      <c r="ALS66" s="146"/>
      <c r="ALT66" s="146"/>
      <c r="ALU66" s="146"/>
      <c r="ALV66" s="146"/>
      <c r="ALW66" s="146"/>
      <c r="ALX66" s="146"/>
      <c r="ALY66" s="146"/>
      <c r="ALZ66" s="146"/>
      <c r="AMA66" s="146"/>
      <c r="AMB66" s="146"/>
      <c r="AMC66" s="146"/>
      <c r="AMD66" s="146"/>
      <c r="AME66" s="146"/>
      <c r="AMF66" s="146"/>
      <c r="AMG66" s="146"/>
      <c r="AMH66" s="146"/>
      <c r="AMI66" s="146"/>
      <c r="AMJ66" s="146"/>
      <c r="AMK66" s="146"/>
      <c r="AML66" s="146"/>
      <c r="AMM66" s="146"/>
      <c r="AMN66" s="146"/>
      <c r="AMO66" s="146"/>
      <c r="AMP66" s="146"/>
      <c r="AMQ66" s="146"/>
      <c r="AMR66" s="146"/>
      <c r="AMS66" s="146"/>
      <c r="AMT66" s="146"/>
      <c r="AMU66" s="146"/>
      <c r="AMV66" s="146"/>
      <c r="AMW66" s="146"/>
      <c r="AMX66" s="146"/>
      <c r="AMY66" s="146"/>
      <c r="AMZ66" s="146"/>
      <c r="ANA66" s="146"/>
      <c r="ANB66" s="146"/>
      <c r="ANC66" s="146"/>
      <c r="AND66" s="146"/>
      <c r="ANE66" s="146"/>
      <c r="ANF66" s="146"/>
      <c r="ANG66" s="146"/>
      <c r="ANH66" s="146"/>
      <c r="ANI66" s="146"/>
      <c r="ANJ66" s="146"/>
      <c r="ANK66" s="146"/>
      <c r="ANL66" s="146"/>
      <c r="ANM66" s="146"/>
      <c r="ANN66" s="146"/>
      <c r="ANO66" s="146"/>
      <c r="ANP66" s="146"/>
      <c r="ANQ66" s="146"/>
      <c r="ANR66" s="146"/>
      <c r="ANS66" s="146"/>
      <c r="ANT66" s="146"/>
      <c r="ANU66" s="146"/>
      <c r="ANV66" s="146"/>
      <c r="ANW66" s="146"/>
      <c r="ANX66" s="146"/>
      <c r="ANY66" s="146"/>
      <c r="ANZ66" s="146"/>
      <c r="AOA66" s="146"/>
      <c r="AOB66" s="146"/>
      <c r="AOC66" s="146"/>
      <c r="AOD66" s="146"/>
      <c r="AOE66" s="146"/>
      <c r="AOF66" s="146"/>
      <c r="AOG66" s="146"/>
      <c r="AOH66" s="146"/>
      <c r="AOI66" s="146"/>
      <c r="AOJ66" s="146"/>
      <c r="AOK66" s="146"/>
      <c r="AOL66" s="146"/>
      <c r="AOM66" s="146"/>
      <c r="AON66" s="146"/>
      <c r="AOO66" s="146"/>
      <c r="AOP66" s="146"/>
      <c r="AOQ66" s="146"/>
      <c r="AOR66" s="146"/>
      <c r="AOS66" s="146"/>
      <c r="AOT66" s="146"/>
      <c r="AOU66" s="146"/>
      <c r="AOV66" s="146"/>
      <c r="AOW66" s="146"/>
      <c r="AOX66" s="146"/>
      <c r="AOY66" s="146"/>
      <c r="AOZ66" s="146"/>
      <c r="APA66" s="146"/>
      <c r="APB66" s="146"/>
      <c r="APC66" s="146"/>
      <c r="APD66" s="146"/>
      <c r="APE66" s="146"/>
      <c r="APF66" s="146"/>
      <c r="APG66" s="146"/>
      <c r="APH66" s="146"/>
      <c r="API66" s="146"/>
      <c r="APJ66" s="146"/>
      <c r="APK66" s="146"/>
      <c r="APL66" s="146"/>
      <c r="APM66" s="146"/>
      <c r="APN66" s="146"/>
      <c r="APO66" s="146"/>
      <c r="APP66" s="146"/>
      <c r="APQ66" s="146"/>
      <c r="APR66" s="146"/>
      <c r="APS66" s="146"/>
      <c r="APT66" s="146"/>
      <c r="APU66" s="146"/>
      <c r="APV66" s="146"/>
      <c r="APW66" s="146"/>
      <c r="APX66" s="146"/>
      <c r="APY66" s="146"/>
      <c r="APZ66" s="146"/>
      <c r="AQA66" s="146"/>
      <c r="AQB66" s="146"/>
      <c r="AQC66" s="146"/>
      <c r="AQD66" s="146"/>
      <c r="AQE66" s="146"/>
      <c r="AQF66" s="146"/>
      <c r="AQG66" s="146"/>
      <c r="AQH66" s="146"/>
      <c r="AQI66" s="146"/>
      <c r="AQJ66" s="146"/>
      <c r="AQK66" s="146"/>
      <c r="AQL66" s="146"/>
      <c r="AQM66" s="146"/>
      <c r="AQN66" s="146"/>
      <c r="AQO66" s="146"/>
      <c r="AQP66" s="146"/>
      <c r="AQQ66" s="146"/>
      <c r="AQR66" s="146"/>
      <c r="AQS66" s="146"/>
      <c r="AQT66" s="146"/>
      <c r="AQU66" s="146"/>
      <c r="AQV66" s="146"/>
      <c r="AQW66" s="146"/>
      <c r="AQX66" s="146"/>
      <c r="AQY66" s="146"/>
      <c r="AQZ66" s="146"/>
      <c r="ARA66" s="146"/>
      <c r="ARB66" s="146"/>
      <c r="ARC66" s="146"/>
      <c r="ARD66" s="146"/>
      <c r="ARE66" s="146"/>
      <c r="ARF66" s="146"/>
      <c r="ARG66" s="146"/>
      <c r="ARH66" s="146"/>
      <c r="ARI66" s="146"/>
      <c r="ARJ66" s="146"/>
      <c r="ARK66" s="146"/>
      <c r="ARL66" s="146"/>
      <c r="ARM66" s="146"/>
      <c r="ARN66" s="146"/>
      <c r="ARO66" s="146"/>
      <c r="ARP66" s="146"/>
      <c r="ARQ66" s="146"/>
      <c r="ARR66" s="146"/>
      <c r="ARS66" s="146"/>
      <c r="ART66" s="146"/>
      <c r="ARU66" s="146"/>
      <c r="ARV66" s="146"/>
      <c r="ARW66" s="146"/>
      <c r="ARX66" s="146"/>
      <c r="ARY66" s="146"/>
      <c r="ARZ66" s="146"/>
      <c r="ASA66" s="146"/>
      <c r="ASB66" s="146"/>
      <c r="ASC66" s="146"/>
      <c r="ASD66" s="146"/>
      <c r="ASE66" s="146"/>
      <c r="ASF66" s="146"/>
      <c r="ASG66" s="146"/>
      <c r="ASH66" s="146"/>
      <c r="ASI66" s="146"/>
      <c r="ASJ66" s="146"/>
      <c r="ASK66" s="146"/>
      <c r="ASL66" s="146"/>
      <c r="ASM66" s="146"/>
      <c r="ASN66" s="146"/>
      <c r="ASO66" s="146"/>
      <c r="ASP66" s="146"/>
      <c r="ASQ66" s="146"/>
      <c r="ASR66" s="146"/>
      <c r="ASS66" s="146"/>
      <c r="AST66" s="146"/>
      <c r="ASU66" s="146"/>
      <c r="ASV66" s="146"/>
      <c r="ASW66" s="146"/>
      <c r="ASX66" s="146"/>
      <c r="ASY66" s="146"/>
      <c r="ASZ66" s="146"/>
      <c r="ATA66" s="146"/>
      <c r="ATB66" s="146"/>
      <c r="ATC66" s="146"/>
      <c r="ATD66" s="146"/>
      <c r="ATE66" s="146"/>
      <c r="ATF66" s="146"/>
      <c r="ATG66" s="146"/>
      <c r="ATH66" s="146"/>
      <c r="ATI66" s="146"/>
      <c r="ATJ66" s="146"/>
      <c r="ATK66" s="146"/>
      <c r="ATL66" s="146"/>
      <c r="ATM66" s="146"/>
      <c r="ATN66" s="146"/>
      <c r="ATO66" s="146"/>
      <c r="ATP66" s="146"/>
      <c r="ATQ66" s="146"/>
      <c r="ATR66" s="146"/>
      <c r="ATS66" s="146"/>
      <c r="ATT66" s="146"/>
      <c r="ATU66" s="146"/>
      <c r="ATV66" s="146"/>
      <c r="ATW66" s="146"/>
      <c r="ATX66" s="146"/>
      <c r="ATY66" s="146"/>
      <c r="ATZ66" s="146"/>
      <c r="AUA66" s="146"/>
      <c r="AUB66" s="146"/>
      <c r="AUC66" s="146"/>
      <c r="AUD66" s="146"/>
      <c r="AUE66" s="146"/>
      <c r="AUF66" s="146"/>
      <c r="AUG66" s="146"/>
      <c r="AUH66" s="146"/>
      <c r="AUI66" s="146"/>
      <c r="AUJ66" s="146"/>
      <c r="AUK66" s="146"/>
      <c r="AUL66" s="146"/>
      <c r="AUM66" s="146"/>
      <c r="AUN66" s="146"/>
      <c r="AUO66" s="146"/>
      <c r="AUP66" s="146"/>
      <c r="AUQ66" s="146"/>
      <c r="AUR66" s="146"/>
      <c r="AUS66" s="146"/>
      <c r="AUT66" s="146"/>
      <c r="AUU66" s="146"/>
      <c r="AUV66" s="146"/>
      <c r="AUW66" s="146"/>
      <c r="AUX66" s="146"/>
      <c r="AUY66" s="146"/>
      <c r="AUZ66" s="146"/>
      <c r="AVA66" s="146"/>
      <c r="AVB66" s="146"/>
      <c r="AVC66" s="146"/>
      <c r="AVD66" s="146"/>
      <c r="AVE66" s="146"/>
      <c r="AVF66" s="146"/>
      <c r="AVG66" s="146"/>
      <c r="AVH66" s="146"/>
      <c r="AVI66" s="146"/>
      <c r="AVJ66" s="146"/>
      <c r="AVK66" s="146"/>
      <c r="AVL66" s="146"/>
      <c r="AVM66" s="146"/>
      <c r="AVN66" s="146"/>
      <c r="AVO66" s="146"/>
      <c r="AVP66" s="146"/>
      <c r="AVQ66" s="146"/>
      <c r="AVR66" s="146"/>
      <c r="AVS66" s="146"/>
      <c r="AVT66" s="146"/>
      <c r="AVU66" s="146"/>
      <c r="AVV66" s="146"/>
      <c r="AVW66" s="146"/>
      <c r="AVX66" s="146"/>
      <c r="AVY66" s="146"/>
      <c r="AVZ66" s="146"/>
      <c r="AWA66" s="146"/>
      <c r="AWB66" s="146"/>
      <c r="AWC66" s="146"/>
      <c r="AWD66" s="146"/>
      <c r="AWE66" s="146"/>
      <c r="AWF66" s="146"/>
      <c r="AWG66" s="146"/>
      <c r="AWH66" s="146"/>
      <c r="AWI66" s="146"/>
      <c r="AWJ66" s="146"/>
      <c r="AWK66" s="146"/>
      <c r="AWL66" s="146"/>
      <c r="AWM66" s="146"/>
      <c r="AWN66" s="146"/>
      <c r="AWO66" s="146"/>
      <c r="AWP66" s="146"/>
      <c r="AWQ66" s="146"/>
      <c r="AWR66" s="146"/>
      <c r="AWS66" s="146"/>
      <c r="AWT66" s="146"/>
      <c r="AWU66" s="146"/>
      <c r="AWV66" s="146"/>
      <c r="AWW66" s="146"/>
      <c r="AWX66" s="146"/>
      <c r="AWY66" s="146"/>
      <c r="AWZ66" s="146"/>
      <c r="AXA66" s="146"/>
      <c r="AXB66" s="146"/>
      <c r="AXC66" s="146"/>
      <c r="AXD66" s="146"/>
      <c r="AXE66" s="146"/>
      <c r="AXF66" s="146"/>
      <c r="AXG66" s="146"/>
      <c r="AXH66" s="146"/>
      <c r="AXI66" s="146"/>
      <c r="AXJ66" s="146"/>
      <c r="AXK66" s="146"/>
      <c r="AXL66" s="146"/>
      <c r="AXM66" s="146"/>
      <c r="AXN66" s="146"/>
      <c r="AXO66" s="146"/>
      <c r="AXP66" s="146"/>
      <c r="AXQ66" s="146"/>
      <c r="AXR66" s="146"/>
      <c r="AXS66" s="146"/>
      <c r="AXT66" s="146"/>
      <c r="AXU66" s="146"/>
      <c r="AXV66" s="146"/>
      <c r="AXW66" s="146"/>
      <c r="AXX66" s="146"/>
      <c r="AXY66" s="146"/>
      <c r="AXZ66" s="146"/>
      <c r="AYA66" s="146"/>
      <c r="AYB66" s="146"/>
      <c r="AYC66" s="146"/>
      <c r="AYD66" s="146"/>
      <c r="AYE66" s="146"/>
      <c r="AYF66" s="146"/>
      <c r="AYG66" s="146"/>
      <c r="AYH66" s="146"/>
      <c r="AYI66" s="146"/>
      <c r="AYJ66" s="146"/>
      <c r="AYK66" s="146"/>
      <c r="AYL66" s="146"/>
      <c r="AYM66" s="146"/>
      <c r="AYN66" s="146"/>
      <c r="AYO66" s="146"/>
      <c r="AYP66" s="146"/>
      <c r="AYQ66" s="146"/>
      <c r="AYR66" s="146"/>
      <c r="AYS66" s="146"/>
      <c r="AYT66" s="146"/>
      <c r="AYU66" s="146"/>
      <c r="AYV66" s="146"/>
      <c r="AYW66" s="146"/>
      <c r="AYX66" s="146"/>
      <c r="AYY66" s="146"/>
      <c r="AYZ66" s="146"/>
      <c r="AZA66" s="146"/>
      <c r="AZB66" s="146"/>
      <c r="AZC66" s="146"/>
      <c r="AZD66" s="146"/>
      <c r="AZE66" s="146"/>
      <c r="AZF66" s="146"/>
      <c r="AZG66" s="146"/>
      <c r="AZH66" s="146"/>
      <c r="AZI66" s="146"/>
      <c r="AZJ66" s="146"/>
      <c r="AZK66" s="146"/>
      <c r="AZL66" s="146"/>
      <c r="AZM66" s="146"/>
      <c r="AZN66" s="146"/>
      <c r="AZO66" s="146"/>
      <c r="AZP66" s="146"/>
      <c r="AZQ66" s="146"/>
      <c r="AZR66" s="146"/>
      <c r="AZS66" s="146"/>
      <c r="AZT66" s="146"/>
      <c r="AZU66" s="146"/>
      <c r="AZV66" s="146"/>
      <c r="AZW66" s="146"/>
      <c r="AZX66" s="146"/>
      <c r="AZY66" s="146"/>
      <c r="AZZ66" s="146"/>
      <c r="BAA66" s="146"/>
      <c r="BAB66" s="146"/>
      <c r="BAC66" s="146"/>
      <c r="BAD66" s="146"/>
      <c r="BAE66" s="146"/>
      <c r="BAF66" s="146"/>
      <c r="BAG66" s="146"/>
      <c r="BAH66" s="146"/>
      <c r="BAI66" s="146"/>
      <c r="BAJ66" s="146"/>
      <c r="BAK66" s="146"/>
      <c r="BAL66" s="146"/>
      <c r="BAM66" s="146"/>
      <c r="BAN66" s="146"/>
      <c r="BAO66" s="146"/>
      <c r="BAP66" s="146"/>
      <c r="BAQ66" s="146"/>
      <c r="BAR66" s="146"/>
      <c r="BAS66" s="146"/>
      <c r="BAT66" s="146"/>
      <c r="BAU66" s="146"/>
      <c r="BAV66" s="146"/>
      <c r="BAW66" s="146"/>
      <c r="BAX66" s="146"/>
      <c r="BAY66" s="146"/>
      <c r="BAZ66" s="146"/>
      <c r="BBA66" s="146"/>
      <c r="BBB66" s="146"/>
      <c r="BBC66" s="146"/>
      <c r="BBD66" s="146"/>
      <c r="BBE66" s="146"/>
      <c r="BBF66" s="146"/>
      <c r="BBG66" s="146"/>
      <c r="BBH66" s="146"/>
      <c r="BBI66" s="146"/>
      <c r="BBJ66" s="146"/>
      <c r="BBK66" s="146"/>
      <c r="BBL66" s="146"/>
      <c r="BBM66" s="146"/>
      <c r="BBN66" s="146"/>
      <c r="BBO66" s="146"/>
      <c r="BBP66" s="146"/>
      <c r="BBQ66" s="146"/>
      <c r="BBR66" s="146"/>
      <c r="BBS66" s="146"/>
      <c r="BBT66" s="146"/>
      <c r="BBU66" s="146"/>
      <c r="BBV66" s="146"/>
      <c r="BBW66" s="146"/>
      <c r="BBX66" s="146"/>
      <c r="BBY66" s="146"/>
      <c r="BBZ66" s="146"/>
      <c r="BCA66" s="146"/>
      <c r="BCB66" s="146"/>
      <c r="BCC66" s="146"/>
      <c r="BCD66" s="146"/>
      <c r="BCE66" s="146"/>
      <c r="BCF66" s="146"/>
      <c r="BCG66" s="146"/>
      <c r="BCH66" s="146"/>
      <c r="BCI66" s="146"/>
      <c r="BCJ66" s="146"/>
      <c r="BCK66" s="146"/>
      <c r="BCL66" s="146"/>
      <c r="BCM66" s="146"/>
      <c r="BCN66" s="146"/>
      <c r="BCO66" s="146"/>
      <c r="BCP66" s="146"/>
      <c r="BCQ66" s="146"/>
      <c r="BCR66" s="146"/>
      <c r="BCS66" s="146"/>
      <c r="BCT66" s="146"/>
      <c r="BCU66" s="146"/>
      <c r="BCV66" s="146"/>
      <c r="BCW66" s="146"/>
      <c r="BCX66" s="146"/>
      <c r="BCY66" s="146"/>
      <c r="BCZ66" s="146"/>
      <c r="BDA66" s="146"/>
      <c r="BDB66" s="146"/>
      <c r="BDC66" s="146"/>
      <c r="BDD66" s="146"/>
      <c r="BDE66" s="146"/>
      <c r="BDF66" s="146"/>
      <c r="BDG66" s="146"/>
      <c r="BDH66" s="146"/>
      <c r="BDI66" s="146"/>
      <c r="BDJ66" s="146"/>
      <c r="BDK66" s="146"/>
      <c r="BDL66" s="146"/>
      <c r="BDM66" s="146"/>
      <c r="BDN66" s="146"/>
      <c r="BDO66" s="146"/>
      <c r="BDP66" s="146"/>
      <c r="BDQ66" s="146"/>
      <c r="BDR66" s="146"/>
      <c r="BDS66" s="146"/>
      <c r="BDT66" s="146"/>
      <c r="BDU66" s="146"/>
      <c r="BDV66" s="146"/>
      <c r="BDW66" s="146"/>
      <c r="BDX66" s="146"/>
      <c r="BDY66" s="146"/>
      <c r="BDZ66" s="146"/>
      <c r="BEA66" s="146"/>
      <c r="BEB66" s="146"/>
      <c r="BEC66" s="146"/>
      <c r="BED66" s="146"/>
      <c r="BEE66" s="146"/>
      <c r="BEF66" s="146"/>
      <c r="BEG66" s="146"/>
      <c r="BEH66" s="146"/>
      <c r="BEI66" s="146"/>
      <c r="BEJ66" s="146"/>
      <c r="BEK66" s="146"/>
      <c r="BEL66" s="146"/>
      <c r="BEM66" s="146"/>
      <c r="BEN66" s="146"/>
      <c r="BEO66" s="146"/>
      <c r="BEP66" s="146"/>
      <c r="BEQ66" s="146"/>
      <c r="BER66" s="146"/>
      <c r="BES66" s="146"/>
      <c r="BET66" s="146"/>
      <c r="BEU66" s="146"/>
      <c r="BEV66" s="146"/>
      <c r="BEW66" s="146"/>
      <c r="BEX66" s="146"/>
      <c r="BEY66" s="146"/>
      <c r="BEZ66" s="146"/>
      <c r="BFA66" s="146"/>
      <c r="BFB66" s="146"/>
      <c r="BFC66" s="146"/>
      <c r="BFD66" s="146"/>
      <c r="BFE66" s="146"/>
      <c r="BFF66" s="146"/>
      <c r="BFG66" s="146"/>
      <c r="BFH66" s="146"/>
      <c r="BFI66" s="146"/>
      <c r="BFJ66" s="146"/>
      <c r="BFK66" s="146"/>
      <c r="BFL66" s="146"/>
      <c r="BFM66" s="146"/>
      <c r="BFN66" s="146"/>
      <c r="BFO66" s="146"/>
      <c r="BFP66" s="146"/>
      <c r="BFQ66" s="146"/>
      <c r="BFR66" s="146"/>
      <c r="BFS66" s="146"/>
      <c r="BFT66" s="146"/>
      <c r="BFU66" s="146"/>
      <c r="BFV66" s="146"/>
      <c r="BFW66" s="146"/>
      <c r="BFX66" s="146"/>
      <c r="BFY66" s="146"/>
      <c r="BFZ66" s="146"/>
      <c r="BGA66" s="146"/>
      <c r="BGB66" s="146"/>
      <c r="BGC66" s="146"/>
      <c r="BGD66" s="146"/>
      <c r="BGE66" s="146"/>
      <c r="BGF66" s="146"/>
      <c r="BGG66" s="146"/>
      <c r="BGH66" s="146"/>
      <c r="BGI66" s="146"/>
      <c r="BGJ66" s="146"/>
      <c r="BGK66" s="146"/>
      <c r="BGL66" s="146"/>
      <c r="BGM66" s="146"/>
      <c r="BGN66" s="146"/>
      <c r="BGO66" s="146"/>
      <c r="BGP66" s="146"/>
      <c r="BGQ66" s="146"/>
      <c r="BGR66" s="146"/>
      <c r="BGS66" s="146"/>
      <c r="BGT66" s="146"/>
      <c r="BGU66" s="146"/>
      <c r="BGV66" s="146"/>
      <c r="BGW66" s="146"/>
      <c r="BGX66" s="146"/>
      <c r="BGY66" s="146"/>
      <c r="BGZ66" s="146"/>
      <c r="BHA66" s="146"/>
      <c r="BHB66" s="146"/>
      <c r="BHC66" s="146"/>
      <c r="BHD66" s="146"/>
      <c r="BHE66" s="146"/>
      <c r="BHF66" s="146"/>
      <c r="BHG66" s="146"/>
      <c r="BHH66" s="146"/>
      <c r="BHI66" s="146"/>
      <c r="BHJ66" s="146"/>
      <c r="BHK66" s="146"/>
      <c r="BHL66" s="146"/>
      <c r="BHM66" s="146"/>
      <c r="BHN66" s="146"/>
      <c r="BHO66" s="146"/>
      <c r="BHP66" s="146"/>
      <c r="BHQ66" s="146"/>
      <c r="BHR66" s="146"/>
      <c r="BHS66" s="146"/>
      <c r="BHT66" s="146"/>
      <c r="BHU66" s="146"/>
      <c r="BHV66" s="146"/>
      <c r="BHW66" s="146"/>
      <c r="BHX66" s="146"/>
      <c r="BHY66" s="146"/>
      <c r="BHZ66" s="146"/>
      <c r="BIA66" s="146"/>
      <c r="BIB66" s="146"/>
      <c r="BIC66" s="146"/>
      <c r="BID66" s="146"/>
      <c r="BIE66" s="146"/>
      <c r="BIF66" s="146"/>
      <c r="BIG66" s="146"/>
      <c r="BIH66" s="146"/>
      <c r="BII66" s="146"/>
      <c r="BIJ66" s="146"/>
      <c r="BIK66" s="146"/>
      <c r="BIL66" s="146"/>
      <c r="BIM66" s="146"/>
      <c r="BIN66" s="146"/>
      <c r="BIO66" s="146"/>
      <c r="BIP66" s="146"/>
      <c r="BIQ66" s="146"/>
      <c r="BIR66" s="146"/>
      <c r="BIS66" s="146"/>
      <c r="BIT66" s="146"/>
      <c r="BIU66" s="146"/>
      <c r="BIV66" s="146"/>
      <c r="BIW66" s="146"/>
      <c r="BIX66" s="146"/>
      <c r="BIY66" s="146"/>
      <c r="BIZ66" s="146"/>
      <c r="BJA66" s="146"/>
      <c r="BJB66" s="146"/>
      <c r="BJC66" s="146"/>
      <c r="BJD66" s="146"/>
      <c r="BJE66" s="146"/>
      <c r="BJF66" s="146"/>
      <c r="BJG66" s="146"/>
      <c r="BJH66" s="146"/>
      <c r="BJI66" s="146"/>
      <c r="BJJ66" s="146"/>
      <c r="BJK66" s="146"/>
      <c r="BJL66" s="146"/>
      <c r="BJM66" s="146"/>
      <c r="BJN66" s="146"/>
      <c r="BJO66" s="146"/>
      <c r="BJP66" s="146"/>
      <c r="BJQ66" s="146"/>
      <c r="BJR66" s="146"/>
      <c r="BJS66" s="146"/>
      <c r="BJT66" s="146"/>
      <c r="BJU66" s="146"/>
      <c r="BJV66" s="146"/>
      <c r="BJW66" s="146"/>
      <c r="BJX66" s="146"/>
      <c r="BJY66" s="146"/>
      <c r="BJZ66" s="146"/>
      <c r="BKA66" s="146"/>
      <c r="BKB66" s="146"/>
      <c r="BKC66" s="146"/>
      <c r="BKD66" s="146"/>
      <c r="BKE66" s="146"/>
      <c r="BKF66" s="146"/>
      <c r="BKG66" s="146"/>
      <c r="BKH66" s="146"/>
      <c r="BKI66" s="146"/>
      <c r="BKJ66" s="146"/>
      <c r="BKK66" s="146"/>
      <c r="BKL66" s="146"/>
      <c r="BKM66" s="146"/>
      <c r="BKN66" s="146"/>
      <c r="BKO66" s="146"/>
      <c r="BKP66" s="146"/>
      <c r="BKQ66" s="146"/>
      <c r="BKR66" s="146"/>
      <c r="BKS66" s="146"/>
      <c r="BKT66" s="146"/>
      <c r="BKU66" s="146"/>
      <c r="BKV66" s="146"/>
      <c r="BKW66" s="146"/>
      <c r="BKX66" s="146"/>
      <c r="BKY66" s="146"/>
      <c r="BKZ66" s="146"/>
      <c r="BLA66" s="146"/>
      <c r="BLB66" s="146"/>
      <c r="BLC66" s="146"/>
      <c r="BLD66" s="146"/>
      <c r="BLE66" s="146"/>
      <c r="BLF66" s="146"/>
      <c r="BLG66" s="146"/>
      <c r="BLH66" s="146"/>
      <c r="BLI66" s="146"/>
      <c r="BLJ66" s="146"/>
      <c r="BLK66" s="146"/>
      <c r="BLL66" s="146"/>
      <c r="BLM66" s="146"/>
      <c r="BLN66" s="146"/>
      <c r="BLO66" s="146"/>
      <c r="BLP66" s="146"/>
      <c r="BLQ66" s="146"/>
      <c r="BLR66" s="146"/>
      <c r="BLS66" s="146"/>
      <c r="BLT66" s="146"/>
      <c r="BLU66" s="146"/>
      <c r="BLV66" s="146"/>
      <c r="BLW66" s="146"/>
      <c r="BLX66" s="146"/>
      <c r="BLY66" s="146"/>
      <c r="BLZ66" s="146"/>
      <c r="BMA66" s="146"/>
      <c r="BMB66" s="146"/>
      <c r="BMC66" s="146"/>
      <c r="BMD66" s="146"/>
      <c r="BME66" s="146"/>
      <c r="BMF66" s="146"/>
      <c r="BMG66" s="146"/>
      <c r="BMH66" s="146"/>
      <c r="BMI66" s="146"/>
      <c r="BMJ66" s="146"/>
      <c r="BMK66" s="146"/>
      <c r="BML66" s="146"/>
      <c r="BMM66" s="146"/>
      <c r="BMN66" s="146"/>
      <c r="BMO66" s="146"/>
      <c r="BMP66" s="146"/>
      <c r="BMQ66" s="146"/>
      <c r="BMR66" s="146"/>
      <c r="BMS66" s="146"/>
      <c r="BMT66" s="146"/>
      <c r="BMU66" s="146"/>
      <c r="BMV66" s="146"/>
      <c r="BMW66" s="146"/>
      <c r="BMX66" s="146"/>
      <c r="BMY66" s="146"/>
      <c r="BMZ66" s="146"/>
      <c r="BNA66" s="146"/>
      <c r="BNB66" s="146"/>
      <c r="BNC66" s="146"/>
      <c r="BND66" s="146"/>
      <c r="BNE66" s="146"/>
      <c r="BNF66" s="146"/>
      <c r="BNG66" s="146"/>
      <c r="BNH66" s="146"/>
      <c r="BNI66" s="146"/>
      <c r="BNJ66" s="146"/>
      <c r="BNK66" s="146"/>
      <c r="BNL66" s="146"/>
      <c r="BNM66" s="146"/>
      <c r="BNN66" s="146"/>
      <c r="BNO66" s="146"/>
      <c r="BNP66" s="146"/>
      <c r="BNQ66" s="146"/>
      <c r="BNR66" s="146"/>
      <c r="BNS66" s="146"/>
      <c r="BNT66" s="146"/>
      <c r="BNU66" s="146"/>
      <c r="BNV66" s="146"/>
      <c r="BNW66" s="146"/>
      <c r="BNX66" s="146"/>
      <c r="BNY66" s="146"/>
      <c r="BNZ66" s="146"/>
      <c r="BOA66" s="146"/>
      <c r="BOB66" s="146"/>
      <c r="BOC66" s="146"/>
      <c r="BOD66" s="146"/>
      <c r="BOE66" s="146"/>
      <c r="BOF66" s="146"/>
      <c r="BOG66" s="146"/>
      <c r="BOH66" s="146"/>
      <c r="BOI66" s="146"/>
      <c r="BOJ66" s="146"/>
      <c r="BOK66" s="146"/>
      <c r="BOL66" s="146"/>
      <c r="BOM66" s="146"/>
      <c r="BON66" s="146"/>
      <c r="BOO66" s="146"/>
      <c r="BOP66" s="146"/>
      <c r="BOQ66" s="146"/>
      <c r="BOR66" s="146"/>
      <c r="BOS66" s="146"/>
      <c r="BOT66" s="146"/>
      <c r="BOU66" s="146"/>
      <c r="BOV66" s="146"/>
      <c r="BOW66" s="146"/>
      <c r="BOX66" s="146"/>
      <c r="BOY66" s="146"/>
      <c r="BOZ66" s="146"/>
      <c r="BPA66" s="146"/>
      <c r="BPB66" s="146"/>
      <c r="BPC66" s="146"/>
      <c r="BPD66" s="146"/>
      <c r="BPE66" s="146"/>
      <c r="BPF66" s="146"/>
      <c r="BPG66" s="146"/>
      <c r="BPH66" s="146"/>
      <c r="BPI66" s="146"/>
      <c r="BPJ66" s="146"/>
      <c r="BPK66" s="146"/>
      <c r="BPL66" s="146"/>
      <c r="BPM66" s="146"/>
      <c r="BPN66" s="146"/>
      <c r="BPO66" s="146"/>
      <c r="BPP66" s="146"/>
      <c r="BPQ66" s="146"/>
      <c r="BPR66" s="146"/>
      <c r="BPS66" s="146"/>
      <c r="BPT66" s="146"/>
      <c r="BPU66" s="146"/>
      <c r="BPV66" s="146"/>
      <c r="BPW66" s="146"/>
      <c r="BPX66" s="146"/>
      <c r="BPY66" s="146"/>
      <c r="BPZ66" s="146"/>
      <c r="BQA66" s="146"/>
      <c r="BQB66" s="146"/>
      <c r="BQC66" s="146"/>
      <c r="BQD66" s="146"/>
      <c r="BQE66" s="146"/>
      <c r="BQF66" s="146"/>
      <c r="BQG66" s="146"/>
      <c r="BQH66" s="146"/>
      <c r="BQI66" s="146"/>
      <c r="BQJ66" s="146"/>
      <c r="BQK66" s="146"/>
      <c r="BQL66" s="146"/>
      <c r="BQM66" s="146"/>
      <c r="BQN66" s="146"/>
      <c r="BQO66" s="146"/>
      <c r="BQP66" s="146"/>
      <c r="BQQ66" s="146"/>
      <c r="BQR66" s="146"/>
      <c r="BQS66" s="146"/>
      <c r="BQT66" s="146"/>
      <c r="BQU66" s="146"/>
      <c r="BQV66" s="146"/>
      <c r="BQW66" s="146"/>
      <c r="BQX66" s="146"/>
      <c r="BQY66" s="146"/>
      <c r="BQZ66" s="146"/>
      <c r="BRA66" s="146"/>
      <c r="BRB66" s="146"/>
      <c r="BRC66" s="146"/>
      <c r="BRD66" s="146"/>
      <c r="BRE66" s="146"/>
      <c r="BRF66" s="146"/>
      <c r="BRG66" s="146"/>
      <c r="BRH66" s="146"/>
      <c r="BRI66" s="146"/>
      <c r="BRJ66" s="146"/>
      <c r="BRK66" s="146"/>
      <c r="BRL66" s="146"/>
      <c r="BRM66" s="146"/>
      <c r="BRN66" s="146"/>
      <c r="BRO66" s="146"/>
      <c r="BRP66" s="146"/>
      <c r="BRQ66" s="146"/>
      <c r="BRR66" s="146"/>
      <c r="BRS66" s="146"/>
      <c r="BRT66" s="146"/>
      <c r="BRU66" s="146"/>
      <c r="BRV66" s="146"/>
      <c r="BRW66" s="146"/>
      <c r="BRX66" s="146"/>
      <c r="BRY66" s="146"/>
      <c r="BRZ66" s="146"/>
      <c r="BSA66" s="146"/>
      <c r="BSB66" s="146"/>
      <c r="BSC66" s="146"/>
      <c r="BSD66" s="146"/>
      <c r="BSE66" s="146"/>
      <c r="BSF66" s="146"/>
      <c r="BSG66" s="146"/>
      <c r="BSH66" s="146"/>
      <c r="BSI66" s="146"/>
      <c r="BSJ66" s="146"/>
      <c r="BSK66" s="146"/>
      <c r="BSL66" s="146"/>
      <c r="BSM66" s="146"/>
      <c r="BSN66" s="146"/>
      <c r="BSO66" s="146"/>
      <c r="BSP66" s="146"/>
      <c r="BSQ66" s="146"/>
      <c r="BSR66" s="146"/>
      <c r="BSS66" s="146"/>
      <c r="BST66" s="146"/>
      <c r="BSU66" s="146"/>
      <c r="BSV66" s="146"/>
      <c r="BSW66" s="146"/>
      <c r="BSX66" s="146"/>
      <c r="BSY66" s="146"/>
      <c r="BSZ66" s="146"/>
      <c r="BTA66" s="146"/>
      <c r="BTB66" s="146"/>
      <c r="BTC66" s="146"/>
      <c r="BTD66" s="146"/>
      <c r="BTE66" s="146"/>
      <c r="BTF66" s="146"/>
      <c r="BTG66" s="146"/>
      <c r="BTH66" s="146"/>
      <c r="BTI66" s="146"/>
      <c r="BTJ66" s="146"/>
      <c r="BTK66" s="146"/>
      <c r="BTL66" s="146"/>
      <c r="BTM66" s="146"/>
      <c r="BTN66" s="146"/>
      <c r="BTO66" s="146"/>
      <c r="BTP66" s="146"/>
      <c r="BTQ66" s="146"/>
      <c r="BTR66" s="146"/>
      <c r="BTS66" s="146"/>
      <c r="BTT66" s="146"/>
      <c r="BTU66" s="146"/>
      <c r="BTV66" s="146"/>
      <c r="BTW66" s="146"/>
      <c r="BTX66" s="146"/>
      <c r="BTY66" s="146"/>
      <c r="BTZ66" s="146"/>
      <c r="BUA66" s="146"/>
      <c r="BUB66" s="146"/>
      <c r="BUC66" s="146"/>
      <c r="BUD66" s="146"/>
      <c r="BUE66" s="146"/>
      <c r="BUF66" s="146"/>
      <c r="BUG66" s="146"/>
      <c r="BUH66" s="146"/>
      <c r="BUI66" s="146"/>
      <c r="BUJ66" s="146"/>
      <c r="BUK66" s="146"/>
      <c r="BUL66" s="146"/>
      <c r="BUM66" s="146"/>
      <c r="BUN66" s="146"/>
      <c r="BUO66" s="146"/>
      <c r="BUP66" s="146"/>
      <c r="BUQ66" s="146"/>
      <c r="BUR66" s="146"/>
      <c r="BUS66" s="146"/>
      <c r="BUT66" s="146"/>
      <c r="BUU66" s="146"/>
      <c r="BUV66" s="146"/>
      <c r="BUW66" s="146"/>
      <c r="BUX66" s="146"/>
      <c r="BUY66" s="146"/>
      <c r="BUZ66" s="146"/>
      <c r="BVA66" s="146"/>
      <c r="BVB66" s="146"/>
      <c r="BVC66" s="146"/>
      <c r="BVD66" s="146"/>
      <c r="BVE66" s="146"/>
      <c r="BVF66" s="146"/>
      <c r="BVG66" s="146"/>
      <c r="BVH66" s="146"/>
      <c r="BVI66" s="146"/>
      <c r="BVJ66" s="146"/>
      <c r="BVK66" s="146"/>
      <c r="BVL66" s="146"/>
      <c r="BVM66" s="146"/>
      <c r="BVN66" s="146"/>
      <c r="BVO66" s="146"/>
      <c r="BVP66" s="146"/>
      <c r="BVQ66" s="146"/>
      <c r="BVR66" s="146"/>
      <c r="BVS66" s="146"/>
      <c r="BVT66" s="146"/>
      <c r="BVU66" s="146"/>
      <c r="BVV66" s="146"/>
      <c r="BVW66" s="146"/>
      <c r="BVX66" s="146"/>
      <c r="BVY66" s="146"/>
      <c r="BVZ66" s="146"/>
      <c r="BWA66" s="146"/>
      <c r="BWB66" s="146"/>
      <c r="BWC66" s="146"/>
      <c r="BWD66" s="146"/>
      <c r="BWE66" s="146"/>
      <c r="BWF66" s="146"/>
      <c r="BWG66" s="146"/>
      <c r="BWH66" s="146"/>
      <c r="BWI66" s="146"/>
      <c r="BWJ66" s="146"/>
      <c r="BWK66" s="146"/>
      <c r="BWL66" s="146"/>
      <c r="BWM66" s="146"/>
      <c r="BWN66" s="146"/>
      <c r="BWO66" s="146"/>
      <c r="BWP66" s="146"/>
      <c r="BWQ66" s="146"/>
      <c r="BWR66" s="146"/>
      <c r="BWS66" s="146"/>
      <c r="BWT66" s="146"/>
      <c r="BWU66" s="146"/>
      <c r="BWV66" s="146"/>
      <c r="BWW66" s="146"/>
      <c r="BWX66" s="146"/>
      <c r="BWY66" s="146"/>
      <c r="BWZ66" s="146"/>
      <c r="BXA66" s="146"/>
      <c r="BXB66" s="146"/>
      <c r="BXC66" s="146"/>
      <c r="BXD66" s="146"/>
      <c r="BXE66" s="146"/>
      <c r="BXF66" s="146"/>
      <c r="BXG66" s="146"/>
      <c r="BXH66" s="146"/>
      <c r="BXI66" s="146"/>
      <c r="BXJ66" s="146"/>
      <c r="BXK66" s="146"/>
      <c r="BXL66" s="146"/>
      <c r="BXM66" s="146"/>
      <c r="BXN66" s="146"/>
      <c r="BXO66" s="146"/>
      <c r="BXP66" s="146"/>
      <c r="BXQ66" s="146"/>
      <c r="BXR66" s="146"/>
      <c r="BXS66" s="146"/>
      <c r="BXT66" s="146"/>
      <c r="BXU66" s="146"/>
      <c r="BXV66" s="146"/>
      <c r="BXW66" s="146"/>
      <c r="BXX66" s="146"/>
      <c r="BXY66" s="146"/>
      <c r="BXZ66" s="146"/>
      <c r="BYA66" s="146"/>
      <c r="BYB66" s="146"/>
      <c r="BYC66" s="146"/>
      <c r="BYD66" s="146"/>
      <c r="BYE66" s="146"/>
      <c r="BYF66" s="146"/>
      <c r="BYG66" s="146"/>
      <c r="BYH66" s="146"/>
      <c r="BYI66" s="146"/>
      <c r="BYJ66" s="146"/>
      <c r="BYK66" s="146"/>
      <c r="BYL66" s="146"/>
      <c r="BYM66" s="146"/>
      <c r="BYN66" s="146"/>
      <c r="BYO66" s="146"/>
      <c r="BYP66" s="146"/>
      <c r="BYQ66" s="146"/>
      <c r="BYR66" s="146"/>
      <c r="BYS66" s="146"/>
      <c r="BYT66" s="146"/>
      <c r="BYU66" s="146"/>
      <c r="BYV66" s="146"/>
      <c r="BYW66" s="146"/>
      <c r="BYX66" s="146"/>
      <c r="BYY66" s="146"/>
      <c r="BYZ66" s="146"/>
      <c r="BZA66" s="146"/>
      <c r="BZB66" s="146"/>
      <c r="BZC66" s="146"/>
      <c r="BZD66" s="146"/>
      <c r="BZE66" s="146"/>
      <c r="BZF66" s="146"/>
      <c r="BZG66" s="146"/>
      <c r="BZH66" s="146"/>
      <c r="BZI66" s="146"/>
      <c r="BZJ66" s="146"/>
      <c r="BZK66" s="146"/>
      <c r="BZL66" s="146"/>
      <c r="BZM66" s="146"/>
      <c r="BZN66" s="146"/>
      <c r="BZO66" s="146"/>
      <c r="BZP66" s="146"/>
      <c r="BZQ66" s="146"/>
      <c r="BZR66" s="146"/>
      <c r="BZS66" s="146"/>
      <c r="BZT66" s="146"/>
      <c r="BZU66" s="146"/>
      <c r="BZV66" s="146"/>
      <c r="BZW66" s="146"/>
      <c r="BZX66" s="146"/>
      <c r="BZY66" s="146"/>
      <c r="BZZ66" s="146"/>
      <c r="CAA66" s="146"/>
      <c r="CAB66" s="146"/>
      <c r="CAC66" s="146"/>
      <c r="CAD66" s="146"/>
      <c r="CAE66" s="146"/>
      <c r="CAF66" s="146"/>
      <c r="CAG66" s="146"/>
      <c r="CAH66" s="146"/>
      <c r="CAI66" s="146"/>
      <c r="CAJ66" s="146"/>
      <c r="CAK66" s="146"/>
      <c r="CAL66" s="146"/>
      <c r="CAM66" s="146"/>
      <c r="CAN66" s="146"/>
      <c r="CAO66" s="146"/>
      <c r="CAP66" s="146"/>
      <c r="CAQ66" s="146"/>
      <c r="CAR66" s="146"/>
      <c r="CAS66" s="146"/>
      <c r="CAT66" s="146"/>
      <c r="CAU66" s="146"/>
      <c r="CAV66" s="146"/>
      <c r="CAW66" s="146"/>
      <c r="CAX66" s="146"/>
      <c r="CAY66" s="146"/>
      <c r="CAZ66" s="146"/>
      <c r="CBA66" s="146"/>
      <c r="CBB66" s="146"/>
      <c r="CBC66" s="146"/>
      <c r="CBD66" s="146"/>
      <c r="CBE66" s="146"/>
      <c r="CBF66" s="146"/>
      <c r="CBG66" s="146"/>
      <c r="CBH66" s="146"/>
      <c r="CBI66" s="146"/>
      <c r="CBJ66" s="146"/>
      <c r="CBK66" s="146"/>
      <c r="CBL66" s="146"/>
      <c r="CBM66" s="146"/>
      <c r="CBN66" s="146"/>
      <c r="CBO66" s="146"/>
      <c r="CBP66" s="146"/>
      <c r="CBQ66" s="146"/>
      <c r="CBR66" s="146"/>
      <c r="CBS66" s="146"/>
      <c r="CBT66" s="146"/>
      <c r="CBU66" s="146"/>
      <c r="CBV66" s="146"/>
      <c r="CBW66" s="146"/>
      <c r="CBX66" s="146"/>
      <c r="CBY66" s="146"/>
      <c r="CBZ66" s="146"/>
      <c r="CCA66" s="146"/>
      <c r="CCB66" s="146"/>
      <c r="CCC66" s="146"/>
      <c r="CCD66" s="146"/>
      <c r="CCE66" s="146"/>
      <c r="CCF66" s="146"/>
      <c r="CCG66" s="146"/>
      <c r="CCH66" s="146"/>
      <c r="CCI66" s="146"/>
      <c r="CCJ66" s="146"/>
      <c r="CCK66" s="146"/>
      <c r="CCL66" s="146"/>
      <c r="CCM66" s="146"/>
      <c r="CCN66" s="146"/>
      <c r="CCO66" s="146"/>
      <c r="CCP66" s="146"/>
      <c r="CCQ66" s="146"/>
      <c r="CCR66" s="146"/>
      <c r="CCS66" s="146"/>
      <c r="CCT66" s="146"/>
      <c r="CCU66" s="146"/>
      <c r="CCV66" s="146"/>
      <c r="CCW66" s="146"/>
      <c r="CCX66" s="146"/>
      <c r="CCY66" s="146"/>
      <c r="CCZ66" s="146"/>
      <c r="CDA66" s="146"/>
      <c r="CDB66" s="146"/>
      <c r="CDC66" s="146"/>
      <c r="CDD66" s="146"/>
      <c r="CDE66" s="146"/>
      <c r="CDF66" s="146"/>
      <c r="CDG66" s="146"/>
      <c r="CDH66" s="146"/>
      <c r="CDI66" s="146"/>
      <c r="CDJ66" s="146"/>
      <c r="CDK66" s="146"/>
      <c r="CDL66" s="146"/>
      <c r="CDM66" s="146"/>
      <c r="CDN66" s="146"/>
      <c r="CDO66" s="146"/>
      <c r="CDP66" s="146"/>
      <c r="CDQ66" s="146"/>
      <c r="CDR66" s="146"/>
      <c r="CDS66" s="146"/>
      <c r="CDT66" s="146"/>
      <c r="CDU66" s="146"/>
      <c r="CDV66" s="146"/>
      <c r="CDW66" s="146"/>
      <c r="CDX66" s="146"/>
      <c r="CDY66" s="146"/>
      <c r="CDZ66" s="146"/>
      <c r="CEA66" s="146"/>
      <c r="CEB66" s="146"/>
      <c r="CEC66" s="146"/>
      <c r="CED66" s="146"/>
      <c r="CEE66" s="146"/>
      <c r="CEF66" s="146"/>
      <c r="CEG66" s="146"/>
      <c r="CEH66" s="146"/>
      <c r="CEI66" s="146"/>
      <c r="CEJ66" s="146"/>
      <c r="CEK66" s="146"/>
      <c r="CEL66" s="146"/>
      <c r="CEM66" s="146"/>
      <c r="CEN66" s="146"/>
      <c r="CEO66" s="146"/>
      <c r="CEP66" s="146"/>
      <c r="CEQ66" s="146"/>
      <c r="CER66" s="146"/>
      <c r="CES66" s="146"/>
      <c r="CET66" s="146"/>
      <c r="CEU66" s="146"/>
      <c r="CEV66" s="146"/>
      <c r="CEW66" s="146"/>
      <c r="CEX66" s="146"/>
      <c r="CEY66" s="146"/>
      <c r="CEZ66" s="146"/>
      <c r="CFA66" s="146"/>
      <c r="CFB66" s="146"/>
      <c r="CFC66" s="146"/>
      <c r="CFD66" s="146"/>
      <c r="CFE66" s="146"/>
      <c r="CFF66" s="146"/>
      <c r="CFG66" s="146"/>
      <c r="CFH66" s="146"/>
      <c r="CFI66" s="146"/>
      <c r="CFJ66" s="146"/>
      <c r="CFK66" s="146"/>
      <c r="CFL66" s="146"/>
      <c r="CFM66" s="146"/>
      <c r="CFN66" s="146"/>
      <c r="CFO66" s="146"/>
      <c r="CFP66" s="146"/>
      <c r="CFQ66" s="146"/>
      <c r="CFR66" s="146"/>
      <c r="CFS66" s="146"/>
      <c r="CFT66" s="146"/>
      <c r="CFU66" s="146"/>
      <c r="CFV66" s="146"/>
      <c r="CFW66" s="146"/>
      <c r="CFX66" s="146"/>
      <c r="CFY66" s="146"/>
      <c r="CFZ66" s="146"/>
      <c r="CGA66" s="146"/>
      <c r="CGB66" s="146"/>
      <c r="CGC66" s="146"/>
      <c r="CGD66" s="146"/>
      <c r="CGE66" s="146"/>
      <c r="CGF66" s="146"/>
      <c r="CGG66" s="146"/>
      <c r="CGH66" s="146"/>
      <c r="CGI66" s="146"/>
      <c r="CGJ66" s="146"/>
      <c r="CGK66" s="146"/>
      <c r="CGL66" s="146"/>
      <c r="CGM66" s="146"/>
      <c r="CGN66" s="146"/>
      <c r="CGO66" s="146"/>
      <c r="CGP66" s="146"/>
      <c r="CGQ66" s="146"/>
      <c r="CGR66" s="146"/>
      <c r="CGS66" s="146"/>
      <c r="CGT66" s="146"/>
      <c r="CGU66" s="146"/>
      <c r="CGV66" s="146"/>
      <c r="CGW66" s="146"/>
      <c r="CGX66" s="146"/>
      <c r="CGY66" s="146"/>
      <c r="CGZ66" s="146"/>
      <c r="CHA66" s="146"/>
      <c r="CHB66" s="146"/>
      <c r="CHC66" s="146"/>
      <c r="CHD66" s="146"/>
      <c r="CHE66" s="146"/>
      <c r="CHF66" s="146"/>
      <c r="CHG66" s="146"/>
      <c r="CHH66" s="146"/>
      <c r="CHI66" s="146"/>
      <c r="CHJ66" s="146"/>
      <c r="CHK66" s="146"/>
      <c r="CHL66" s="146"/>
      <c r="CHM66" s="146"/>
      <c r="CHN66" s="146"/>
      <c r="CHO66" s="146"/>
      <c r="CHP66" s="146"/>
      <c r="CHQ66" s="146"/>
      <c r="CHR66" s="146"/>
      <c r="CHS66" s="146"/>
      <c r="CHT66" s="146"/>
      <c r="CHU66" s="146"/>
      <c r="CHV66" s="146"/>
      <c r="CHW66" s="146"/>
      <c r="CHX66" s="146"/>
      <c r="CHY66" s="146"/>
      <c r="CHZ66" s="146"/>
      <c r="CIA66" s="146"/>
      <c r="CIB66" s="146"/>
      <c r="CIC66" s="146"/>
      <c r="CID66" s="146"/>
      <c r="CIE66" s="146"/>
      <c r="CIF66" s="146"/>
      <c r="CIG66" s="146"/>
      <c r="CIH66" s="146"/>
      <c r="CII66" s="146"/>
      <c r="CIJ66" s="146"/>
      <c r="CIK66" s="146"/>
      <c r="CIL66" s="146"/>
      <c r="CIM66" s="146"/>
      <c r="CIN66" s="146"/>
      <c r="CIO66" s="146"/>
      <c r="CIP66" s="146"/>
      <c r="CIQ66" s="146"/>
      <c r="CIR66" s="146"/>
      <c r="CIS66" s="146"/>
      <c r="CIT66" s="146"/>
      <c r="CIU66" s="146"/>
      <c r="CIV66" s="146"/>
      <c r="CIW66" s="146"/>
      <c r="CIX66" s="146"/>
      <c r="CIY66" s="146"/>
      <c r="CIZ66" s="146"/>
      <c r="CJA66" s="146"/>
      <c r="CJB66" s="146"/>
      <c r="CJC66" s="146"/>
      <c r="CJD66" s="146"/>
      <c r="CJE66" s="146"/>
      <c r="CJF66" s="146"/>
      <c r="CJG66" s="146"/>
      <c r="CJH66" s="146"/>
      <c r="CJI66" s="146"/>
      <c r="CJJ66" s="146"/>
      <c r="CJK66" s="146"/>
      <c r="CJL66" s="146"/>
      <c r="CJM66" s="146"/>
      <c r="CJN66" s="146"/>
      <c r="CJO66" s="146"/>
      <c r="CJP66" s="146"/>
      <c r="CJQ66" s="146"/>
      <c r="CJR66" s="146"/>
      <c r="CJS66" s="146"/>
      <c r="CJT66" s="146"/>
      <c r="CJU66" s="146"/>
      <c r="CJV66" s="146"/>
      <c r="CJW66" s="146"/>
      <c r="CJX66" s="146"/>
      <c r="CJY66" s="146"/>
      <c r="CJZ66" s="146"/>
      <c r="CKA66" s="146"/>
      <c r="CKB66" s="146"/>
      <c r="CKC66" s="146"/>
      <c r="CKD66" s="146"/>
      <c r="CKE66" s="146"/>
      <c r="CKF66" s="146"/>
      <c r="CKG66" s="146"/>
      <c r="CKH66" s="146"/>
      <c r="CKI66" s="146"/>
      <c r="CKJ66" s="146"/>
      <c r="CKK66" s="146"/>
      <c r="CKL66" s="146"/>
      <c r="CKM66" s="146"/>
      <c r="CKN66" s="146"/>
      <c r="CKO66" s="146"/>
      <c r="CKP66" s="146"/>
      <c r="CKQ66" s="146"/>
      <c r="CKR66" s="146"/>
      <c r="CKS66" s="146"/>
      <c r="CKT66" s="146"/>
      <c r="CKU66" s="146"/>
      <c r="CKV66" s="146"/>
      <c r="CKW66" s="146"/>
      <c r="CKX66" s="146"/>
      <c r="CKY66" s="146"/>
      <c r="CKZ66" s="146"/>
      <c r="CLA66" s="146"/>
      <c r="CLB66" s="146"/>
      <c r="CLC66" s="146"/>
      <c r="CLD66" s="146"/>
      <c r="CLE66" s="146"/>
      <c r="CLF66" s="146"/>
      <c r="CLG66" s="146"/>
      <c r="CLH66" s="146"/>
      <c r="CLI66" s="146"/>
      <c r="CLJ66" s="146"/>
      <c r="CLK66" s="146"/>
      <c r="CLL66" s="146"/>
      <c r="CLM66" s="146"/>
      <c r="CLN66" s="146"/>
      <c r="CLO66" s="146"/>
      <c r="CLP66" s="146"/>
      <c r="CLQ66" s="146"/>
      <c r="CLR66" s="146"/>
      <c r="CLS66" s="146"/>
      <c r="CLT66" s="146"/>
      <c r="CLU66" s="146"/>
      <c r="CLV66" s="146"/>
      <c r="CLW66" s="146"/>
      <c r="CLX66" s="146"/>
      <c r="CLY66" s="146"/>
      <c r="CLZ66" s="146"/>
      <c r="CMA66" s="146"/>
      <c r="CMB66" s="146"/>
      <c r="CMC66" s="146"/>
      <c r="CMD66" s="146"/>
      <c r="CME66" s="146"/>
      <c r="CMF66" s="146"/>
      <c r="CMG66" s="146"/>
      <c r="CMH66" s="146"/>
      <c r="CMI66" s="146"/>
      <c r="CMJ66" s="146"/>
      <c r="CMK66" s="146"/>
      <c r="CML66" s="146"/>
      <c r="CMM66" s="146"/>
      <c r="CMN66" s="146"/>
      <c r="CMO66" s="146"/>
      <c r="CMP66" s="146"/>
      <c r="CMQ66" s="146"/>
      <c r="CMR66" s="146"/>
      <c r="CMS66" s="146"/>
      <c r="CMT66" s="146"/>
      <c r="CMU66" s="146"/>
      <c r="CMV66" s="146"/>
      <c r="CMW66" s="146"/>
      <c r="CMX66" s="146"/>
      <c r="CMY66" s="146"/>
      <c r="CMZ66" s="146"/>
      <c r="CNA66" s="146"/>
      <c r="CNB66" s="146"/>
      <c r="CNC66" s="146"/>
      <c r="CND66" s="146"/>
      <c r="CNE66" s="146"/>
      <c r="CNF66" s="146"/>
      <c r="CNG66" s="146"/>
      <c r="CNH66" s="146"/>
      <c r="CNI66" s="146"/>
      <c r="CNJ66" s="146"/>
      <c r="CNK66" s="146"/>
      <c r="CNL66" s="146"/>
      <c r="CNM66" s="146"/>
      <c r="CNN66" s="146"/>
      <c r="CNO66" s="146"/>
      <c r="CNP66" s="146"/>
      <c r="CNQ66" s="146"/>
      <c r="CNR66" s="146"/>
      <c r="CNS66" s="146"/>
      <c r="CNT66" s="146"/>
      <c r="CNU66" s="146"/>
      <c r="CNV66" s="146"/>
      <c r="CNW66" s="146"/>
      <c r="CNX66" s="146"/>
      <c r="CNY66" s="146"/>
      <c r="CNZ66" s="146"/>
      <c r="COA66" s="146"/>
      <c r="COB66" s="146"/>
      <c r="COC66" s="146"/>
      <c r="COD66" s="146"/>
      <c r="COE66" s="146"/>
      <c r="COF66" s="146"/>
      <c r="COG66" s="146"/>
      <c r="COH66" s="146"/>
      <c r="COI66" s="146"/>
      <c r="COJ66" s="146"/>
      <c r="COK66" s="146"/>
      <c r="COL66" s="146"/>
      <c r="COM66" s="146"/>
      <c r="CON66" s="146"/>
      <c r="COO66" s="146"/>
      <c r="COP66" s="146"/>
      <c r="COQ66" s="146"/>
      <c r="COR66" s="146"/>
      <c r="COS66" s="146"/>
      <c r="COT66" s="146"/>
      <c r="COU66" s="146"/>
      <c r="COV66" s="146"/>
      <c r="COW66" s="146"/>
      <c r="COX66" s="146"/>
      <c r="COY66" s="146"/>
      <c r="COZ66" s="146"/>
      <c r="CPA66" s="146"/>
      <c r="CPB66" s="146"/>
      <c r="CPC66" s="146"/>
      <c r="CPD66" s="146"/>
      <c r="CPE66" s="146"/>
      <c r="CPF66" s="146"/>
      <c r="CPG66" s="146"/>
      <c r="CPH66" s="146"/>
      <c r="CPI66" s="146"/>
      <c r="CPJ66" s="146"/>
      <c r="CPK66" s="146"/>
      <c r="CPL66" s="146"/>
      <c r="CPM66" s="146"/>
      <c r="CPN66" s="146"/>
      <c r="CPO66" s="146"/>
      <c r="CPP66" s="146"/>
      <c r="CPQ66" s="146"/>
      <c r="CPR66" s="146"/>
      <c r="CPS66" s="146"/>
      <c r="CPT66" s="146"/>
      <c r="CPU66" s="146"/>
      <c r="CPV66" s="146"/>
      <c r="CPW66" s="146"/>
      <c r="CPX66" s="146"/>
      <c r="CPY66" s="146"/>
      <c r="CPZ66" s="146"/>
      <c r="CQA66" s="146"/>
      <c r="CQB66" s="146"/>
      <c r="CQC66" s="146"/>
      <c r="CQD66" s="146"/>
      <c r="CQE66" s="146"/>
      <c r="CQF66" s="146"/>
      <c r="CQG66" s="146"/>
      <c r="CQH66" s="146"/>
      <c r="CQI66" s="146"/>
      <c r="CQJ66" s="146"/>
      <c r="CQK66" s="146"/>
      <c r="CQL66" s="146"/>
      <c r="CQM66" s="146"/>
      <c r="CQN66" s="146"/>
      <c r="CQO66" s="146"/>
      <c r="CQP66" s="146"/>
      <c r="CQQ66" s="146"/>
      <c r="CQR66" s="146"/>
      <c r="CQS66" s="146"/>
      <c r="CQT66" s="146"/>
      <c r="CQU66" s="146"/>
      <c r="CQV66" s="146"/>
      <c r="CQW66" s="146"/>
      <c r="CQX66" s="146"/>
      <c r="CQY66" s="146"/>
      <c r="CQZ66" s="146"/>
      <c r="CRA66" s="146"/>
      <c r="CRB66" s="146"/>
      <c r="CRC66" s="146"/>
      <c r="CRD66" s="146"/>
      <c r="CRE66" s="146"/>
      <c r="CRF66" s="146"/>
      <c r="CRG66" s="146"/>
      <c r="CRH66" s="146"/>
      <c r="CRI66" s="146"/>
      <c r="CRJ66" s="146"/>
      <c r="CRK66" s="146"/>
      <c r="CRL66" s="146"/>
      <c r="CRM66" s="146"/>
      <c r="CRN66" s="146"/>
      <c r="CRO66" s="146"/>
      <c r="CRP66" s="146"/>
      <c r="CRQ66" s="146"/>
      <c r="CRR66" s="146"/>
      <c r="CRS66" s="146"/>
      <c r="CRT66" s="146"/>
      <c r="CRU66" s="146"/>
      <c r="CRV66" s="146"/>
      <c r="CRW66" s="146"/>
      <c r="CRX66" s="146"/>
      <c r="CRY66" s="146"/>
      <c r="CRZ66" s="146"/>
      <c r="CSA66" s="146"/>
      <c r="CSB66" s="146"/>
      <c r="CSC66" s="146"/>
      <c r="CSD66" s="146"/>
      <c r="CSE66" s="146"/>
      <c r="CSF66" s="146"/>
      <c r="CSG66" s="146"/>
      <c r="CSH66" s="146"/>
      <c r="CSI66" s="146"/>
      <c r="CSJ66" s="146"/>
      <c r="CSK66" s="146"/>
      <c r="CSL66" s="146"/>
      <c r="CSM66" s="146"/>
      <c r="CSN66" s="146"/>
      <c r="CSO66" s="146"/>
      <c r="CSP66" s="146"/>
      <c r="CSQ66" s="146"/>
      <c r="CSR66" s="146"/>
      <c r="CSS66" s="146"/>
      <c r="CST66" s="146"/>
      <c r="CSU66" s="146"/>
      <c r="CSV66" s="146"/>
      <c r="CSW66" s="146"/>
      <c r="CSX66" s="146"/>
      <c r="CSY66" s="146"/>
      <c r="CSZ66" s="146"/>
      <c r="CTA66" s="146"/>
      <c r="CTB66" s="146"/>
      <c r="CTC66" s="146"/>
      <c r="CTD66" s="146"/>
      <c r="CTE66" s="146"/>
      <c r="CTF66" s="146"/>
      <c r="CTG66" s="146"/>
      <c r="CTH66" s="146"/>
      <c r="CTI66" s="146"/>
      <c r="CTJ66" s="146"/>
      <c r="CTK66" s="146"/>
      <c r="CTL66" s="146"/>
      <c r="CTM66" s="146"/>
      <c r="CTN66" s="146"/>
      <c r="CTO66" s="146"/>
      <c r="CTP66" s="146"/>
      <c r="CTQ66" s="146"/>
      <c r="CTR66" s="146"/>
      <c r="CTS66" s="146"/>
      <c r="CTT66" s="146"/>
      <c r="CTU66" s="146"/>
      <c r="CTV66" s="146"/>
      <c r="CTW66" s="146"/>
      <c r="CTX66" s="146"/>
      <c r="CTY66" s="146"/>
      <c r="CTZ66" s="146"/>
      <c r="CUA66" s="146"/>
      <c r="CUB66" s="146"/>
      <c r="CUC66" s="146"/>
      <c r="CUD66" s="146"/>
      <c r="CUE66" s="146"/>
      <c r="CUF66" s="146"/>
      <c r="CUG66" s="146"/>
      <c r="CUH66" s="146"/>
      <c r="CUI66" s="146"/>
      <c r="CUJ66" s="146"/>
      <c r="CUK66" s="146"/>
      <c r="CUL66" s="146"/>
      <c r="CUM66" s="146"/>
      <c r="CUN66" s="146"/>
      <c r="CUO66" s="146"/>
      <c r="CUP66" s="146"/>
      <c r="CUQ66" s="146"/>
      <c r="CUR66" s="146"/>
      <c r="CUS66" s="146"/>
      <c r="CUT66" s="146"/>
      <c r="CUU66" s="146"/>
      <c r="CUV66" s="146"/>
      <c r="CUW66" s="146"/>
      <c r="CUX66" s="146"/>
      <c r="CUY66" s="146"/>
      <c r="CUZ66" s="146"/>
      <c r="CVA66" s="146"/>
      <c r="CVB66" s="146"/>
      <c r="CVC66" s="146"/>
      <c r="CVD66" s="146"/>
      <c r="CVE66" s="146"/>
      <c r="CVF66" s="146"/>
      <c r="CVG66" s="146"/>
      <c r="CVH66" s="146"/>
      <c r="CVI66" s="146"/>
      <c r="CVJ66" s="146"/>
      <c r="CVK66" s="146"/>
      <c r="CVL66" s="146"/>
      <c r="CVM66" s="146"/>
      <c r="CVN66" s="146"/>
      <c r="CVO66" s="146"/>
      <c r="CVP66" s="146"/>
      <c r="CVQ66" s="146"/>
      <c r="CVR66" s="146"/>
      <c r="CVS66" s="146"/>
      <c r="CVT66" s="146"/>
      <c r="CVU66" s="146"/>
      <c r="CVV66" s="146"/>
      <c r="CVW66" s="146"/>
      <c r="CVX66" s="146"/>
      <c r="CVY66" s="146"/>
      <c r="CVZ66" s="146"/>
      <c r="CWA66" s="146"/>
      <c r="CWB66" s="146"/>
      <c r="CWC66" s="146"/>
      <c r="CWD66" s="146"/>
      <c r="CWE66" s="146"/>
      <c r="CWF66" s="146"/>
      <c r="CWG66" s="146"/>
      <c r="CWH66" s="146"/>
      <c r="CWI66" s="146"/>
      <c r="CWJ66" s="146"/>
      <c r="CWK66" s="146"/>
      <c r="CWL66" s="146"/>
      <c r="CWM66" s="146"/>
      <c r="CWN66" s="146"/>
      <c r="CWO66" s="146"/>
      <c r="CWP66" s="146"/>
      <c r="CWQ66" s="146"/>
      <c r="CWR66" s="146"/>
      <c r="CWS66" s="146"/>
      <c r="CWT66" s="146"/>
      <c r="CWU66" s="146"/>
      <c r="CWV66" s="146"/>
      <c r="CWW66" s="146"/>
      <c r="CWX66" s="146"/>
      <c r="CWY66" s="146"/>
      <c r="CWZ66" s="146"/>
      <c r="CXA66" s="146"/>
      <c r="CXB66" s="146"/>
      <c r="CXC66" s="146"/>
      <c r="CXD66" s="146"/>
      <c r="CXE66" s="146"/>
      <c r="CXF66" s="146"/>
      <c r="CXG66" s="146"/>
      <c r="CXH66" s="146"/>
      <c r="CXI66" s="146"/>
      <c r="CXJ66" s="146"/>
      <c r="CXK66" s="146"/>
      <c r="CXL66" s="146"/>
      <c r="CXM66" s="146"/>
      <c r="CXN66" s="146"/>
      <c r="CXO66" s="146"/>
      <c r="CXP66" s="146"/>
      <c r="CXQ66" s="146"/>
      <c r="CXR66" s="146"/>
      <c r="CXS66" s="146"/>
      <c r="CXT66" s="146"/>
      <c r="CXU66" s="146"/>
      <c r="CXV66" s="146"/>
      <c r="CXW66" s="146"/>
      <c r="CXX66" s="146"/>
      <c r="CXY66" s="146"/>
      <c r="CXZ66" s="146"/>
      <c r="CYA66" s="146"/>
      <c r="CYB66" s="146"/>
      <c r="CYC66" s="146"/>
      <c r="CYD66" s="146"/>
      <c r="CYE66" s="146"/>
      <c r="CYF66" s="146"/>
      <c r="CYG66" s="146"/>
      <c r="CYH66" s="146"/>
      <c r="CYI66" s="146"/>
      <c r="CYJ66" s="146"/>
      <c r="CYK66" s="146"/>
      <c r="CYL66" s="146"/>
      <c r="CYM66" s="146"/>
      <c r="CYN66" s="146"/>
      <c r="CYO66" s="146"/>
      <c r="CYP66" s="146"/>
      <c r="CYQ66" s="146"/>
      <c r="CYR66" s="146"/>
      <c r="CYS66" s="146"/>
      <c r="CYT66" s="146"/>
      <c r="CYU66" s="146"/>
      <c r="CYV66" s="146"/>
      <c r="CYW66" s="146"/>
      <c r="CYX66" s="146"/>
      <c r="CYY66" s="146"/>
      <c r="CYZ66" s="146"/>
      <c r="CZA66" s="146"/>
      <c r="CZB66" s="146"/>
      <c r="CZC66" s="146"/>
      <c r="CZD66" s="146"/>
      <c r="CZE66" s="146"/>
      <c r="CZF66" s="146"/>
      <c r="CZG66" s="146"/>
      <c r="CZH66" s="146"/>
      <c r="CZI66" s="146"/>
      <c r="CZJ66" s="146"/>
      <c r="CZK66" s="146"/>
      <c r="CZL66" s="146"/>
      <c r="CZM66" s="146"/>
      <c r="CZN66" s="146"/>
      <c r="CZO66" s="146"/>
      <c r="CZP66" s="146"/>
      <c r="CZQ66" s="146"/>
      <c r="CZR66" s="146"/>
      <c r="CZS66" s="146"/>
      <c r="CZT66" s="146"/>
      <c r="CZU66" s="146"/>
      <c r="CZV66" s="146"/>
      <c r="CZW66" s="146"/>
      <c r="CZX66" s="146"/>
      <c r="CZY66" s="146"/>
      <c r="CZZ66" s="146"/>
      <c r="DAA66" s="146"/>
      <c r="DAB66" s="146"/>
      <c r="DAC66" s="146"/>
      <c r="DAD66" s="146"/>
      <c r="DAE66" s="146"/>
      <c r="DAF66" s="146"/>
      <c r="DAG66" s="146"/>
      <c r="DAH66" s="146"/>
      <c r="DAI66" s="146"/>
      <c r="DAJ66" s="146"/>
      <c r="DAK66" s="146"/>
      <c r="DAL66" s="146"/>
      <c r="DAM66" s="146"/>
      <c r="DAN66" s="146"/>
      <c r="DAO66" s="146"/>
      <c r="DAP66" s="146"/>
      <c r="DAQ66" s="146"/>
      <c r="DAR66" s="146"/>
      <c r="DAS66" s="146"/>
      <c r="DAT66" s="146"/>
      <c r="DAU66" s="146"/>
      <c r="DAV66" s="146"/>
      <c r="DAW66" s="146"/>
      <c r="DAX66" s="146"/>
      <c r="DAY66" s="146"/>
      <c r="DAZ66" s="146"/>
      <c r="DBA66" s="146"/>
      <c r="DBB66" s="146"/>
      <c r="DBC66" s="146"/>
      <c r="DBD66" s="146"/>
      <c r="DBE66" s="146"/>
      <c r="DBF66" s="146"/>
      <c r="DBG66" s="146"/>
      <c r="DBH66" s="146"/>
      <c r="DBI66" s="146"/>
      <c r="DBJ66" s="146"/>
      <c r="DBK66" s="146"/>
      <c r="DBL66" s="146"/>
      <c r="DBM66" s="146"/>
      <c r="DBN66" s="146"/>
      <c r="DBO66" s="146"/>
      <c r="DBP66" s="146"/>
      <c r="DBQ66" s="146"/>
      <c r="DBR66" s="146"/>
      <c r="DBS66" s="146"/>
      <c r="DBT66" s="146"/>
      <c r="DBU66" s="146"/>
      <c r="DBV66" s="146"/>
      <c r="DBW66" s="146"/>
      <c r="DBX66" s="146"/>
      <c r="DBY66" s="146"/>
      <c r="DBZ66" s="146"/>
      <c r="DCA66" s="146"/>
      <c r="DCB66" s="146"/>
      <c r="DCC66" s="146"/>
      <c r="DCD66" s="146"/>
      <c r="DCE66" s="146"/>
      <c r="DCF66" s="146"/>
      <c r="DCG66" s="146"/>
      <c r="DCH66" s="146"/>
      <c r="DCI66" s="146"/>
      <c r="DCJ66" s="146"/>
      <c r="DCK66" s="146"/>
      <c r="DCL66" s="146"/>
      <c r="DCM66" s="146"/>
      <c r="DCN66" s="146"/>
      <c r="DCO66" s="146"/>
      <c r="DCP66" s="146"/>
      <c r="DCQ66" s="146"/>
      <c r="DCR66" s="146"/>
      <c r="DCS66" s="146"/>
      <c r="DCT66" s="146"/>
      <c r="DCU66" s="146"/>
      <c r="DCV66" s="146"/>
      <c r="DCW66" s="146"/>
      <c r="DCX66" s="146"/>
      <c r="DCY66" s="146"/>
      <c r="DCZ66" s="146"/>
      <c r="DDA66" s="146"/>
      <c r="DDB66" s="146"/>
      <c r="DDC66" s="146"/>
      <c r="DDD66" s="146"/>
      <c r="DDE66" s="146"/>
      <c r="DDF66" s="146"/>
      <c r="DDG66" s="146"/>
      <c r="DDH66" s="146"/>
      <c r="DDI66" s="146"/>
      <c r="DDJ66" s="146"/>
      <c r="DDK66" s="146"/>
      <c r="DDL66" s="146"/>
      <c r="DDM66" s="146"/>
      <c r="DDN66" s="146"/>
      <c r="DDO66" s="146"/>
      <c r="DDP66" s="146"/>
      <c r="DDQ66" s="146"/>
      <c r="DDR66" s="146"/>
      <c r="DDS66" s="146"/>
      <c r="DDT66" s="146"/>
      <c r="DDU66" s="146"/>
      <c r="DDV66" s="146"/>
      <c r="DDW66" s="146"/>
      <c r="DDX66" s="146"/>
      <c r="DDY66" s="146"/>
      <c r="DDZ66" s="146"/>
      <c r="DEA66" s="146"/>
      <c r="DEB66" s="146"/>
      <c r="DEC66" s="146"/>
      <c r="DED66" s="146"/>
      <c r="DEE66" s="146"/>
      <c r="DEF66" s="146"/>
      <c r="DEG66" s="146"/>
      <c r="DEH66" s="146"/>
      <c r="DEI66" s="146"/>
      <c r="DEJ66" s="146"/>
      <c r="DEK66" s="146"/>
      <c r="DEL66" s="146"/>
      <c r="DEM66" s="146"/>
      <c r="DEN66" s="146"/>
      <c r="DEO66" s="146"/>
      <c r="DEP66" s="146"/>
      <c r="DEQ66" s="146"/>
      <c r="DER66" s="146"/>
      <c r="DES66" s="146"/>
      <c r="DET66" s="146"/>
      <c r="DEU66" s="146"/>
      <c r="DEV66" s="146"/>
      <c r="DEW66" s="146"/>
      <c r="DEX66" s="146"/>
      <c r="DEY66" s="146"/>
      <c r="DEZ66" s="146"/>
      <c r="DFA66" s="146"/>
      <c r="DFB66" s="146"/>
      <c r="DFC66" s="146"/>
      <c r="DFD66" s="146"/>
      <c r="DFE66" s="146"/>
      <c r="DFF66" s="146"/>
      <c r="DFG66" s="146"/>
      <c r="DFH66" s="146"/>
      <c r="DFI66" s="146"/>
      <c r="DFJ66" s="146"/>
      <c r="DFK66" s="146"/>
      <c r="DFL66" s="146"/>
      <c r="DFM66" s="146"/>
      <c r="DFN66" s="146"/>
      <c r="DFO66" s="146"/>
      <c r="DFP66" s="146"/>
      <c r="DFQ66" s="146"/>
      <c r="DFR66" s="146"/>
      <c r="DFS66" s="146"/>
      <c r="DFT66" s="146"/>
      <c r="DFU66" s="146"/>
      <c r="DFV66" s="146"/>
      <c r="DFW66" s="146"/>
      <c r="DFX66" s="146"/>
      <c r="DFY66" s="146"/>
      <c r="DFZ66" s="146"/>
      <c r="DGA66" s="146"/>
      <c r="DGB66" s="146"/>
      <c r="DGC66" s="146"/>
      <c r="DGD66" s="146"/>
      <c r="DGE66" s="146"/>
      <c r="DGF66" s="146"/>
      <c r="DGG66" s="146"/>
      <c r="DGH66" s="146"/>
      <c r="DGI66" s="146"/>
      <c r="DGJ66" s="146"/>
      <c r="DGK66" s="146"/>
      <c r="DGL66" s="146"/>
      <c r="DGM66" s="146"/>
      <c r="DGN66" s="146"/>
      <c r="DGO66" s="146"/>
      <c r="DGP66" s="146"/>
      <c r="DGQ66" s="146"/>
      <c r="DGR66" s="146"/>
      <c r="DGS66" s="146"/>
      <c r="DGT66" s="146"/>
      <c r="DGU66" s="146"/>
      <c r="DGV66" s="146"/>
      <c r="DGW66" s="146"/>
      <c r="DGX66" s="146"/>
      <c r="DGY66" s="146"/>
      <c r="DGZ66" s="146"/>
      <c r="DHA66" s="146"/>
      <c r="DHB66" s="146"/>
      <c r="DHC66" s="146"/>
      <c r="DHD66" s="146"/>
      <c r="DHE66" s="146"/>
      <c r="DHF66" s="146"/>
      <c r="DHG66" s="146"/>
      <c r="DHH66" s="146"/>
      <c r="DHI66" s="146"/>
      <c r="DHJ66" s="146"/>
      <c r="DHK66" s="146"/>
      <c r="DHL66" s="146"/>
      <c r="DHM66" s="146"/>
      <c r="DHN66" s="146"/>
      <c r="DHO66" s="146"/>
      <c r="DHP66" s="146"/>
      <c r="DHQ66" s="146"/>
      <c r="DHR66" s="146"/>
      <c r="DHS66" s="146"/>
      <c r="DHT66" s="146"/>
      <c r="DHU66" s="146"/>
      <c r="DHV66" s="146"/>
      <c r="DHW66" s="146"/>
      <c r="DHX66" s="146"/>
      <c r="DHY66" s="146"/>
      <c r="DHZ66" s="146"/>
      <c r="DIA66" s="146"/>
      <c r="DIB66" s="146"/>
      <c r="DIC66" s="146"/>
      <c r="DID66" s="146"/>
      <c r="DIE66" s="146"/>
      <c r="DIF66" s="146"/>
      <c r="DIG66" s="146"/>
      <c r="DIH66" s="146"/>
      <c r="DII66" s="146"/>
      <c r="DIJ66" s="146"/>
      <c r="DIK66" s="146"/>
      <c r="DIL66" s="146"/>
      <c r="DIM66" s="146"/>
      <c r="DIN66" s="146"/>
      <c r="DIO66" s="146"/>
      <c r="DIP66" s="146"/>
      <c r="DIQ66" s="146"/>
      <c r="DIR66" s="146"/>
      <c r="DIS66" s="146"/>
      <c r="DIT66" s="146"/>
      <c r="DIU66" s="146"/>
      <c r="DIV66" s="146"/>
      <c r="DIW66" s="146"/>
      <c r="DIX66" s="146"/>
      <c r="DIY66" s="146"/>
      <c r="DIZ66" s="146"/>
      <c r="DJA66" s="146"/>
      <c r="DJB66" s="146"/>
      <c r="DJC66" s="146"/>
      <c r="DJD66" s="146"/>
      <c r="DJE66" s="146"/>
      <c r="DJF66" s="146"/>
      <c r="DJG66" s="146"/>
      <c r="DJH66" s="146"/>
      <c r="DJI66" s="146"/>
      <c r="DJJ66" s="146"/>
      <c r="DJK66" s="146"/>
      <c r="DJL66" s="146"/>
      <c r="DJM66" s="146"/>
      <c r="DJN66" s="146"/>
      <c r="DJO66" s="146"/>
      <c r="DJP66" s="146"/>
      <c r="DJQ66" s="146"/>
      <c r="DJR66" s="146"/>
      <c r="DJS66" s="146"/>
      <c r="DJT66" s="146"/>
      <c r="DJU66" s="146"/>
      <c r="DJV66" s="146"/>
      <c r="DJW66" s="146"/>
      <c r="DJX66" s="146"/>
      <c r="DJY66" s="146"/>
      <c r="DJZ66" s="146"/>
      <c r="DKA66" s="146"/>
      <c r="DKB66" s="146"/>
      <c r="DKC66" s="146"/>
      <c r="DKD66" s="146"/>
      <c r="DKE66" s="146"/>
      <c r="DKF66" s="146"/>
      <c r="DKG66" s="146"/>
      <c r="DKH66" s="146"/>
      <c r="DKI66" s="146"/>
      <c r="DKJ66" s="146"/>
      <c r="DKK66" s="146"/>
      <c r="DKL66" s="146"/>
      <c r="DKM66" s="146"/>
      <c r="DKN66" s="146"/>
      <c r="DKO66" s="146"/>
      <c r="DKP66" s="146"/>
      <c r="DKQ66" s="146"/>
      <c r="DKR66" s="146"/>
      <c r="DKS66" s="146"/>
      <c r="DKT66" s="146"/>
      <c r="DKU66" s="146"/>
      <c r="DKV66" s="146"/>
      <c r="DKW66" s="146"/>
      <c r="DKX66" s="146"/>
      <c r="DKY66" s="146"/>
      <c r="DKZ66" s="146"/>
      <c r="DLA66" s="146"/>
      <c r="DLB66" s="146"/>
      <c r="DLC66" s="146"/>
      <c r="DLD66" s="146"/>
      <c r="DLE66" s="146"/>
      <c r="DLF66" s="146"/>
      <c r="DLG66" s="146"/>
      <c r="DLH66" s="146"/>
      <c r="DLI66" s="146"/>
      <c r="DLJ66" s="146"/>
      <c r="DLK66" s="146"/>
      <c r="DLL66" s="146"/>
      <c r="DLM66" s="146"/>
      <c r="DLN66" s="146"/>
      <c r="DLO66" s="146"/>
      <c r="DLP66" s="146"/>
      <c r="DLQ66" s="146"/>
      <c r="DLR66" s="146"/>
      <c r="DLS66" s="146"/>
      <c r="DLT66" s="146"/>
      <c r="DLU66" s="146"/>
      <c r="DLV66" s="146"/>
      <c r="DLW66" s="146"/>
      <c r="DLX66" s="146"/>
      <c r="DLY66" s="146"/>
      <c r="DLZ66" s="146"/>
      <c r="DMA66" s="146"/>
      <c r="DMB66" s="146"/>
      <c r="DMC66" s="146"/>
      <c r="DMD66" s="146"/>
      <c r="DME66" s="146"/>
      <c r="DMF66" s="146"/>
      <c r="DMG66" s="146"/>
      <c r="DMH66" s="146"/>
      <c r="DMI66" s="146"/>
      <c r="DMJ66" s="146"/>
      <c r="DMK66" s="146"/>
      <c r="DML66" s="146"/>
      <c r="DMM66" s="146"/>
      <c r="DMN66" s="146"/>
      <c r="DMO66" s="146"/>
      <c r="DMP66" s="146"/>
      <c r="DMQ66" s="146"/>
      <c r="DMR66" s="146"/>
      <c r="DMS66" s="146"/>
      <c r="DMT66" s="146"/>
      <c r="DMU66" s="146"/>
      <c r="DMV66" s="146"/>
      <c r="DMW66" s="146"/>
      <c r="DMX66" s="146"/>
      <c r="DMY66" s="146"/>
      <c r="DMZ66" s="146"/>
      <c r="DNA66" s="146"/>
      <c r="DNB66" s="146"/>
      <c r="DNC66" s="146"/>
      <c r="DND66" s="146"/>
      <c r="DNE66" s="146"/>
      <c r="DNF66" s="146"/>
      <c r="DNG66" s="146"/>
      <c r="DNH66" s="146"/>
      <c r="DNI66" s="146"/>
      <c r="DNJ66" s="146"/>
      <c r="DNK66" s="146"/>
      <c r="DNL66" s="146"/>
      <c r="DNM66" s="146"/>
      <c r="DNN66" s="146"/>
      <c r="DNO66" s="146"/>
      <c r="DNP66" s="146"/>
      <c r="DNQ66" s="146"/>
      <c r="DNR66" s="146"/>
      <c r="DNS66" s="146"/>
      <c r="DNT66" s="146"/>
      <c r="DNU66" s="146"/>
      <c r="DNV66" s="146"/>
      <c r="DNW66" s="146"/>
      <c r="DNX66" s="146"/>
      <c r="DNY66" s="146"/>
      <c r="DNZ66" s="146"/>
      <c r="DOA66" s="146"/>
      <c r="DOB66" s="146"/>
      <c r="DOC66" s="146"/>
      <c r="DOD66" s="146"/>
      <c r="DOE66" s="146"/>
      <c r="DOF66" s="146"/>
      <c r="DOG66" s="146"/>
      <c r="DOH66" s="146"/>
      <c r="DOI66" s="146"/>
      <c r="DOJ66" s="146"/>
      <c r="DOK66" s="146"/>
      <c r="DOL66" s="146"/>
      <c r="DOM66" s="146"/>
      <c r="DON66" s="146"/>
      <c r="DOO66" s="146"/>
      <c r="DOP66" s="146"/>
      <c r="DOQ66" s="146"/>
      <c r="DOR66" s="146"/>
      <c r="DOS66" s="146"/>
      <c r="DOT66" s="146"/>
      <c r="DOU66" s="146"/>
      <c r="DOV66" s="146"/>
      <c r="DOW66" s="146"/>
      <c r="DOX66" s="146"/>
      <c r="DOY66" s="146"/>
      <c r="DOZ66" s="146"/>
      <c r="DPA66" s="146"/>
      <c r="DPB66" s="146"/>
      <c r="DPC66" s="146"/>
      <c r="DPD66" s="146"/>
      <c r="DPE66" s="146"/>
      <c r="DPF66" s="146"/>
      <c r="DPG66" s="146"/>
      <c r="DPH66" s="146"/>
      <c r="DPI66" s="146"/>
      <c r="DPJ66" s="146"/>
      <c r="DPK66" s="146"/>
      <c r="DPL66" s="146"/>
      <c r="DPM66" s="146"/>
      <c r="DPN66" s="146"/>
      <c r="DPO66" s="146"/>
      <c r="DPP66" s="146"/>
      <c r="DPQ66" s="146"/>
      <c r="DPR66" s="146"/>
      <c r="DPS66" s="146"/>
      <c r="DPT66" s="146"/>
      <c r="DPU66" s="146"/>
      <c r="DPV66" s="146"/>
      <c r="DPW66" s="146"/>
      <c r="DPX66" s="146"/>
      <c r="DPY66" s="146"/>
      <c r="DPZ66" s="146"/>
      <c r="DQA66" s="146"/>
      <c r="DQB66" s="146"/>
      <c r="DQC66" s="146"/>
      <c r="DQD66" s="146"/>
      <c r="DQE66" s="146"/>
      <c r="DQF66" s="146"/>
      <c r="DQG66" s="146"/>
      <c r="DQH66" s="146"/>
      <c r="DQI66" s="146"/>
      <c r="DQJ66" s="146"/>
      <c r="DQK66" s="146"/>
      <c r="DQL66" s="146"/>
      <c r="DQM66" s="146"/>
      <c r="DQN66" s="146"/>
      <c r="DQO66" s="146"/>
      <c r="DQP66" s="146"/>
      <c r="DQQ66" s="146"/>
      <c r="DQR66" s="146"/>
      <c r="DQS66" s="146"/>
      <c r="DQT66" s="146"/>
      <c r="DQU66" s="146"/>
      <c r="DQV66" s="146"/>
      <c r="DQW66" s="146"/>
      <c r="DQX66" s="146"/>
      <c r="DQY66" s="146"/>
      <c r="DQZ66" s="146"/>
      <c r="DRA66" s="146"/>
      <c r="DRB66" s="146"/>
      <c r="DRC66" s="146"/>
      <c r="DRD66" s="146"/>
      <c r="DRE66" s="146"/>
      <c r="DRF66" s="146"/>
      <c r="DRG66" s="146"/>
      <c r="DRH66" s="146"/>
      <c r="DRI66" s="146"/>
      <c r="DRJ66" s="146"/>
      <c r="DRK66" s="146"/>
      <c r="DRL66" s="146"/>
      <c r="DRM66" s="146"/>
      <c r="DRN66" s="146"/>
      <c r="DRO66" s="146"/>
      <c r="DRP66" s="146"/>
      <c r="DRQ66" s="146"/>
      <c r="DRR66" s="146"/>
      <c r="DRS66" s="146"/>
      <c r="DRT66" s="146"/>
      <c r="DRU66" s="146"/>
      <c r="DRV66" s="146"/>
      <c r="DRW66" s="146"/>
      <c r="DRX66" s="146"/>
      <c r="DRY66" s="146"/>
      <c r="DRZ66" s="146"/>
      <c r="DSA66" s="146"/>
      <c r="DSB66" s="146"/>
      <c r="DSC66" s="146"/>
      <c r="DSD66" s="146"/>
      <c r="DSE66" s="146"/>
      <c r="DSF66" s="146"/>
      <c r="DSG66" s="146"/>
      <c r="DSH66" s="146"/>
      <c r="DSI66" s="146"/>
      <c r="DSJ66" s="146"/>
      <c r="DSK66" s="146"/>
      <c r="DSL66" s="146"/>
      <c r="DSM66" s="146"/>
      <c r="DSN66" s="146"/>
      <c r="DSO66" s="146"/>
      <c r="DSP66" s="146"/>
      <c r="DSQ66" s="146"/>
      <c r="DSR66" s="146"/>
      <c r="DSS66" s="146"/>
      <c r="DST66" s="146"/>
      <c r="DSU66" s="146"/>
      <c r="DSV66" s="146"/>
      <c r="DSW66" s="146"/>
      <c r="DSX66" s="146"/>
      <c r="DSY66" s="146"/>
      <c r="DSZ66" s="146"/>
      <c r="DTA66" s="146"/>
      <c r="DTB66" s="146"/>
      <c r="DTC66" s="146"/>
      <c r="DTD66" s="146"/>
      <c r="DTE66" s="146"/>
      <c r="DTF66" s="146"/>
      <c r="DTG66" s="146"/>
      <c r="DTH66" s="146"/>
      <c r="DTI66" s="146"/>
      <c r="DTJ66" s="146"/>
      <c r="DTK66" s="146"/>
      <c r="DTL66" s="146"/>
      <c r="DTM66" s="146"/>
      <c r="DTN66" s="146"/>
      <c r="DTO66" s="146"/>
      <c r="DTP66" s="146"/>
      <c r="DTQ66" s="146"/>
      <c r="DTR66" s="146"/>
      <c r="DTS66" s="146"/>
      <c r="DTT66" s="146"/>
      <c r="DTU66" s="146"/>
      <c r="DTV66" s="146"/>
      <c r="DTW66" s="146"/>
      <c r="DTX66" s="146"/>
      <c r="DTY66" s="146"/>
      <c r="DTZ66" s="146"/>
      <c r="DUA66" s="146"/>
      <c r="DUB66" s="146"/>
      <c r="DUC66" s="146"/>
      <c r="DUD66" s="146"/>
      <c r="DUE66" s="146"/>
      <c r="DUF66" s="146"/>
      <c r="DUG66" s="146"/>
      <c r="DUH66" s="146"/>
      <c r="DUI66" s="146"/>
      <c r="DUJ66" s="146"/>
      <c r="DUK66" s="146"/>
      <c r="DUL66" s="146"/>
      <c r="DUM66" s="146"/>
      <c r="DUN66" s="146"/>
      <c r="DUO66" s="146"/>
      <c r="DUP66" s="146"/>
      <c r="DUQ66" s="146"/>
      <c r="DUR66" s="146"/>
      <c r="DUS66" s="146"/>
      <c r="DUT66" s="146"/>
      <c r="DUU66" s="146"/>
      <c r="DUV66" s="146"/>
      <c r="DUW66" s="146"/>
      <c r="DUX66" s="146"/>
      <c r="DUY66" s="146"/>
      <c r="DUZ66" s="146"/>
      <c r="DVA66" s="146"/>
      <c r="DVB66" s="146"/>
      <c r="DVC66" s="146"/>
      <c r="DVD66" s="146"/>
      <c r="DVE66" s="146"/>
      <c r="DVF66" s="146"/>
      <c r="DVG66" s="146"/>
      <c r="DVH66" s="146"/>
      <c r="DVI66" s="146"/>
      <c r="DVJ66" s="146"/>
      <c r="DVK66" s="146"/>
      <c r="DVL66" s="146"/>
      <c r="DVM66" s="146"/>
      <c r="DVN66" s="146"/>
      <c r="DVO66" s="146"/>
      <c r="DVP66" s="146"/>
      <c r="DVQ66" s="146"/>
      <c r="DVR66" s="146"/>
      <c r="DVS66" s="146"/>
      <c r="DVT66" s="146"/>
      <c r="DVU66" s="146"/>
      <c r="DVV66" s="146"/>
      <c r="DVW66" s="146"/>
      <c r="DVX66" s="146"/>
      <c r="DVY66" s="146"/>
      <c r="DVZ66" s="146"/>
      <c r="DWA66" s="146"/>
      <c r="DWB66" s="146"/>
      <c r="DWC66" s="146"/>
      <c r="DWD66" s="146"/>
      <c r="DWE66" s="146"/>
      <c r="DWF66" s="146"/>
      <c r="DWG66" s="146"/>
      <c r="DWH66" s="146"/>
      <c r="DWI66" s="146"/>
      <c r="DWJ66" s="146"/>
      <c r="DWK66" s="146"/>
      <c r="DWL66" s="146"/>
      <c r="DWM66" s="146"/>
      <c r="DWN66" s="146"/>
      <c r="DWO66" s="146"/>
      <c r="DWP66" s="146"/>
      <c r="DWQ66" s="146"/>
      <c r="DWR66" s="146"/>
      <c r="DWS66" s="146"/>
      <c r="DWT66" s="146"/>
      <c r="DWU66" s="146"/>
      <c r="DWV66" s="146"/>
      <c r="DWW66" s="146"/>
      <c r="DWX66" s="146"/>
      <c r="DWY66" s="146"/>
      <c r="DWZ66" s="146"/>
      <c r="DXA66" s="146"/>
      <c r="DXB66" s="146"/>
      <c r="DXC66" s="146"/>
      <c r="DXD66" s="146"/>
      <c r="DXE66" s="146"/>
      <c r="DXF66" s="146"/>
      <c r="DXG66" s="146"/>
      <c r="DXH66" s="146"/>
      <c r="DXI66" s="146"/>
      <c r="DXJ66" s="146"/>
      <c r="DXK66" s="146"/>
      <c r="DXL66" s="146"/>
      <c r="DXM66" s="146"/>
      <c r="DXN66" s="146"/>
      <c r="DXO66" s="146"/>
      <c r="DXP66" s="146"/>
      <c r="DXQ66" s="146"/>
      <c r="DXR66" s="146"/>
      <c r="DXS66" s="146"/>
      <c r="DXT66" s="146"/>
      <c r="DXU66" s="146"/>
      <c r="DXV66" s="146"/>
      <c r="DXW66" s="146"/>
      <c r="DXX66" s="146"/>
      <c r="DXY66" s="146"/>
      <c r="DXZ66" s="146"/>
      <c r="DYA66" s="146"/>
      <c r="DYB66" s="146"/>
      <c r="DYC66" s="146"/>
      <c r="DYD66" s="146"/>
      <c r="DYE66" s="146"/>
      <c r="DYF66" s="146"/>
      <c r="DYG66" s="146"/>
      <c r="DYH66" s="146"/>
      <c r="DYI66" s="146"/>
      <c r="DYJ66" s="146"/>
      <c r="DYK66" s="146"/>
      <c r="DYL66" s="146"/>
      <c r="DYM66" s="146"/>
      <c r="DYN66" s="146"/>
      <c r="DYO66" s="146"/>
      <c r="DYP66" s="146"/>
      <c r="DYQ66" s="146"/>
      <c r="DYR66" s="146"/>
      <c r="DYS66" s="146"/>
      <c r="DYT66" s="146"/>
      <c r="DYU66" s="146"/>
      <c r="DYV66" s="146"/>
      <c r="DYW66" s="146"/>
      <c r="DYX66" s="146"/>
      <c r="DYY66" s="146"/>
      <c r="DYZ66" s="146"/>
      <c r="DZA66" s="146"/>
      <c r="DZB66" s="146"/>
      <c r="DZC66" s="146"/>
      <c r="DZD66" s="146"/>
      <c r="DZE66" s="146"/>
      <c r="DZF66" s="146"/>
      <c r="DZG66" s="146"/>
      <c r="DZH66" s="146"/>
      <c r="DZI66" s="146"/>
      <c r="DZJ66" s="146"/>
      <c r="DZK66" s="146"/>
      <c r="DZL66" s="146"/>
      <c r="DZM66" s="146"/>
      <c r="DZN66" s="146"/>
      <c r="DZO66" s="146"/>
      <c r="DZP66" s="146"/>
      <c r="DZQ66" s="146"/>
      <c r="DZR66" s="146"/>
      <c r="DZS66" s="146"/>
      <c r="DZT66" s="146"/>
      <c r="DZU66" s="146"/>
      <c r="DZV66" s="146"/>
      <c r="DZW66" s="146"/>
      <c r="DZX66" s="146"/>
      <c r="DZY66" s="146"/>
      <c r="DZZ66" s="146"/>
      <c r="EAA66" s="146"/>
      <c r="EAB66" s="146"/>
      <c r="EAC66" s="146"/>
      <c r="EAD66" s="146"/>
      <c r="EAE66" s="146"/>
      <c r="EAF66" s="146"/>
      <c r="EAG66" s="146"/>
      <c r="EAH66" s="146"/>
      <c r="EAI66" s="146"/>
      <c r="EAJ66" s="146"/>
      <c r="EAK66" s="146"/>
      <c r="EAL66" s="146"/>
      <c r="EAM66" s="146"/>
      <c r="EAN66" s="146"/>
      <c r="EAO66" s="146"/>
      <c r="EAP66" s="146"/>
      <c r="EAQ66" s="146"/>
      <c r="EAR66" s="146"/>
      <c r="EAS66" s="146"/>
      <c r="EAT66" s="146"/>
      <c r="EAU66" s="146"/>
      <c r="EAV66" s="146"/>
      <c r="EAW66" s="146"/>
      <c r="EAX66" s="146"/>
      <c r="EAY66" s="146"/>
      <c r="EAZ66" s="146"/>
      <c r="EBA66" s="146"/>
      <c r="EBB66" s="146"/>
      <c r="EBC66" s="146"/>
      <c r="EBD66" s="146"/>
      <c r="EBE66" s="146"/>
      <c r="EBF66" s="146"/>
      <c r="EBG66" s="146"/>
      <c r="EBH66" s="146"/>
      <c r="EBI66" s="146"/>
      <c r="EBJ66" s="146"/>
      <c r="EBK66" s="146"/>
      <c r="EBL66" s="146"/>
      <c r="EBM66" s="146"/>
      <c r="EBN66" s="146"/>
      <c r="EBO66" s="146"/>
      <c r="EBP66" s="146"/>
      <c r="EBQ66" s="146"/>
      <c r="EBR66" s="146"/>
      <c r="EBS66" s="146"/>
      <c r="EBT66" s="146"/>
      <c r="EBU66" s="146"/>
      <c r="EBV66" s="146"/>
      <c r="EBW66" s="146"/>
      <c r="EBX66" s="146"/>
      <c r="EBY66" s="146"/>
      <c r="EBZ66" s="146"/>
      <c r="ECA66" s="146"/>
      <c r="ECB66" s="146"/>
      <c r="ECC66" s="146"/>
      <c r="ECD66" s="146"/>
      <c r="ECE66" s="146"/>
      <c r="ECF66" s="146"/>
      <c r="ECG66" s="146"/>
      <c r="ECH66" s="146"/>
      <c r="ECI66" s="146"/>
      <c r="ECJ66" s="146"/>
      <c r="ECK66" s="146"/>
      <c r="ECL66" s="146"/>
      <c r="ECM66" s="146"/>
      <c r="ECN66" s="146"/>
      <c r="ECO66" s="146"/>
      <c r="ECP66" s="146"/>
      <c r="ECQ66" s="146"/>
      <c r="ECR66" s="146"/>
      <c r="ECS66" s="146"/>
      <c r="ECT66" s="146"/>
      <c r="ECU66" s="146"/>
      <c r="ECV66" s="146"/>
      <c r="ECW66" s="146"/>
      <c r="ECX66" s="146"/>
      <c r="ECY66" s="146"/>
      <c r="ECZ66" s="146"/>
      <c r="EDA66" s="146"/>
      <c r="EDB66" s="146"/>
      <c r="EDC66" s="146"/>
      <c r="EDD66" s="146"/>
      <c r="EDE66" s="146"/>
      <c r="EDF66" s="146"/>
      <c r="EDG66" s="146"/>
      <c r="EDH66" s="146"/>
      <c r="EDI66" s="146"/>
      <c r="EDJ66" s="146"/>
      <c r="EDK66" s="146"/>
      <c r="EDL66" s="146"/>
      <c r="EDM66" s="146"/>
      <c r="EDN66" s="146"/>
      <c r="EDO66" s="146"/>
      <c r="EDP66" s="146"/>
      <c r="EDQ66" s="146"/>
      <c r="EDR66" s="146"/>
      <c r="EDS66" s="146"/>
      <c r="EDT66" s="146"/>
      <c r="EDU66" s="146"/>
      <c r="EDV66" s="146"/>
      <c r="EDW66" s="146"/>
      <c r="EDX66" s="146"/>
      <c r="EDY66" s="146"/>
      <c r="EDZ66" s="146"/>
      <c r="EEA66" s="146"/>
      <c r="EEB66" s="146"/>
      <c r="EEC66" s="146"/>
      <c r="EED66" s="146"/>
      <c r="EEE66" s="146"/>
      <c r="EEF66" s="146"/>
      <c r="EEG66" s="146"/>
      <c r="EEH66" s="146"/>
      <c r="EEI66" s="146"/>
      <c r="EEJ66" s="146"/>
      <c r="EEK66" s="146"/>
      <c r="EEL66" s="146"/>
      <c r="EEM66" s="146"/>
      <c r="EEN66" s="146"/>
      <c r="EEO66" s="146"/>
      <c r="EEP66" s="146"/>
      <c r="EEQ66" s="146"/>
      <c r="EER66" s="146"/>
      <c r="EES66" s="146"/>
      <c r="EET66" s="146"/>
      <c r="EEU66" s="146"/>
      <c r="EEV66" s="146"/>
      <c r="EEW66" s="146"/>
      <c r="EEX66" s="146"/>
      <c r="EEY66" s="146"/>
      <c r="EEZ66" s="146"/>
      <c r="EFA66" s="146"/>
      <c r="EFB66" s="146"/>
      <c r="EFC66" s="146"/>
      <c r="EFD66" s="146"/>
      <c r="EFE66" s="146"/>
      <c r="EFF66" s="146"/>
      <c r="EFG66" s="146"/>
      <c r="EFH66" s="146"/>
      <c r="EFI66" s="146"/>
      <c r="EFJ66" s="146"/>
      <c r="EFK66" s="146"/>
      <c r="EFL66" s="146"/>
      <c r="EFM66" s="146"/>
      <c r="EFN66" s="146"/>
      <c r="EFO66" s="146"/>
      <c r="EFP66" s="146"/>
      <c r="EFQ66" s="146"/>
      <c r="EFR66" s="146"/>
      <c r="EFS66" s="146"/>
      <c r="EFT66" s="146"/>
      <c r="EFU66" s="146"/>
      <c r="EFV66" s="146"/>
      <c r="EFW66" s="146"/>
      <c r="EFX66" s="146"/>
      <c r="EFY66" s="146"/>
      <c r="EFZ66" s="146"/>
      <c r="EGA66" s="146"/>
      <c r="EGB66" s="146"/>
      <c r="EGC66" s="146"/>
      <c r="EGD66" s="146"/>
      <c r="EGE66" s="146"/>
      <c r="EGF66" s="146"/>
      <c r="EGG66" s="146"/>
      <c r="EGH66" s="146"/>
      <c r="EGI66" s="146"/>
      <c r="EGJ66" s="146"/>
      <c r="EGK66" s="146"/>
      <c r="EGL66" s="146"/>
      <c r="EGM66" s="146"/>
      <c r="EGN66" s="146"/>
      <c r="EGO66" s="146"/>
      <c r="EGP66" s="146"/>
      <c r="EGQ66" s="146"/>
      <c r="EGR66" s="146"/>
      <c r="EGS66" s="146"/>
      <c r="EGT66" s="146"/>
      <c r="EGU66" s="146"/>
      <c r="EGV66" s="146"/>
      <c r="EGW66" s="146"/>
      <c r="EGX66" s="146"/>
      <c r="EGY66" s="146"/>
      <c r="EGZ66" s="146"/>
      <c r="EHA66" s="146"/>
      <c r="EHB66" s="146"/>
      <c r="EHC66" s="146"/>
      <c r="EHD66" s="146"/>
      <c r="EHE66" s="146"/>
      <c r="EHF66" s="146"/>
      <c r="EHG66" s="146"/>
      <c r="EHH66" s="146"/>
      <c r="EHI66" s="146"/>
      <c r="EHJ66" s="146"/>
      <c r="EHK66" s="146"/>
      <c r="EHL66" s="146"/>
      <c r="EHM66" s="146"/>
      <c r="EHN66" s="146"/>
      <c r="EHO66" s="146"/>
      <c r="EHP66" s="146"/>
      <c r="EHQ66" s="146"/>
      <c r="EHR66" s="146"/>
      <c r="EHS66" s="146"/>
      <c r="EHT66" s="146"/>
      <c r="EHU66" s="146"/>
      <c r="EHV66" s="146"/>
      <c r="EHW66" s="146"/>
      <c r="EHX66" s="146"/>
      <c r="EHY66" s="146"/>
      <c r="EHZ66" s="146"/>
      <c r="EIA66" s="146"/>
      <c r="EIB66" s="146"/>
      <c r="EIC66" s="146"/>
      <c r="EID66" s="146"/>
      <c r="EIE66" s="146"/>
      <c r="EIF66" s="146"/>
      <c r="EIG66" s="146"/>
      <c r="EIH66" s="146"/>
      <c r="EII66" s="146"/>
      <c r="EIJ66" s="146"/>
      <c r="EIK66" s="146"/>
      <c r="EIL66" s="146"/>
      <c r="EIM66" s="146"/>
      <c r="EIN66" s="146"/>
      <c r="EIO66" s="146"/>
      <c r="EIP66" s="146"/>
      <c r="EIQ66" s="146"/>
      <c r="EIR66" s="146"/>
      <c r="EIS66" s="146"/>
      <c r="EIT66" s="146"/>
      <c r="EIU66" s="146"/>
      <c r="EIV66" s="146"/>
      <c r="EIW66" s="146"/>
      <c r="EIX66" s="146"/>
      <c r="EIY66" s="146"/>
      <c r="EIZ66" s="146"/>
      <c r="EJA66" s="146"/>
      <c r="EJB66" s="146"/>
      <c r="EJC66" s="146"/>
      <c r="EJD66" s="146"/>
      <c r="EJE66" s="146"/>
      <c r="EJF66" s="146"/>
      <c r="EJG66" s="146"/>
      <c r="EJH66" s="146"/>
      <c r="EJI66" s="146"/>
      <c r="EJJ66" s="146"/>
      <c r="EJK66" s="146"/>
      <c r="EJL66" s="146"/>
      <c r="EJM66" s="146"/>
      <c r="EJN66" s="146"/>
      <c r="EJO66" s="146"/>
      <c r="EJP66" s="146"/>
      <c r="EJQ66" s="146"/>
      <c r="EJR66" s="146"/>
      <c r="EJS66" s="146"/>
      <c r="EJT66" s="146"/>
      <c r="EJU66" s="146"/>
      <c r="EJV66" s="146"/>
      <c r="EJW66" s="146"/>
      <c r="EJX66" s="146"/>
      <c r="EJY66" s="146"/>
      <c r="EJZ66" s="146"/>
      <c r="EKA66" s="146"/>
      <c r="EKB66" s="146"/>
      <c r="EKC66" s="146"/>
      <c r="EKD66" s="146"/>
      <c r="EKE66" s="146"/>
      <c r="EKF66" s="146"/>
      <c r="EKG66" s="146"/>
      <c r="EKH66" s="146"/>
      <c r="EKI66" s="146"/>
      <c r="EKJ66" s="146"/>
      <c r="EKK66" s="146"/>
      <c r="EKL66" s="146"/>
      <c r="EKM66" s="146"/>
      <c r="EKN66" s="146"/>
      <c r="EKO66" s="146"/>
      <c r="EKP66" s="146"/>
      <c r="EKQ66" s="146"/>
      <c r="EKR66" s="146"/>
      <c r="EKS66" s="146"/>
      <c r="EKT66" s="146"/>
      <c r="EKU66" s="146"/>
      <c r="EKV66" s="146"/>
      <c r="EKW66" s="146"/>
      <c r="EKX66" s="146"/>
      <c r="EKY66" s="146"/>
      <c r="EKZ66" s="146"/>
      <c r="ELA66" s="146"/>
      <c r="ELB66" s="146"/>
      <c r="ELC66" s="146"/>
      <c r="ELD66" s="146"/>
      <c r="ELE66" s="146"/>
      <c r="ELF66" s="146"/>
      <c r="ELG66" s="146"/>
      <c r="ELH66" s="146"/>
      <c r="ELI66" s="146"/>
      <c r="ELJ66" s="146"/>
      <c r="ELK66" s="146"/>
      <c r="ELL66" s="146"/>
      <c r="ELM66" s="146"/>
      <c r="ELN66" s="146"/>
      <c r="ELO66" s="146"/>
      <c r="ELP66" s="146"/>
      <c r="ELQ66" s="146"/>
      <c r="ELR66" s="146"/>
      <c r="ELS66" s="146"/>
      <c r="ELT66" s="146"/>
      <c r="ELU66" s="146"/>
      <c r="ELV66" s="146"/>
      <c r="ELW66" s="146"/>
      <c r="ELX66" s="146"/>
      <c r="ELY66" s="146"/>
      <c r="ELZ66" s="146"/>
      <c r="EMA66" s="146"/>
      <c r="EMB66" s="146"/>
      <c r="EMC66" s="146"/>
      <c r="EMD66" s="146"/>
      <c r="EME66" s="146"/>
      <c r="EMF66" s="146"/>
      <c r="EMG66" s="146"/>
      <c r="EMH66" s="146"/>
      <c r="EMI66" s="146"/>
      <c r="EMJ66" s="146"/>
      <c r="EMK66" s="146"/>
      <c r="EML66" s="146"/>
      <c r="EMM66" s="146"/>
      <c r="EMN66" s="146"/>
      <c r="EMO66" s="146"/>
      <c r="EMP66" s="146"/>
      <c r="EMQ66" s="146"/>
      <c r="EMR66" s="146"/>
      <c r="EMS66" s="146"/>
      <c r="EMT66" s="146"/>
      <c r="EMU66" s="146"/>
      <c r="EMV66" s="146"/>
      <c r="EMW66" s="146"/>
      <c r="EMX66" s="146"/>
      <c r="EMY66" s="146"/>
      <c r="EMZ66" s="146"/>
      <c r="ENA66" s="146"/>
      <c r="ENB66" s="146"/>
      <c r="ENC66" s="146"/>
      <c r="END66" s="146"/>
      <c r="ENE66" s="146"/>
      <c r="ENF66" s="146"/>
      <c r="ENG66" s="146"/>
      <c r="ENH66" s="146"/>
      <c r="ENI66" s="146"/>
      <c r="ENJ66" s="146"/>
      <c r="ENK66" s="146"/>
      <c r="ENL66" s="146"/>
      <c r="ENM66" s="146"/>
      <c r="ENN66" s="146"/>
      <c r="ENO66" s="146"/>
      <c r="ENP66" s="146"/>
      <c r="ENQ66" s="146"/>
      <c r="ENR66" s="146"/>
      <c r="ENS66" s="146"/>
      <c r="ENT66" s="146"/>
      <c r="ENU66" s="146"/>
      <c r="ENV66" s="146"/>
      <c r="ENW66" s="146"/>
      <c r="ENX66" s="146"/>
      <c r="ENY66" s="146"/>
      <c r="ENZ66" s="146"/>
      <c r="EOA66" s="146"/>
      <c r="EOB66" s="146"/>
      <c r="EOC66" s="146"/>
      <c r="EOD66" s="146"/>
      <c r="EOE66" s="146"/>
      <c r="EOF66" s="146"/>
      <c r="EOG66" s="146"/>
      <c r="EOH66" s="146"/>
      <c r="EOI66" s="146"/>
      <c r="EOJ66" s="146"/>
      <c r="EOK66" s="146"/>
      <c r="EOL66" s="146"/>
      <c r="EOM66" s="146"/>
      <c r="EON66" s="146"/>
      <c r="EOO66" s="146"/>
      <c r="EOP66" s="146"/>
      <c r="EOQ66" s="146"/>
      <c r="EOR66" s="146"/>
      <c r="EOS66" s="146"/>
      <c r="EOT66" s="146"/>
      <c r="EOU66" s="146"/>
      <c r="EOV66" s="146"/>
      <c r="EOW66" s="146"/>
      <c r="EOX66" s="146"/>
      <c r="EOY66" s="146"/>
      <c r="EOZ66" s="146"/>
      <c r="EPA66" s="146"/>
      <c r="EPB66" s="146"/>
      <c r="EPC66" s="146"/>
      <c r="EPD66" s="146"/>
      <c r="EPE66" s="146"/>
      <c r="EPF66" s="146"/>
      <c r="EPG66" s="146"/>
      <c r="EPH66" s="146"/>
      <c r="EPI66" s="146"/>
      <c r="EPJ66" s="146"/>
      <c r="EPK66" s="146"/>
      <c r="EPL66" s="146"/>
      <c r="EPM66" s="146"/>
      <c r="EPN66" s="146"/>
      <c r="EPO66" s="146"/>
      <c r="EPP66" s="146"/>
      <c r="EPQ66" s="146"/>
      <c r="EPR66" s="146"/>
      <c r="EPS66" s="146"/>
      <c r="EPT66" s="146"/>
      <c r="EPU66" s="146"/>
      <c r="EPV66" s="146"/>
      <c r="EPW66" s="146"/>
      <c r="EPX66" s="146"/>
      <c r="EPY66" s="146"/>
      <c r="EPZ66" s="146"/>
      <c r="EQA66" s="146"/>
      <c r="EQB66" s="146"/>
      <c r="EQC66" s="146"/>
      <c r="EQD66" s="146"/>
      <c r="EQE66" s="146"/>
      <c r="EQF66" s="146"/>
      <c r="EQG66" s="146"/>
      <c r="EQH66" s="146"/>
      <c r="EQI66" s="146"/>
      <c r="EQJ66" s="146"/>
      <c r="EQK66" s="146"/>
      <c r="EQL66" s="146"/>
      <c r="EQM66" s="146"/>
      <c r="EQN66" s="146"/>
      <c r="EQO66" s="146"/>
      <c r="EQP66" s="146"/>
      <c r="EQQ66" s="146"/>
      <c r="EQR66" s="146"/>
      <c r="EQS66" s="146"/>
      <c r="EQT66" s="146"/>
      <c r="EQU66" s="146"/>
      <c r="EQV66" s="146"/>
      <c r="EQW66" s="146"/>
      <c r="EQX66" s="146"/>
      <c r="EQY66" s="146"/>
      <c r="EQZ66" s="146"/>
      <c r="ERA66" s="146"/>
      <c r="ERB66" s="146"/>
      <c r="ERC66" s="146"/>
      <c r="ERD66" s="146"/>
      <c r="ERE66" s="146"/>
      <c r="ERF66" s="146"/>
      <c r="ERG66" s="146"/>
      <c r="ERH66" s="146"/>
      <c r="ERI66" s="146"/>
      <c r="ERJ66" s="146"/>
      <c r="ERK66" s="146"/>
      <c r="ERL66" s="146"/>
      <c r="ERM66" s="146"/>
      <c r="ERN66" s="146"/>
      <c r="ERO66" s="146"/>
      <c r="ERP66" s="146"/>
      <c r="ERQ66" s="146"/>
      <c r="ERR66" s="146"/>
      <c r="ERS66" s="146"/>
      <c r="ERT66" s="146"/>
      <c r="ERU66" s="146"/>
      <c r="ERV66" s="146"/>
      <c r="ERW66" s="146"/>
      <c r="ERX66" s="146"/>
      <c r="ERY66" s="146"/>
      <c r="ERZ66" s="146"/>
      <c r="ESA66" s="146"/>
      <c r="ESB66" s="146"/>
      <c r="ESC66" s="146"/>
      <c r="ESD66" s="146"/>
      <c r="ESE66" s="146"/>
      <c r="ESF66" s="146"/>
      <c r="ESG66" s="146"/>
      <c r="ESH66" s="146"/>
      <c r="ESI66" s="146"/>
      <c r="ESJ66" s="146"/>
      <c r="ESK66" s="146"/>
      <c r="ESL66" s="146"/>
      <c r="ESM66" s="146"/>
      <c r="ESN66" s="146"/>
      <c r="ESO66" s="146"/>
      <c r="ESP66" s="146"/>
      <c r="ESQ66" s="146"/>
      <c r="ESR66" s="146"/>
      <c r="ESS66" s="146"/>
      <c r="EST66" s="146"/>
      <c r="ESU66" s="146"/>
      <c r="ESV66" s="146"/>
      <c r="ESW66" s="146"/>
      <c r="ESX66" s="146"/>
      <c r="ESY66" s="146"/>
      <c r="ESZ66" s="146"/>
      <c r="ETA66" s="146"/>
      <c r="ETB66" s="146"/>
      <c r="ETC66" s="146"/>
      <c r="ETD66" s="146"/>
      <c r="ETE66" s="146"/>
      <c r="ETF66" s="146"/>
      <c r="ETG66" s="146"/>
      <c r="ETH66" s="146"/>
      <c r="ETI66" s="146"/>
      <c r="ETJ66" s="146"/>
      <c r="ETK66" s="146"/>
      <c r="ETL66" s="146"/>
      <c r="ETM66" s="146"/>
      <c r="ETN66" s="146"/>
      <c r="ETO66" s="146"/>
      <c r="ETP66" s="146"/>
      <c r="ETQ66" s="146"/>
      <c r="ETR66" s="146"/>
      <c r="ETS66" s="146"/>
      <c r="ETT66" s="146"/>
      <c r="ETU66" s="146"/>
      <c r="ETV66" s="146"/>
      <c r="ETW66" s="146"/>
      <c r="ETX66" s="146"/>
      <c r="ETY66" s="146"/>
      <c r="ETZ66" s="146"/>
      <c r="EUA66" s="146"/>
      <c r="EUB66" s="146"/>
      <c r="EUC66" s="146"/>
      <c r="EUD66" s="146"/>
      <c r="EUE66" s="146"/>
      <c r="EUF66" s="146"/>
      <c r="EUG66" s="146"/>
      <c r="EUH66" s="146"/>
      <c r="EUI66" s="146"/>
      <c r="EUJ66" s="146"/>
      <c r="EUK66" s="146"/>
      <c r="EUL66" s="146"/>
      <c r="EUM66" s="146"/>
      <c r="EUN66" s="146"/>
      <c r="EUO66" s="146"/>
      <c r="EUP66" s="146"/>
      <c r="EUQ66" s="146"/>
      <c r="EUR66" s="146"/>
      <c r="EUS66" s="146"/>
      <c r="EUT66" s="146"/>
      <c r="EUU66" s="146"/>
      <c r="EUV66" s="146"/>
      <c r="EUW66" s="146"/>
      <c r="EUX66" s="146"/>
      <c r="EUY66" s="146"/>
      <c r="EUZ66" s="146"/>
      <c r="EVA66" s="146"/>
      <c r="EVB66" s="146"/>
      <c r="EVC66" s="146"/>
      <c r="EVD66" s="146"/>
      <c r="EVE66" s="146"/>
      <c r="EVF66" s="146"/>
      <c r="EVG66" s="146"/>
      <c r="EVH66" s="146"/>
      <c r="EVI66" s="146"/>
      <c r="EVJ66" s="146"/>
      <c r="EVK66" s="146"/>
      <c r="EVL66" s="146"/>
      <c r="EVM66" s="146"/>
      <c r="EVN66" s="146"/>
      <c r="EVO66" s="146"/>
      <c r="EVP66" s="146"/>
      <c r="EVQ66" s="146"/>
      <c r="EVR66" s="146"/>
      <c r="EVS66" s="146"/>
      <c r="EVT66" s="146"/>
      <c r="EVU66" s="146"/>
      <c r="EVV66" s="146"/>
      <c r="EVW66" s="146"/>
      <c r="EVX66" s="146"/>
      <c r="EVY66" s="146"/>
      <c r="EVZ66" s="146"/>
      <c r="EWA66" s="146"/>
      <c r="EWB66" s="146"/>
      <c r="EWC66" s="146"/>
      <c r="EWD66" s="146"/>
      <c r="EWE66" s="146"/>
      <c r="EWF66" s="146"/>
      <c r="EWG66" s="146"/>
      <c r="EWH66" s="146"/>
      <c r="EWI66" s="146"/>
      <c r="EWJ66" s="146"/>
      <c r="EWK66" s="146"/>
      <c r="EWL66" s="146"/>
      <c r="EWM66" s="146"/>
      <c r="EWN66" s="146"/>
      <c r="EWO66" s="146"/>
      <c r="EWP66" s="146"/>
      <c r="EWQ66" s="146"/>
      <c r="EWR66" s="146"/>
      <c r="EWS66" s="146"/>
      <c r="EWT66" s="146"/>
      <c r="EWU66" s="146"/>
      <c r="EWV66" s="146"/>
      <c r="EWW66" s="146"/>
      <c r="EWX66" s="146"/>
      <c r="EWY66" s="146"/>
      <c r="EWZ66" s="146"/>
      <c r="EXA66" s="146"/>
      <c r="EXB66" s="146"/>
      <c r="EXC66" s="146"/>
      <c r="EXD66" s="146"/>
      <c r="EXE66" s="146"/>
      <c r="EXF66" s="146"/>
      <c r="EXG66" s="146"/>
      <c r="EXH66" s="146"/>
      <c r="EXI66" s="146"/>
      <c r="EXJ66" s="146"/>
      <c r="EXK66" s="146"/>
      <c r="EXL66" s="146"/>
      <c r="EXM66" s="146"/>
      <c r="EXN66" s="146"/>
      <c r="EXO66" s="146"/>
      <c r="EXP66" s="146"/>
      <c r="EXQ66" s="146"/>
      <c r="EXR66" s="146"/>
      <c r="EXS66" s="146"/>
      <c r="EXT66" s="146"/>
      <c r="EXU66" s="146"/>
      <c r="EXV66" s="146"/>
      <c r="EXW66" s="146"/>
      <c r="EXX66" s="146"/>
      <c r="EXY66" s="146"/>
      <c r="EXZ66" s="146"/>
      <c r="EYA66" s="146"/>
      <c r="EYB66" s="146"/>
      <c r="EYC66" s="146"/>
      <c r="EYD66" s="146"/>
      <c r="EYE66" s="146"/>
      <c r="EYF66" s="146"/>
      <c r="EYG66" s="146"/>
      <c r="EYH66" s="146"/>
      <c r="EYI66" s="146"/>
      <c r="EYJ66" s="146"/>
      <c r="EYK66" s="146"/>
      <c r="EYL66" s="146"/>
      <c r="EYM66" s="146"/>
      <c r="EYN66" s="146"/>
      <c r="EYO66" s="146"/>
      <c r="EYP66" s="146"/>
      <c r="EYQ66" s="146"/>
      <c r="EYR66" s="146"/>
      <c r="EYS66" s="146"/>
      <c r="EYT66" s="146"/>
      <c r="EYU66" s="146"/>
      <c r="EYV66" s="146"/>
      <c r="EYW66" s="146"/>
      <c r="EYX66" s="146"/>
      <c r="EYY66" s="146"/>
      <c r="EYZ66" s="146"/>
      <c r="EZA66" s="146"/>
      <c r="EZB66" s="146"/>
      <c r="EZC66" s="146"/>
      <c r="EZD66" s="146"/>
      <c r="EZE66" s="146"/>
      <c r="EZF66" s="146"/>
      <c r="EZG66" s="146"/>
      <c r="EZH66" s="146"/>
      <c r="EZI66" s="146"/>
      <c r="EZJ66" s="146"/>
      <c r="EZK66" s="146"/>
      <c r="EZL66" s="146"/>
      <c r="EZM66" s="146"/>
      <c r="EZN66" s="146"/>
      <c r="EZO66" s="146"/>
      <c r="EZP66" s="146"/>
      <c r="EZQ66" s="146"/>
      <c r="EZR66" s="146"/>
      <c r="EZS66" s="146"/>
      <c r="EZT66" s="146"/>
      <c r="EZU66" s="146"/>
      <c r="EZV66" s="146"/>
      <c r="EZW66" s="146"/>
      <c r="EZX66" s="146"/>
      <c r="EZY66" s="146"/>
      <c r="EZZ66" s="146"/>
      <c r="FAA66" s="146"/>
      <c r="FAB66" s="146"/>
      <c r="FAC66" s="146"/>
      <c r="FAD66" s="146"/>
      <c r="FAE66" s="146"/>
      <c r="FAF66" s="146"/>
      <c r="FAG66" s="146"/>
      <c r="FAH66" s="146"/>
      <c r="FAI66" s="146"/>
      <c r="FAJ66" s="146"/>
      <c r="FAK66" s="146"/>
      <c r="FAL66" s="146"/>
      <c r="FAM66" s="146"/>
      <c r="FAN66" s="146"/>
      <c r="FAO66" s="146"/>
      <c r="FAP66" s="146"/>
      <c r="FAQ66" s="146"/>
      <c r="FAR66" s="146"/>
      <c r="FAS66" s="146"/>
      <c r="FAT66" s="146"/>
      <c r="FAU66" s="146"/>
      <c r="FAV66" s="146"/>
      <c r="FAW66" s="146"/>
      <c r="FAX66" s="146"/>
      <c r="FAY66" s="146"/>
      <c r="FAZ66" s="146"/>
      <c r="FBA66" s="146"/>
      <c r="FBB66" s="146"/>
      <c r="FBC66" s="146"/>
      <c r="FBD66" s="146"/>
      <c r="FBE66" s="146"/>
      <c r="FBF66" s="146"/>
      <c r="FBG66" s="146"/>
      <c r="FBH66" s="146"/>
      <c r="FBI66" s="146"/>
      <c r="FBJ66" s="146"/>
      <c r="FBK66" s="146"/>
      <c r="FBL66" s="146"/>
      <c r="FBM66" s="146"/>
      <c r="FBN66" s="146"/>
      <c r="FBO66" s="146"/>
      <c r="FBP66" s="146"/>
      <c r="FBQ66" s="146"/>
      <c r="FBR66" s="146"/>
      <c r="FBS66" s="146"/>
      <c r="FBT66" s="146"/>
      <c r="FBU66" s="146"/>
      <c r="FBV66" s="146"/>
      <c r="FBW66" s="146"/>
      <c r="FBX66" s="146"/>
      <c r="FBY66" s="146"/>
      <c r="FBZ66" s="146"/>
      <c r="FCA66" s="146"/>
      <c r="FCB66" s="146"/>
      <c r="FCC66" s="146"/>
      <c r="FCD66" s="146"/>
      <c r="FCE66" s="146"/>
      <c r="FCF66" s="146"/>
      <c r="FCG66" s="146"/>
      <c r="FCH66" s="146"/>
      <c r="FCI66" s="146"/>
      <c r="FCJ66" s="146"/>
      <c r="FCK66" s="146"/>
      <c r="FCL66" s="146"/>
      <c r="FCM66" s="146"/>
      <c r="FCN66" s="146"/>
      <c r="FCO66" s="146"/>
      <c r="FCP66" s="146"/>
      <c r="FCQ66" s="146"/>
      <c r="FCR66" s="146"/>
      <c r="FCS66" s="146"/>
      <c r="FCT66" s="146"/>
      <c r="FCU66" s="146"/>
      <c r="FCV66" s="146"/>
      <c r="FCW66" s="146"/>
      <c r="FCX66" s="146"/>
      <c r="FCY66" s="146"/>
      <c r="FCZ66" s="146"/>
      <c r="FDA66" s="146"/>
      <c r="FDB66" s="146"/>
      <c r="FDC66" s="146"/>
      <c r="FDD66" s="146"/>
      <c r="FDE66" s="146"/>
      <c r="FDF66" s="146"/>
      <c r="FDG66" s="146"/>
      <c r="FDH66" s="146"/>
      <c r="FDI66" s="146"/>
      <c r="FDJ66" s="146"/>
      <c r="FDK66" s="146"/>
      <c r="FDL66" s="146"/>
      <c r="FDM66" s="146"/>
      <c r="FDN66" s="146"/>
      <c r="FDO66" s="146"/>
      <c r="FDP66" s="146"/>
      <c r="FDQ66" s="146"/>
      <c r="FDR66" s="146"/>
      <c r="FDS66" s="146"/>
      <c r="FDT66" s="146"/>
      <c r="FDU66" s="146"/>
      <c r="FDV66" s="146"/>
      <c r="FDW66" s="146"/>
      <c r="FDX66" s="146"/>
      <c r="FDY66" s="146"/>
      <c r="FDZ66" s="146"/>
      <c r="FEA66" s="146"/>
      <c r="FEB66" s="146"/>
      <c r="FEC66" s="146"/>
      <c r="FED66" s="146"/>
      <c r="FEE66" s="146"/>
      <c r="FEF66" s="146"/>
      <c r="FEG66" s="146"/>
      <c r="FEH66" s="146"/>
      <c r="FEI66" s="146"/>
      <c r="FEJ66" s="146"/>
      <c r="FEK66" s="146"/>
      <c r="FEL66" s="146"/>
      <c r="FEM66" s="146"/>
      <c r="FEN66" s="146"/>
      <c r="FEO66" s="146"/>
      <c r="FEP66" s="146"/>
      <c r="FEQ66" s="146"/>
      <c r="FER66" s="146"/>
      <c r="FES66" s="146"/>
      <c r="FET66" s="146"/>
      <c r="FEU66" s="146"/>
      <c r="FEV66" s="146"/>
      <c r="FEW66" s="146"/>
      <c r="FEX66" s="146"/>
      <c r="FEY66" s="146"/>
      <c r="FEZ66" s="146"/>
      <c r="FFA66" s="146"/>
      <c r="FFB66" s="146"/>
      <c r="FFC66" s="146"/>
      <c r="FFD66" s="146"/>
      <c r="FFE66" s="146"/>
      <c r="FFF66" s="146"/>
      <c r="FFG66" s="146"/>
      <c r="FFH66" s="146"/>
      <c r="FFI66" s="146"/>
      <c r="FFJ66" s="146"/>
      <c r="FFK66" s="146"/>
      <c r="FFL66" s="146"/>
      <c r="FFM66" s="146"/>
      <c r="FFN66" s="146"/>
      <c r="FFO66" s="146"/>
      <c r="FFP66" s="146"/>
      <c r="FFQ66" s="146"/>
      <c r="FFR66" s="146"/>
      <c r="FFS66" s="146"/>
      <c r="FFT66" s="146"/>
      <c r="FFU66" s="146"/>
      <c r="FFV66" s="146"/>
      <c r="FFW66" s="146"/>
      <c r="FFX66" s="146"/>
      <c r="FFY66" s="146"/>
      <c r="FFZ66" s="146"/>
      <c r="FGA66" s="146"/>
      <c r="FGB66" s="146"/>
      <c r="FGC66" s="146"/>
      <c r="FGD66" s="146"/>
      <c r="FGE66" s="146"/>
      <c r="FGF66" s="146"/>
      <c r="FGG66" s="146"/>
      <c r="FGH66" s="146"/>
      <c r="FGI66" s="146"/>
      <c r="FGJ66" s="146"/>
      <c r="FGK66" s="146"/>
      <c r="FGL66" s="146"/>
      <c r="FGM66" s="146"/>
      <c r="FGN66" s="146"/>
      <c r="FGO66" s="146"/>
      <c r="FGP66" s="146"/>
      <c r="FGQ66" s="146"/>
      <c r="FGR66" s="146"/>
      <c r="FGS66" s="146"/>
      <c r="FGT66" s="146"/>
      <c r="FGU66" s="146"/>
      <c r="FGV66" s="146"/>
      <c r="FGW66" s="146"/>
      <c r="FGX66" s="146"/>
      <c r="FGY66" s="146"/>
      <c r="FGZ66" s="146"/>
      <c r="FHA66" s="146"/>
      <c r="FHB66" s="146"/>
      <c r="FHC66" s="146"/>
      <c r="FHD66" s="146"/>
      <c r="FHE66" s="146"/>
      <c r="FHF66" s="146"/>
      <c r="FHG66" s="146"/>
      <c r="FHH66" s="146"/>
      <c r="FHI66" s="146"/>
      <c r="FHJ66" s="146"/>
      <c r="FHK66" s="146"/>
      <c r="FHL66" s="146"/>
      <c r="FHM66" s="146"/>
      <c r="FHN66" s="146"/>
      <c r="FHO66" s="146"/>
      <c r="FHP66" s="146"/>
      <c r="FHQ66" s="146"/>
      <c r="FHR66" s="146"/>
      <c r="FHS66" s="146"/>
      <c r="FHT66" s="146"/>
      <c r="FHU66" s="146"/>
      <c r="FHV66" s="146"/>
      <c r="FHW66" s="146"/>
      <c r="FHX66" s="146"/>
      <c r="FHY66" s="146"/>
      <c r="FHZ66" s="146"/>
      <c r="FIA66" s="146"/>
      <c r="FIB66" s="146"/>
      <c r="FIC66" s="146"/>
      <c r="FID66" s="146"/>
      <c r="FIE66" s="146"/>
      <c r="FIF66" s="146"/>
      <c r="FIG66" s="146"/>
      <c r="FIH66" s="146"/>
      <c r="FII66" s="146"/>
      <c r="FIJ66" s="146"/>
      <c r="FIK66" s="146"/>
      <c r="FIL66" s="146"/>
      <c r="FIM66" s="146"/>
      <c r="FIN66" s="146"/>
      <c r="FIO66" s="146"/>
      <c r="FIP66" s="146"/>
      <c r="FIQ66" s="146"/>
      <c r="FIR66" s="146"/>
      <c r="FIS66" s="146"/>
      <c r="FIT66" s="146"/>
      <c r="FIU66" s="146"/>
      <c r="FIV66" s="146"/>
      <c r="FIW66" s="146"/>
      <c r="FIX66" s="146"/>
      <c r="FIY66" s="146"/>
      <c r="FIZ66" s="146"/>
      <c r="FJA66" s="146"/>
      <c r="FJB66" s="146"/>
      <c r="FJC66" s="146"/>
      <c r="FJD66" s="146"/>
      <c r="FJE66" s="146"/>
      <c r="FJF66" s="146"/>
      <c r="FJG66" s="146"/>
      <c r="FJH66" s="146"/>
      <c r="FJI66" s="146"/>
      <c r="FJJ66" s="146"/>
      <c r="FJK66" s="146"/>
      <c r="FJL66" s="146"/>
      <c r="FJM66" s="146"/>
      <c r="FJN66" s="146"/>
      <c r="FJO66" s="146"/>
      <c r="FJP66" s="146"/>
      <c r="FJQ66" s="146"/>
      <c r="FJR66" s="146"/>
      <c r="FJS66" s="146"/>
      <c r="FJT66" s="146"/>
      <c r="FJU66" s="146"/>
      <c r="FJV66" s="146"/>
      <c r="FJW66" s="146"/>
      <c r="FJX66" s="146"/>
      <c r="FJY66" s="146"/>
      <c r="FJZ66" s="146"/>
      <c r="FKA66" s="146"/>
      <c r="FKB66" s="146"/>
      <c r="FKC66" s="146"/>
      <c r="FKD66" s="146"/>
      <c r="FKE66" s="146"/>
      <c r="FKF66" s="146"/>
      <c r="FKG66" s="146"/>
      <c r="FKH66" s="146"/>
      <c r="FKI66" s="146"/>
      <c r="FKJ66" s="146"/>
      <c r="FKK66" s="146"/>
      <c r="FKL66" s="146"/>
      <c r="FKM66" s="146"/>
      <c r="FKN66" s="146"/>
      <c r="FKO66" s="146"/>
      <c r="FKP66" s="146"/>
      <c r="FKQ66" s="146"/>
      <c r="FKR66" s="146"/>
      <c r="FKS66" s="146"/>
      <c r="FKT66" s="146"/>
      <c r="FKU66" s="146"/>
      <c r="FKV66" s="146"/>
      <c r="FKW66" s="146"/>
      <c r="FKX66" s="146"/>
      <c r="FKY66" s="146"/>
      <c r="FKZ66" s="146"/>
      <c r="FLA66" s="146"/>
      <c r="FLB66" s="146"/>
      <c r="FLC66" s="146"/>
      <c r="FLD66" s="146"/>
      <c r="FLE66" s="146"/>
      <c r="FLF66" s="146"/>
      <c r="FLG66" s="146"/>
      <c r="FLH66" s="146"/>
      <c r="FLI66" s="146"/>
      <c r="FLJ66" s="146"/>
      <c r="FLK66" s="146"/>
      <c r="FLL66" s="146"/>
      <c r="FLM66" s="146"/>
      <c r="FLN66" s="146"/>
      <c r="FLO66" s="146"/>
      <c r="FLP66" s="146"/>
      <c r="FLQ66" s="146"/>
      <c r="FLR66" s="146"/>
      <c r="FLS66" s="146"/>
      <c r="FLT66" s="146"/>
      <c r="FLU66" s="146"/>
      <c r="FLV66" s="146"/>
      <c r="FLW66" s="146"/>
      <c r="FLX66" s="146"/>
      <c r="FLY66" s="146"/>
      <c r="FLZ66" s="146"/>
      <c r="FMA66" s="146"/>
      <c r="FMB66" s="146"/>
      <c r="FMC66" s="146"/>
      <c r="FMD66" s="146"/>
      <c r="FME66" s="146"/>
      <c r="FMF66" s="146"/>
      <c r="FMG66" s="146"/>
      <c r="FMH66" s="146"/>
      <c r="FMI66" s="146"/>
      <c r="FMJ66" s="146"/>
      <c r="FMK66" s="146"/>
      <c r="FML66" s="146"/>
      <c r="FMM66" s="146"/>
      <c r="FMN66" s="146"/>
      <c r="FMO66" s="146"/>
      <c r="FMP66" s="146"/>
      <c r="FMQ66" s="146"/>
      <c r="FMR66" s="146"/>
      <c r="FMS66" s="146"/>
      <c r="FMT66" s="146"/>
      <c r="FMU66" s="146"/>
      <c r="FMV66" s="146"/>
      <c r="FMW66" s="146"/>
      <c r="FMX66" s="146"/>
      <c r="FMY66" s="146"/>
      <c r="FMZ66" s="146"/>
      <c r="FNA66" s="146"/>
      <c r="FNB66" s="146"/>
      <c r="FNC66" s="146"/>
      <c r="FND66" s="146"/>
      <c r="FNE66" s="146"/>
      <c r="FNF66" s="146"/>
      <c r="FNG66" s="146"/>
      <c r="FNH66" s="146"/>
      <c r="FNI66" s="146"/>
      <c r="FNJ66" s="146"/>
      <c r="FNK66" s="146"/>
      <c r="FNL66" s="146"/>
      <c r="FNM66" s="146"/>
      <c r="FNN66" s="146"/>
      <c r="FNO66" s="146"/>
      <c r="FNP66" s="146"/>
      <c r="FNQ66" s="146"/>
      <c r="FNR66" s="146"/>
      <c r="FNS66" s="146"/>
      <c r="FNT66" s="146"/>
      <c r="FNU66" s="146"/>
      <c r="FNV66" s="146"/>
      <c r="FNW66" s="146"/>
      <c r="FNX66" s="146"/>
      <c r="FNY66" s="146"/>
      <c r="FNZ66" s="146"/>
      <c r="FOA66" s="146"/>
      <c r="FOB66" s="146"/>
      <c r="FOC66" s="146"/>
      <c r="FOD66" s="146"/>
      <c r="FOE66" s="146"/>
      <c r="FOF66" s="146"/>
      <c r="FOG66" s="146"/>
      <c r="FOH66" s="146"/>
      <c r="FOI66" s="146"/>
      <c r="FOJ66" s="146"/>
      <c r="FOK66" s="146"/>
      <c r="FOL66" s="146"/>
      <c r="FOM66" s="146"/>
      <c r="FON66" s="146"/>
      <c r="FOO66" s="146"/>
      <c r="FOP66" s="146"/>
      <c r="FOQ66" s="146"/>
      <c r="FOR66" s="146"/>
      <c r="FOS66" s="146"/>
      <c r="FOT66" s="146"/>
      <c r="FOU66" s="146"/>
      <c r="FOV66" s="146"/>
      <c r="FOW66" s="146"/>
      <c r="FOX66" s="146"/>
      <c r="FOY66" s="146"/>
      <c r="FOZ66" s="146"/>
      <c r="FPA66" s="146"/>
      <c r="FPB66" s="146"/>
      <c r="FPC66" s="146"/>
      <c r="FPD66" s="146"/>
      <c r="FPE66" s="146"/>
      <c r="FPF66" s="146"/>
      <c r="FPG66" s="146"/>
      <c r="FPH66" s="146"/>
      <c r="FPI66" s="146"/>
      <c r="FPJ66" s="146"/>
      <c r="FPK66" s="146"/>
      <c r="FPL66" s="146"/>
      <c r="FPM66" s="146"/>
      <c r="FPN66" s="146"/>
      <c r="FPO66" s="146"/>
      <c r="FPP66" s="146"/>
      <c r="FPQ66" s="146"/>
      <c r="FPR66" s="146"/>
      <c r="FPS66" s="146"/>
      <c r="FPT66" s="146"/>
      <c r="FPU66" s="146"/>
      <c r="FPV66" s="146"/>
      <c r="FPW66" s="146"/>
      <c r="FPX66" s="146"/>
      <c r="FPY66" s="146"/>
      <c r="FPZ66" s="146"/>
      <c r="FQA66" s="146"/>
      <c r="FQB66" s="146"/>
      <c r="FQC66" s="146"/>
      <c r="FQD66" s="146"/>
      <c r="FQE66" s="146"/>
      <c r="FQF66" s="146"/>
      <c r="FQG66" s="146"/>
      <c r="FQH66" s="146"/>
      <c r="FQI66" s="146"/>
      <c r="FQJ66" s="146"/>
      <c r="FQK66" s="146"/>
      <c r="FQL66" s="146"/>
      <c r="FQM66" s="146"/>
      <c r="FQN66" s="146"/>
      <c r="FQO66" s="146"/>
      <c r="FQP66" s="146"/>
      <c r="FQQ66" s="146"/>
      <c r="FQR66" s="146"/>
      <c r="FQS66" s="146"/>
      <c r="FQT66" s="146"/>
      <c r="FQU66" s="146"/>
      <c r="FQV66" s="146"/>
      <c r="FQW66" s="146"/>
      <c r="FQX66" s="146"/>
      <c r="FQY66" s="146"/>
      <c r="FQZ66" s="146"/>
      <c r="FRA66" s="146"/>
      <c r="FRB66" s="146"/>
      <c r="FRC66" s="146"/>
      <c r="FRD66" s="146"/>
      <c r="FRE66" s="146"/>
      <c r="FRF66" s="146"/>
      <c r="FRG66" s="146"/>
      <c r="FRH66" s="146"/>
      <c r="FRI66" s="146"/>
      <c r="FRJ66" s="146"/>
      <c r="FRK66" s="146"/>
      <c r="FRL66" s="146"/>
      <c r="FRM66" s="146"/>
      <c r="FRN66" s="146"/>
      <c r="FRO66" s="146"/>
      <c r="FRP66" s="146"/>
      <c r="FRQ66" s="146"/>
      <c r="FRR66" s="146"/>
      <c r="FRS66" s="146"/>
      <c r="FRT66" s="146"/>
      <c r="FRU66" s="146"/>
      <c r="FRV66" s="146"/>
      <c r="FRW66" s="146"/>
      <c r="FRX66" s="146"/>
      <c r="FRY66" s="146"/>
      <c r="FRZ66" s="146"/>
      <c r="FSA66" s="146"/>
      <c r="FSB66" s="146"/>
      <c r="FSC66" s="146"/>
      <c r="FSD66" s="146"/>
      <c r="FSE66" s="146"/>
      <c r="FSF66" s="146"/>
      <c r="FSG66" s="146"/>
      <c r="FSH66" s="146"/>
      <c r="FSI66" s="146"/>
      <c r="FSJ66" s="146"/>
      <c r="FSK66" s="146"/>
      <c r="FSL66" s="146"/>
      <c r="FSM66" s="146"/>
      <c r="FSN66" s="146"/>
      <c r="FSO66" s="146"/>
      <c r="FSP66" s="146"/>
      <c r="FSQ66" s="146"/>
      <c r="FSR66" s="146"/>
      <c r="FSS66" s="146"/>
      <c r="FST66" s="146"/>
      <c r="FSU66" s="146"/>
      <c r="FSV66" s="146"/>
      <c r="FSW66" s="146"/>
      <c r="FSX66" s="146"/>
      <c r="FSY66" s="146"/>
      <c r="FSZ66" s="146"/>
      <c r="FTA66" s="146"/>
      <c r="FTB66" s="146"/>
      <c r="FTC66" s="146"/>
      <c r="FTD66" s="146"/>
      <c r="FTE66" s="146"/>
      <c r="FTF66" s="146"/>
      <c r="FTG66" s="146"/>
      <c r="FTH66" s="146"/>
      <c r="FTI66" s="146"/>
      <c r="FTJ66" s="146"/>
      <c r="FTK66" s="146"/>
      <c r="FTL66" s="146"/>
      <c r="FTM66" s="146"/>
      <c r="FTN66" s="146"/>
      <c r="FTO66" s="146"/>
      <c r="FTP66" s="146"/>
      <c r="FTQ66" s="146"/>
      <c r="FTR66" s="146"/>
      <c r="FTS66" s="146"/>
      <c r="FTT66" s="146"/>
      <c r="FTU66" s="146"/>
      <c r="FTV66" s="146"/>
      <c r="FTW66" s="146"/>
      <c r="FTX66" s="146"/>
      <c r="FTY66" s="146"/>
      <c r="FTZ66" s="146"/>
      <c r="FUA66" s="146"/>
      <c r="FUB66" s="146"/>
      <c r="FUC66" s="146"/>
      <c r="FUD66" s="146"/>
      <c r="FUE66" s="146"/>
      <c r="FUF66" s="146"/>
      <c r="FUG66" s="146"/>
      <c r="FUH66" s="146"/>
      <c r="FUI66" s="146"/>
      <c r="FUJ66" s="146"/>
      <c r="FUK66" s="146"/>
      <c r="FUL66" s="146"/>
      <c r="FUM66" s="146"/>
      <c r="FUN66" s="146"/>
      <c r="FUO66" s="146"/>
      <c r="FUP66" s="146"/>
      <c r="FUQ66" s="146"/>
      <c r="FUR66" s="146"/>
      <c r="FUS66" s="146"/>
      <c r="FUT66" s="146"/>
      <c r="FUU66" s="146"/>
      <c r="FUV66" s="146"/>
      <c r="FUW66" s="146"/>
      <c r="FUX66" s="146"/>
      <c r="FUY66" s="146"/>
      <c r="FUZ66" s="146"/>
      <c r="FVA66" s="146"/>
      <c r="FVB66" s="146"/>
      <c r="FVC66" s="146"/>
      <c r="FVD66" s="146"/>
      <c r="FVE66" s="146"/>
      <c r="FVF66" s="146"/>
      <c r="FVG66" s="146"/>
      <c r="FVH66" s="146"/>
      <c r="FVI66" s="146"/>
      <c r="FVJ66" s="146"/>
      <c r="FVK66" s="146"/>
      <c r="FVL66" s="146"/>
      <c r="FVM66" s="146"/>
      <c r="FVN66" s="146"/>
      <c r="FVO66" s="146"/>
      <c r="FVP66" s="146"/>
      <c r="FVQ66" s="146"/>
      <c r="FVR66" s="146"/>
      <c r="FVS66" s="146"/>
      <c r="FVT66" s="146"/>
      <c r="FVU66" s="146"/>
      <c r="FVV66" s="146"/>
      <c r="FVW66" s="146"/>
      <c r="FVX66" s="146"/>
      <c r="FVY66" s="146"/>
      <c r="FVZ66" s="146"/>
      <c r="FWA66" s="146"/>
      <c r="FWB66" s="146"/>
      <c r="FWC66" s="146"/>
      <c r="FWD66" s="146"/>
      <c r="FWE66" s="146"/>
      <c r="FWF66" s="146"/>
      <c r="FWG66" s="146"/>
      <c r="FWH66" s="146"/>
      <c r="FWI66" s="146"/>
      <c r="FWJ66" s="146"/>
      <c r="FWK66" s="146"/>
      <c r="FWL66" s="146"/>
      <c r="FWM66" s="146"/>
      <c r="FWN66" s="146"/>
      <c r="FWO66" s="146"/>
      <c r="FWP66" s="146"/>
      <c r="FWQ66" s="146"/>
      <c r="FWR66" s="146"/>
      <c r="FWS66" s="146"/>
      <c r="FWT66" s="146"/>
      <c r="FWU66" s="146"/>
      <c r="FWV66" s="146"/>
      <c r="FWW66" s="146"/>
      <c r="FWX66" s="146"/>
      <c r="FWY66" s="146"/>
      <c r="FWZ66" s="146"/>
      <c r="FXA66" s="146"/>
      <c r="FXB66" s="146"/>
      <c r="FXC66" s="146"/>
      <c r="FXD66" s="146"/>
      <c r="FXE66" s="146"/>
      <c r="FXF66" s="146"/>
      <c r="FXG66" s="146"/>
      <c r="FXH66" s="146"/>
      <c r="FXI66" s="146"/>
      <c r="FXJ66" s="146"/>
      <c r="FXK66" s="146"/>
      <c r="FXL66" s="146"/>
      <c r="FXM66" s="146"/>
      <c r="FXN66" s="146"/>
      <c r="FXO66" s="146"/>
      <c r="FXP66" s="146"/>
      <c r="FXQ66" s="146"/>
      <c r="FXR66" s="146"/>
      <c r="FXS66" s="146"/>
      <c r="FXT66" s="146"/>
      <c r="FXU66" s="146"/>
      <c r="FXV66" s="146"/>
      <c r="FXW66" s="146"/>
      <c r="FXX66" s="146"/>
      <c r="FXY66" s="146"/>
      <c r="FXZ66" s="146"/>
      <c r="FYA66" s="146"/>
      <c r="FYB66" s="146"/>
      <c r="FYC66" s="146"/>
      <c r="FYD66" s="146"/>
      <c r="FYE66" s="146"/>
      <c r="FYF66" s="146"/>
      <c r="FYG66" s="146"/>
      <c r="FYH66" s="146"/>
      <c r="FYI66" s="146"/>
      <c r="FYJ66" s="146"/>
      <c r="FYK66" s="146"/>
      <c r="FYL66" s="146"/>
      <c r="FYM66" s="146"/>
      <c r="FYN66" s="146"/>
      <c r="FYO66" s="146"/>
      <c r="FYP66" s="146"/>
      <c r="FYQ66" s="146"/>
      <c r="FYR66" s="146"/>
      <c r="FYS66" s="146"/>
      <c r="FYT66" s="146"/>
      <c r="FYU66" s="146"/>
      <c r="FYV66" s="146"/>
      <c r="FYW66" s="146"/>
      <c r="FYX66" s="146"/>
      <c r="FYY66" s="146"/>
      <c r="FYZ66" s="146"/>
      <c r="FZA66" s="146"/>
      <c r="FZB66" s="146"/>
      <c r="FZC66" s="146"/>
      <c r="FZD66" s="146"/>
      <c r="FZE66" s="146"/>
      <c r="FZF66" s="146"/>
      <c r="FZG66" s="146"/>
      <c r="FZH66" s="146"/>
      <c r="FZI66" s="146"/>
      <c r="FZJ66" s="146"/>
      <c r="FZK66" s="146"/>
      <c r="FZL66" s="146"/>
      <c r="FZM66" s="146"/>
      <c r="FZN66" s="146"/>
      <c r="FZO66" s="146"/>
      <c r="FZP66" s="146"/>
      <c r="FZQ66" s="146"/>
      <c r="FZR66" s="146"/>
      <c r="FZS66" s="146"/>
      <c r="FZT66" s="146"/>
      <c r="FZU66" s="146"/>
      <c r="FZV66" s="146"/>
      <c r="FZW66" s="146"/>
      <c r="FZX66" s="146"/>
      <c r="FZY66" s="146"/>
      <c r="FZZ66" s="146"/>
      <c r="GAA66" s="146"/>
      <c r="GAB66" s="146"/>
      <c r="GAC66" s="146"/>
      <c r="GAD66" s="146"/>
      <c r="GAE66" s="146"/>
      <c r="GAF66" s="146"/>
      <c r="GAG66" s="146"/>
      <c r="GAH66" s="146"/>
      <c r="GAI66" s="146"/>
      <c r="GAJ66" s="146"/>
      <c r="GAK66" s="146"/>
      <c r="GAL66" s="146"/>
      <c r="GAM66" s="146"/>
      <c r="GAN66" s="146"/>
      <c r="GAO66" s="146"/>
      <c r="GAP66" s="146"/>
      <c r="GAQ66" s="146"/>
      <c r="GAR66" s="146"/>
      <c r="GAS66" s="146"/>
      <c r="GAT66" s="146"/>
      <c r="GAU66" s="146"/>
      <c r="GAV66" s="146"/>
      <c r="GAW66" s="146"/>
      <c r="GAX66" s="146"/>
      <c r="GAY66" s="146"/>
      <c r="GAZ66" s="146"/>
      <c r="GBA66" s="146"/>
      <c r="GBB66" s="146"/>
      <c r="GBC66" s="146"/>
      <c r="GBD66" s="146"/>
      <c r="GBE66" s="146"/>
      <c r="GBF66" s="146"/>
      <c r="GBG66" s="146"/>
      <c r="GBH66" s="146"/>
      <c r="GBI66" s="146"/>
      <c r="GBJ66" s="146"/>
      <c r="GBK66" s="146"/>
      <c r="GBL66" s="146"/>
      <c r="GBM66" s="146"/>
      <c r="GBN66" s="146"/>
      <c r="GBO66" s="146"/>
      <c r="GBP66" s="146"/>
      <c r="GBQ66" s="146"/>
      <c r="GBR66" s="146"/>
      <c r="GBS66" s="146"/>
      <c r="GBT66" s="146"/>
      <c r="GBU66" s="146"/>
      <c r="GBV66" s="146"/>
      <c r="GBW66" s="146"/>
      <c r="GBX66" s="146"/>
      <c r="GBY66" s="146"/>
      <c r="GBZ66" s="146"/>
      <c r="GCA66" s="146"/>
      <c r="GCB66" s="146"/>
      <c r="GCC66" s="146"/>
      <c r="GCD66" s="146"/>
      <c r="GCE66" s="146"/>
      <c r="GCF66" s="146"/>
      <c r="GCG66" s="146"/>
      <c r="GCH66" s="146"/>
      <c r="GCI66" s="146"/>
      <c r="GCJ66" s="146"/>
      <c r="GCK66" s="146"/>
      <c r="GCL66" s="146"/>
      <c r="GCM66" s="146"/>
      <c r="GCN66" s="146"/>
      <c r="GCO66" s="146"/>
      <c r="GCP66" s="146"/>
      <c r="GCQ66" s="146"/>
      <c r="GCR66" s="146"/>
      <c r="GCS66" s="146"/>
      <c r="GCT66" s="146"/>
      <c r="GCU66" s="146"/>
      <c r="GCV66" s="146"/>
      <c r="GCW66" s="146"/>
      <c r="GCX66" s="146"/>
      <c r="GCY66" s="146"/>
      <c r="GCZ66" s="146"/>
      <c r="GDA66" s="146"/>
      <c r="GDB66" s="146"/>
      <c r="GDC66" s="146"/>
      <c r="GDD66" s="146"/>
      <c r="GDE66" s="146"/>
      <c r="GDF66" s="146"/>
      <c r="GDG66" s="146"/>
      <c r="GDH66" s="146"/>
      <c r="GDI66" s="146"/>
      <c r="GDJ66" s="146"/>
      <c r="GDK66" s="146"/>
      <c r="GDL66" s="146"/>
      <c r="GDM66" s="146"/>
      <c r="GDN66" s="146"/>
      <c r="GDO66" s="146"/>
      <c r="GDP66" s="146"/>
      <c r="GDQ66" s="146"/>
      <c r="GDR66" s="146"/>
      <c r="GDS66" s="146"/>
      <c r="GDT66" s="146"/>
      <c r="GDU66" s="146"/>
      <c r="GDV66" s="146"/>
      <c r="GDW66" s="146"/>
      <c r="GDX66" s="146"/>
      <c r="GDY66" s="146"/>
      <c r="GDZ66" s="146"/>
      <c r="GEA66" s="146"/>
      <c r="GEB66" s="146"/>
      <c r="GEC66" s="146"/>
      <c r="GED66" s="146"/>
      <c r="GEE66" s="146"/>
      <c r="GEF66" s="146"/>
      <c r="GEG66" s="146"/>
      <c r="GEH66" s="146"/>
      <c r="GEI66" s="146"/>
      <c r="GEJ66" s="146"/>
      <c r="GEK66" s="146"/>
      <c r="GEL66" s="146"/>
      <c r="GEM66" s="146"/>
      <c r="GEN66" s="146"/>
      <c r="GEO66" s="146"/>
      <c r="GEP66" s="146"/>
      <c r="GEQ66" s="146"/>
      <c r="GER66" s="146"/>
      <c r="GES66" s="146"/>
      <c r="GET66" s="146"/>
      <c r="GEU66" s="146"/>
      <c r="GEV66" s="146"/>
      <c r="GEW66" s="146"/>
      <c r="GEX66" s="146"/>
      <c r="GEY66" s="146"/>
      <c r="GEZ66" s="146"/>
      <c r="GFA66" s="146"/>
      <c r="GFB66" s="146"/>
      <c r="GFC66" s="146"/>
      <c r="GFD66" s="146"/>
      <c r="GFE66" s="146"/>
      <c r="GFF66" s="146"/>
      <c r="GFG66" s="146"/>
      <c r="GFH66" s="146"/>
      <c r="GFI66" s="146"/>
      <c r="GFJ66" s="146"/>
      <c r="GFK66" s="146"/>
      <c r="GFL66" s="146"/>
      <c r="GFM66" s="146"/>
      <c r="GFN66" s="146"/>
      <c r="GFO66" s="146"/>
      <c r="GFP66" s="146"/>
      <c r="GFQ66" s="146"/>
      <c r="GFR66" s="146"/>
      <c r="GFS66" s="146"/>
      <c r="GFT66" s="146"/>
      <c r="GFU66" s="146"/>
      <c r="GFV66" s="146"/>
      <c r="GFW66" s="146"/>
      <c r="GFX66" s="146"/>
      <c r="GFY66" s="146"/>
      <c r="GFZ66" s="146"/>
      <c r="GGA66" s="146"/>
      <c r="GGB66" s="146"/>
      <c r="GGC66" s="146"/>
      <c r="GGD66" s="146"/>
      <c r="GGE66" s="146"/>
      <c r="GGF66" s="146"/>
      <c r="GGG66" s="146"/>
      <c r="GGH66" s="146"/>
      <c r="GGI66" s="146"/>
      <c r="GGJ66" s="146"/>
      <c r="GGK66" s="146"/>
      <c r="GGL66" s="146"/>
      <c r="GGM66" s="146"/>
      <c r="GGN66" s="146"/>
      <c r="GGO66" s="146"/>
      <c r="GGP66" s="146"/>
      <c r="GGQ66" s="146"/>
      <c r="GGR66" s="146"/>
      <c r="GGS66" s="146"/>
      <c r="GGT66" s="146"/>
      <c r="GGU66" s="146"/>
      <c r="GGV66" s="146"/>
      <c r="GGW66" s="146"/>
      <c r="GGX66" s="146"/>
      <c r="GGY66" s="146"/>
      <c r="GGZ66" s="146"/>
      <c r="GHA66" s="146"/>
      <c r="GHB66" s="146"/>
      <c r="GHC66" s="146"/>
      <c r="GHD66" s="146"/>
      <c r="GHE66" s="146"/>
      <c r="GHF66" s="146"/>
      <c r="GHG66" s="146"/>
      <c r="GHH66" s="146"/>
      <c r="GHI66" s="146"/>
      <c r="GHJ66" s="146"/>
      <c r="GHK66" s="146"/>
      <c r="GHL66" s="146"/>
      <c r="GHM66" s="146"/>
      <c r="GHN66" s="146"/>
      <c r="GHO66" s="146"/>
      <c r="GHP66" s="146"/>
      <c r="GHQ66" s="146"/>
      <c r="GHR66" s="146"/>
      <c r="GHS66" s="146"/>
      <c r="GHT66" s="146"/>
      <c r="GHU66" s="146"/>
      <c r="GHV66" s="146"/>
      <c r="GHW66" s="146"/>
      <c r="GHX66" s="146"/>
      <c r="GHY66" s="146"/>
      <c r="GHZ66" s="146"/>
      <c r="GIA66" s="146"/>
      <c r="GIB66" s="146"/>
      <c r="GIC66" s="146"/>
      <c r="GID66" s="146"/>
      <c r="GIE66" s="146"/>
      <c r="GIF66" s="146"/>
      <c r="GIG66" s="146"/>
      <c r="GIH66" s="146"/>
      <c r="GII66" s="146"/>
      <c r="GIJ66" s="146"/>
      <c r="GIK66" s="146"/>
      <c r="GIL66" s="146"/>
      <c r="GIM66" s="146"/>
      <c r="GIN66" s="146"/>
      <c r="GIO66" s="146"/>
      <c r="GIP66" s="146"/>
      <c r="GIQ66" s="146"/>
      <c r="GIR66" s="146"/>
      <c r="GIS66" s="146"/>
      <c r="GIT66" s="146"/>
      <c r="GIU66" s="146"/>
      <c r="GIV66" s="146"/>
      <c r="GIW66" s="146"/>
      <c r="GIX66" s="146"/>
      <c r="GIY66" s="146"/>
      <c r="GIZ66" s="146"/>
      <c r="GJA66" s="146"/>
      <c r="GJB66" s="146"/>
      <c r="GJC66" s="146"/>
      <c r="GJD66" s="146"/>
      <c r="GJE66" s="146"/>
      <c r="GJF66" s="146"/>
      <c r="GJG66" s="146"/>
      <c r="GJH66" s="146"/>
      <c r="GJI66" s="146"/>
      <c r="GJJ66" s="146"/>
      <c r="GJK66" s="146"/>
      <c r="GJL66" s="146"/>
      <c r="GJM66" s="146"/>
      <c r="GJN66" s="146"/>
      <c r="GJO66" s="146"/>
      <c r="GJP66" s="146"/>
      <c r="GJQ66" s="146"/>
      <c r="GJR66" s="146"/>
      <c r="GJS66" s="146"/>
      <c r="GJT66" s="146"/>
      <c r="GJU66" s="146"/>
      <c r="GJV66" s="146"/>
      <c r="GJW66" s="146"/>
      <c r="GJX66" s="146"/>
      <c r="GJY66" s="146"/>
      <c r="GJZ66" s="146"/>
      <c r="GKA66" s="146"/>
      <c r="GKB66" s="146"/>
      <c r="GKC66" s="146"/>
      <c r="GKD66" s="146"/>
      <c r="GKE66" s="146"/>
      <c r="GKF66" s="146"/>
      <c r="GKG66" s="146"/>
      <c r="GKH66" s="146"/>
      <c r="GKI66" s="146"/>
      <c r="GKJ66" s="146"/>
      <c r="GKK66" s="146"/>
      <c r="GKL66" s="146"/>
      <c r="GKM66" s="146"/>
      <c r="GKN66" s="146"/>
      <c r="GKO66" s="146"/>
      <c r="GKP66" s="146"/>
      <c r="GKQ66" s="146"/>
      <c r="GKR66" s="146"/>
      <c r="GKS66" s="146"/>
      <c r="GKT66" s="146"/>
      <c r="GKU66" s="146"/>
      <c r="GKV66" s="146"/>
      <c r="GKW66" s="146"/>
      <c r="GKX66" s="146"/>
      <c r="GKY66" s="146"/>
      <c r="GKZ66" s="146"/>
      <c r="GLA66" s="146"/>
      <c r="GLB66" s="146"/>
      <c r="GLC66" s="146"/>
      <c r="GLD66" s="146"/>
      <c r="GLE66" s="146"/>
      <c r="GLF66" s="146"/>
      <c r="GLG66" s="146"/>
      <c r="GLH66" s="146"/>
      <c r="GLI66" s="146"/>
      <c r="GLJ66" s="146"/>
      <c r="GLK66" s="146"/>
      <c r="GLL66" s="146"/>
      <c r="GLM66" s="146"/>
      <c r="GLN66" s="146"/>
      <c r="GLO66" s="146"/>
      <c r="GLP66" s="146"/>
      <c r="GLQ66" s="146"/>
      <c r="GLR66" s="146"/>
      <c r="GLS66" s="146"/>
      <c r="GLT66" s="146"/>
      <c r="GLU66" s="146"/>
      <c r="GLV66" s="146"/>
      <c r="GLW66" s="146"/>
      <c r="GLX66" s="146"/>
      <c r="GLY66" s="146"/>
      <c r="GLZ66" s="146"/>
      <c r="GMA66" s="146"/>
      <c r="GMB66" s="146"/>
      <c r="GMC66" s="146"/>
      <c r="GMD66" s="146"/>
      <c r="GME66" s="146"/>
      <c r="GMF66" s="146"/>
      <c r="GMG66" s="146"/>
      <c r="GMH66" s="146"/>
      <c r="GMI66" s="146"/>
      <c r="GMJ66" s="146"/>
      <c r="GMK66" s="146"/>
      <c r="GML66" s="146"/>
      <c r="GMM66" s="146"/>
      <c r="GMN66" s="146"/>
      <c r="GMO66" s="146"/>
      <c r="GMP66" s="146"/>
      <c r="GMQ66" s="146"/>
      <c r="GMR66" s="146"/>
      <c r="GMS66" s="146"/>
      <c r="GMT66" s="146"/>
      <c r="GMU66" s="146"/>
      <c r="GMV66" s="146"/>
      <c r="GMW66" s="146"/>
      <c r="GMX66" s="146"/>
      <c r="GMY66" s="146"/>
      <c r="GMZ66" s="146"/>
      <c r="GNA66" s="146"/>
      <c r="GNB66" s="146"/>
      <c r="GNC66" s="146"/>
      <c r="GND66" s="146"/>
      <c r="GNE66" s="146"/>
      <c r="GNF66" s="146"/>
      <c r="GNG66" s="146"/>
      <c r="GNH66" s="146"/>
      <c r="GNI66" s="146"/>
      <c r="GNJ66" s="146"/>
      <c r="GNK66" s="146"/>
      <c r="GNL66" s="146"/>
      <c r="GNM66" s="146"/>
      <c r="GNN66" s="146"/>
      <c r="GNO66" s="146"/>
      <c r="GNP66" s="146"/>
      <c r="GNQ66" s="146"/>
      <c r="GNR66" s="146"/>
      <c r="GNS66" s="146"/>
      <c r="GNT66" s="146"/>
      <c r="GNU66" s="146"/>
      <c r="GNV66" s="146"/>
      <c r="GNW66" s="146"/>
      <c r="GNX66" s="146"/>
      <c r="GNY66" s="146"/>
      <c r="GNZ66" s="146"/>
      <c r="GOA66" s="146"/>
      <c r="GOB66" s="146"/>
      <c r="GOC66" s="146"/>
      <c r="GOD66" s="146"/>
      <c r="GOE66" s="146"/>
      <c r="GOF66" s="146"/>
      <c r="GOG66" s="146"/>
      <c r="GOH66" s="146"/>
      <c r="GOI66" s="146"/>
      <c r="GOJ66" s="146"/>
      <c r="GOK66" s="146"/>
      <c r="GOL66" s="146"/>
      <c r="GOM66" s="146"/>
      <c r="GON66" s="146"/>
      <c r="GOO66" s="146"/>
      <c r="GOP66" s="146"/>
      <c r="GOQ66" s="146"/>
      <c r="GOR66" s="146"/>
      <c r="GOS66" s="146"/>
      <c r="GOT66" s="146"/>
      <c r="GOU66" s="146"/>
      <c r="GOV66" s="146"/>
      <c r="GOW66" s="146"/>
      <c r="GOX66" s="146"/>
      <c r="GOY66" s="146"/>
      <c r="GOZ66" s="146"/>
      <c r="GPA66" s="146"/>
      <c r="GPB66" s="146"/>
      <c r="GPC66" s="146"/>
      <c r="GPD66" s="146"/>
      <c r="GPE66" s="146"/>
      <c r="GPF66" s="146"/>
      <c r="GPG66" s="146"/>
      <c r="GPH66" s="146"/>
      <c r="GPI66" s="146"/>
      <c r="GPJ66" s="146"/>
      <c r="GPK66" s="146"/>
      <c r="GPL66" s="146"/>
      <c r="GPM66" s="146"/>
      <c r="GPN66" s="146"/>
      <c r="GPO66" s="146"/>
      <c r="GPP66" s="146"/>
      <c r="GPQ66" s="146"/>
      <c r="GPR66" s="146"/>
      <c r="GPS66" s="146"/>
      <c r="GPT66" s="146"/>
      <c r="GPU66" s="146"/>
      <c r="GPV66" s="146"/>
      <c r="GPW66" s="146"/>
      <c r="GPX66" s="146"/>
      <c r="GPY66" s="146"/>
      <c r="GPZ66" s="146"/>
      <c r="GQA66" s="146"/>
      <c r="GQB66" s="146"/>
      <c r="GQC66" s="146"/>
      <c r="GQD66" s="146"/>
      <c r="GQE66" s="146"/>
      <c r="GQF66" s="146"/>
      <c r="GQG66" s="146"/>
      <c r="GQH66" s="146"/>
      <c r="GQI66" s="146"/>
      <c r="GQJ66" s="146"/>
      <c r="GQK66" s="146"/>
      <c r="GQL66" s="146"/>
      <c r="GQM66" s="146"/>
      <c r="GQN66" s="146"/>
      <c r="GQO66" s="146"/>
      <c r="GQP66" s="146"/>
      <c r="GQQ66" s="146"/>
      <c r="GQR66" s="146"/>
      <c r="GQS66" s="146"/>
      <c r="GQT66" s="146"/>
      <c r="GQU66" s="146"/>
      <c r="GQV66" s="146"/>
      <c r="GQW66" s="146"/>
      <c r="GQX66" s="146"/>
      <c r="GQY66" s="146"/>
      <c r="GQZ66" s="146"/>
      <c r="GRA66" s="146"/>
      <c r="GRB66" s="146"/>
      <c r="GRC66" s="146"/>
      <c r="GRD66" s="146"/>
      <c r="GRE66" s="146"/>
      <c r="GRF66" s="146"/>
      <c r="GRG66" s="146"/>
      <c r="GRH66" s="146"/>
      <c r="GRI66" s="146"/>
      <c r="GRJ66" s="146"/>
      <c r="GRK66" s="146"/>
      <c r="GRL66" s="146"/>
      <c r="GRM66" s="146"/>
      <c r="GRN66" s="146"/>
      <c r="GRO66" s="146"/>
      <c r="GRP66" s="146"/>
      <c r="GRQ66" s="146"/>
      <c r="GRR66" s="146"/>
      <c r="GRS66" s="146"/>
      <c r="GRT66" s="146"/>
      <c r="GRU66" s="146"/>
      <c r="GRV66" s="146"/>
      <c r="GRW66" s="146"/>
      <c r="GRX66" s="146"/>
      <c r="GRY66" s="146"/>
      <c r="GRZ66" s="146"/>
      <c r="GSA66" s="146"/>
      <c r="GSB66" s="146"/>
      <c r="GSC66" s="146"/>
      <c r="GSD66" s="146"/>
      <c r="GSE66" s="146"/>
      <c r="GSF66" s="146"/>
      <c r="GSG66" s="146"/>
      <c r="GSH66" s="146"/>
      <c r="GSI66" s="146"/>
      <c r="GSJ66" s="146"/>
      <c r="GSK66" s="146"/>
      <c r="GSL66" s="146"/>
      <c r="GSM66" s="146"/>
      <c r="GSN66" s="146"/>
      <c r="GSO66" s="146"/>
      <c r="GSP66" s="146"/>
      <c r="GSQ66" s="146"/>
      <c r="GSR66" s="146"/>
      <c r="GSS66" s="146"/>
      <c r="GST66" s="146"/>
      <c r="GSU66" s="146"/>
      <c r="GSV66" s="146"/>
      <c r="GSW66" s="146"/>
      <c r="GSX66" s="146"/>
      <c r="GSY66" s="146"/>
      <c r="GSZ66" s="146"/>
      <c r="GTA66" s="146"/>
      <c r="GTB66" s="146"/>
      <c r="GTC66" s="146"/>
      <c r="GTD66" s="146"/>
      <c r="GTE66" s="146"/>
      <c r="GTF66" s="146"/>
      <c r="GTG66" s="146"/>
      <c r="GTH66" s="146"/>
      <c r="GTI66" s="146"/>
      <c r="GTJ66" s="146"/>
      <c r="GTK66" s="146"/>
      <c r="GTL66" s="146"/>
      <c r="GTM66" s="146"/>
      <c r="GTN66" s="146"/>
      <c r="GTO66" s="146"/>
      <c r="GTP66" s="146"/>
      <c r="GTQ66" s="146"/>
      <c r="GTR66" s="146"/>
      <c r="GTS66" s="146"/>
      <c r="GTT66" s="146"/>
      <c r="GTU66" s="146"/>
      <c r="GTV66" s="146"/>
      <c r="GTW66" s="146"/>
      <c r="GTX66" s="146"/>
      <c r="GTY66" s="146"/>
      <c r="GTZ66" s="146"/>
      <c r="GUA66" s="146"/>
      <c r="GUB66" s="146"/>
      <c r="GUC66" s="146"/>
      <c r="GUD66" s="146"/>
      <c r="GUE66" s="146"/>
      <c r="GUF66" s="146"/>
      <c r="GUG66" s="146"/>
      <c r="GUH66" s="146"/>
      <c r="GUI66" s="146"/>
      <c r="GUJ66" s="146"/>
      <c r="GUK66" s="146"/>
      <c r="GUL66" s="146"/>
      <c r="GUM66" s="146"/>
      <c r="GUN66" s="146"/>
      <c r="GUO66" s="146"/>
      <c r="GUP66" s="146"/>
      <c r="GUQ66" s="146"/>
      <c r="GUR66" s="146"/>
      <c r="GUS66" s="146"/>
      <c r="GUT66" s="146"/>
      <c r="GUU66" s="146"/>
      <c r="GUV66" s="146"/>
      <c r="GUW66" s="146"/>
      <c r="GUX66" s="146"/>
      <c r="GUY66" s="146"/>
      <c r="GUZ66" s="146"/>
      <c r="GVA66" s="146"/>
      <c r="GVB66" s="146"/>
      <c r="GVC66" s="146"/>
      <c r="GVD66" s="146"/>
      <c r="GVE66" s="146"/>
      <c r="GVF66" s="146"/>
      <c r="GVG66" s="146"/>
      <c r="GVH66" s="146"/>
      <c r="GVI66" s="146"/>
      <c r="GVJ66" s="146"/>
      <c r="GVK66" s="146"/>
      <c r="GVL66" s="146"/>
      <c r="GVM66" s="146"/>
      <c r="GVN66" s="146"/>
      <c r="GVO66" s="146"/>
      <c r="GVP66" s="146"/>
      <c r="GVQ66" s="146"/>
      <c r="GVR66" s="146"/>
      <c r="GVS66" s="146"/>
      <c r="GVT66" s="146"/>
      <c r="GVU66" s="146"/>
      <c r="GVV66" s="146"/>
      <c r="GVW66" s="146"/>
      <c r="GVX66" s="146"/>
      <c r="GVY66" s="146"/>
      <c r="GVZ66" s="146"/>
      <c r="GWA66" s="146"/>
      <c r="GWB66" s="146"/>
      <c r="GWC66" s="146"/>
      <c r="GWD66" s="146"/>
      <c r="GWE66" s="146"/>
      <c r="GWF66" s="146"/>
      <c r="GWG66" s="146"/>
      <c r="GWH66" s="146"/>
      <c r="GWI66" s="146"/>
      <c r="GWJ66" s="146"/>
      <c r="GWK66" s="146"/>
      <c r="GWL66" s="146"/>
      <c r="GWM66" s="146"/>
      <c r="GWN66" s="146"/>
      <c r="GWO66" s="146"/>
      <c r="GWP66" s="146"/>
      <c r="GWQ66" s="146"/>
      <c r="GWR66" s="146"/>
      <c r="GWS66" s="146"/>
      <c r="GWT66" s="146"/>
      <c r="GWU66" s="146"/>
      <c r="GWV66" s="146"/>
      <c r="GWW66" s="146"/>
      <c r="GWX66" s="146"/>
      <c r="GWY66" s="146"/>
      <c r="GWZ66" s="146"/>
      <c r="GXA66" s="146"/>
      <c r="GXB66" s="146"/>
      <c r="GXC66" s="146"/>
      <c r="GXD66" s="146"/>
      <c r="GXE66" s="146"/>
      <c r="GXF66" s="146"/>
      <c r="GXG66" s="146"/>
      <c r="GXH66" s="146"/>
      <c r="GXI66" s="146"/>
      <c r="GXJ66" s="146"/>
      <c r="GXK66" s="146"/>
      <c r="GXL66" s="146"/>
      <c r="GXM66" s="146"/>
      <c r="GXN66" s="146"/>
      <c r="GXO66" s="146"/>
      <c r="GXP66" s="146"/>
      <c r="GXQ66" s="146"/>
      <c r="GXR66" s="146"/>
      <c r="GXS66" s="146"/>
      <c r="GXT66" s="146"/>
      <c r="GXU66" s="146"/>
      <c r="GXV66" s="146"/>
      <c r="GXW66" s="146"/>
      <c r="GXX66" s="146"/>
      <c r="GXY66" s="146"/>
      <c r="GXZ66" s="146"/>
      <c r="GYA66" s="146"/>
      <c r="GYB66" s="146"/>
      <c r="GYC66" s="146"/>
      <c r="GYD66" s="146"/>
      <c r="GYE66" s="146"/>
      <c r="GYF66" s="146"/>
      <c r="GYG66" s="146"/>
      <c r="GYH66" s="146"/>
      <c r="GYI66" s="146"/>
      <c r="GYJ66" s="146"/>
      <c r="GYK66" s="146"/>
      <c r="GYL66" s="146"/>
      <c r="GYM66" s="146"/>
      <c r="GYN66" s="146"/>
      <c r="GYO66" s="146"/>
      <c r="GYP66" s="146"/>
      <c r="GYQ66" s="146"/>
      <c r="GYR66" s="146"/>
      <c r="GYS66" s="146"/>
      <c r="GYT66" s="146"/>
      <c r="GYU66" s="146"/>
      <c r="GYV66" s="146"/>
      <c r="GYW66" s="146"/>
      <c r="GYX66" s="146"/>
      <c r="GYY66" s="146"/>
      <c r="GYZ66" s="146"/>
      <c r="GZA66" s="146"/>
      <c r="GZB66" s="146"/>
      <c r="GZC66" s="146"/>
      <c r="GZD66" s="146"/>
      <c r="GZE66" s="146"/>
      <c r="GZF66" s="146"/>
      <c r="GZG66" s="146"/>
      <c r="GZH66" s="146"/>
      <c r="GZI66" s="146"/>
      <c r="GZJ66" s="146"/>
      <c r="GZK66" s="146"/>
      <c r="GZL66" s="146"/>
      <c r="GZM66" s="146"/>
      <c r="GZN66" s="146"/>
      <c r="GZO66" s="146"/>
      <c r="GZP66" s="146"/>
      <c r="GZQ66" s="146"/>
      <c r="GZR66" s="146"/>
      <c r="GZS66" s="146"/>
      <c r="GZT66" s="146"/>
      <c r="GZU66" s="146"/>
      <c r="GZV66" s="146"/>
      <c r="GZW66" s="146"/>
      <c r="GZX66" s="146"/>
      <c r="GZY66" s="146"/>
      <c r="GZZ66" s="146"/>
      <c r="HAA66" s="146"/>
      <c r="HAB66" s="146"/>
      <c r="HAC66" s="146"/>
      <c r="HAD66" s="146"/>
      <c r="HAE66" s="146"/>
      <c r="HAF66" s="146"/>
      <c r="HAG66" s="146"/>
      <c r="HAH66" s="146"/>
      <c r="HAI66" s="146"/>
      <c r="HAJ66" s="146"/>
      <c r="HAK66" s="146"/>
      <c r="HAL66" s="146"/>
      <c r="HAM66" s="146"/>
      <c r="HAN66" s="146"/>
      <c r="HAO66" s="146"/>
      <c r="HAP66" s="146"/>
      <c r="HAQ66" s="146"/>
      <c r="HAR66" s="146"/>
      <c r="HAS66" s="146"/>
      <c r="HAT66" s="146"/>
      <c r="HAU66" s="146"/>
      <c r="HAV66" s="146"/>
      <c r="HAW66" s="146"/>
      <c r="HAX66" s="146"/>
      <c r="HAY66" s="146"/>
      <c r="HAZ66" s="146"/>
      <c r="HBA66" s="146"/>
      <c r="HBB66" s="146"/>
      <c r="HBC66" s="146"/>
      <c r="HBD66" s="146"/>
      <c r="HBE66" s="146"/>
      <c r="HBF66" s="146"/>
      <c r="HBG66" s="146"/>
      <c r="HBH66" s="146"/>
      <c r="HBI66" s="146"/>
      <c r="HBJ66" s="146"/>
      <c r="HBK66" s="146"/>
      <c r="HBL66" s="146"/>
      <c r="HBM66" s="146"/>
      <c r="HBN66" s="146"/>
      <c r="HBO66" s="146"/>
      <c r="HBP66" s="146"/>
      <c r="HBQ66" s="146"/>
      <c r="HBR66" s="146"/>
      <c r="HBS66" s="146"/>
      <c r="HBT66" s="146"/>
      <c r="HBU66" s="146"/>
      <c r="HBV66" s="146"/>
      <c r="HBW66" s="146"/>
      <c r="HBX66" s="146"/>
      <c r="HBY66" s="146"/>
      <c r="HBZ66" s="146"/>
      <c r="HCA66" s="146"/>
      <c r="HCB66" s="146"/>
      <c r="HCC66" s="146"/>
      <c r="HCD66" s="146"/>
      <c r="HCE66" s="146"/>
      <c r="HCF66" s="146"/>
      <c r="HCG66" s="146"/>
      <c r="HCH66" s="146"/>
      <c r="HCI66" s="146"/>
      <c r="HCJ66" s="146"/>
      <c r="HCK66" s="146"/>
      <c r="HCL66" s="146"/>
      <c r="HCM66" s="146"/>
      <c r="HCN66" s="146"/>
      <c r="HCO66" s="146"/>
      <c r="HCP66" s="146"/>
      <c r="HCQ66" s="146"/>
      <c r="HCR66" s="146"/>
      <c r="HCS66" s="146"/>
      <c r="HCT66" s="146"/>
      <c r="HCU66" s="146"/>
      <c r="HCV66" s="146"/>
      <c r="HCW66" s="146"/>
      <c r="HCX66" s="146"/>
      <c r="HCY66" s="146"/>
      <c r="HCZ66" s="146"/>
      <c r="HDA66" s="146"/>
      <c r="HDB66" s="146"/>
      <c r="HDC66" s="146"/>
      <c r="HDD66" s="146"/>
      <c r="HDE66" s="146"/>
      <c r="HDF66" s="146"/>
      <c r="HDG66" s="146"/>
      <c r="HDH66" s="146"/>
      <c r="HDI66" s="146"/>
      <c r="HDJ66" s="146"/>
      <c r="HDK66" s="146"/>
      <c r="HDL66" s="146"/>
      <c r="HDM66" s="146"/>
      <c r="HDN66" s="146"/>
      <c r="HDO66" s="146"/>
      <c r="HDP66" s="146"/>
      <c r="HDQ66" s="146"/>
      <c r="HDR66" s="146"/>
      <c r="HDS66" s="146"/>
      <c r="HDT66" s="146"/>
      <c r="HDU66" s="146"/>
      <c r="HDV66" s="146"/>
      <c r="HDW66" s="146"/>
      <c r="HDX66" s="146"/>
      <c r="HDY66" s="146"/>
      <c r="HDZ66" s="146"/>
      <c r="HEA66" s="146"/>
      <c r="HEB66" s="146"/>
      <c r="HEC66" s="146"/>
      <c r="HED66" s="146"/>
      <c r="HEE66" s="146"/>
      <c r="HEF66" s="146"/>
      <c r="HEG66" s="146"/>
      <c r="HEH66" s="146"/>
      <c r="HEI66" s="146"/>
      <c r="HEJ66" s="146"/>
      <c r="HEK66" s="146"/>
      <c r="HEL66" s="146"/>
      <c r="HEM66" s="146"/>
      <c r="HEN66" s="146"/>
      <c r="HEO66" s="146"/>
      <c r="HEP66" s="146"/>
      <c r="HEQ66" s="146"/>
      <c r="HER66" s="146"/>
      <c r="HES66" s="146"/>
      <c r="HET66" s="146"/>
      <c r="HEU66" s="146"/>
      <c r="HEV66" s="146"/>
      <c r="HEW66" s="146"/>
      <c r="HEX66" s="146"/>
      <c r="HEY66" s="146"/>
      <c r="HEZ66" s="146"/>
      <c r="HFA66" s="146"/>
      <c r="HFB66" s="146"/>
      <c r="HFC66" s="146"/>
      <c r="HFD66" s="146"/>
      <c r="HFE66" s="146"/>
      <c r="HFF66" s="146"/>
      <c r="HFG66" s="146"/>
      <c r="HFH66" s="146"/>
      <c r="HFI66" s="146"/>
      <c r="HFJ66" s="146"/>
      <c r="HFK66" s="146"/>
      <c r="HFL66" s="146"/>
      <c r="HFM66" s="146"/>
      <c r="HFN66" s="146"/>
      <c r="HFO66" s="146"/>
      <c r="HFP66" s="146"/>
      <c r="HFQ66" s="146"/>
      <c r="HFR66" s="146"/>
      <c r="HFS66" s="146"/>
      <c r="HFT66" s="146"/>
      <c r="HFU66" s="146"/>
      <c r="HFV66" s="146"/>
      <c r="HFW66" s="146"/>
      <c r="HFX66" s="146"/>
      <c r="HFY66" s="146"/>
      <c r="HFZ66" s="146"/>
      <c r="HGA66" s="146"/>
      <c r="HGB66" s="146"/>
      <c r="HGC66" s="146"/>
      <c r="HGD66" s="146"/>
      <c r="HGE66" s="146"/>
      <c r="HGF66" s="146"/>
      <c r="HGG66" s="146"/>
      <c r="HGH66" s="146"/>
      <c r="HGI66" s="146"/>
      <c r="HGJ66" s="146"/>
      <c r="HGK66" s="146"/>
      <c r="HGL66" s="146"/>
      <c r="HGM66" s="146"/>
      <c r="HGN66" s="146"/>
      <c r="HGO66" s="146"/>
      <c r="HGP66" s="146"/>
      <c r="HGQ66" s="146"/>
      <c r="HGR66" s="146"/>
      <c r="HGS66" s="146"/>
      <c r="HGT66" s="146"/>
      <c r="HGU66" s="146"/>
      <c r="HGV66" s="146"/>
      <c r="HGW66" s="146"/>
      <c r="HGX66" s="146"/>
      <c r="HGY66" s="146"/>
      <c r="HGZ66" s="146"/>
      <c r="HHA66" s="146"/>
      <c r="HHB66" s="146"/>
      <c r="HHC66" s="146"/>
      <c r="HHD66" s="146"/>
      <c r="HHE66" s="146"/>
      <c r="HHF66" s="146"/>
      <c r="HHG66" s="146"/>
      <c r="HHH66" s="146"/>
      <c r="HHI66" s="146"/>
      <c r="HHJ66" s="146"/>
      <c r="HHK66" s="146"/>
      <c r="HHL66" s="146"/>
      <c r="HHM66" s="146"/>
      <c r="HHN66" s="146"/>
      <c r="HHO66" s="146"/>
      <c r="HHP66" s="146"/>
      <c r="HHQ66" s="146"/>
      <c r="HHR66" s="146"/>
      <c r="HHS66" s="146"/>
      <c r="HHT66" s="146"/>
      <c r="HHU66" s="146"/>
      <c r="HHV66" s="146"/>
      <c r="HHW66" s="146"/>
      <c r="HHX66" s="146"/>
      <c r="HHY66" s="146"/>
      <c r="HHZ66" s="146"/>
      <c r="HIA66" s="146"/>
      <c r="HIB66" s="146"/>
      <c r="HIC66" s="146"/>
      <c r="HID66" s="146"/>
      <c r="HIE66" s="146"/>
      <c r="HIF66" s="146"/>
      <c r="HIG66" s="146"/>
      <c r="HIH66" s="146"/>
      <c r="HII66" s="146"/>
      <c r="HIJ66" s="146"/>
      <c r="HIK66" s="146"/>
      <c r="HIL66" s="146"/>
      <c r="HIM66" s="146"/>
      <c r="HIN66" s="146"/>
      <c r="HIO66" s="146"/>
      <c r="HIP66" s="146"/>
      <c r="HIQ66" s="146"/>
      <c r="HIR66" s="146"/>
      <c r="HIS66" s="146"/>
      <c r="HIT66" s="146"/>
      <c r="HIU66" s="146"/>
      <c r="HIV66" s="146"/>
      <c r="HIW66" s="146"/>
      <c r="HIX66" s="146"/>
      <c r="HIY66" s="146"/>
      <c r="HIZ66" s="146"/>
      <c r="HJA66" s="146"/>
      <c r="HJB66" s="146"/>
      <c r="HJC66" s="146"/>
      <c r="HJD66" s="146"/>
      <c r="HJE66" s="146"/>
      <c r="HJF66" s="146"/>
      <c r="HJG66" s="146"/>
      <c r="HJH66" s="146"/>
      <c r="HJI66" s="146"/>
      <c r="HJJ66" s="146"/>
      <c r="HJK66" s="146"/>
      <c r="HJL66" s="146"/>
      <c r="HJM66" s="146"/>
      <c r="HJN66" s="146"/>
      <c r="HJO66" s="146"/>
      <c r="HJP66" s="146"/>
      <c r="HJQ66" s="146"/>
      <c r="HJR66" s="146"/>
      <c r="HJS66" s="146"/>
      <c r="HJT66" s="146"/>
      <c r="HJU66" s="146"/>
      <c r="HJV66" s="146"/>
      <c r="HJW66" s="146"/>
      <c r="HJX66" s="146"/>
      <c r="HJY66" s="146"/>
      <c r="HJZ66" s="146"/>
      <c r="HKA66" s="146"/>
      <c r="HKB66" s="146"/>
      <c r="HKC66" s="146"/>
      <c r="HKD66" s="146"/>
      <c r="HKE66" s="146"/>
      <c r="HKF66" s="146"/>
      <c r="HKG66" s="146"/>
      <c r="HKH66" s="146"/>
      <c r="HKI66" s="146"/>
      <c r="HKJ66" s="146"/>
      <c r="HKK66" s="146"/>
      <c r="HKL66" s="146"/>
      <c r="HKM66" s="146"/>
      <c r="HKN66" s="146"/>
      <c r="HKO66" s="146"/>
      <c r="HKP66" s="146"/>
      <c r="HKQ66" s="146"/>
      <c r="HKR66" s="146"/>
      <c r="HKS66" s="146"/>
      <c r="HKT66" s="146"/>
      <c r="HKU66" s="146"/>
      <c r="HKV66" s="146"/>
      <c r="HKW66" s="146"/>
      <c r="HKX66" s="146"/>
      <c r="HKY66" s="146"/>
      <c r="HKZ66" s="146"/>
      <c r="HLA66" s="146"/>
      <c r="HLB66" s="146"/>
      <c r="HLC66" s="146"/>
      <c r="HLD66" s="146"/>
      <c r="HLE66" s="146"/>
      <c r="HLF66" s="146"/>
      <c r="HLG66" s="146"/>
      <c r="HLH66" s="146"/>
      <c r="HLI66" s="146"/>
      <c r="HLJ66" s="146"/>
      <c r="HLK66" s="146"/>
      <c r="HLL66" s="146"/>
      <c r="HLM66" s="146"/>
      <c r="HLN66" s="146"/>
      <c r="HLO66" s="146"/>
      <c r="HLP66" s="146"/>
      <c r="HLQ66" s="146"/>
      <c r="HLR66" s="146"/>
      <c r="HLS66" s="146"/>
      <c r="HLT66" s="146"/>
      <c r="HLU66" s="146"/>
      <c r="HLV66" s="146"/>
      <c r="HLW66" s="146"/>
      <c r="HLX66" s="146"/>
      <c r="HLY66" s="146"/>
      <c r="HLZ66" s="146"/>
      <c r="HMA66" s="146"/>
      <c r="HMB66" s="146"/>
      <c r="HMC66" s="146"/>
      <c r="HMD66" s="146"/>
      <c r="HME66" s="146"/>
      <c r="HMF66" s="146"/>
      <c r="HMG66" s="146"/>
      <c r="HMH66" s="146"/>
      <c r="HMI66" s="146"/>
      <c r="HMJ66" s="146"/>
      <c r="HMK66" s="146"/>
      <c r="HML66" s="146"/>
      <c r="HMM66" s="146"/>
      <c r="HMN66" s="146"/>
      <c r="HMO66" s="146"/>
      <c r="HMP66" s="146"/>
      <c r="HMQ66" s="146"/>
      <c r="HMR66" s="146"/>
      <c r="HMS66" s="146"/>
      <c r="HMT66" s="146"/>
      <c r="HMU66" s="146"/>
      <c r="HMV66" s="146"/>
      <c r="HMW66" s="146"/>
      <c r="HMX66" s="146"/>
      <c r="HMY66" s="146"/>
      <c r="HMZ66" s="146"/>
      <c r="HNA66" s="146"/>
      <c r="HNB66" s="146"/>
      <c r="HNC66" s="146"/>
      <c r="HND66" s="146"/>
      <c r="HNE66" s="146"/>
      <c r="HNF66" s="146"/>
      <c r="HNG66" s="146"/>
      <c r="HNH66" s="146"/>
      <c r="HNI66" s="146"/>
      <c r="HNJ66" s="146"/>
      <c r="HNK66" s="146"/>
      <c r="HNL66" s="146"/>
      <c r="HNM66" s="146"/>
      <c r="HNN66" s="146"/>
      <c r="HNO66" s="146"/>
      <c r="HNP66" s="146"/>
      <c r="HNQ66" s="146"/>
      <c r="HNR66" s="146"/>
      <c r="HNS66" s="146"/>
      <c r="HNT66" s="146"/>
      <c r="HNU66" s="146"/>
      <c r="HNV66" s="146"/>
      <c r="HNW66" s="146"/>
      <c r="HNX66" s="146"/>
      <c r="HNY66" s="146"/>
      <c r="HNZ66" s="146"/>
      <c r="HOA66" s="146"/>
      <c r="HOB66" s="146"/>
      <c r="HOC66" s="146"/>
      <c r="HOD66" s="146"/>
      <c r="HOE66" s="146"/>
      <c r="HOF66" s="146"/>
      <c r="HOG66" s="146"/>
      <c r="HOH66" s="146"/>
      <c r="HOI66" s="146"/>
      <c r="HOJ66" s="146"/>
      <c r="HOK66" s="146"/>
      <c r="HOL66" s="146"/>
      <c r="HOM66" s="146"/>
      <c r="HON66" s="146"/>
      <c r="HOO66" s="146"/>
      <c r="HOP66" s="146"/>
      <c r="HOQ66" s="146"/>
      <c r="HOR66" s="146"/>
      <c r="HOS66" s="146"/>
      <c r="HOT66" s="146"/>
      <c r="HOU66" s="146"/>
      <c r="HOV66" s="146"/>
      <c r="HOW66" s="146"/>
      <c r="HOX66" s="146"/>
      <c r="HOY66" s="146"/>
      <c r="HOZ66" s="146"/>
      <c r="HPA66" s="146"/>
      <c r="HPB66" s="146"/>
      <c r="HPC66" s="146"/>
      <c r="HPD66" s="146"/>
      <c r="HPE66" s="146"/>
      <c r="HPF66" s="146"/>
      <c r="HPG66" s="146"/>
      <c r="HPH66" s="146"/>
      <c r="HPI66" s="146"/>
      <c r="HPJ66" s="146"/>
      <c r="HPK66" s="146"/>
      <c r="HPL66" s="146"/>
      <c r="HPM66" s="146"/>
      <c r="HPN66" s="146"/>
      <c r="HPO66" s="146"/>
      <c r="HPP66" s="146"/>
      <c r="HPQ66" s="146"/>
      <c r="HPR66" s="146"/>
      <c r="HPS66" s="146"/>
      <c r="HPT66" s="146"/>
      <c r="HPU66" s="146"/>
      <c r="HPV66" s="146"/>
      <c r="HPW66" s="146"/>
      <c r="HPX66" s="146"/>
      <c r="HPY66" s="146"/>
      <c r="HPZ66" s="146"/>
      <c r="HQA66" s="146"/>
      <c r="HQB66" s="146"/>
      <c r="HQC66" s="146"/>
      <c r="HQD66" s="146"/>
      <c r="HQE66" s="146"/>
      <c r="HQF66" s="146"/>
      <c r="HQG66" s="146"/>
      <c r="HQH66" s="146"/>
      <c r="HQI66" s="146"/>
      <c r="HQJ66" s="146"/>
      <c r="HQK66" s="146"/>
      <c r="HQL66" s="146"/>
      <c r="HQM66" s="146"/>
      <c r="HQN66" s="146"/>
      <c r="HQO66" s="146"/>
      <c r="HQP66" s="146"/>
      <c r="HQQ66" s="146"/>
      <c r="HQR66" s="146"/>
      <c r="HQS66" s="146"/>
      <c r="HQT66" s="146"/>
      <c r="HQU66" s="146"/>
      <c r="HQV66" s="146"/>
      <c r="HQW66" s="146"/>
      <c r="HQX66" s="146"/>
      <c r="HQY66" s="146"/>
      <c r="HQZ66" s="146"/>
      <c r="HRA66" s="146"/>
      <c r="HRB66" s="146"/>
      <c r="HRC66" s="146"/>
      <c r="HRD66" s="146"/>
      <c r="HRE66" s="146"/>
      <c r="HRF66" s="146"/>
      <c r="HRG66" s="146"/>
      <c r="HRH66" s="146"/>
      <c r="HRI66" s="146"/>
      <c r="HRJ66" s="146"/>
      <c r="HRK66" s="146"/>
      <c r="HRL66" s="146"/>
      <c r="HRM66" s="146"/>
      <c r="HRN66" s="146"/>
      <c r="HRO66" s="146"/>
      <c r="HRP66" s="146"/>
      <c r="HRQ66" s="146"/>
      <c r="HRR66" s="146"/>
      <c r="HRS66" s="146"/>
      <c r="HRT66" s="146"/>
      <c r="HRU66" s="146"/>
      <c r="HRV66" s="146"/>
      <c r="HRW66" s="146"/>
      <c r="HRX66" s="146"/>
      <c r="HRY66" s="146"/>
      <c r="HRZ66" s="146"/>
      <c r="HSA66" s="146"/>
      <c r="HSB66" s="146"/>
      <c r="HSC66" s="146"/>
      <c r="HSD66" s="146"/>
      <c r="HSE66" s="146"/>
      <c r="HSF66" s="146"/>
      <c r="HSG66" s="146"/>
      <c r="HSH66" s="146"/>
      <c r="HSI66" s="146"/>
      <c r="HSJ66" s="146"/>
      <c r="HSK66" s="146"/>
      <c r="HSL66" s="146"/>
      <c r="HSM66" s="146"/>
      <c r="HSN66" s="146"/>
      <c r="HSO66" s="146"/>
      <c r="HSP66" s="146"/>
      <c r="HSQ66" s="146"/>
      <c r="HSR66" s="146"/>
      <c r="HSS66" s="146"/>
      <c r="HST66" s="146"/>
      <c r="HSU66" s="146"/>
      <c r="HSV66" s="146"/>
      <c r="HSW66" s="146"/>
      <c r="HSX66" s="146"/>
      <c r="HSY66" s="146"/>
      <c r="HSZ66" s="146"/>
      <c r="HTA66" s="146"/>
      <c r="HTB66" s="146"/>
      <c r="HTC66" s="146"/>
      <c r="HTD66" s="146"/>
      <c r="HTE66" s="146"/>
      <c r="HTF66" s="146"/>
      <c r="HTG66" s="146"/>
      <c r="HTH66" s="146"/>
      <c r="HTI66" s="146"/>
      <c r="HTJ66" s="146"/>
      <c r="HTK66" s="146"/>
      <c r="HTL66" s="146"/>
      <c r="HTM66" s="146"/>
      <c r="HTN66" s="146"/>
      <c r="HTO66" s="146"/>
      <c r="HTP66" s="146"/>
      <c r="HTQ66" s="146"/>
      <c r="HTR66" s="146"/>
      <c r="HTS66" s="146"/>
      <c r="HTT66" s="146"/>
      <c r="HTU66" s="146"/>
      <c r="HTV66" s="146"/>
      <c r="HTW66" s="146"/>
      <c r="HTX66" s="146"/>
      <c r="HTY66" s="146"/>
      <c r="HTZ66" s="146"/>
      <c r="HUA66" s="146"/>
      <c r="HUB66" s="146"/>
      <c r="HUC66" s="146"/>
      <c r="HUD66" s="146"/>
      <c r="HUE66" s="146"/>
      <c r="HUF66" s="146"/>
      <c r="HUG66" s="146"/>
      <c r="HUH66" s="146"/>
      <c r="HUI66" s="146"/>
      <c r="HUJ66" s="146"/>
      <c r="HUK66" s="146"/>
      <c r="HUL66" s="146"/>
      <c r="HUM66" s="146"/>
      <c r="HUN66" s="146"/>
      <c r="HUO66" s="146"/>
      <c r="HUP66" s="146"/>
      <c r="HUQ66" s="146"/>
      <c r="HUR66" s="146"/>
      <c r="HUS66" s="146"/>
      <c r="HUT66" s="146"/>
      <c r="HUU66" s="146"/>
      <c r="HUV66" s="146"/>
      <c r="HUW66" s="146"/>
      <c r="HUX66" s="146"/>
      <c r="HUY66" s="146"/>
      <c r="HUZ66" s="146"/>
      <c r="HVA66" s="146"/>
      <c r="HVB66" s="146"/>
      <c r="HVC66" s="146"/>
      <c r="HVD66" s="146"/>
      <c r="HVE66" s="146"/>
      <c r="HVF66" s="146"/>
      <c r="HVG66" s="146"/>
      <c r="HVH66" s="146"/>
      <c r="HVI66" s="146"/>
      <c r="HVJ66" s="146"/>
      <c r="HVK66" s="146"/>
      <c r="HVL66" s="146"/>
      <c r="HVM66" s="146"/>
      <c r="HVN66" s="146"/>
      <c r="HVO66" s="146"/>
      <c r="HVP66" s="146"/>
      <c r="HVQ66" s="146"/>
      <c r="HVR66" s="146"/>
      <c r="HVS66" s="146"/>
      <c r="HVT66" s="146"/>
      <c r="HVU66" s="146"/>
      <c r="HVV66" s="146"/>
      <c r="HVW66" s="146"/>
      <c r="HVX66" s="146"/>
      <c r="HVY66" s="146"/>
      <c r="HVZ66" s="146"/>
      <c r="HWA66" s="146"/>
      <c r="HWB66" s="146"/>
      <c r="HWC66" s="146"/>
      <c r="HWD66" s="146"/>
      <c r="HWE66" s="146"/>
      <c r="HWF66" s="146"/>
      <c r="HWG66" s="146"/>
      <c r="HWH66" s="146"/>
      <c r="HWI66" s="146"/>
      <c r="HWJ66" s="146"/>
      <c r="HWK66" s="146"/>
      <c r="HWL66" s="146"/>
      <c r="HWM66" s="146"/>
      <c r="HWN66" s="146"/>
      <c r="HWO66" s="146"/>
      <c r="HWP66" s="146"/>
      <c r="HWQ66" s="146"/>
      <c r="HWR66" s="146"/>
      <c r="HWS66" s="146"/>
      <c r="HWT66" s="146"/>
      <c r="HWU66" s="146"/>
      <c r="HWV66" s="146"/>
      <c r="HWW66" s="146"/>
      <c r="HWX66" s="146"/>
      <c r="HWY66" s="146"/>
      <c r="HWZ66" s="146"/>
      <c r="HXA66" s="146"/>
      <c r="HXB66" s="146"/>
      <c r="HXC66" s="146"/>
      <c r="HXD66" s="146"/>
      <c r="HXE66" s="146"/>
      <c r="HXF66" s="146"/>
      <c r="HXG66" s="146"/>
      <c r="HXH66" s="146"/>
      <c r="HXI66" s="146"/>
      <c r="HXJ66" s="146"/>
      <c r="HXK66" s="146"/>
      <c r="HXL66" s="146"/>
      <c r="HXM66" s="146"/>
      <c r="HXN66" s="146"/>
      <c r="HXO66" s="146"/>
      <c r="HXP66" s="146"/>
      <c r="HXQ66" s="146"/>
      <c r="HXR66" s="146"/>
      <c r="HXS66" s="146"/>
      <c r="HXT66" s="146"/>
      <c r="HXU66" s="146"/>
      <c r="HXV66" s="146"/>
      <c r="HXW66" s="146"/>
      <c r="HXX66" s="146"/>
      <c r="HXY66" s="146"/>
      <c r="HXZ66" s="146"/>
      <c r="HYA66" s="146"/>
      <c r="HYB66" s="146"/>
      <c r="HYC66" s="146"/>
      <c r="HYD66" s="146"/>
      <c r="HYE66" s="146"/>
      <c r="HYF66" s="146"/>
      <c r="HYG66" s="146"/>
      <c r="HYH66" s="146"/>
      <c r="HYI66" s="146"/>
      <c r="HYJ66" s="146"/>
      <c r="HYK66" s="146"/>
      <c r="HYL66" s="146"/>
      <c r="HYM66" s="146"/>
      <c r="HYN66" s="146"/>
      <c r="HYO66" s="146"/>
      <c r="HYP66" s="146"/>
      <c r="HYQ66" s="146"/>
      <c r="HYR66" s="146"/>
      <c r="HYS66" s="146"/>
      <c r="HYT66" s="146"/>
      <c r="HYU66" s="146"/>
      <c r="HYV66" s="146"/>
      <c r="HYW66" s="146"/>
      <c r="HYX66" s="146"/>
      <c r="HYY66" s="146"/>
      <c r="HYZ66" s="146"/>
      <c r="HZA66" s="146"/>
      <c r="HZB66" s="146"/>
      <c r="HZC66" s="146"/>
      <c r="HZD66" s="146"/>
      <c r="HZE66" s="146"/>
      <c r="HZF66" s="146"/>
      <c r="HZG66" s="146"/>
      <c r="HZH66" s="146"/>
      <c r="HZI66" s="146"/>
      <c r="HZJ66" s="146"/>
      <c r="HZK66" s="146"/>
      <c r="HZL66" s="146"/>
      <c r="HZM66" s="146"/>
      <c r="HZN66" s="146"/>
      <c r="HZO66" s="146"/>
      <c r="HZP66" s="146"/>
      <c r="HZQ66" s="146"/>
      <c r="HZR66" s="146"/>
      <c r="HZS66" s="146"/>
      <c r="HZT66" s="146"/>
      <c r="HZU66" s="146"/>
      <c r="HZV66" s="146"/>
      <c r="HZW66" s="146"/>
      <c r="HZX66" s="146"/>
      <c r="HZY66" s="146"/>
      <c r="HZZ66" s="146"/>
      <c r="IAA66" s="146"/>
      <c r="IAB66" s="146"/>
      <c r="IAC66" s="146"/>
      <c r="IAD66" s="146"/>
      <c r="IAE66" s="146"/>
      <c r="IAF66" s="146"/>
      <c r="IAG66" s="146"/>
      <c r="IAH66" s="146"/>
      <c r="IAI66" s="146"/>
      <c r="IAJ66" s="146"/>
      <c r="IAK66" s="146"/>
      <c r="IAL66" s="146"/>
      <c r="IAM66" s="146"/>
      <c r="IAN66" s="146"/>
      <c r="IAO66" s="146"/>
      <c r="IAP66" s="146"/>
      <c r="IAQ66" s="146"/>
      <c r="IAR66" s="146"/>
      <c r="IAS66" s="146"/>
      <c r="IAT66" s="146"/>
      <c r="IAU66" s="146"/>
      <c r="IAV66" s="146"/>
      <c r="IAW66" s="146"/>
      <c r="IAX66" s="146"/>
      <c r="IAY66" s="146"/>
      <c r="IAZ66" s="146"/>
      <c r="IBA66" s="146"/>
      <c r="IBB66" s="146"/>
      <c r="IBC66" s="146"/>
      <c r="IBD66" s="146"/>
      <c r="IBE66" s="146"/>
      <c r="IBF66" s="146"/>
      <c r="IBG66" s="146"/>
      <c r="IBH66" s="146"/>
      <c r="IBI66" s="146"/>
      <c r="IBJ66" s="146"/>
      <c r="IBK66" s="146"/>
      <c r="IBL66" s="146"/>
      <c r="IBM66" s="146"/>
      <c r="IBN66" s="146"/>
      <c r="IBO66" s="146"/>
      <c r="IBP66" s="146"/>
      <c r="IBQ66" s="146"/>
      <c r="IBR66" s="146"/>
      <c r="IBS66" s="146"/>
      <c r="IBT66" s="146"/>
      <c r="IBU66" s="146"/>
      <c r="IBV66" s="146"/>
      <c r="IBW66" s="146"/>
      <c r="IBX66" s="146"/>
      <c r="IBY66" s="146"/>
      <c r="IBZ66" s="146"/>
      <c r="ICA66" s="146"/>
      <c r="ICB66" s="146"/>
      <c r="ICC66" s="146"/>
      <c r="ICD66" s="146"/>
      <c r="ICE66" s="146"/>
      <c r="ICF66" s="146"/>
      <c r="ICG66" s="146"/>
      <c r="ICH66" s="146"/>
      <c r="ICI66" s="146"/>
      <c r="ICJ66" s="146"/>
      <c r="ICK66" s="146"/>
      <c r="ICL66" s="146"/>
      <c r="ICM66" s="146"/>
      <c r="ICN66" s="146"/>
      <c r="ICO66" s="146"/>
      <c r="ICP66" s="146"/>
      <c r="ICQ66" s="146"/>
      <c r="ICR66" s="146"/>
      <c r="ICS66" s="146"/>
      <c r="ICT66" s="146"/>
      <c r="ICU66" s="146"/>
      <c r="ICV66" s="146"/>
      <c r="ICW66" s="146"/>
      <c r="ICX66" s="146"/>
      <c r="ICY66" s="146"/>
      <c r="ICZ66" s="146"/>
      <c r="IDA66" s="146"/>
      <c r="IDB66" s="146"/>
      <c r="IDC66" s="146"/>
      <c r="IDD66" s="146"/>
      <c r="IDE66" s="146"/>
      <c r="IDF66" s="146"/>
      <c r="IDG66" s="146"/>
      <c r="IDH66" s="146"/>
      <c r="IDI66" s="146"/>
      <c r="IDJ66" s="146"/>
      <c r="IDK66" s="146"/>
      <c r="IDL66" s="146"/>
      <c r="IDM66" s="146"/>
      <c r="IDN66" s="146"/>
      <c r="IDO66" s="146"/>
      <c r="IDP66" s="146"/>
      <c r="IDQ66" s="146"/>
      <c r="IDR66" s="146"/>
      <c r="IDS66" s="146"/>
      <c r="IDT66" s="146"/>
      <c r="IDU66" s="146"/>
      <c r="IDV66" s="146"/>
      <c r="IDW66" s="146"/>
      <c r="IDX66" s="146"/>
      <c r="IDY66" s="146"/>
      <c r="IDZ66" s="146"/>
      <c r="IEA66" s="146"/>
      <c r="IEB66" s="146"/>
      <c r="IEC66" s="146"/>
      <c r="IED66" s="146"/>
      <c r="IEE66" s="146"/>
      <c r="IEF66" s="146"/>
      <c r="IEG66" s="146"/>
      <c r="IEH66" s="146"/>
      <c r="IEI66" s="146"/>
      <c r="IEJ66" s="146"/>
      <c r="IEK66" s="146"/>
      <c r="IEL66" s="146"/>
      <c r="IEM66" s="146"/>
      <c r="IEN66" s="146"/>
      <c r="IEO66" s="146"/>
      <c r="IEP66" s="146"/>
      <c r="IEQ66" s="146"/>
      <c r="IER66" s="146"/>
      <c r="IES66" s="146"/>
      <c r="IET66" s="146"/>
      <c r="IEU66" s="146"/>
      <c r="IEV66" s="146"/>
      <c r="IEW66" s="146"/>
      <c r="IEX66" s="146"/>
      <c r="IEY66" s="146"/>
      <c r="IEZ66" s="146"/>
      <c r="IFA66" s="146"/>
      <c r="IFB66" s="146"/>
      <c r="IFC66" s="146"/>
      <c r="IFD66" s="146"/>
      <c r="IFE66" s="146"/>
      <c r="IFF66" s="146"/>
      <c r="IFG66" s="146"/>
      <c r="IFH66" s="146"/>
      <c r="IFI66" s="146"/>
      <c r="IFJ66" s="146"/>
      <c r="IFK66" s="146"/>
      <c r="IFL66" s="146"/>
      <c r="IFM66" s="146"/>
      <c r="IFN66" s="146"/>
      <c r="IFO66" s="146"/>
      <c r="IFP66" s="146"/>
      <c r="IFQ66" s="146"/>
      <c r="IFR66" s="146"/>
      <c r="IFS66" s="146"/>
      <c r="IFT66" s="146"/>
      <c r="IFU66" s="146"/>
      <c r="IFV66" s="146"/>
      <c r="IFW66" s="146"/>
      <c r="IFX66" s="146"/>
      <c r="IFY66" s="146"/>
      <c r="IFZ66" s="146"/>
      <c r="IGA66" s="146"/>
      <c r="IGB66" s="146"/>
      <c r="IGC66" s="146"/>
      <c r="IGD66" s="146"/>
      <c r="IGE66" s="146"/>
      <c r="IGF66" s="146"/>
      <c r="IGG66" s="146"/>
      <c r="IGH66" s="146"/>
      <c r="IGI66" s="146"/>
      <c r="IGJ66" s="146"/>
      <c r="IGK66" s="146"/>
      <c r="IGL66" s="146"/>
      <c r="IGM66" s="146"/>
      <c r="IGN66" s="146"/>
      <c r="IGO66" s="146"/>
      <c r="IGP66" s="146"/>
      <c r="IGQ66" s="146"/>
      <c r="IGR66" s="146"/>
      <c r="IGS66" s="146"/>
      <c r="IGT66" s="146"/>
      <c r="IGU66" s="146"/>
      <c r="IGV66" s="146"/>
      <c r="IGW66" s="146"/>
      <c r="IGX66" s="146"/>
      <c r="IGY66" s="146"/>
      <c r="IGZ66" s="146"/>
      <c r="IHA66" s="146"/>
      <c r="IHB66" s="146"/>
      <c r="IHC66" s="146"/>
      <c r="IHD66" s="146"/>
      <c r="IHE66" s="146"/>
      <c r="IHF66" s="146"/>
      <c r="IHG66" s="146"/>
      <c r="IHH66" s="146"/>
      <c r="IHI66" s="146"/>
      <c r="IHJ66" s="146"/>
      <c r="IHK66" s="146"/>
      <c r="IHL66" s="146"/>
      <c r="IHM66" s="146"/>
      <c r="IHN66" s="146"/>
      <c r="IHO66" s="146"/>
      <c r="IHP66" s="146"/>
      <c r="IHQ66" s="146"/>
      <c r="IHR66" s="146"/>
      <c r="IHS66" s="146"/>
      <c r="IHT66" s="146"/>
      <c r="IHU66" s="146"/>
      <c r="IHV66" s="146"/>
      <c r="IHW66" s="146"/>
      <c r="IHX66" s="146"/>
      <c r="IHY66" s="146"/>
      <c r="IHZ66" s="146"/>
      <c r="IIA66" s="146"/>
      <c r="IIB66" s="146"/>
      <c r="IIC66" s="146"/>
      <c r="IID66" s="146"/>
      <c r="IIE66" s="146"/>
      <c r="IIF66" s="146"/>
      <c r="IIG66" s="146"/>
      <c r="IIH66" s="146"/>
      <c r="III66" s="146"/>
      <c r="IIJ66" s="146"/>
      <c r="IIK66" s="146"/>
      <c r="IIL66" s="146"/>
      <c r="IIM66" s="146"/>
      <c r="IIN66" s="146"/>
      <c r="IIO66" s="146"/>
      <c r="IIP66" s="146"/>
      <c r="IIQ66" s="146"/>
      <c r="IIR66" s="146"/>
      <c r="IIS66" s="146"/>
      <c r="IIT66" s="146"/>
      <c r="IIU66" s="146"/>
      <c r="IIV66" s="146"/>
      <c r="IIW66" s="146"/>
      <c r="IIX66" s="146"/>
      <c r="IIY66" s="146"/>
      <c r="IIZ66" s="146"/>
      <c r="IJA66" s="146"/>
      <c r="IJB66" s="146"/>
      <c r="IJC66" s="146"/>
      <c r="IJD66" s="146"/>
      <c r="IJE66" s="146"/>
      <c r="IJF66" s="146"/>
      <c r="IJG66" s="146"/>
      <c r="IJH66" s="146"/>
      <c r="IJI66" s="146"/>
      <c r="IJJ66" s="146"/>
      <c r="IJK66" s="146"/>
      <c r="IJL66" s="146"/>
      <c r="IJM66" s="146"/>
      <c r="IJN66" s="146"/>
      <c r="IJO66" s="146"/>
      <c r="IJP66" s="146"/>
      <c r="IJQ66" s="146"/>
      <c r="IJR66" s="146"/>
      <c r="IJS66" s="146"/>
      <c r="IJT66" s="146"/>
      <c r="IJU66" s="146"/>
      <c r="IJV66" s="146"/>
      <c r="IJW66" s="146"/>
      <c r="IJX66" s="146"/>
      <c r="IJY66" s="146"/>
      <c r="IJZ66" s="146"/>
      <c r="IKA66" s="146"/>
      <c r="IKB66" s="146"/>
      <c r="IKC66" s="146"/>
      <c r="IKD66" s="146"/>
      <c r="IKE66" s="146"/>
      <c r="IKF66" s="146"/>
      <c r="IKG66" s="146"/>
      <c r="IKH66" s="146"/>
      <c r="IKI66" s="146"/>
      <c r="IKJ66" s="146"/>
      <c r="IKK66" s="146"/>
      <c r="IKL66" s="146"/>
      <c r="IKM66" s="146"/>
      <c r="IKN66" s="146"/>
      <c r="IKO66" s="146"/>
      <c r="IKP66" s="146"/>
      <c r="IKQ66" s="146"/>
      <c r="IKR66" s="146"/>
      <c r="IKS66" s="146"/>
      <c r="IKT66" s="146"/>
      <c r="IKU66" s="146"/>
      <c r="IKV66" s="146"/>
      <c r="IKW66" s="146"/>
      <c r="IKX66" s="146"/>
      <c r="IKY66" s="146"/>
      <c r="IKZ66" s="146"/>
      <c r="ILA66" s="146"/>
      <c r="ILB66" s="146"/>
      <c r="ILC66" s="146"/>
      <c r="ILD66" s="146"/>
      <c r="ILE66" s="146"/>
      <c r="ILF66" s="146"/>
      <c r="ILG66" s="146"/>
      <c r="ILH66" s="146"/>
      <c r="ILI66" s="146"/>
      <c r="ILJ66" s="146"/>
      <c r="ILK66" s="146"/>
      <c r="ILL66" s="146"/>
      <c r="ILM66" s="146"/>
      <c r="ILN66" s="146"/>
      <c r="ILO66" s="146"/>
      <c r="ILP66" s="146"/>
      <c r="ILQ66" s="146"/>
      <c r="ILR66" s="146"/>
      <c r="ILS66" s="146"/>
      <c r="ILT66" s="146"/>
      <c r="ILU66" s="146"/>
      <c r="ILV66" s="146"/>
      <c r="ILW66" s="146"/>
      <c r="ILX66" s="146"/>
      <c r="ILY66" s="146"/>
      <c r="ILZ66" s="146"/>
      <c r="IMA66" s="146"/>
      <c r="IMB66" s="146"/>
      <c r="IMC66" s="146"/>
      <c r="IMD66" s="146"/>
      <c r="IME66" s="146"/>
      <c r="IMF66" s="146"/>
      <c r="IMG66" s="146"/>
      <c r="IMH66" s="146"/>
      <c r="IMI66" s="146"/>
      <c r="IMJ66" s="146"/>
      <c r="IMK66" s="146"/>
      <c r="IML66" s="146"/>
      <c r="IMM66" s="146"/>
      <c r="IMN66" s="146"/>
      <c r="IMO66" s="146"/>
      <c r="IMP66" s="146"/>
      <c r="IMQ66" s="146"/>
      <c r="IMR66" s="146"/>
      <c r="IMS66" s="146"/>
      <c r="IMT66" s="146"/>
      <c r="IMU66" s="146"/>
      <c r="IMV66" s="146"/>
      <c r="IMW66" s="146"/>
      <c r="IMX66" s="146"/>
      <c r="IMY66" s="146"/>
      <c r="IMZ66" s="146"/>
      <c r="INA66" s="146"/>
      <c r="INB66" s="146"/>
      <c r="INC66" s="146"/>
      <c r="IND66" s="146"/>
      <c r="INE66" s="146"/>
      <c r="INF66" s="146"/>
      <c r="ING66" s="146"/>
      <c r="INH66" s="146"/>
      <c r="INI66" s="146"/>
      <c r="INJ66" s="146"/>
      <c r="INK66" s="146"/>
      <c r="INL66" s="146"/>
      <c r="INM66" s="146"/>
      <c r="INN66" s="146"/>
      <c r="INO66" s="146"/>
      <c r="INP66" s="146"/>
      <c r="INQ66" s="146"/>
      <c r="INR66" s="146"/>
      <c r="INS66" s="146"/>
      <c r="INT66" s="146"/>
      <c r="INU66" s="146"/>
      <c r="INV66" s="146"/>
      <c r="INW66" s="146"/>
      <c r="INX66" s="146"/>
      <c r="INY66" s="146"/>
      <c r="INZ66" s="146"/>
      <c r="IOA66" s="146"/>
      <c r="IOB66" s="146"/>
      <c r="IOC66" s="146"/>
      <c r="IOD66" s="146"/>
      <c r="IOE66" s="146"/>
      <c r="IOF66" s="146"/>
      <c r="IOG66" s="146"/>
      <c r="IOH66" s="146"/>
      <c r="IOI66" s="146"/>
      <c r="IOJ66" s="146"/>
      <c r="IOK66" s="146"/>
      <c r="IOL66" s="146"/>
      <c r="IOM66" s="146"/>
      <c r="ION66" s="146"/>
      <c r="IOO66" s="146"/>
      <c r="IOP66" s="146"/>
      <c r="IOQ66" s="146"/>
      <c r="IOR66" s="146"/>
      <c r="IOS66" s="146"/>
      <c r="IOT66" s="146"/>
      <c r="IOU66" s="146"/>
      <c r="IOV66" s="146"/>
      <c r="IOW66" s="146"/>
      <c r="IOX66" s="146"/>
      <c r="IOY66" s="146"/>
      <c r="IOZ66" s="146"/>
      <c r="IPA66" s="146"/>
      <c r="IPB66" s="146"/>
      <c r="IPC66" s="146"/>
      <c r="IPD66" s="146"/>
      <c r="IPE66" s="146"/>
      <c r="IPF66" s="146"/>
      <c r="IPG66" s="146"/>
      <c r="IPH66" s="146"/>
      <c r="IPI66" s="146"/>
      <c r="IPJ66" s="146"/>
      <c r="IPK66" s="146"/>
      <c r="IPL66" s="146"/>
      <c r="IPM66" s="146"/>
      <c r="IPN66" s="146"/>
      <c r="IPO66" s="146"/>
      <c r="IPP66" s="146"/>
      <c r="IPQ66" s="146"/>
      <c r="IPR66" s="146"/>
      <c r="IPS66" s="146"/>
      <c r="IPT66" s="146"/>
      <c r="IPU66" s="146"/>
      <c r="IPV66" s="146"/>
      <c r="IPW66" s="146"/>
      <c r="IPX66" s="146"/>
      <c r="IPY66" s="146"/>
      <c r="IPZ66" s="146"/>
      <c r="IQA66" s="146"/>
      <c r="IQB66" s="146"/>
      <c r="IQC66" s="146"/>
      <c r="IQD66" s="146"/>
      <c r="IQE66" s="146"/>
      <c r="IQF66" s="146"/>
      <c r="IQG66" s="146"/>
      <c r="IQH66" s="146"/>
      <c r="IQI66" s="146"/>
      <c r="IQJ66" s="146"/>
      <c r="IQK66" s="146"/>
      <c r="IQL66" s="146"/>
      <c r="IQM66" s="146"/>
      <c r="IQN66" s="146"/>
      <c r="IQO66" s="146"/>
      <c r="IQP66" s="146"/>
      <c r="IQQ66" s="146"/>
      <c r="IQR66" s="146"/>
      <c r="IQS66" s="146"/>
      <c r="IQT66" s="146"/>
      <c r="IQU66" s="146"/>
      <c r="IQV66" s="146"/>
      <c r="IQW66" s="146"/>
      <c r="IQX66" s="146"/>
      <c r="IQY66" s="146"/>
      <c r="IQZ66" s="146"/>
      <c r="IRA66" s="146"/>
      <c r="IRB66" s="146"/>
      <c r="IRC66" s="146"/>
      <c r="IRD66" s="146"/>
      <c r="IRE66" s="146"/>
      <c r="IRF66" s="146"/>
      <c r="IRG66" s="146"/>
      <c r="IRH66" s="146"/>
      <c r="IRI66" s="146"/>
      <c r="IRJ66" s="146"/>
      <c r="IRK66" s="146"/>
      <c r="IRL66" s="146"/>
      <c r="IRM66" s="146"/>
      <c r="IRN66" s="146"/>
      <c r="IRO66" s="146"/>
      <c r="IRP66" s="146"/>
      <c r="IRQ66" s="146"/>
      <c r="IRR66" s="146"/>
      <c r="IRS66" s="146"/>
      <c r="IRT66" s="146"/>
      <c r="IRU66" s="146"/>
      <c r="IRV66" s="146"/>
      <c r="IRW66" s="146"/>
      <c r="IRX66" s="146"/>
      <c r="IRY66" s="146"/>
      <c r="IRZ66" s="146"/>
      <c r="ISA66" s="146"/>
      <c r="ISB66" s="146"/>
      <c r="ISC66" s="146"/>
      <c r="ISD66" s="146"/>
      <c r="ISE66" s="146"/>
      <c r="ISF66" s="146"/>
      <c r="ISG66" s="146"/>
      <c r="ISH66" s="146"/>
      <c r="ISI66" s="146"/>
      <c r="ISJ66" s="146"/>
      <c r="ISK66" s="146"/>
      <c r="ISL66" s="146"/>
      <c r="ISM66" s="146"/>
      <c r="ISN66" s="146"/>
      <c r="ISO66" s="146"/>
      <c r="ISP66" s="146"/>
      <c r="ISQ66" s="146"/>
      <c r="ISR66" s="146"/>
      <c r="ISS66" s="146"/>
      <c r="IST66" s="146"/>
      <c r="ISU66" s="146"/>
      <c r="ISV66" s="146"/>
      <c r="ISW66" s="146"/>
      <c r="ISX66" s="146"/>
      <c r="ISY66" s="146"/>
      <c r="ISZ66" s="146"/>
      <c r="ITA66" s="146"/>
      <c r="ITB66" s="146"/>
      <c r="ITC66" s="146"/>
      <c r="ITD66" s="146"/>
      <c r="ITE66" s="146"/>
      <c r="ITF66" s="146"/>
      <c r="ITG66" s="146"/>
      <c r="ITH66" s="146"/>
      <c r="ITI66" s="146"/>
      <c r="ITJ66" s="146"/>
      <c r="ITK66" s="146"/>
      <c r="ITL66" s="146"/>
      <c r="ITM66" s="146"/>
      <c r="ITN66" s="146"/>
      <c r="ITO66" s="146"/>
      <c r="ITP66" s="146"/>
      <c r="ITQ66" s="146"/>
      <c r="ITR66" s="146"/>
      <c r="ITS66" s="146"/>
      <c r="ITT66" s="146"/>
      <c r="ITU66" s="146"/>
      <c r="ITV66" s="146"/>
      <c r="ITW66" s="146"/>
      <c r="ITX66" s="146"/>
      <c r="ITY66" s="146"/>
      <c r="ITZ66" s="146"/>
      <c r="IUA66" s="146"/>
      <c r="IUB66" s="146"/>
      <c r="IUC66" s="146"/>
      <c r="IUD66" s="146"/>
      <c r="IUE66" s="146"/>
      <c r="IUF66" s="146"/>
      <c r="IUG66" s="146"/>
      <c r="IUH66" s="146"/>
      <c r="IUI66" s="146"/>
      <c r="IUJ66" s="146"/>
      <c r="IUK66" s="146"/>
      <c r="IUL66" s="146"/>
      <c r="IUM66" s="146"/>
      <c r="IUN66" s="146"/>
      <c r="IUO66" s="146"/>
      <c r="IUP66" s="146"/>
      <c r="IUQ66" s="146"/>
      <c r="IUR66" s="146"/>
      <c r="IUS66" s="146"/>
      <c r="IUT66" s="146"/>
      <c r="IUU66" s="146"/>
      <c r="IUV66" s="146"/>
      <c r="IUW66" s="146"/>
      <c r="IUX66" s="146"/>
      <c r="IUY66" s="146"/>
      <c r="IUZ66" s="146"/>
      <c r="IVA66" s="146"/>
      <c r="IVB66" s="146"/>
      <c r="IVC66" s="146"/>
      <c r="IVD66" s="146"/>
      <c r="IVE66" s="146"/>
      <c r="IVF66" s="146"/>
      <c r="IVG66" s="146"/>
      <c r="IVH66" s="146"/>
      <c r="IVI66" s="146"/>
      <c r="IVJ66" s="146"/>
      <c r="IVK66" s="146"/>
      <c r="IVL66" s="146"/>
      <c r="IVM66" s="146"/>
      <c r="IVN66" s="146"/>
      <c r="IVO66" s="146"/>
      <c r="IVP66" s="146"/>
      <c r="IVQ66" s="146"/>
      <c r="IVR66" s="146"/>
      <c r="IVS66" s="146"/>
      <c r="IVT66" s="146"/>
      <c r="IVU66" s="146"/>
      <c r="IVV66" s="146"/>
      <c r="IVW66" s="146"/>
      <c r="IVX66" s="146"/>
      <c r="IVY66" s="146"/>
      <c r="IVZ66" s="146"/>
      <c r="IWA66" s="146"/>
      <c r="IWB66" s="146"/>
      <c r="IWC66" s="146"/>
      <c r="IWD66" s="146"/>
      <c r="IWE66" s="146"/>
      <c r="IWF66" s="146"/>
      <c r="IWG66" s="146"/>
      <c r="IWH66" s="146"/>
      <c r="IWI66" s="146"/>
      <c r="IWJ66" s="146"/>
      <c r="IWK66" s="146"/>
      <c r="IWL66" s="146"/>
      <c r="IWM66" s="146"/>
      <c r="IWN66" s="146"/>
      <c r="IWO66" s="146"/>
      <c r="IWP66" s="146"/>
      <c r="IWQ66" s="146"/>
      <c r="IWR66" s="146"/>
      <c r="IWS66" s="146"/>
      <c r="IWT66" s="146"/>
      <c r="IWU66" s="146"/>
      <c r="IWV66" s="146"/>
      <c r="IWW66" s="146"/>
      <c r="IWX66" s="146"/>
      <c r="IWY66" s="146"/>
      <c r="IWZ66" s="146"/>
      <c r="IXA66" s="146"/>
      <c r="IXB66" s="146"/>
      <c r="IXC66" s="146"/>
      <c r="IXD66" s="146"/>
      <c r="IXE66" s="146"/>
      <c r="IXF66" s="146"/>
      <c r="IXG66" s="146"/>
      <c r="IXH66" s="146"/>
      <c r="IXI66" s="146"/>
      <c r="IXJ66" s="146"/>
      <c r="IXK66" s="146"/>
      <c r="IXL66" s="146"/>
      <c r="IXM66" s="146"/>
      <c r="IXN66" s="146"/>
      <c r="IXO66" s="146"/>
      <c r="IXP66" s="146"/>
      <c r="IXQ66" s="146"/>
      <c r="IXR66" s="146"/>
      <c r="IXS66" s="146"/>
      <c r="IXT66" s="146"/>
      <c r="IXU66" s="146"/>
      <c r="IXV66" s="146"/>
      <c r="IXW66" s="146"/>
      <c r="IXX66" s="146"/>
      <c r="IXY66" s="146"/>
      <c r="IXZ66" s="146"/>
      <c r="IYA66" s="146"/>
      <c r="IYB66" s="146"/>
      <c r="IYC66" s="146"/>
      <c r="IYD66" s="146"/>
      <c r="IYE66" s="146"/>
      <c r="IYF66" s="146"/>
      <c r="IYG66" s="146"/>
      <c r="IYH66" s="146"/>
      <c r="IYI66" s="146"/>
      <c r="IYJ66" s="146"/>
      <c r="IYK66" s="146"/>
      <c r="IYL66" s="146"/>
      <c r="IYM66" s="146"/>
      <c r="IYN66" s="146"/>
      <c r="IYO66" s="146"/>
      <c r="IYP66" s="146"/>
      <c r="IYQ66" s="146"/>
      <c r="IYR66" s="146"/>
      <c r="IYS66" s="146"/>
      <c r="IYT66" s="146"/>
      <c r="IYU66" s="146"/>
      <c r="IYV66" s="146"/>
      <c r="IYW66" s="146"/>
      <c r="IYX66" s="146"/>
      <c r="IYY66" s="146"/>
      <c r="IYZ66" s="146"/>
      <c r="IZA66" s="146"/>
      <c r="IZB66" s="146"/>
      <c r="IZC66" s="146"/>
      <c r="IZD66" s="146"/>
      <c r="IZE66" s="146"/>
      <c r="IZF66" s="146"/>
      <c r="IZG66" s="146"/>
      <c r="IZH66" s="146"/>
      <c r="IZI66" s="146"/>
      <c r="IZJ66" s="146"/>
      <c r="IZK66" s="146"/>
      <c r="IZL66" s="146"/>
      <c r="IZM66" s="146"/>
      <c r="IZN66" s="146"/>
      <c r="IZO66" s="146"/>
      <c r="IZP66" s="146"/>
      <c r="IZQ66" s="146"/>
      <c r="IZR66" s="146"/>
      <c r="IZS66" s="146"/>
      <c r="IZT66" s="146"/>
      <c r="IZU66" s="146"/>
      <c r="IZV66" s="146"/>
      <c r="IZW66" s="146"/>
      <c r="IZX66" s="146"/>
      <c r="IZY66" s="146"/>
      <c r="IZZ66" s="146"/>
      <c r="JAA66" s="146"/>
      <c r="JAB66" s="146"/>
      <c r="JAC66" s="146"/>
      <c r="JAD66" s="146"/>
      <c r="JAE66" s="146"/>
      <c r="JAF66" s="146"/>
      <c r="JAG66" s="146"/>
      <c r="JAH66" s="146"/>
      <c r="JAI66" s="146"/>
      <c r="JAJ66" s="146"/>
      <c r="JAK66" s="146"/>
      <c r="JAL66" s="146"/>
      <c r="JAM66" s="146"/>
      <c r="JAN66" s="146"/>
      <c r="JAO66" s="146"/>
      <c r="JAP66" s="146"/>
      <c r="JAQ66" s="146"/>
      <c r="JAR66" s="146"/>
      <c r="JAS66" s="146"/>
      <c r="JAT66" s="146"/>
      <c r="JAU66" s="146"/>
      <c r="JAV66" s="146"/>
      <c r="JAW66" s="146"/>
      <c r="JAX66" s="146"/>
      <c r="JAY66" s="146"/>
      <c r="JAZ66" s="146"/>
      <c r="JBA66" s="146"/>
      <c r="JBB66" s="146"/>
      <c r="JBC66" s="146"/>
      <c r="JBD66" s="146"/>
      <c r="JBE66" s="146"/>
      <c r="JBF66" s="146"/>
      <c r="JBG66" s="146"/>
      <c r="JBH66" s="146"/>
      <c r="JBI66" s="146"/>
      <c r="JBJ66" s="146"/>
      <c r="JBK66" s="146"/>
      <c r="JBL66" s="146"/>
      <c r="JBM66" s="146"/>
      <c r="JBN66" s="146"/>
      <c r="JBO66" s="146"/>
      <c r="JBP66" s="146"/>
      <c r="JBQ66" s="146"/>
      <c r="JBR66" s="146"/>
      <c r="JBS66" s="146"/>
      <c r="JBT66" s="146"/>
      <c r="JBU66" s="146"/>
      <c r="JBV66" s="146"/>
      <c r="JBW66" s="146"/>
      <c r="JBX66" s="146"/>
      <c r="JBY66" s="146"/>
      <c r="JBZ66" s="146"/>
      <c r="JCA66" s="146"/>
      <c r="JCB66" s="146"/>
      <c r="JCC66" s="146"/>
      <c r="JCD66" s="146"/>
      <c r="JCE66" s="146"/>
      <c r="JCF66" s="146"/>
      <c r="JCG66" s="146"/>
      <c r="JCH66" s="146"/>
      <c r="JCI66" s="146"/>
      <c r="JCJ66" s="146"/>
      <c r="JCK66" s="146"/>
      <c r="JCL66" s="146"/>
      <c r="JCM66" s="146"/>
      <c r="JCN66" s="146"/>
      <c r="JCO66" s="146"/>
      <c r="JCP66" s="146"/>
      <c r="JCQ66" s="146"/>
      <c r="JCR66" s="146"/>
      <c r="JCS66" s="146"/>
      <c r="JCT66" s="146"/>
      <c r="JCU66" s="146"/>
      <c r="JCV66" s="146"/>
      <c r="JCW66" s="146"/>
      <c r="JCX66" s="146"/>
      <c r="JCY66" s="146"/>
      <c r="JCZ66" s="146"/>
      <c r="JDA66" s="146"/>
      <c r="JDB66" s="146"/>
      <c r="JDC66" s="146"/>
      <c r="JDD66" s="146"/>
      <c r="JDE66" s="146"/>
      <c r="JDF66" s="146"/>
      <c r="JDG66" s="146"/>
      <c r="JDH66" s="146"/>
      <c r="JDI66" s="146"/>
      <c r="JDJ66" s="146"/>
      <c r="JDK66" s="146"/>
      <c r="JDL66" s="146"/>
      <c r="JDM66" s="146"/>
      <c r="JDN66" s="146"/>
      <c r="JDO66" s="146"/>
      <c r="JDP66" s="146"/>
      <c r="JDQ66" s="146"/>
      <c r="JDR66" s="146"/>
      <c r="JDS66" s="146"/>
      <c r="JDT66" s="146"/>
      <c r="JDU66" s="146"/>
      <c r="JDV66" s="146"/>
      <c r="JDW66" s="146"/>
      <c r="JDX66" s="146"/>
      <c r="JDY66" s="146"/>
      <c r="JDZ66" s="146"/>
      <c r="JEA66" s="146"/>
      <c r="JEB66" s="146"/>
      <c r="JEC66" s="146"/>
      <c r="JED66" s="146"/>
      <c r="JEE66" s="146"/>
      <c r="JEF66" s="146"/>
      <c r="JEG66" s="146"/>
      <c r="JEH66" s="146"/>
      <c r="JEI66" s="146"/>
      <c r="JEJ66" s="146"/>
      <c r="JEK66" s="146"/>
      <c r="JEL66" s="146"/>
      <c r="JEM66" s="146"/>
      <c r="JEN66" s="146"/>
      <c r="JEO66" s="146"/>
      <c r="JEP66" s="146"/>
      <c r="JEQ66" s="146"/>
      <c r="JER66" s="146"/>
      <c r="JES66" s="146"/>
      <c r="JET66" s="146"/>
      <c r="JEU66" s="146"/>
      <c r="JEV66" s="146"/>
      <c r="JEW66" s="146"/>
      <c r="JEX66" s="146"/>
      <c r="JEY66" s="146"/>
      <c r="JEZ66" s="146"/>
      <c r="JFA66" s="146"/>
      <c r="JFB66" s="146"/>
      <c r="JFC66" s="146"/>
      <c r="JFD66" s="146"/>
      <c r="JFE66" s="146"/>
      <c r="JFF66" s="146"/>
      <c r="JFG66" s="146"/>
      <c r="JFH66" s="146"/>
      <c r="JFI66" s="146"/>
      <c r="JFJ66" s="146"/>
      <c r="JFK66" s="146"/>
      <c r="JFL66" s="146"/>
      <c r="JFM66" s="146"/>
      <c r="JFN66" s="146"/>
      <c r="JFO66" s="146"/>
      <c r="JFP66" s="146"/>
      <c r="JFQ66" s="146"/>
      <c r="JFR66" s="146"/>
      <c r="JFS66" s="146"/>
      <c r="JFT66" s="146"/>
      <c r="JFU66" s="146"/>
      <c r="JFV66" s="146"/>
      <c r="JFW66" s="146"/>
      <c r="JFX66" s="146"/>
      <c r="JFY66" s="146"/>
      <c r="JFZ66" s="146"/>
      <c r="JGA66" s="146"/>
      <c r="JGB66" s="146"/>
      <c r="JGC66" s="146"/>
      <c r="JGD66" s="146"/>
      <c r="JGE66" s="146"/>
      <c r="JGF66" s="146"/>
      <c r="JGG66" s="146"/>
      <c r="JGH66" s="146"/>
      <c r="JGI66" s="146"/>
      <c r="JGJ66" s="146"/>
      <c r="JGK66" s="146"/>
      <c r="JGL66" s="146"/>
      <c r="JGM66" s="146"/>
      <c r="JGN66" s="146"/>
      <c r="JGO66" s="146"/>
      <c r="JGP66" s="146"/>
      <c r="JGQ66" s="146"/>
      <c r="JGR66" s="146"/>
      <c r="JGS66" s="146"/>
      <c r="JGT66" s="146"/>
      <c r="JGU66" s="146"/>
      <c r="JGV66" s="146"/>
      <c r="JGW66" s="146"/>
      <c r="JGX66" s="146"/>
      <c r="JGY66" s="146"/>
      <c r="JGZ66" s="146"/>
      <c r="JHA66" s="146"/>
      <c r="JHB66" s="146"/>
      <c r="JHC66" s="146"/>
      <c r="JHD66" s="146"/>
      <c r="JHE66" s="146"/>
      <c r="JHF66" s="146"/>
      <c r="JHG66" s="146"/>
      <c r="JHH66" s="146"/>
      <c r="JHI66" s="146"/>
      <c r="JHJ66" s="146"/>
      <c r="JHK66" s="146"/>
      <c r="JHL66" s="146"/>
      <c r="JHM66" s="146"/>
      <c r="JHN66" s="146"/>
      <c r="JHO66" s="146"/>
      <c r="JHP66" s="146"/>
      <c r="JHQ66" s="146"/>
      <c r="JHR66" s="146"/>
      <c r="JHS66" s="146"/>
      <c r="JHT66" s="146"/>
      <c r="JHU66" s="146"/>
      <c r="JHV66" s="146"/>
      <c r="JHW66" s="146"/>
      <c r="JHX66" s="146"/>
      <c r="JHY66" s="146"/>
      <c r="JHZ66" s="146"/>
      <c r="JIA66" s="146"/>
      <c r="JIB66" s="146"/>
      <c r="JIC66" s="146"/>
      <c r="JID66" s="146"/>
      <c r="JIE66" s="146"/>
      <c r="JIF66" s="146"/>
      <c r="JIG66" s="146"/>
      <c r="JIH66" s="146"/>
      <c r="JII66" s="146"/>
      <c r="JIJ66" s="146"/>
      <c r="JIK66" s="146"/>
      <c r="JIL66" s="146"/>
      <c r="JIM66" s="146"/>
      <c r="JIN66" s="146"/>
      <c r="JIO66" s="146"/>
      <c r="JIP66" s="146"/>
      <c r="JIQ66" s="146"/>
      <c r="JIR66" s="146"/>
      <c r="JIS66" s="146"/>
      <c r="JIT66" s="146"/>
      <c r="JIU66" s="146"/>
      <c r="JIV66" s="146"/>
      <c r="JIW66" s="146"/>
      <c r="JIX66" s="146"/>
      <c r="JIY66" s="146"/>
      <c r="JIZ66" s="146"/>
      <c r="JJA66" s="146"/>
      <c r="JJB66" s="146"/>
      <c r="JJC66" s="146"/>
      <c r="JJD66" s="146"/>
      <c r="JJE66" s="146"/>
      <c r="JJF66" s="146"/>
      <c r="JJG66" s="146"/>
      <c r="JJH66" s="146"/>
      <c r="JJI66" s="146"/>
      <c r="JJJ66" s="146"/>
      <c r="JJK66" s="146"/>
      <c r="JJL66" s="146"/>
      <c r="JJM66" s="146"/>
      <c r="JJN66" s="146"/>
      <c r="JJO66" s="146"/>
      <c r="JJP66" s="146"/>
      <c r="JJQ66" s="146"/>
      <c r="JJR66" s="146"/>
      <c r="JJS66" s="146"/>
      <c r="JJT66" s="146"/>
      <c r="JJU66" s="146"/>
      <c r="JJV66" s="146"/>
      <c r="JJW66" s="146"/>
      <c r="JJX66" s="146"/>
      <c r="JJY66" s="146"/>
      <c r="JJZ66" s="146"/>
      <c r="JKA66" s="146"/>
      <c r="JKB66" s="146"/>
      <c r="JKC66" s="146"/>
      <c r="JKD66" s="146"/>
      <c r="JKE66" s="146"/>
      <c r="JKF66" s="146"/>
      <c r="JKG66" s="146"/>
      <c r="JKH66" s="146"/>
      <c r="JKI66" s="146"/>
      <c r="JKJ66" s="146"/>
      <c r="JKK66" s="146"/>
      <c r="JKL66" s="146"/>
      <c r="JKM66" s="146"/>
      <c r="JKN66" s="146"/>
      <c r="JKO66" s="146"/>
      <c r="JKP66" s="146"/>
      <c r="JKQ66" s="146"/>
      <c r="JKR66" s="146"/>
      <c r="JKS66" s="146"/>
      <c r="JKT66" s="146"/>
      <c r="JKU66" s="146"/>
      <c r="JKV66" s="146"/>
      <c r="JKW66" s="146"/>
      <c r="JKX66" s="146"/>
      <c r="JKY66" s="146"/>
      <c r="JKZ66" s="146"/>
      <c r="JLA66" s="146"/>
      <c r="JLB66" s="146"/>
      <c r="JLC66" s="146"/>
      <c r="JLD66" s="146"/>
      <c r="JLE66" s="146"/>
      <c r="JLF66" s="146"/>
      <c r="JLG66" s="146"/>
      <c r="JLH66" s="146"/>
      <c r="JLI66" s="146"/>
      <c r="JLJ66" s="146"/>
      <c r="JLK66" s="146"/>
      <c r="JLL66" s="146"/>
      <c r="JLM66" s="146"/>
      <c r="JLN66" s="146"/>
      <c r="JLO66" s="146"/>
      <c r="JLP66" s="146"/>
      <c r="JLQ66" s="146"/>
      <c r="JLR66" s="146"/>
      <c r="JLS66" s="146"/>
      <c r="JLT66" s="146"/>
      <c r="JLU66" s="146"/>
      <c r="JLV66" s="146"/>
      <c r="JLW66" s="146"/>
      <c r="JLX66" s="146"/>
      <c r="JLY66" s="146"/>
      <c r="JLZ66" s="146"/>
      <c r="JMA66" s="146"/>
      <c r="JMB66" s="146"/>
      <c r="JMC66" s="146"/>
      <c r="JMD66" s="146"/>
      <c r="JME66" s="146"/>
      <c r="JMF66" s="146"/>
      <c r="JMG66" s="146"/>
      <c r="JMH66" s="146"/>
      <c r="JMI66" s="146"/>
      <c r="JMJ66" s="146"/>
      <c r="JMK66" s="146"/>
      <c r="JML66" s="146"/>
      <c r="JMM66" s="146"/>
      <c r="JMN66" s="146"/>
      <c r="JMO66" s="146"/>
      <c r="JMP66" s="146"/>
      <c r="JMQ66" s="146"/>
      <c r="JMR66" s="146"/>
      <c r="JMS66" s="146"/>
      <c r="JMT66" s="146"/>
      <c r="JMU66" s="146"/>
      <c r="JMV66" s="146"/>
      <c r="JMW66" s="146"/>
      <c r="JMX66" s="146"/>
      <c r="JMY66" s="146"/>
      <c r="JMZ66" s="146"/>
      <c r="JNA66" s="146"/>
      <c r="JNB66" s="146"/>
      <c r="JNC66" s="146"/>
      <c r="JND66" s="146"/>
      <c r="JNE66" s="146"/>
      <c r="JNF66" s="146"/>
      <c r="JNG66" s="146"/>
      <c r="JNH66" s="146"/>
      <c r="JNI66" s="146"/>
      <c r="JNJ66" s="146"/>
      <c r="JNK66" s="146"/>
      <c r="JNL66" s="146"/>
      <c r="JNM66" s="146"/>
      <c r="JNN66" s="146"/>
      <c r="JNO66" s="146"/>
      <c r="JNP66" s="146"/>
      <c r="JNQ66" s="146"/>
      <c r="JNR66" s="146"/>
      <c r="JNS66" s="146"/>
      <c r="JNT66" s="146"/>
      <c r="JNU66" s="146"/>
      <c r="JNV66" s="146"/>
      <c r="JNW66" s="146"/>
      <c r="JNX66" s="146"/>
      <c r="JNY66" s="146"/>
      <c r="JNZ66" s="146"/>
      <c r="JOA66" s="146"/>
      <c r="JOB66" s="146"/>
      <c r="JOC66" s="146"/>
      <c r="JOD66" s="146"/>
      <c r="JOE66" s="146"/>
      <c r="JOF66" s="146"/>
      <c r="JOG66" s="146"/>
      <c r="JOH66" s="146"/>
      <c r="JOI66" s="146"/>
      <c r="JOJ66" s="146"/>
      <c r="JOK66" s="146"/>
      <c r="JOL66" s="146"/>
      <c r="JOM66" s="146"/>
      <c r="JON66" s="146"/>
      <c r="JOO66" s="146"/>
      <c r="JOP66" s="146"/>
      <c r="JOQ66" s="146"/>
      <c r="JOR66" s="146"/>
      <c r="JOS66" s="146"/>
      <c r="JOT66" s="146"/>
      <c r="JOU66" s="146"/>
      <c r="JOV66" s="146"/>
      <c r="JOW66" s="146"/>
      <c r="JOX66" s="146"/>
      <c r="JOY66" s="146"/>
      <c r="JOZ66" s="146"/>
      <c r="JPA66" s="146"/>
      <c r="JPB66" s="146"/>
      <c r="JPC66" s="146"/>
      <c r="JPD66" s="146"/>
      <c r="JPE66" s="146"/>
      <c r="JPF66" s="146"/>
      <c r="JPG66" s="146"/>
      <c r="JPH66" s="146"/>
      <c r="JPI66" s="146"/>
      <c r="JPJ66" s="146"/>
      <c r="JPK66" s="146"/>
      <c r="JPL66" s="146"/>
      <c r="JPM66" s="146"/>
      <c r="JPN66" s="146"/>
      <c r="JPO66" s="146"/>
      <c r="JPP66" s="146"/>
      <c r="JPQ66" s="146"/>
      <c r="JPR66" s="146"/>
      <c r="JPS66" s="146"/>
      <c r="JPT66" s="146"/>
      <c r="JPU66" s="146"/>
      <c r="JPV66" s="146"/>
      <c r="JPW66" s="146"/>
      <c r="JPX66" s="146"/>
      <c r="JPY66" s="146"/>
      <c r="JPZ66" s="146"/>
      <c r="JQA66" s="146"/>
      <c r="JQB66" s="146"/>
      <c r="JQC66" s="146"/>
      <c r="JQD66" s="146"/>
      <c r="JQE66" s="146"/>
      <c r="JQF66" s="146"/>
      <c r="JQG66" s="146"/>
      <c r="JQH66" s="146"/>
      <c r="JQI66" s="146"/>
      <c r="JQJ66" s="146"/>
      <c r="JQK66" s="146"/>
      <c r="JQL66" s="146"/>
      <c r="JQM66" s="146"/>
      <c r="JQN66" s="146"/>
      <c r="JQO66" s="146"/>
      <c r="JQP66" s="146"/>
      <c r="JQQ66" s="146"/>
      <c r="JQR66" s="146"/>
      <c r="JQS66" s="146"/>
      <c r="JQT66" s="146"/>
      <c r="JQU66" s="146"/>
      <c r="JQV66" s="146"/>
      <c r="JQW66" s="146"/>
      <c r="JQX66" s="146"/>
      <c r="JQY66" s="146"/>
      <c r="JQZ66" s="146"/>
      <c r="JRA66" s="146"/>
      <c r="JRB66" s="146"/>
      <c r="JRC66" s="146"/>
      <c r="JRD66" s="146"/>
      <c r="JRE66" s="146"/>
      <c r="JRF66" s="146"/>
      <c r="JRG66" s="146"/>
      <c r="JRH66" s="146"/>
      <c r="JRI66" s="146"/>
      <c r="JRJ66" s="146"/>
      <c r="JRK66" s="146"/>
      <c r="JRL66" s="146"/>
      <c r="JRM66" s="146"/>
      <c r="JRN66" s="146"/>
      <c r="JRO66" s="146"/>
      <c r="JRP66" s="146"/>
      <c r="JRQ66" s="146"/>
      <c r="JRR66" s="146"/>
      <c r="JRS66" s="146"/>
      <c r="JRT66" s="146"/>
      <c r="JRU66" s="146"/>
      <c r="JRV66" s="146"/>
      <c r="JRW66" s="146"/>
      <c r="JRX66" s="146"/>
      <c r="JRY66" s="146"/>
      <c r="JRZ66" s="146"/>
      <c r="JSA66" s="146"/>
      <c r="JSB66" s="146"/>
      <c r="JSC66" s="146"/>
      <c r="JSD66" s="146"/>
      <c r="JSE66" s="146"/>
      <c r="JSF66" s="146"/>
      <c r="JSG66" s="146"/>
      <c r="JSH66" s="146"/>
      <c r="JSI66" s="146"/>
      <c r="JSJ66" s="146"/>
      <c r="JSK66" s="146"/>
      <c r="JSL66" s="146"/>
      <c r="JSM66" s="146"/>
      <c r="JSN66" s="146"/>
      <c r="JSO66" s="146"/>
      <c r="JSP66" s="146"/>
      <c r="JSQ66" s="146"/>
      <c r="JSR66" s="146"/>
      <c r="JSS66" s="146"/>
      <c r="JST66" s="146"/>
      <c r="JSU66" s="146"/>
      <c r="JSV66" s="146"/>
      <c r="JSW66" s="146"/>
      <c r="JSX66" s="146"/>
      <c r="JSY66" s="146"/>
      <c r="JSZ66" s="146"/>
      <c r="JTA66" s="146"/>
      <c r="JTB66" s="146"/>
      <c r="JTC66" s="146"/>
      <c r="JTD66" s="146"/>
      <c r="JTE66" s="146"/>
      <c r="JTF66" s="146"/>
      <c r="JTG66" s="146"/>
      <c r="JTH66" s="146"/>
      <c r="JTI66" s="146"/>
      <c r="JTJ66" s="146"/>
      <c r="JTK66" s="146"/>
      <c r="JTL66" s="146"/>
      <c r="JTM66" s="146"/>
      <c r="JTN66" s="146"/>
      <c r="JTO66" s="146"/>
      <c r="JTP66" s="146"/>
      <c r="JTQ66" s="146"/>
      <c r="JTR66" s="146"/>
      <c r="JTS66" s="146"/>
      <c r="JTT66" s="146"/>
      <c r="JTU66" s="146"/>
      <c r="JTV66" s="146"/>
      <c r="JTW66" s="146"/>
      <c r="JTX66" s="146"/>
      <c r="JTY66" s="146"/>
      <c r="JTZ66" s="146"/>
      <c r="JUA66" s="146"/>
      <c r="JUB66" s="146"/>
      <c r="JUC66" s="146"/>
      <c r="JUD66" s="146"/>
      <c r="JUE66" s="146"/>
      <c r="JUF66" s="146"/>
      <c r="JUG66" s="146"/>
      <c r="JUH66" s="146"/>
      <c r="JUI66" s="146"/>
      <c r="JUJ66" s="146"/>
      <c r="JUK66" s="146"/>
      <c r="JUL66" s="146"/>
      <c r="JUM66" s="146"/>
      <c r="JUN66" s="146"/>
      <c r="JUO66" s="146"/>
      <c r="JUP66" s="146"/>
      <c r="JUQ66" s="146"/>
      <c r="JUR66" s="146"/>
      <c r="JUS66" s="146"/>
      <c r="JUT66" s="146"/>
      <c r="JUU66" s="146"/>
      <c r="JUV66" s="146"/>
      <c r="JUW66" s="146"/>
      <c r="JUX66" s="146"/>
      <c r="JUY66" s="146"/>
      <c r="JUZ66" s="146"/>
      <c r="JVA66" s="146"/>
      <c r="JVB66" s="146"/>
      <c r="JVC66" s="146"/>
      <c r="JVD66" s="146"/>
      <c r="JVE66" s="146"/>
      <c r="JVF66" s="146"/>
      <c r="JVG66" s="146"/>
      <c r="JVH66" s="146"/>
      <c r="JVI66" s="146"/>
      <c r="JVJ66" s="146"/>
      <c r="JVK66" s="146"/>
      <c r="JVL66" s="146"/>
      <c r="JVM66" s="146"/>
      <c r="JVN66" s="146"/>
      <c r="JVO66" s="146"/>
      <c r="JVP66" s="146"/>
      <c r="JVQ66" s="146"/>
      <c r="JVR66" s="146"/>
      <c r="JVS66" s="146"/>
      <c r="JVT66" s="146"/>
      <c r="JVU66" s="146"/>
      <c r="JVV66" s="146"/>
      <c r="JVW66" s="146"/>
      <c r="JVX66" s="146"/>
      <c r="JVY66" s="146"/>
      <c r="JVZ66" s="146"/>
      <c r="JWA66" s="146"/>
      <c r="JWB66" s="146"/>
      <c r="JWC66" s="146"/>
      <c r="JWD66" s="146"/>
      <c r="JWE66" s="146"/>
      <c r="JWF66" s="146"/>
      <c r="JWG66" s="146"/>
      <c r="JWH66" s="146"/>
      <c r="JWI66" s="146"/>
      <c r="JWJ66" s="146"/>
      <c r="JWK66" s="146"/>
      <c r="JWL66" s="146"/>
      <c r="JWM66" s="146"/>
      <c r="JWN66" s="146"/>
      <c r="JWO66" s="146"/>
      <c r="JWP66" s="146"/>
      <c r="JWQ66" s="146"/>
      <c r="JWR66" s="146"/>
      <c r="JWS66" s="146"/>
      <c r="JWT66" s="146"/>
      <c r="JWU66" s="146"/>
      <c r="JWV66" s="146"/>
      <c r="JWW66" s="146"/>
      <c r="JWX66" s="146"/>
      <c r="JWY66" s="146"/>
      <c r="JWZ66" s="146"/>
      <c r="JXA66" s="146"/>
      <c r="JXB66" s="146"/>
      <c r="JXC66" s="146"/>
      <c r="JXD66" s="146"/>
      <c r="JXE66" s="146"/>
      <c r="JXF66" s="146"/>
      <c r="JXG66" s="146"/>
      <c r="JXH66" s="146"/>
      <c r="JXI66" s="146"/>
      <c r="JXJ66" s="146"/>
      <c r="JXK66" s="146"/>
      <c r="JXL66" s="146"/>
      <c r="JXM66" s="146"/>
      <c r="JXN66" s="146"/>
      <c r="JXO66" s="146"/>
      <c r="JXP66" s="146"/>
      <c r="JXQ66" s="146"/>
      <c r="JXR66" s="146"/>
      <c r="JXS66" s="146"/>
      <c r="JXT66" s="146"/>
      <c r="JXU66" s="146"/>
      <c r="JXV66" s="146"/>
      <c r="JXW66" s="146"/>
      <c r="JXX66" s="146"/>
      <c r="JXY66" s="146"/>
      <c r="JXZ66" s="146"/>
      <c r="JYA66" s="146"/>
      <c r="JYB66" s="146"/>
      <c r="JYC66" s="146"/>
      <c r="JYD66" s="146"/>
      <c r="JYE66" s="146"/>
      <c r="JYF66" s="146"/>
      <c r="JYG66" s="146"/>
      <c r="JYH66" s="146"/>
      <c r="JYI66" s="146"/>
      <c r="JYJ66" s="146"/>
      <c r="JYK66" s="146"/>
      <c r="JYL66" s="146"/>
      <c r="JYM66" s="146"/>
      <c r="JYN66" s="146"/>
      <c r="JYO66" s="146"/>
      <c r="JYP66" s="146"/>
      <c r="JYQ66" s="146"/>
      <c r="JYR66" s="146"/>
      <c r="JYS66" s="146"/>
      <c r="JYT66" s="146"/>
      <c r="JYU66" s="146"/>
      <c r="JYV66" s="146"/>
      <c r="JYW66" s="146"/>
      <c r="JYX66" s="146"/>
      <c r="JYY66" s="146"/>
      <c r="JYZ66" s="146"/>
      <c r="JZA66" s="146"/>
      <c r="JZB66" s="146"/>
      <c r="JZC66" s="146"/>
      <c r="JZD66" s="146"/>
      <c r="JZE66" s="146"/>
      <c r="JZF66" s="146"/>
      <c r="JZG66" s="146"/>
      <c r="JZH66" s="146"/>
      <c r="JZI66" s="146"/>
      <c r="JZJ66" s="146"/>
      <c r="JZK66" s="146"/>
      <c r="JZL66" s="146"/>
      <c r="JZM66" s="146"/>
      <c r="JZN66" s="146"/>
      <c r="JZO66" s="146"/>
      <c r="JZP66" s="146"/>
      <c r="JZQ66" s="146"/>
      <c r="JZR66" s="146"/>
      <c r="JZS66" s="146"/>
      <c r="JZT66" s="146"/>
      <c r="JZU66" s="146"/>
      <c r="JZV66" s="146"/>
      <c r="JZW66" s="146"/>
      <c r="JZX66" s="146"/>
      <c r="JZY66" s="146"/>
      <c r="JZZ66" s="146"/>
      <c r="KAA66" s="146"/>
      <c r="KAB66" s="146"/>
      <c r="KAC66" s="146"/>
      <c r="KAD66" s="146"/>
      <c r="KAE66" s="146"/>
      <c r="KAF66" s="146"/>
      <c r="KAG66" s="146"/>
      <c r="KAH66" s="146"/>
      <c r="KAI66" s="146"/>
      <c r="KAJ66" s="146"/>
      <c r="KAK66" s="146"/>
      <c r="KAL66" s="146"/>
      <c r="KAM66" s="146"/>
      <c r="KAN66" s="146"/>
      <c r="KAO66" s="146"/>
      <c r="KAP66" s="146"/>
      <c r="KAQ66" s="146"/>
      <c r="KAR66" s="146"/>
      <c r="KAS66" s="146"/>
      <c r="KAT66" s="146"/>
      <c r="KAU66" s="146"/>
      <c r="KAV66" s="146"/>
      <c r="KAW66" s="146"/>
      <c r="KAX66" s="146"/>
      <c r="KAY66" s="146"/>
      <c r="KAZ66" s="146"/>
      <c r="KBA66" s="146"/>
      <c r="KBB66" s="146"/>
      <c r="KBC66" s="146"/>
      <c r="KBD66" s="146"/>
      <c r="KBE66" s="146"/>
      <c r="KBF66" s="146"/>
      <c r="KBG66" s="146"/>
      <c r="KBH66" s="146"/>
      <c r="KBI66" s="146"/>
      <c r="KBJ66" s="146"/>
      <c r="KBK66" s="146"/>
      <c r="KBL66" s="146"/>
      <c r="KBM66" s="146"/>
      <c r="KBN66" s="146"/>
      <c r="KBO66" s="146"/>
      <c r="KBP66" s="146"/>
      <c r="KBQ66" s="146"/>
      <c r="KBR66" s="146"/>
      <c r="KBS66" s="146"/>
      <c r="KBT66" s="146"/>
      <c r="KBU66" s="146"/>
      <c r="KBV66" s="146"/>
      <c r="KBW66" s="146"/>
      <c r="KBX66" s="146"/>
      <c r="KBY66" s="146"/>
      <c r="KBZ66" s="146"/>
      <c r="KCA66" s="146"/>
      <c r="KCB66" s="146"/>
      <c r="KCC66" s="146"/>
      <c r="KCD66" s="146"/>
      <c r="KCE66" s="146"/>
      <c r="KCF66" s="146"/>
      <c r="KCG66" s="146"/>
      <c r="KCH66" s="146"/>
      <c r="KCI66" s="146"/>
      <c r="KCJ66" s="146"/>
      <c r="KCK66" s="146"/>
      <c r="KCL66" s="146"/>
      <c r="KCM66" s="146"/>
      <c r="KCN66" s="146"/>
      <c r="KCO66" s="146"/>
      <c r="KCP66" s="146"/>
      <c r="KCQ66" s="146"/>
      <c r="KCR66" s="146"/>
      <c r="KCS66" s="146"/>
      <c r="KCT66" s="146"/>
      <c r="KCU66" s="146"/>
      <c r="KCV66" s="146"/>
      <c r="KCW66" s="146"/>
      <c r="KCX66" s="146"/>
      <c r="KCY66" s="146"/>
      <c r="KCZ66" s="146"/>
      <c r="KDA66" s="146"/>
      <c r="KDB66" s="146"/>
      <c r="KDC66" s="146"/>
      <c r="KDD66" s="146"/>
      <c r="KDE66" s="146"/>
      <c r="KDF66" s="146"/>
      <c r="KDG66" s="146"/>
      <c r="KDH66" s="146"/>
      <c r="KDI66" s="146"/>
      <c r="KDJ66" s="146"/>
      <c r="KDK66" s="146"/>
      <c r="KDL66" s="146"/>
      <c r="KDM66" s="146"/>
      <c r="KDN66" s="146"/>
      <c r="KDO66" s="146"/>
      <c r="KDP66" s="146"/>
      <c r="KDQ66" s="146"/>
      <c r="KDR66" s="146"/>
      <c r="KDS66" s="146"/>
      <c r="KDT66" s="146"/>
      <c r="KDU66" s="146"/>
      <c r="KDV66" s="146"/>
      <c r="KDW66" s="146"/>
      <c r="KDX66" s="146"/>
      <c r="KDY66" s="146"/>
      <c r="KDZ66" s="146"/>
      <c r="KEA66" s="146"/>
      <c r="KEB66" s="146"/>
      <c r="KEC66" s="146"/>
      <c r="KED66" s="146"/>
      <c r="KEE66" s="146"/>
      <c r="KEF66" s="146"/>
      <c r="KEG66" s="146"/>
      <c r="KEH66" s="146"/>
      <c r="KEI66" s="146"/>
      <c r="KEJ66" s="146"/>
      <c r="KEK66" s="146"/>
      <c r="KEL66" s="146"/>
      <c r="KEM66" s="146"/>
      <c r="KEN66" s="146"/>
      <c r="KEO66" s="146"/>
      <c r="KEP66" s="146"/>
      <c r="KEQ66" s="146"/>
      <c r="KER66" s="146"/>
      <c r="KES66" s="146"/>
      <c r="KET66" s="146"/>
      <c r="KEU66" s="146"/>
      <c r="KEV66" s="146"/>
      <c r="KEW66" s="146"/>
      <c r="KEX66" s="146"/>
      <c r="KEY66" s="146"/>
      <c r="KEZ66" s="146"/>
      <c r="KFA66" s="146"/>
      <c r="KFB66" s="146"/>
      <c r="KFC66" s="146"/>
      <c r="KFD66" s="146"/>
      <c r="KFE66" s="146"/>
      <c r="KFF66" s="146"/>
      <c r="KFG66" s="146"/>
      <c r="KFH66" s="146"/>
      <c r="KFI66" s="146"/>
      <c r="KFJ66" s="146"/>
      <c r="KFK66" s="146"/>
      <c r="KFL66" s="146"/>
      <c r="KFM66" s="146"/>
      <c r="KFN66" s="146"/>
      <c r="KFO66" s="146"/>
      <c r="KFP66" s="146"/>
      <c r="KFQ66" s="146"/>
      <c r="KFR66" s="146"/>
      <c r="KFS66" s="146"/>
      <c r="KFT66" s="146"/>
      <c r="KFU66" s="146"/>
      <c r="KFV66" s="146"/>
      <c r="KFW66" s="146"/>
      <c r="KFX66" s="146"/>
      <c r="KFY66" s="146"/>
      <c r="KFZ66" s="146"/>
      <c r="KGA66" s="146"/>
      <c r="KGB66" s="146"/>
      <c r="KGC66" s="146"/>
      <c r="KGD66" s="146"/>
      <c r="KGE66" s="146"/>
      <c r="KGF66" s="146"/>
      <c r="KGG66" s="146"/>
      <c r="KGH66" s="146"/>
      <c r="KGI66" s="146"/>
      <c r="KGJ66" s="146"/>
      <c r="KGK66" s="146"/>
      <c r="KGL66" s="146"/>
      <c r="KGM66" s="146"/>
      <c r="KGN66" s="146"/>
      <c r="KGO66" s="146"/>
      <c r="KGP66" s="146"/>
      <c r="KGQ66" s="146"/>
      <c r="KGR66" s="146"/>
      <c r="KGS66" s="146"/>
      <c r="KGT66" s="146"/>
      <c r="KGU66" s="146"/>
      <c r="KGV66" s="146"/>
      <c r="KGW66" s="146"/>
      <c r="KGX66" s="146"/>
      <c r="KGY66" s="146"/>
      <c r="KGZ66" s="146"/>
      <c r="KHA66" s="146"/>
      <c r="KHB66" s="146"/>
      <c r="KHC66" s="146"/>
      <c r="KHD66" s="146"/>
      <c r="KHE66" s="146"/>
      <c r="KHF66" s="146"/>
      <c r="KHG66" s="146"/>
      <c r="KHH66" s="146"/>
      <c r="KHI66" s="146"/>
      <c r="KHJ66" s="146"/>
      <c r="KHK66" s="146"/>
      <c r="KHL66" s="146"/>
      <c r="KHM66" s="146"/>
      <c r="KHN66" s="146"/>
      <c r="KHO66" s="146"/>
      <c r="KHP66" s="146"/>
      <c r="KHQ66" s="146"/>
      <c r="KHR66" s="146"/>
      <c r="KHS66" s="146"/>
      <c r="KHT66" s="146"/>
      <c r="KHU66" s="146"/>
      <c r="KHV66" s="146"/>
      <c r="KHW66" s="146"/>
      <c r="KHX66" s="146"/>
      <c r="KHY66" s="146"/>
      <c r="KHZ66" s="146"/>
      <c r="KIA66" s="146"/>
      <c r="KIB66" s="146"/>
      <c r="KIC66" s="146"/>
      <c r="KID66" s="146"/>
      <c r="KIE66" s="146"/>
      <c r="KIF66" s="146"/>
      <c r="KIG66" s="146"/>
      <c r="KIH66" s="146"/>
      <c r="KII66" s="146"/>
      <c r="KIJ66" s="146"/>
      <c r="KIK66" s="146"/>
      <c r="KIL66" s="146"/>
      <c r="KIM66" s="146"/>
      <c r="KIN66" s="146"/>
      <c r="KIO66" s="146"/>
      <c r="KIP66" s="146"/>
      <c r="KIQ66" s="146"/>
      <c r="KIR66" s="146"/>
      <c r="KIS66" s="146"/>
      <c r="KIT66" s="146"/>
      <c r="KIU66" s="146"/>
      <c r="KIV66" s="146"/>
      <c r="KIW66" s="146"/>
      <c r="KIX66" s="146"/>
      <c r="KIY66" s="146"/>
      <c r="KIZ66" s="146"/>
      <c r="KJA66" s="146"/>
      <c r="KJB66" s="146"/>
      <c r="KJC66" s="146"/>
      <c r="KJD66" s="146"/>
      <c r="KJE66" s="146"/>
      <c r="KJF66" s="146"/>
      <c r="KJG66" s="146"/>
      <c r="KJH66" s="146"/>
      <c r="KJI66" s="146"/>
      <c r="KJJ66" s="146"/>
      <c r="KJK66" s="146"/>
      <c r="KJL66" s="146"/>
      <c r="KJM66" s="146"/>
      <c r="KJN66" s="146"/>
      <c r="KJO66" s="146"/>
      <c r="KJP66" s="146"/>
      <c r="KJQ66" s="146"/>
      <c r="KJR66" s="146"/>
      <c r="KJS66" s="146"/>
      <c r="KJT66" s="146"/>
      <c r="KJU66" s="146"/>
      <c r="KJV66" s="146"/>
      <c r="KJW66" s="146"/>
      <c r="KJX66" s="146"/>
      <c r="KJY66" s="146"/>
      <c r="KJZ66" s="146"/>
      <c r="KKA66" s="146"/>
      <c r="KKB66" s="146"/>
      <c r="KKC66" s="146"/>
      <c r="KKD66" s="146"/>
      <c r="KKE66" s="146"/>
      <c r="KKF66" s="146"/>
      <c r="KKG66" s="146"/>
      <c r="KKH66" s="146"/>
      <c r="KKI66" s="146"/>
      <c r="KKJ66" s="146"/>
      <c r="KKK66" s="146"/>
      <c r="KKL66" s="146"/>
      <c r="KKM66" s="146"/>
      <c r="KKN66" s="146"/>
      <c r="KKO66" s="146"/>
      <c r="KKP66" s="146"/>
      <c r="KKQ66" s="146"/>
      <c r="KKR66" s="146"/>
      <c r="KKS66" s="146"/>
      <c r="KKT66" s="146"/>
      <c r="KKU66" s="146"/>
      <c r="KKV66" s="146"/>
      <c r="KKW66" s="146"/>
      <c r="KKX66" s="146"/>
      <c r="KKY66" s="146"/>
      <c r="KKZ66" s="146"/>
      <c r="KLA66" s="146"/>
      <c r="KLB66" s="146"/>
      <c r="KLC66" s="146"/>
      <c r="KLD66" s="146"/>
      <c r="KLE66" s="146"/>
      <c r="KLF66" s="146"/>
      <c r="KLG66" s="146"/>
      <c r="KLH66" s="146"/>
      <c r="KLI66" s="146"/>
      <c r="KLJ66" s="146"/>
      <c r="KLK66" s="146"/>
      <c r="KLL66" s="146"/>
      <c r="KLM66" s="146"/>
      <c r="KLN66" s="146"/>
      <c r="KLO66" s="146"/>
      <c r="KLP66" s="146"/>
      <c r="KLQ66" s="146"/>
      <c r="KLR66" s="146"/>
      <c r="KLS66" s="146"/>
      <c r="KLT66" s="146"/>
      <c r="KLU66" s="146"/>
      <c r="KLV66" s="146"/>
      <c r="KLW66" s="146"/>
      <c r="KLX66" s="146"/>
      <c r="KLY66" s="146"/>
      <c r="KLZ66" s="146"/>
      <c r="KMA66" s="146"/>
      <c r="KMB66" s="146"/>
      <c r="KMC66" s="146"/>
      <c r="KMD66" s="146"/>
      <c r="KME66" s="146"/>
      <c r="KMF66" s="146"/>
      <c r="KMG66" s="146"/>
      <c r="KMH66" s="146"/>
      <c r="KMI66" s="146"/>
      <c r="KMJ66" s="146"/>
      <c r="KMK66" s="146"/>
      <c r="KML66" s="146"/>
      <c r="KMM66" s="146"/>
      <c r="KMN66" s="146"/>
      <c r="KMO66" s="146"/>
      <c r="KMP66" s="146"/>
      <c r="KMQ66" s="146"/>
      <c r="KMR66" s="146"/>
      <c r="KMS66" s="146"/>
      <c r="KMT66" s="146"/>
      <c r="KMU66" s="146"/>
      <c r="KMV66" s="146"/>
      <c r="KMW66" s="146"/>
      <c r="KMX66" s="146"/>
      <c r="KMY66" s="146"/>
      <c r="KMZ66" s="146"/>
      <c r="KNA66" s="146"/>
      <c r="KNB66" s="146"/>
      <c r="KNC66" s="146"/>
      <c r="KND66" s="146"/>
      <c r="KNE66" s="146"/>
      <c r="KNF66" s="146"/>
      <c r="KNG66" s="146"/>
      <c r="KNH66" s="146"/>
      <c r="KNI66" s="146"/>
      <c r="KNJ66" s="146"/>
      <c r="KNK66" s="146"/>
      <c r="KNL66" s="146"/>
      <c r="KNM66" s="146"/>
      <c r="KNN66" s="146"/>
      <c r="KNO66" s="146"/>
      <c r="KNP66" s="146"/>
      <c r="KNQ66" s="146"/>
      <c r="KNR66" s="146"/>
      <c r="KNS66" s="146"/>
      <c r="KNT66" s="146"/>
      <c r="KNU66" s="146"/>
      <c r="KNV66" s="146"/>
      <c r="KNW66" s="146"/>
      <c r="KNX66" s="146"/>
      <c r="KNY66" s="146"/>
      <c r="KNZ66" s="146"/>
      <c r="KOA66" s="146"/>
      <c r="KOB66" s="146"/>
      <c r="KOC66" s="146"/>
      <c r="KOD66" s="146"/>
      <c r="KOE66" s="146"/>
      <c r="KOF66" s="146"/>
      <c r="KOG66" s="146"/>
      <c r="KOH66" s="146"/>
      <c r="KOI66" s="146"/>
      <c r="KOJ66" s="146"/>
      <c r="KOK66" s="146"/>
      <c r="KOL66" s="146"/>
      <c r="KOM66" s="146"/>
      <c r="KON66" s="146"/>
      <c r="KOO66" s="146"/>
      <c r="KOP66" s="146"/>
      <c r="KOQ66" s="146"/>
      <c r="KOR66" s="146"/>
      <c r="KOS66" s="146"/>
      <c r="KOT66" s="146"/>
      <c r="KOU66" s="146"/>
      <c r="KOV66" s="146"/>
      <c r="KOW66" s="146"/>
      <c r="KOX66" s="146"/>
      <c r="KOY66" s="146"/>
      <c r="KOZ66" s="146"/>
      <c r="KPA66" s="146"/>
      <c r="KPB66" s="146"/>
      <c r="KPC66" s="146"/>
      <c r="KPD66" s="146"/>
      <c r="KPE66" s="146"/>
      <c r="KPF66" s="146"/>
      <c r="KPG66" s="146"/>
      <c r="KPH66" s="146"/>
      <c r="KPI66" s="146"/>
      <c r="KPJ66" s="146"/>
      <c r="KPK66" s="146"/>
      <c r="KPL66" s="146"/>
      <c r="KPM66" s="146"/>
      <c r="KPN66" s="146"/>
      <c r="KPO66" s="146"/>
      <c r="KPP66" s="146"/>
      <c r="KPQ66" s="146"/>
      <c r="KPR66" s="146"/>
      <c r="KPS66" s="146"/>
      <c r="KPT66" s="146"/>
      <c r="KPU66" s="146"/>
      <c r="KPV66" s="146"/>
      <c r="KPW66" s="146"/>
      <c r="KPX66" s="146"/>
      <c r="KPY66" s="146"/>
      <c r="KPZ66" s="146"/>
      <c r="KQA66" s="146"/>
      <c r="KQB66" s="146"/>
      <c r="KQC66" s="146"/>
      <c r="KQD66" s="146"/>
      <c r="KQE66" s="146"/>
      <c r="KQF66" s="146"/>
      <c r="KQG66" s="146"/>
      <c r="KQH66" s="146"/>
      <c r="KQI66" s="146"/>
      <c r="KQJ66" s="146"/>
      <c r="KQK66" s="146"/>
      <c r="KQL66" s="146"/>
      <c r="KQM66" s="146"/>
      <c r="KQN66" s="146"/>
      <c r="KQO66" s="146"/>
      <c r="KQP66" s="146"/>
      <c r="KQQ66" s="146"/>
      <c r="KQR66" s="146"/>
      <c r="KQS66" s="146"/>
      <c r="KQT66" s="146"/>
      <c r="KQU66" s="146"/>
      <c r="KQV66" s="146"/>
      <c r="KQW66" s="146"/>
      <c r="KQX66" s="146"/>
      <c r="KQY66" s="146"/>
      <c r="KQZ66" s="146"/>
      <c r="KRA66" s="146"/>
      <c r="KRB66" s="146"/>
      <c r="KRC66" s="146"/>
      <c r="KRD66" s="146"/>
      <c r="KRE66" s="146"/>
      <c r="KRF66" s="146"/>
      <c r="KRG66" s="146"/>
      <c r="KRH66" s="146"/>
      <c r="KRI66" s="146"/>
      <c r="KRJ66" s="146"/>
      <c r="KRK66" s="146"/>
      <c r="KRL66" s="146"/>
      <c r="KRM66" s="146"/>
      <c r="KRN66" s="146"/>
      <c r="KRO66" s="146"/>
      <c r="KRP66" s="146"/>
      <c r="KRQ66" s="146"/>
      <c r="KRR66" s="146"/>
      <c r="KRS66" s="146"/>
      <c r="KRT66" s="146"/>
      <c r="KRU66" s="146"/>
      <c r="KRV66" s="146"/>
      <c r="KRW66" s="146"/>
      <c r="KRX66" s="146"/>
      <c r="KRY66" s="146"/>
      <c r="KRZ66" s="146"/>
      <c r="KSA66" s="146"/>
      <c r="KSB66" s="146"/>
      <c r="KSC66" s="146"/>
      <c r="KSD66" s="146"/>
      <c r="KSE66" s="146"/>
      <c r="KSF66" s="146"/>
      <c r="KSG66" s="146"/>
      <c r="KSH66" s="146"/>
      <c r="KSI66" s="146"/>
      <c r="KSJ66" s="146"/>
      <c r="KSK66" s="146"/>
      <c r="KSL66" s="146"/>
      <c r="KSM66" s="146"/>
      <c r="KSN66" s="146"/>
      <c r="KSO66" s="146"/>
      <c r="KSP66" s="146"/>
      <c r="KSQ66" s="146"/>
      <c r="KSR66" s="146"/>
      <c r="KSS66" s="146"/>
      <c r="KST66" s="146"/>
      <c r="KSU66" s="146"/>
      <c r="KSV66" s="146"/>
      <c r="KSW66" s="146"/>
      <c r="KSX66" s="146"/>
      <c r="KSY66" s="146"/>
      <c r="KSZ66" s="146"/>
      <c r="KTA66" s="146"/>
      <c r="KTB66" s="146"/>
      <c r="KTC66" s="146"/>
      <c r="KTD66" s="146"/>
      <c r="KTE66" s="146"/>
      <c r="KTF66" s="146"/>
      <c r="KTG66" s="146"/>
      <c r="KTH66" s="146"/>
      <c r="KTI66" s="146"/>
      <c r="KTJ66" s="146"/>
      <c r="KTK66" s="146"/>
      <c r="KTL66" s="146"/>
      <c r="KTM66" s="146"/>
      <c r="KTN66" s="146"/>
      <c r="KTO66" s="146"/>
      <c r="KTP66" s="146"/>
      <c r="KTQ66" s="146"/>
      <c r="KTR66" s="146"/>
      <c r="KTS66" s="146"/>
      <c r="KTT66" s="146"/>
      <c r="KTU66" s="146"/>
      <c r="KTV66" s="146"/>
      <c r="KTW66" s="146"/>
      <c r="KTX66" s="146"/>
      <c r="KTY66" s="146"/>
      <c r="KTZ66" s="146"/>
      <c r="KUA66" s="146"/>
      <c r="KUB66" s="146"/>
      <c r="KUC66" s="146"/>
      <c r="KUD66" s="146"/>
      <c r="KUE66" s="146"/>
      <c r="KUF66" s="146"/>
      <c r="KUG66" s="146"/>
      <c r="KUH66" s="146"/>
      <c r="KUI66" s="146"/>
      <c r="KUJ66" s="146"/>
      <c r="KUK66" s="146"/>
      <c r="KUL66" s="146"/>
      <c r="KUM66" s="146"/>
      <c r="KUN66" s="146"/>
      <c r="KUO66" s="146"/>
      <c r="KUP66" s="146"/>
      <c r="KUQ66" s="146"/>
      <c r="KUR66" s="146"/>
      <c r="KUS66" s="146"/>
      <c r="KUT66" s="146"/>
      <c r="KUU66" s="146"/>
      <c r="KUV66" s="146"/>
      <c r="KUW66" s="146"/>
      <c r="KUX66" s="146"/>
      <c r="KUY66" s="146"/>
      <c r="KUZ66" s="146"/>
      <c r="KVA66" s="146"/>
      <c r="KVB66" s="146"/>
      <c r="KVC66" s="146"/>
      <c r="KVD66" s="146"/>
      <c r="KVE66" s="146"/>
      <c r="KVF66" s="146"/>
      <c r="KVG66" s="146"/>
      <c r="KVH66" s="146"/>
      <c r="KVI66" s="146"/>
      <c r="KVJ66" s="146"/>
      <c r="KVK66" s="146"/>
      <c r="KVL66" s="146"/>
      <c r="KVM66" s="146"/>
      <c r="KVN66" s="146"/>
      <c r="KVO66" s="146"/>
      <c r="KVP66" s="146"/>
      <c r="KVQ66" s="146"/>
      <c r="KVR66" s="146"/>
      <c r="KVS66" s="146"/>
      <c r="KVT66" s="146"/>
      <c r="KVU66" s="146"/>
      <c r="KVV66" s="146"/>
      <c r="KVW66" s="146"/>
      <c r="KVX66" s="146"/>
      <c r="KVY66" s="146"/>
      <c r="KVZ66" s="146"/>
      <c r="KWA66" s="146"/>
      <c r="KWB66" s="146"/>
      <c r="KWC66" s="146"/>
      <c r="KWD66" s="146"/>
      <c r="KWE66" s="146"/>
      <c r="KWF66" s="146"/>
      <c r="KWG66" s="146"/>
      <c r="KWH66" s="146"/>
      <c r="KWI66" s="146"/>
      <c r="KWJ66" s="146"/>
      <c r="KWK66" s="146"/>
      <c r="KWL66" s="146"/>
      <c r="KWM66" s="146"/>
      <c r="KWN66" s="146"/>
      <c r="KWO66" s="146"/>
      <c r="KWP66" s="146"/>
      <c r="KWQ66" s="146"/>
      <c r="KWR66" s="146"/>
      <c r="KWS66" s="146"/>
      <c r="KWT66" s="146"/>
      <c r="KWU66" s="146"/>
      <c r="KWV66" s="146"/>
      <c r="KWW66" s="146"/>
      <c r="KWX66" s="146"/>
      <c r="KWY66" s="146"/>
      <c r="KWZ66" s="146"/>
      <c r="KXA66" s="146"/>
      <c r="KXB66" s="146"/>
      <c r="KXC66" s="146"/>
      <c r="KXD66" s="146"/>
      <c r="KXE66" s="146"/>
      <c r="KXF66" s="146"/>
      <c r="KXG66" s="146"/>
      <c r="KXH66" s="146"/>
      <c r="KXI66" s="146"/>
      <c r="KXJ66" s="146"/>
      <c r="KXK66" s="146"/>
      <c r="KXL66" s="146"/>
      <c r="KXM66" s="146"/>
      <c r="KXN66" s="146"/>
      <c r="KXO66" s="146"/>
      <c r="KXP66" s="146"/>
      <c r="KXQ66" s="146"/>
      <c r="KXR66" s="146"/>
      <c r="KXS66" s="146"/>
      <c r="KXT66" s="146"/>
      <c r="KXU66" s="146"/>
      <c r="KXV66" s="146"/>
      <c r="KXW66" s="146"/>
      <c r="KXX66" s="146"/>
      <c r="KXY66" s="146"/>
      <c r="KXZ66" s="146"/>
      <c r="KYA66" s="146"/>
      <c r="KYB66" s="146"/>
      <c r="KYC66" s="146"/>
      <c r="KYD66" s="146"/>
      <c r="KYE66" s="146"/>
      <c r="KYF66" s="146"/>
      <c r="KYG66" s="146"/>
      <c r="KYH66" s="146"/>
      <c r="KYI66" s="146"/>
      <c r="KYJ66" s="146"/>
      <c r="KYK66" s="146"/>
      <c r="KYL66" s="146"/>
      <c r="KYM66" s="146"/>
      <c r="KYN66" s="146"/>
      <c r="KYO66" s="146"/>
      <c r="KYP66" s="146"/>
      <c r="KYQ66" s="146"/>
      <c r="KYR66" s="146"/>
      <c r="KYS66" s="146"/>
      <c r="KYT66" s="146"/>
      <c r="KYU66" s="146"/>
      <c r="KYV66" s="146"/>
      <c r="KYW66" s="146"/>
      <c r="KYX66" s="146"/>
      <c r="KYY66" s="146"/>
      <c r="KYZ66" s="146"/>
      <c r="KZA66" s="146"/>
      <c r="KZB66" s="146"/>
      <c r="KZC66" s="146"/>
      <c r="KZD66" s="146"/>
      <c r="KZE66" s="146"/>
      <c r="KZF66" s="146"/>
      <c r="KZG66" s="146"/>
      <c r="KZH66" s="146"/>
      <c r="KZI66" s="146"/>
      <c r="KZJ66" s="146"/>
      <c r="KZK66" s="146"/>
      <c r="KZL66" s="146"/>
      <c r="KZM66" s="146"/>
      <c r="KZN66" s="146"/>
      <c r="KZO66" s="146"/>
      <c r="KZP66" s="146"/>
      <c r="KZQ66" s="146"/>
      <c r="KZR66" s="146"/>
      <c r="KZS66" s="146"/>
      <c r="KZT66" s="146"/>
      <c r="KZU66" s="146"/>
      <c r="KZV66" s="146"/>
      <c r="KZW66" s="146"/>
      <c r="KZX66" s="146"/>
      <c r="KZY66" s="146"/>
      <c r="KZZ66" s="146"/>
      <c r="LAA66" s="146"/>
      <c r="LAB66" s="146"/>
      <c r="LAC66" s="146"/>
      <c r="LAD66" s="146"/>
      <c r="LAE66" s="146"/>
      <c r="LAF66" s="146"/>
      <c r="LAG66" s="146"/>
      <c r="LAH66" s="146"/>
      <c r="LAI66" s="146"/>
      <c r="LAJ66" s="146"/>
      <c r="LAK66" s="146"/>
      <c r="LAL66" s="146"/>
      <c r="LAM66" s="146"/>
      <c r="LAN66" s="146"/>
      <c r="LAO66" s="146"/>
      <c r="LAP66" s="146"/>
      <c r="LAQ66" s="146"/>
      <c r="LAR66" s="146"/>
      <c r="LAS66" s="146"/>
      <c r="LAT66" s="146"/>
      <c r="LAU66" s="146"/>
      <c r="LAV66" s="146"/>
      <c r="LAW66" s="146"/>
      <c r="LAX66" s="146"/>
      <c r="LAY66" s="146"/>
      <c r="LAZ66" s="146"/>
      <c r="LBA66" s="146"/>
      <c r="LBB66" s="146"/>
      <c r="LBC66" s="146"/>
      <c r="LBD66" s="146"/>
      <c r="LBE66" s="146"/>
      <c r="LBF66" s="146"/>
      <c r="LBG66" s="146"/>
      <c r="LBH66" s="146"/>
      <c r="LBI66" s="146"/>
      <c r="LBJ66" s="146"/>
      <c r="LBK66" s="146"/>
      <c r="LBL66" s="146"/>
      <c r="LBM66" s="146"/>
      <c r="LBN66" s="146"/>
      <c r="LBO66" s="146"/>
      <c r="LBP66" s="146"/>
      <c r="LBQ66" s="146"/>
      <c r="LBR66" s="146"/>
      <c r="LBS66" s="146"/>
      <c r="LBT66" s="146"/>
      <c r="LBU66" s="146"/>
      <c r="LBV66" s="146"/>
      <c r="LBW66" s="146"/>
      <c r="LBX66" s="146"/>
      <c r="LBY66" s="146"/>
      <c r="LBZ66" s="146"/>
      <c r="LCA66" s="146"/>
      <c r="LCB66" s="146"/>
      <c r="LCC66" s="146"/>
      <c r="LCD66" s="146"/>
      <c r="LCE66" s="146"/>
      <c r="LCF66" s="146"/>
      <c r="LCG66" s="146"/>
      <c r="LCH66" s="146"/>
      <c r="LCI66" s="146"/>
      <c r="LCJ66" s="146"/>
      <c r="LCK66" s="146"/>
      <c r="LCL66" s="146"/>
      <c r="LCM66" s="146"/>
      <c r="LCN66" s="146"/>
      <c r="LCO66" s="146"/>
      <c r="LCP66" s="146"/>
      <c r="LCQ66" s="146"/>
      <c r="LCR66" s="146"/>
      <c r="LCS66" s="146"/>
      <c r="LCT66" s="146"/>
      <c r="LCU66" s="146"/>
      <c r="LCV66" s="146"/>
      <c r="LCW66" s="146"/>
      <c r="LCX66" s="146"/>
      <c r="LCY66" s="146"/>
      <c r="LCZ66" s="146"/>
      <c r="LDA66" s="146"/>
      <c r="LDB66" s="146"/>
      <c r="LDC66" s="146"/>
      <c r="LDD66" s="146"/>
      <c r="LDE66" s="146"/>
      <c r="LDF66" s="146"/>
      <c r="LDG66" s="146"/>
      <c r="LDH66" s="146"/>
      <c r="LDI66" s="146"/>
      <c r="LDJ66" s="146"/>
      <c r="LDK66" s="146"/>
      <c r="LDL66" s="146"/>
      <c r="LDM66" s="146"/>
      <c r="LDN66" s="146"/>
      <c r="LDO66" s="146"/>
      <c r="LDP66" s="146"/>
      <c r="LDQ66" s="146"/>
      <c r="LDR66" s="146"/>
      <c r="LDS66" s="146"/>
      <c r="LDT66" s="146"/>
      <c r="LDU66" s="146"/>
      <c r="LDV66" s="146"/>
      <c r="LDW66" s="146"/>
      <c r="LDX66" s="146"/>
      <c r="LDY66" s="146"/>
      <c r="LDZ66" s="146"/>
      <c r="LEA66" s="146"/>
      <c r="LEB66" s="146"/>
      <c r="LEC66" s="146"/>
      <c r="LED66" s="146"/>
      <c r="LEE66" s="146"/>
      <c r="LEF66" s="146"/>
      <c r="LEG66" s="146"/>
      <c r="LEH66" s="146"/>
      <c r="LEI66" s="146"/>
      <c r="LEJ66" s="146"/>
      <c r="LEK66" s="146"/>
      <c r="LEL66" s="146"/>
      <c r="LEM66" s="146"/>
      <c r="LEN66" s="146"/>
      <c r="LEO66" s="146"/>
      <c r="LEP66" s="146"/>
      <c r="LEQ66" s="146"/>
      <c r="LER66" s="146"/>
      <c r="LES66" s="146"/>
      <c r="LET66" s="146"/>
      <c r="LEU66" s="146"/>
      <c r="LEV66" s="146"/>
      <c r="LEW66" s="146"/>
      <c r="LEX66" s="146"/>
      <c r="LEY66" s="146"/>
      <c r="LEZ66" s="146"/>
      <c r="LFA66" s="146"/>
      <c r="LFB66" s="146"/>
      <c r="LFC66" s="146"/>
      <c r="LFD66" s="146"/>
      <c r="LFE66" s="146"/>
      <c r="LFF66" s="146"/>
      <c r="LFG66" s="146"/>
      <c r="LFH66" s="146"/>
      <c r="LFI66" s="146"/>
      <c r="LFJ66" s="146"/>
      <c r="LFK66" s="146"/>
      <c r="LFL66" s="146"/>
      <c r="LFM66" s="146"/>
      <c r="LFN66" s="146"/>
      <c r="LFO66" s="146"/>
      <c r="LFP66" s="146"/>
      <c r="LFQ66" s="146"/>
      <c r="LFR66" s="146"/>
      <c r="LFS66" s="146"/>
      <c r="LFT66" s="146"/>
      <c r="LFU66" s="146"/>
      <c r="LFV66" s="146"/>
      <c r="LFW66" s="146"/>
      <c r="LFX66" s="146"/>
      <c r="LFY66" s="146"/>
      <c r="LFZ66" s="146"/>
      <c r="LGA66" s="146"/>
      <c r="LGB66" s="146"/>
      <c r="LGC66" s="146"/>
      <c r="LGD66" s="146"/>
      <c r="LGE66" s="146"/>
      <c r="LGF66" s="146"/>
      <c r="LGG66" s="146"/>
      <c r="LGH66" s="146"/>
      <c r="LGI66" s="146"/>
      <c r="LGJ66" s="146"/>
      <c r="LGK66" s="146"/>
      <c r="LGL66" s="146"/>
      <c r="LGM66" s="146"/>
      <c r="LGN66" s="146"/>
      <c r="LGO66" s="146"/>
      <c r="LGP66" s="146"/>
      <c r="LGQ66" s="146"/>
      <c r="LGR66" s="146"/>
      <c r="LGS66" s="146"/>
      <c r="LGT66" s="146"/>
      <c r="LGU66" s="146"/>
      <c r="LGV66" s="146"/>
      <c r="LGW66" s="146"/>
      <c r="LGX66" s="146"/>
      <c r="LGY66" s="146"/>
      <c r="LGZ66" s="146"/>
      <c r="LHA66" s="146"/>
      <c r="LHB66" s="146"/>
      <c r="LHC66" s="146"/>
      <c r="LHD66" s="146"/>
      <c r="LHE66" s="146"/>
      <c r="LHF66" s="146"/>
      <c r="LHG66" s="146"/>
      <c r="LHH66" s="146"/>
      <c r="LHI66" s="146"/>
      <c r="LHJ66" s="146"/>
      <c r="LHK66" s="146"/>
      <c r="LHL66" s="146"/>
      <c r="LHM66" s="146"/>
      <c r="LHN66" s="146"/>
      <c r="LHO66" s="146"/>
      <c r="LHP66" s="146"/>
      <c r="LHQ66" s="146"/>
      <c r="LHR66" s="146"/>
      <c r="LHS66" s="146"/>
      <c r="LHT66" s="146"/>
      <c r="LHU66" s="146"/>
      <c r="LHV66" s="146"/>
      <c r="LHW66" s="146"/>
      <c r="LHX66" s="146"/>
      <c r="LHY66" s="146"/>
      <c r="LHZ66" s="146"/>
      <c r="LIA66" s="146"/>
      <c r="LIB66" s="146"/>
      <c r="LIC66" s="146"/>
      <c r="LID66" s="146"/>
      <c r="LIE66" s="146"/>
      <c r="LIF66" s="146"/>
      <c r="LIG66" s="146"/>
      <c r="LIH66" s="146"/>
      <c r="LII66" s="146"/>
      <c r="LIJ66" s="146"/>
      <c r="LIK66" s="146"/>
      <c r="LIL66" s="146"/>
      <c r="LIM66" s="146"/>
      <c r="LIN66" s="146"/>
      <c r="LIO66" s="146"/>
      <c r="LIP66" s="146"/>
      <c r="LIQ66" s="146"/>
      <c r="LIR66" s="146"/>
      <c r="LIS66" s="146"/>
      <c r="LIT66" s="146"/>
      <c r="LIU66" s="146"/>
      <c r="LIV66" s="146"/>
      <c r="LIW66" s="146"/>
      <c r="LIX66" s="146"/>
      <c r="LIY66" s="146"/>
      <c r="LIZ66" s="146"/>
      <c r="LJA66" s="146"/>
      <c r="LJB66" s="146"/>
      <c r="LJC66" s="146"/>
      <c r="LJD66" s="146"/>
      <c r="LJE66" s="146"/>
      <c r="LJF66" s="146"/>
      <c r="LJG66" s="146"/>
      <c r="LJH66" s="146"/>
      <c r="LJI66" s="146"/>
      <c r="LJJ66" s="146"/>
      <c r="LJK66" s="146"/>
      <c r="LJL66" s="146"/>
      <c r="LJM66" s="146"/>
      <c r="LJN66" s="146"/>
      <c r="LJO66" s="146"/>
      <c r="LJP66" s="146"/>
      <c r="LJQ66" s="146"/>
      <c r="LJR66" s="146"/>
      <c r="LJS66" s="146"/>
      <c r="LJT66" s="146"/>
      <c r="LJU66" s="146"/>
      <c r="LJV66" s="146"/>
      <c r="LJW66" s="146"/>
      <c r="LJX66" s="146"/>
      <c r="LJY66" s="146"/>
      <c r="LJZ66" s="146"/>
      <c r="LKA66" s="146"/>
      <c r="LKB66" s="146"/>
      <c r="LKC66" s="146"/>
      <c r="LKD66" s="146"/>
      <c r="LKE66" s="146"/>
      <c r="LKF66" s="146"/>
      <c r="LKG66" s="146"/>
      <c r="LKH66" s="146"/>
      <c r="LKI66" s="146"/>
      <c r="LKJ66" s="146"/>
      <c r="LKK66" s="146"/>
      <c r="LKL66" s="146"/>
      <c r="LKM66" s="146"/>
      <c r="LKN66" s="146"/>
      <c r="LKO66" s="146"/>
      <c r="LKP66" s="146"/>
      <c r="LKQ66" s="146"/>
      <c r="LKR66" s="146"/>
      <c r="LKS66" s="146"/>
      <c r="LKT66" s="146"/>
      <c r="LKU66" s="146"/>
      <c r="LKV66" s="146"/>
      <c r="LKW66" s="146"/>
      <c r="LKX66" s="146"/>
      <c r="LKY66" s="146"/>
      <c r="LKZ66" s="146"/>
      <c r="LLA66" s="146"/>
      <c r="LLB66" s="146"/>
      <c r="LLC66" s="146"/>
      <c r="LLD66" s="146"/>
      <c r="LLE66" s="146"/>
      <c r="LLF66" s="146"/>
      <c r="LLG66" s="146"/>
      <c r="LLH66" s="146"/>
      <c r="LLI66" s="146"/>
      <c r="LLJ66" s="146"/>
      <c r="LLK66" s="146"/>
      <c r="LLL66" s="146"/>
      <c r="LLM66" s="146"/>
      <c r="LLN66" s="146"/>
      <c r="LLO66" s="146"/>
      <c r="LLP66" s="146"/>
      <c r="LLQ66" s="146"/>
      <c r="LLR66" s="146"/>
      <c r="LLS66" s="146"/>
      <c r="LLT66" s="146"/>
      <c r="LLU66" s="146"/>
      <c r="LLV66" s="146"/>
      <c r="LLW66" s="146"/>
      <c r="LLX66" s="146"/>
      <c r="LLY66" s="146"/>
      <c r="LLZ66" s="146"/>
      <c r="LMA66" s="146"/>
      <c r="LMB66" s="146"/>
      <c r="LMC66" s="146"/>
      <c r="LMD66" s="146"/>
      <c r="LME66" s="146"/>
      <c r="LMF66" s="146"/>
      <c r="LMG66" s="146"/>
      <c r="LMH66" s="146"/>
      <c r="LMI66" s="146"/>
      <c r="LMJ66" s="146"/>
      <c r="LMK66" s="146"/>
      <c r="LML66" s="146"/>
      <c r="LMM66" s="146"/>
      <c r="LMN66" s="146"/>
      <c r="LMO66" s="146"/>
      <c r="LMP66" s="146"/>
      <c r="LMQ66" s="146"/>
      <c r="LMR66" s="146"/>
      <c r="LMS66" s="146"/>
      <c r="LMT66" s="146"/>
      <c r="LMU66" s="146"/>
      <c r="LMV66" s="146"/>
      <c r="LMW66" s="146"/>
      <c r="LMX66" s="146"/>
      <c r="LMY66" s="146"/>
      <c r="LMZ66" s="146"/>
      <c r="LNA66" s="146"/>
      <c r="LNB66" s="146"/>
      <c r="LNC66" s="146"/>
      <c r="LND66" s="146"/>
      <c r="LNE66" s="146"/>
      <c r="LNF66" s="146"/>
      <c r="LNG66" s="146"/>
      <c r="LNH66" s="146"/>
      <c r="LNI66" s="146"/>
      <c r="LNJ66" s="146"/>
      <c r="LNK66" s="146"/>
      <c r="LNL66" s="146"/>
      <c r="LNM66" s="146"/>
      <c r="LNN66" s="146"/>
      <c r="LNO66" s="146"/>
      <c r="LNP66" s="146"/>
      <c r="LNQ66" s="146"/>
      <c r="LNR66" s="146"/>
      <c r="LNS66" s="146"/>
      <c r="LNT66" s="146"/>
      <c r="LNU66" s="146"/>
      <c r="LNV66" s="146"/>
      <c r="LNW66" s="146"/>
      <c r="LNX66" s="146"/>
      <c r="LNY66" s="146"/>
      <c r="LNZ66" s="146"/>
      <c r="LOA66" s="146"/>
      <c r="LOB66" s="146"/>
      <c r="LOC66" s="146"/>
      <c r="LOD66" s="146"/>
      <c r="LOE66" s="146"/>
      <c r="LOF66" s="146"/>
      <c r="LOG66" s="146"/>
      <c r="LOH66" s="146"/>
      <c r="LOI66" s="146"/>
      <c r="LOJ66" s="146"/>
      <c r="LOK66" s="146"/>
      <c r="LOL66" s="146"/>
      <c r="LOM66" s="146"/>
      <c r="LON66" s="146"/>
      <c r="LOO66" s="146"/>
      <c r="LOP66" s="146"/>
      <c r="LOQ66" s="146"/>
      <c r="LOR66" s="146"/>
      <c r="LOS66" s="146"/>
      <c r="LOT66" s="146"/>
      <c r="LOU66" s="146"/>
      <c r="LOV66" s="146"/>
      <c r="LOW66" s="146"/>
      <c r="LOX66" s="146"/>
      <c r="LOY66" s="146"/>
      <c r="LOZ66" s="146"/>
      <c r="LPA66" s="146"/>
      <c r="LPB66" s="146"/>
      <c r="LPC66" s="146"/>
      <c r="LPD66" s="146"/>
      <c r="LPE66" s="146"/>
      <c r="LPF66" s="146"/>
      <c r="LPG66" s="146"/>
      <c r="LPH66" s="146"/>
      <c r="LPI66" s="146"/>
      <c r="LPJ66" s="146"/>
      <c r="LPK66" s="146"/>
      <c r="LPL66" s="146"/>
      <c r="LPM66" s="146"/>
      <c r="LPN66" s="146"/>
      <c r="LPO66" s="146"/>
      <c r="LPP66" s="146"/>
      <c r="LPQ66" s="146"/>
      <c r="LPR66" s="146"/>
      <c r="LPS66" s="146"/>
      <c r="LPT66" s="146"/>
      <c r="LPU66" s="146"/>
      <c r="LPV66" s="146"/>
      <c r="LPW66" s="146"/>
      <c r="LPX66" s="146"/>
      <c r="LPY66" s="146"/>
      <c r="LPZ66" s="146"/>
      <c r="LQA66" s="146"/>
      <c r="LQB66" s="146"/>
      <c r="LQC66" s="146"/>
      <c r="LQD66" s="146"/>
      <c r="LQE66" s="146"/>
      <c r="LQF66" s="146"/>
      <c r="LQG66" s="146"/>
      <c r="LQH66" s="146"/>
      <c r="LQI66" s="146"/>
      <c r="LQJ66" s="146"/>
      <c r="LQK66" s="146"/>
      <c r="LQL66" s="146"/>
      <c r="LQM66" s="146"/>
      <c r="LQN66" s="146"/>
      <c r="LQO66" s="146"/>
      <c r="LQP66" s="146"/>
      <c r="LQQ66" s="146"/>
      <c r="LQR66" s="146"/>
      <c r="LQS66" s="146"/>
      <c r="LQT66" s="146"/>
      <c r="LQU66" s="146"/>
      <c r="LQV66" s="146"/>
      <c r="LQW66" s="146"/>
      <c r="LQX66" s="146"/>
      <c r="LQY66" s="146"/>
      <c r="LQZ66" s="146"/>
      <c r="LRA66" s="146"/>
      <c r="LRB66" s="146"/>
      <c r="LRC66" s="146"/>
      <c r="LRD66" s="146"/>
      <c r="LRE66" s="146"/>
      <c r="LRF66" s="146"/>
      <c r="LRG66" s="146"/>
      <c r="LRH66" s="146"/>
      <c r="LRI66" s="146"/>
      <c r="LRJ66" s="146"/>
      <c r="LRK66" s="146"/>
      <c r="LRL66" s="146"/>
      <c r="LRM66" s="146"/>
      <c r="LRN66" s="146"/>
      <c r="LRO66" s="146"/>
      <c r="LRP66" s="146"/>
      <c r="LRQ66" s="146"/>
      <c r="LRR66" s="146"/>
      <c r="LRS66" s="146"/>
      <c r="LRT66" s="146"/>
      <c r="LRU66" s="146"/>
      <c r="LRV66" s="146"/>
      <c r="LRW66" s="146"/>
      <c r="LRX66" s="146"/>
      <c r="LRY66" s="146"/>
      <c r="LRZ66" s="146"/>
      <c r="LSA66" s="146"/>
      <c r="LSB66" s="146"/>
      <c r="LSC66" s="146"/>
      <c r="LSD66" s="146"/>
      <c r="LSE66" s="146"/>
      <c r="LSF66" s="146"/>
      <c r="LSG66" s="146"/>
      <c r="LSH66" s="146"/>
      <c r="LSI66" s="146"/>
      <c r="LSJ66" s="146"/>
      <c r="LSK66" s="146"/>
      <c r="LSL66" s="146"/>
      <c r="LSM66" s="146"/>
      <c r="LSN66" s="146"/>
      <c r="LSO66" s="146"/>
      <c r="LSP66" s="146"/>
      <c r="LSQ66" s="146"/>
      <c r="LSR66" s="146"/>
      <c r="LSS66" s="146"/>
      <c r="LST66" s="146"/>
      <c r="LSU66" s="146"/>
      <c r="LSV66" s="146"/>
      <c r="LSW66" s="146"/>
      <c r="LSX66" s="146"/>
      <c r="LSY66" s="146"/>
      <c r="LSZ66" s="146"/>
      <c r="LTA66" s="146"/>
      <c r="LTB66" s="146"/>
      <c r="LTC66" s="146"/>
      <c r="LTD66" s="146"/>
      <c r="LTE66" s="146"/>
      <c r="LTF66" s="146"/>
      <c r="LTG66" s="146"/>
      <c r="LTH66" s="146"/>
      <c r="LTI66" s="146"/>
      <c r="LTJ66" s="146"/>
      <c r="LTK66" s="146"/>
      <c r="LTL66" s="146"/>
      <c r="LTM66" s="146"/>
      <c r="LTN66" s="146"/>
      <c r="LTO66" s="146"/>
      <c r="LTP66" s="146"/>
      <c r="LTQ66" s="146"/>
      <c r="LTR66" s="146"/>
      <c r="LTS66" s="146"/>
      <c r="LTT66" s="146"/>
      <c r="LTU66" s="146"/>
      <c r="LTV66" s="146"/>
      <c r="LTW66" s="146"/>
      <c r="LTX66" s="146"/>
      <c r="LTY66" s="146"/>
      <c r="LTZ66" s="146"/>
      <c r="LUA66" s="146"/>
      <c r="LUB66" s="146"/>
      <c r="LUC66" s="146"/>
      <c r="LUD66" s="146"/>
      <c r="LUE66" s="146"/>
      <c r="LUF66" s="146"/>
      <c r="LUG66" s="146"/>
      <c r="LUH66" s="146"/>
      <c r="LUI66" s="146"/>
      <c r="LUJ66" s="146"/>
      <c r="LUK66" s="146"/>
      <c r="LUL66" s="146"/>
      <c r="LUM66" s="146"/>
      <c r="LUN66" s="146"/>
      <c r="LUO66" s="146"/>
      <c r="LUP66" s="146"/>
      <c r="LUQ66" s="146"/>
      <c r="LUR66" s="146"/>
      <c r="LUS66" s="146"/>
      <c r="LUT66" s="146"/>
      <c r="LUU66" s="146"/>
      <c r="LUV66" s="146"/>
      <c r="LUW66" s="146"/>
      <c r="LUX66" s="146"/>
      <c r="LUY66" s="146"/>
      <c r="LUZ66" s="146"/>
      <c r="LVA66" s="146"/>
      <c r="LVB66" s="146"/>
      <c r="LVC66" s="146"/>
      <c r="LVD66" s="146"/>
      <c r="LVE66" s="146"/>
      <c r="LVF66" s="146"/>
      <c r="LVG66" s="146"/>
      <c r="LVH66" s="146"/>
      <c r="LVI66" s="146"/>
      <c r="LVJ66" s="146"/>
      <c r="LVK66" s="146"/>
      <c r="LVL66" s="146"/>
      <c r="LVM66" s="146"/>
      <c r="LVN66" s="146"/>
      <c r="LVO66" s="146"/>
      <c r="LVP66" s="146"/>
      <c r="LVQ66" s="146"/>
      <c r="LVR66" s="146"/>
      <c r="LVS66" s="146"/>
      <c r="LVT66" s="146"/>
      <c r="LVU66" s="146"/>
      <c r="LVV66" s="146"/>
      <c r="LVW66" s="146"/>
      <c r="LVX66" s="146"/>
      <c r="LVY66" s="146"/>
      <c r="LVZ66" s="146"/>
      <c r="LWA66" s="146"/>
      <c r="LWB66" s="146"/>
      <c r="LWC66" s="146"/>
      <c r="LWD66" s="146"/>
      <c r="LWE66" s="146"/>
      <c r="LWF66" s="146"/>
      <c r="LWG66" s="146"/>
      <c r="LWH66" s="146"/>
      <c r="LWI66" s="146"/>
      <c r="LWJ66" s="146"/>
      <c r="LWK66" s="146"/>
      <c r="LWL66" s="146"/>
      <c r="LWM66" s="146"/>
      <c r="LWN66" s="146"/>
      <c r="LWO66" s="146"/>
      <c r="LWP66" s="146"/>
      <c r="LWQ66" s="146"/>
      <c r="LWR66" s="146"/>
      <c r="LWS66" s="146"/>
      <c r="LWT66" s="146"/>
      <c r="LWU66" s="146"/>
      <c r="LWV66" s="146"/>
      <c r="LWW66" s="146"/>
      <c r="LWX66" s="146"/>
      <c r="LWY66" s="146"/>
      <c r="LWZ66" s="146"/>
      <c r="LXA66" s="146"/>
      <c r="LXB66" s="146"/>
      <c r="LXC66" s="146"/>
      <c r="LXD66" s="146"/>
      <c r="LXE66" s="146"/>
      <c r="LXF66" s="146"/>
      <c r="LXG66" s="146"/>
      <c r="LXH66" s="146"/>
      <c r="LXI66" s="146"/>
      <c r="LXJ66" s="146"/>
      <c r="LXK66" s="146"/>
      <c r="LXL66" s="146"/>
      <c r="LXM66" s="146"/>
      <c r="LXN66" s="146"/>
      <c r="LXO66" s="146"/>
      <c r="LXP66" s="146"/>
      <c r="LXQ66" s="146"/>
      <c r="LXR66" s="146"/>
      <c r="LXS66" s="146"/>
      <c r="LXT66" s="146"/>
      <c r="LXU66" s="146"/>
      <c r="LXV66" s="146"/>
      <c r="LXW66" s="146"/>
      <c r="LXX66" s="146"/>
      <c r="LXY66" s="146"/>
      <c r="LXZ66" s="146"/>
      <c r="LYA66" s="146"/>
      <c r="LYB66" s="146"/>
      <c r="LYC66" s="146"/>
      <c r="LYD66" s="146"/>
      <c r="LYE66" s="146"/>
      <c r="LYF66" s="146"/>
      <c r="LYG66" s="146"/>
      <c r="LYH66" s="146"/>
      <c r="LYI66" s="146"/>
      <c r="LYJ66" s="146"/>
      <c r="LYK66" s="146"/>
      <c r="LYL66" s="146"/>
      <c r="LYM66" s="146"/>
      <c r="LYN66" s="146"/>
      <c r="LYO66" s="146"/>
      <c r="LYP66" s="146"/>
      <c r="LYQ66" s="146"/>
      <c r="LYR66" s="146"/>
      <c r="LYS66" s="146"/>
      <c r="LYT66" s="146"/>
      <c r="LYU66" s="146"/>
      <c r="LYV66" s="146"/>
      <c r="LYW66" s="146"/>
      <c r="LYX66" s="146"/>
      <c r="LYY66" s="146"/>
      <c r="LYZ66" s="146"/>
      <c r="LZA66" s="146"/>
      <c r="LZB66" s="146"/>
      <c r="LZC66" s="146"/>
      <c r="LZD66" s="146"/>
      <c r="LZE66" s="146"/>
      <c r="LZF66" s="146"/>
      <c r="LZG66" s="146"/>
      <c r="LZH66" s="146"/>
      <c r="LZI66" s="146"/>
      <c r="LZJ66" s="146"/>
      <c r="LZK66" s="146"/>
      <c r="LZL66" s="146"/>
      <c r="LZM66" s="146"/>
      <c r="LZN66" s="146"/>
      <c r="LZO66" s="146"/>
      <c r="LZP66" s="146"/>
      <c r="LZQ66" s="146"/>
      <c r="LZR66" s="146"/>
      <c r="LZS66" s="146"/>
      <c r="LZT66" s="146"/>
      <c r="LZU66" s="146"/>
      <c r="LZV66" s="146"/>
      <c r="LZW66" s="146"/>
      <c r="LZX66" s="146"/>
      <c r="LZY66" s="146"/>
      <c r="LZZ66" s="146"/>
      <c r="MAA66" s="146"/>
      <c r="MAB66" s="146"/>
      <c r="MAC66" s="146"/>
      <c r="MAD66" s="146"/>
      <c r="MAE66" s="146"/>
      <c r="MAF66" s="146"/>
      <c r="MAG66" s="146"/>
      <c r="MAH66" s="146"/>
      <c r="MAI66" s="146"/>
      <c r="MAJ66" s="146"/>
      <c r="MAK66" s="146"/>
      <c r="MAL66" s="146"/>
      <c r="MAM66" s="146"/>
      <c r="MAN66" s="146"/>
      <c r="MAO66" s="146"/>
      <c r="MAP66" s="146"/>
      <c r="MAQ66" s="146"/>
      <c r="MAR66" s="146"/>
      <c r="MAS66" s="146"/>
      <c r="MAT66" s="146"/>
      <c r="MAU66" s="146"/>
      <c r="MAV66" s="146"/>
      <c r="MAW66" s="146"/>
      <c r="MAX66" s="146"/>
      <c r="MAY66" s="146"/>
      <c r="MAZ66" s="146"/>
      <c r="MBA66" s="146"/>
      <c r="MBB66" s="146"/>
      <c r="MBC66" s="146"/>
      <c r="MBD66" s="146"/>
      <c r="MBE66" s="146"/>
      <c r="MBF66" s="146"/>
      <c r="MBG66" s="146"/>
      <c r="MBH66" s="146"/>
      <c r="MBI66" s="146"/>
      <c r="MBJ66" s="146"/>
      <c r="MBK66" s="146"/>
      <c r="MBL66" s="146"/>
      <c r="MBM66" s="146"/>
      <c r="MBN66" s="146"/>
      <c r="MBO66" s="146"/>
      <c r="MBP66" s="146"/>
      <c r="MBQ66" s="146"/>
      <c r="MBR66" s="146"/>
      <c r="MBS66" s="146"/>
      <c r="MBT66" s="146"/>
      <c r="MBU66" s="146"/>
      <c r="MBV66" s="146"/>
      <c r="MBW66" s="146"/>
      <c r="MBX66" s="146"/>
      <c r="MBY66" s="146"/>
      <c r="MBZ66" s="146"/>
      <c r="MCA66" s="146"/>
      <c r="MCB66" s="146"/>
      <c r="MCC66" s="146"/>
      <c r="MCD66" s="146"/>
      <c r="MCE66" s="146"/>
      <c r="MCF66" s="146"/>
      <c r="MCG66" s="146"/>
      <c r="MCH66" s="146"/>
      <c r="MCI66" s="146"/>
      <c r="MCJ66" s="146"/>
      <c r="MCK66" s="146"/>
      <c r="MCL66" s="146"/>
      <c r="MCM66" s="146"/>
      <c r="MCN66" s="146"/>
      <c r="MCO66" s="146"/>
      <c r="MCP66" s="146"/>
      <c r="MCQ66" s="146"/>
      <c r="MCR66" s="146"/>
      <c r="MCS66" s="146"/>
      <c r="MCT66" s="146"/>
      <c r="MCU66" s="146"/>
      <c r="MCV66" s="146"/>
      <c r="MCW66" s="146"/>
      <c r="MCX66" s="146"/>
      <c r="MCY66" s="146"/>
      <c r="MCZ66" s="146"/>
      <c r="MDA66" s="146"/>
      <c r="MDB66" s="146"/>
      <c r="MDC66" s="146"/>
      <c r="MDD66" s="146"/>
      <c r="MDE66" s="146"/>
      <c r="MDF66" s="146"/>
      <c r="MDG66" s="146"/>
      <c r="MDH66" s="146"/>
      <c r="MDI66" s="146"/>
      <c r="MDJ66" s="146"/>
      <c r="MDK66" s="146"/>
      <c r="MDL66" s="146"/>
      <c r="MDM66" s="146"/>
      <c r="MDN66" s="146"/>
      <c r="MDO66" s="146"/>
      <c r="MDP66" s="146"/>
      <c r="MDQ66" s="146"/>
      <c r="MDR66" s="146"/>
      <c r="MDS66" s="146"/>
      <c r="MDT66" s="146"/>
      <c r="MDU66" s="146"/>
      <c r="MDV66" s="146"/>
      <c r="MDW66" s="146"/>
      <c r="MDX66" s="146"/>
      <c r="MDY66" s="146"/>
      <c r="MDZ66" s="146"/>
      <c r="MEA66" s="146"/>
      <c r="MEB66" s="146"/>
      <c r="MEC66" s="146"/>
      <c r="MED66" s="146"/>
      <c r="MEE66" s="146"/>
      <c r="MEF66" s="146"/>
      <c r="MEG66" s="146"/>
      <c r="MEH66" s="146"/>
      <c r="MEI66" s="146"/>
      <c r="MEJ66" s="146"/>
      <c r="MEK66" s="146"/>
      <c r="MEL66" s="146"/>
      <c r="MEM66" s="146"/>
      <c r="MEN66" s="146"/>
      <c r="MEO66" s="146"/>
      <c r="MEP66" s="146"/>
      <c r="MEQ66" s="146"/>
      <c r="MER66" s="146"/>
      <c r="MES66" s="146"/>
      <c r="MET66" s="146"/>
      <c r="MEU66" s="146"/>
      <c r="MEV66" s="146"/>
      <c r="MEW66" s="146"/>
      <c r="MEX66" s="146"/>
      <c r="MEY66" s="146"/>
      <c r="MEZ66" s="146"/>
      <c r="MFA66" s="146"/>
      <c r="MFB66" s="146"/>
      <c r="MFC66" s="146"/>
      <c r="MFD66" s="146"/>
      <c r="MFE66" s="146"/>
      <c r="MFF66" s="146"/>
      <c r="MFG66" s="146"/>
      <c r="MFH66" s="146"/>
      <c r="MFI66" s="146"/>
      <c r="MFJ66" s="146"/>
      <c r="MFK66" s="146"/>
      <c r="MFL66" s="146"/>
      <c r="MFM66" s="146"/>
      <c r="MFN66" s="146"/>
      <c r="MFO66" s="146"/>
      <c r="MFP66" s="146"/>
      <c r="MFQ66" s="146"/>
      <c r="MFR66" s="146"/>
      <c r="MFS66" s="146"/>
      <c r="MFT66" s="146"/>
      <c r="MFU66" s="146"/>
      <c r="MFV66" s="146"/>
      <c r="MFW66" s="146"/>
      <c r="MFX66" s="146"/>
      <c r="MFY66" s="146"/>
      <c r="MFZ66" s="146"/>
      <c r="MGA66" s="146"/>
      <c r="MGB66" s="146"/>
      <c r="MGC66" s="146"/>
      <c r="MGD66" s="146"/>
      <c r="MGE66" s="146"/>
      <c r="MGF66" s="146"/>
      <c r="MGG66" s="146"/>
      <c r="MGH66" s="146"/>
      <c r="MGI66" s="146"/>
      <c r="MGJ66" s="146"/>
      <c r="MGK66" s="146"/>
      <c r="MGL66" s="146"/>
      <c r="MGM66" s="146"/>
      <c r="MGN66" s="146"/>
      <c r="MGO66" s="146"/>
      <c r="MGP66" s="146"/>
      <c r="MGQ66" s="146"/>
      <c r="MGR66" s="146"/>
      <c r="MGS66" s="146"/>
      <c r="MGT66" s="146"/>
      <c r="MGU66" s="146"/>
      <c r="MGV66" s="146"/>
      <c r="MGW66" s="146"/>
      <c r="MGX66" s="146"/>
      <c r="MGY66" s="146"/>
      <c r="MGZ66" s="146"/>
      <c r="MHA66" s="146"/>
      <c r="MHB66" s="146"/>
      <c r="MHC66" s="146"/>
      <c r="MHD66" s="146"/>
      <c r="MHE66" s="146"/>
      <c r="MHF66" s="146"/>
      <c r="MHG66" s="146"/>
      <c r="MHH66" s="146"/>
      <c r="MHI66" s="146"/>
      <c r="MHJ66" s="146"/>
      <c r="MHK66" s="146"/>
      <c r="MHL66" s="146"/>
      <c r="MHM66" s="146"/>
      <c r="MHN66" s="146"/>
      <c r="MHO66" s="146"/>
      <c r="MHP66" s="146"/>
      <c r="MHQ66" s="146"/>
      <c r="MHR66" s="146"/>
      <c r="MHS66" s="146"/>
      <c r="MHT66" s="146"/>
      <c r="MHU66" s="146"/>
      <c r="MHV66" s="146"/>
      <c r="MHW66" s="146"/>
      <c r="MHX66" s="146"/>
      <c r="MHY66" s="146"/>
      <c r="MHZ66" s="146"/>
      <c r="MIA66" s="146"/>
      <c r="MIB66" s="146"/>
      <c r="MIC66" s="146"/>
      <c r="MID66" s="146"/>
      <c r="MIE66" s="146"/>
      <c r="MIF66" s="146"/>
      <c r="MIG66" s="146"/>
      <c r="MIH66" s="146"/>
      <c r="MII66" s="146"/>
      <c r="MIJ66" s="146"/>
      <c r="MIK66" s="146"/>
      <c r="MIL66" s="146"/>
      <c r="MIM66" s="146"/>
      <c r="MIN66" s="146"/>
      <c r="MIO66" s="146"/>
      <c r="MIP66" s="146"/>
      <c r="MIQ66" s="146"/>
      <c r="MIR66" s="146"/>
      <c r="MIS66" s="146"/>
      <c r="MIT66" s="146"/>
      <c r="MIU66" s="146"/>
      <c r="MIV66" s="146"/>
      <c r="MIW66" s="146"/>
      <c r="MIX66" s="146"/>
      <c r="MIY66" s="146"/>
      <c r="MIZ66" s="146"/>
      <c r="MJA66" s="146"/>
      <c r="MJB66" s="146"/>
      <c r="MJC66" s="146"/>
      <c r="MJD66" s="146"/>
      <c r="MJE66" s="146"/>
      <c r="MJF66" s="146"/>
      <c r="MJG66" s="146"/>
      <c r="MJH66" s="146"/>
      <c r="MJI66" s="146"/>
      <c r="MJJ66" s="146"/>
      <c r="MJK66" s="146"/>
      <c r="MJL66" s="146"/>
      <c r="MJM66" s="146"/>
      <c r="MJN66" s="146"/>
      <c r="MJO66" s="146"/>
      <c r="MJP66" s="146"/>
      <c r="MJQ66" s="146"/>
      <c r="MJR66" s="146"/>
      <c r="MJS66" s="146"/>
      <c r="MJT66" s="146"/>
      <c r="MJU66" s="146"/>
      <c r="MJV66" s="146"/>
      <c r="MJW66" s="146"/>
      <c r="MJX66" s="146"/>
      <c r="MJY66" s="146"/>
      <c r="MJZ66" s="146"/>
      <c r="MKA66" s="146"/>
      <c r="MKB66" s="146"/>
      <c r="MKC66" s="146"/>
      <c r="MKD66" s="146"/>
      <c r="MKE66" s="146"/>
      <c r="MKF66" s="146"/>
      <c r="MKG66" s="146"/>
      <c r="MKH66" s="146"/>
      <c r="MKI66" s="146"/>
      <c r="MKJ66" s="146"/>
      <c r="MKK66" s="146"/>
      <c r="MKL66" s="146"/>
      <c r="MKM66" s="146"/>
      <c r="MKN66" s="146"/>
      <c r="MKO66" s="146"/>
      <c r="MKP66" s="146"/>
      <c r="MKQ66" s="146"/>
      <c r="MKR66" s="146"/>
      <c r="MKS66" s="146"/>
      <c r="MKT66" s="146"/>
      <c r="MKU66" s="146"/>
      <c r="MKV66" s="146"/>
      <c r="MKW66" s="146"/>
      <c r="MKX66" s="146"/>
      <c r="MKY66" s="146"/>
      <c r="MKZ66" s="146"/>
      <c r="MLA66" s="146"/>
      <c r="MLB66" s="146"/>
      <c r="MLC66" s="146"/>
      <c r="MLD66" s="146"/>
      <c r="MLE66" s="146"/>
      <c r="MLF66" s="146"/>
      <c r="MLG66" s="146"/>
      <c r="MLH66" s="146"/>
      <c r="MLI66" s="146"/>
      <c r="MLJ66" s="146"/>
      <c r="MLK66" s="146"/>
      <c r="MLL66" s="146"/>
      <c r="MLM66" s="146"/>
      <c r="MLN66" s="146"/>
      <c r="MLO66" s="146"/>
      <c r="MLP66" s="146"/>
      <c r="MLQ66" s="146"/>
      <c r="MLR66" s="146"/>
      <c r="MLS66" s="146"/>
      <c r="MLT66" s="146"/>
      <c r="MLU66" s="146"/>
      <c r="MLV66" s="146"/>
      <c r="MLW66" s="146"/>
      <c r="MLX66" s="146"/>
      <c r="MLY66" s="146"/>
      <c r="MLZ66" s="146"/>
      <c r="MMA66" s="146"/>
      <c r="MMB66" s="146"/>
      <c r="MMC66" s="146"/>
      <c r="MMD66" s="146"/>
      <c r="MME66" s="146"/>
      <c r="MMF66" s="146"/>
      <c r="MMG66" s="146"/>
      <c r="MMH66" s="146"/>
      <c r="MMI66" s="146"/>
      <c r="MMJ66" s="146"/>
      <c r="MMK66" s="146"/>
      <c r="MML66" s="146"/>
      <c r="MMM66" s="146"/>
      <c r="MMN66" s="146"/>
      <c r="MMO66" s="146"/>
      <c r="MMP66" s="146"/>
      <c r="MMQ66" s="146"/>
      <c r="MMR66" s="146"/>
      <c r="MMS66" s="146"/>
      <c r="MMT66" s="146"/>
      <c r="MMU66" s="146"/>
      <c r="MMV66" s="146"/>
      <c r="MMW66" s="146"/>
      <c r="MMX66" s="146"/>
      <c r="MMY66" s="146"/>
      <c r="MMZ66" s="146"/>
      <c r="MNA66" s="146"/>
      <c r="MNB66" s="146"/>
      <c r="MNC66" s="146"/>
      <c r="MND66" s="146"/>
      <c r="MNE66" s="146"/>
      <c r="MNF66" s="146"/>
      <c r="MNG66" s="146"/>
      <c r="MNH66" s="146"/>
      <c r="MNI66" s="146"/>
      <c r="MNJ66" s="146"/>
      <c r="MNK66" s="146"/>
      <c r="MNL66" s="146"/>
      <c r="MNM66" s="146"/>
      <c r="MNN66" s="146"/>
      <c r="MNO66" s="146"/>
      <c r="MNP66" s="146"/>
      <c r="MNQ66" s="146"/>
      <c r="MNR66" s="146"/>
      <c r="MNS66" s="146"/>
      <c r="MNT66" s="146"/>
      <c r="MNU66" s="146"/>
      <c r="MNV66" s="146"/>
      <c r="MNW66" s="146"/>
      <c r="MNX66" s="146"/>
      <c r="MNY66" s="146"/>
      <c r="MNZ66" s="146"/>
      <c r="MOA66" s="146"/>
      <c r="MOB66" s="146"/>
      <c r="MOC66" s="146"/>
      <c r="MOD66" s="146"/>
      <c r="MOE66" s="146"/>
      <c r="MOF66" s="146"/>
      <c r="MOG66" s="146"/>
      <c r="MOH66" s="146"/>
      <c r="MOI66" s="146"/>
      <c r="MOJ66" s="146"/>
      <c r="MOK66" s="146"/>
      <c r="MOL66" s="146"/>
      <c r="MOM66" s="146"/>
      <c r="MON66" s="146"/>
      <c r="MOO66" s="146"/>
      <c r="MOP66" s="146"/>
      <c r="MOQ66" s="146"/>
      <c r="MOR66" s="146"/>
      <c r="MOS66" s="146"/>
      <c r="MOT66" s="146"/>
      <c r="MOU66" s="146"/>
      <c r="MOV66" s="146"/>
      <c r="MOW66" s="146"/>
      <c r="MOX66" s="146"/>
      <c r="MOY66" s="146"/>
      <c r="MOZ66" s="146"/>
      <c r="MPA66" s="146"/>
      <c r="MPB66" s="146"/>
      <c r="MPC66" s="146"/>
      <c r="MPD66" s="146"/>
      <c r="MPE66" s="146"/>
      <c r="MPF66" s="146"/>
      <c r="MPG66" s="146"/>
      <c r="MPH66" s="146"/>
      <c r="MPI66" s="146"/>
      <c r="MPJ66" s="146"/>
      <c r="MPK66" s="146"/>
      <c r="MPL66" s="146"/>
      <c r="MPM66" s="146"/>
      <c r="MPN66" s="146"/>
      <c r="MPO66" s="146"/>
      <c r="MPP66" s="146"/>
      <c r="MPQ66" s="146"/>
      <c r="MPR66" s="146"/>
      <c r="MPS66" s="146"/>
      <c r="MPT66" s="146"/>
      <c r="MPU66" s="146"/>
      <c r="MPV66" s="146"/>
      <c r="MPW66" s="146"/>
      <c r="MPX66" s="146"/>
      <c r="MPY66" s="146"/>
      <c r="MPZ66" s="146"/>
      <c r="MQA66" s="146"/>
      <c r="MQB66" s="146"/>
      <c r="MQC66" s="146"/>
      <c r="MQD66" s="146"/>
      <c r="MQE66" s="146"/>
      <c r="MQF66" s="146"/>
      <c r="MQG66" s="146"/>
      <c r="MQH66" s="146"/>
      <c r="MQI66" s="146"/>
      <c r="MQJ66" s="146"/>
      <c r="MQK66" s="146"/>
      <c r="MQL66" s="146"/>
      <c r="MQM66" s="146"/>
      <c r="MQN66" s="146"/>
      <c r="MQO66" s="146"/>
      <c r="MQP66" s="146"/>
      <c r="MQQ66" s="146"/>
      <c r="MQR66" s="146"/>
      <c r="MQS66" s="146"/>
      <c r="MQT66" s="146"/>
      <c r="MQU66" s="146"/>
      <c r="MQV66" s="146"/>
      <c r="MQW66" s="146"/>
      <c r="MQX66" s="146"/>
      <c r="MQY66" s="146"/>
      <c r="MQZ66" s="146"/>
      <c r="MRA66" s="146"/>
      <c r="MRB66" s="146"/>
      <c r="MRC66" s="146"/>
      <c r="MRD66" s="146"/>
      <c r="MRE66" s="146"/>
      <c r="MRF66" s="146"/>
      <c r="MRG66" s="146"/>
      <c r="MRH66" s="146"/>
      <c r="MRI66" s="146"/>
      <c r="MRJ66" s="146"/>
      <c r="MRK66" s="146"/>
      <c r="MRL66" s="146"/>
      <c r="MRM66" s="146"/>
      <c r="MRN66" s="146"/>
      <c r="MRO66" s="146"/>
      <c r="MRP66" s="146"/>
      <c r="MRQ66" s="146"/>
      <c r="MRR66" s="146"/>
      <c r="MRS66" s="146"/>
      <c r="MRT66" s="146"/>
      <c r="MRU66" s="146"/>
      <c r="MRV66" s="146"/>
      <c r="MRW66" s="146"/>
      <c r="MRX66" s="146"/>
      <c r="MRY66" s="146"/>
      <c r="MRZ66" s="146"/>
      <c r="MSA66" s="146"/>
      <c r="MSB66" s="146"/>
      <c r="MSC66" s="146"/>
      <c r="MSD66" s="146"/>
      <c r="MSE66" s="146"/>
      <c r="MSF66" s="146"/>
      <c r="MSG66" s="146"/>
      <c r="MSH66" s="146"/>
      <c r="MSI66" s="146"/>
      <c r="MSJ66" s="146"/>
      <c r="MSK66" s="146"/>
      <c r="MSL66" s="146"/>
      <c r="MSM66" s="146"/>
      <c r="MSN66" s="146"/>
      <c r="MSO66" s="146"/>
      <c r="MSP66" s="146"/>
      <c r="MSQ66" s="146"/>
      <c r="MSR66" s="146"/>
      <c r="MSS66" s="146"/>
      <c r="MST66" s="146"/>
      <c r="MSU66" s="146"/>
      <c r="MSV66" s="146"/>
      <c r="MSW66" s="146"/>
      <c r="MSX66" s="146"/>
      <c r="MSY66" s="146"/>
      <c r="MSZ66" s="146"/>
      <c r="MTA66" s="146"/>
      <c r="MTB66" s="146"/>
      <c r="MTC66" s="146"/>
      <c r="MTD66" s="146"/>
      <c r="MTE66" s="146"/>
      <c r="MTF66" s="146"/>
      <c r="MTG66" s="146"/>
      <c r="MTH66" s="146"/>
      <c r="MTI66" s="146"/>
      <c r="MTJ66" s="146"/>
      <c r="MTK66" s="146"/>
      <c r="MTL66" s="146"/>
      <c r="MTM66" s="146"/>
      <c r="MTN66" s="146"/>
      <c r="MTO66" s="146"/>
      <c r="MTP66" s="146"/>
      <c r="MTQ66" s="146"/>
      <c r="MTR66" s="146"/>
      <c r="MTS66" s="146"/>
      <c r="MTT66" s="146"/>
      <c r="MTU66" s="146"/>
      <c r="MTV66" s="146"/>
      <c r="MTW66" s="146"/>
      <c r="MTX66" s="146"/>
      <c r="MTY66" s="146"/>
      <c r="MTZ66" s="146"/>
      <c r="MUA66" s="146"/>
      <c r="MUB66" s="146"/>
      <c r="MUC66" s="146"/>
      <c r="MUD66" s="146"/>
      <c r="MUE66" s="146"/>
      <c r="MUF66" s="146"/>
      <c r="MUG66" s="146"/>
      <c r="MUH66" s="146"/>
      <c r="MUI66" s="146"/>
      <c r="MUJ66" s="146"/>
      <c r="MUK66" s="146"/>
      <c r="MUL66" s="146"/>
      <c r="MUM66" s="146"/>
      <c r="MUN66" s="146"/>
      <c r="MUO66" s="146"/>
      <c r="MUP66" s="146"/>
      <c r="MUQ66" s="146"/>
      <c r="MUR66" s="146"/>
      <c r="MUS66" s="146"/>
      <c r="MUT66" s="146"/>
      <c r="MUU66" s="146"/>
      <c r="MUV66" s="146"/>
      <c r="MUW66" s="146"/>
      <c r="MUX66" s="146"/>
      <c r="MUY66" s="146"/>
      <c r="MUZ66" s="146"/>
      <c r="MVA66" s="146"/>
      <c r="MVB66" s="146"/>
      <c r="MVC66" s="146"/>
      <c r="MVD66" s="146"/>
      <c r="MVE66" s="146"/>
      <c r="MVF66" s="146"/>
      <c r="MVG66" s="146"/>
      <c r="MVH66" s="146"/>
      <c r="MVI66" s="146"/>
      <c r="MVJ66" s="146"/>
      <c r="MVK66" s="146"/>
      <c r="MVL66" s="146"/>
      <c r="MVM66" s="146"/>
      <c r="MVN66" s="146"/>
      <c r="MVO66" s="146"/>
      <c r="MVP66" s="146"/>
      <c r="MVQ66" s="146"/>
      <c r="MVR66" s="146"/>
      <c r="MVS66" s="146"/>
      <c r="MVT66" s="146"/>
      <c r="MVU66" s="146"/>
      <c r="MVV66" s="146"/>
      <c r="MVW66" s="146"/>
      <c r="MVX66" s="146"/>
      <c r="MVY66" s="146"/>
      <c r="MVZ66" s="146"/>
      <c r="MWA66" s="146"/>
      <c r="MWB66" s="146"/>
      <c r="MWC66" s="146"/>
      <c r="MWD66" s="146"/>
      <c r="MWE66" s="146"/>
      <c r="MWF66" s="146"/>
      <c r="MWG66" s="146"/>
      <c r="MWH66" s="146"/>
      <c r="MWI66" s="146"/>
      <c r="MWJ66" s="146"/>
      <c r="MWK66" s="146"/>
      <c r="MWL66" s="146"/>
      <c r="MWM66" s="146"/>
      <c r="MWN66" s="146"/>
      <c r="MWO66" s="146"/>
      <c r="MWP66" s="146"/>
      <c r="MWQ66" s="146"/>
      <c r="MWR66" s="146"/>
      <c r="MWS66" s="146"/>
      <c r="MWT66" s="146"/>
      <c r="MWU66" s="146"/>
      <c r="MWV66" s="146"/>
      <c r="MWW66" s="146"/>
      <c r="MWX66" s="146"/>
      <c r="MWY66" s="146"/>
      <c r="MWZ66" s="146"/>
      <c r="MXA66" s="146"/>
      <c r="MXB66" s="146"/>
      <c r="MXC66" s="146"/>
      <c r="MXD66" s="146"/>
      <c r="MXE66" s="146"/>
      <c r="MXF66" s="146"/>
      <c r="MXG66" s="146"/>
      <c r="MXH66" s="146"/>
      <c r="MXI66" s="146"/>
      <c r="MXJ66" s="146"/>
      <c r="MXK66" s="146"/>
      <c r="MXL66" s="146"/>
      <c r="MXM66" s="146"/>
      <c r="MXN66" s="146"/>
      <c r="MXO66" s="146"/>
      <c r="MXP66" s="146"/>
      <c r="MXQ66" s="146"/>
      <c r="MXR66" s="146"/>
      <c r="MXS66" s="146"/>
      <c r="MXT66" s="146"/>
      <c r="MXU66" s="146"/>
      <c r="MXV66" s="146"/>
      <c r="MXW66" s="146"/>
      <c r="MXX66" s="146"/>
      <c r="MXY66" s="146"/>
      <c r="MXZ66" s="146"/>
      <c r="MYA66" s="146"/>
      <c r="MYB66" s="146"/>
      <c r="MYC66" s="146"/>
      <c r="MYD66" s="146"/>
      <c r="MYE66" s="146"/>
      <c r="MYF66" s="146"/>
      <c r="MYG66" s="146"/>
      <c r="MYH66" s="146"/>
      <c r="MYI66" s="146"/>
      <c r="MYJ66" s="146"/>
      <c r="MYK66" s="146"/>
      <c r="MYL66" s="146"/>
      <c r="MYM66" s="146"/>
      <c r="MYN66" s="146"/>
      <c r="MYO66" s="146"/>
      <c r="MYP66" s="146"/>
      <c r="MYQ66" s="146"/>
      <c r="MYR66" s="146"/>
      <c r="MYS66" s="146"/>
      <c r="MYT66" s="146"/>
      <c r="MYU66" s="146"/>
      <c r="MYV66" s="146"/>
      <c r="MYW66" s="146"/>
      <c r="MYX66" s="146"/>
      <c r="MYY66" s="146"/>
      <c r="MYZ66" s="146"/>
      <c r="MZA66" s="146"/>
      <c r="MZB66" s="146"/>
      <c r="MZC66" s="146"/>
      <c r="MZD66" s="146"/>
      <c r="MZE66" s="146"/>
      <c r="MZF66" s="146"/>
      <c r="MZG66" s="146"/>
      <c r="MZH66" s="146"/>
      <c r="MZI66" s="146"/>
      <c r="MZJ66" s="146"/>
      <c r="MZK66" s="146"/>
      <c r="MZL66" s="146"/>
      <c r="MZM66" s="146"/>
      <c r="MZN66" s="146"/>
      <c r="MZO66" s="146"/>
      <c r="MZP66" s="146"/>
      <c r="MZQ66" s="146"/>
      <c r="MZR66" s="146"/>
      <c r="MZS66" s="146"/>
      <c r="MZT66" s="146"/>
      <c r="MZU66" s="146"/>
      <c r="MZV66" s="146"/>
      <c r="MZW66" s="146"/>
      <c r="MZX66" s="146"/>
      <c r="MZY66" s="146"/>
      <c r="MZZ66" s="146"/>
      <c r="NAA66" s="146"/>
      <c r="NAB66" s="146"/>
      <c r="NAC66" s="146"/>
      <c r="NAD66" s="146"/>
      <c r="NAE66" s="146"/>
      <c r="NAF66" s="146"/>
      <c r="NAG66" s="146"/>
      <c r="NAH66" s="146"/>
      <c r="NAI66" s="146"/>
      <c r="NAJ66" s="146"/>
      <c r="NAK66" s="146"/>
      <c r="NAL66" s="146"/>
      <c r="NAM66" s="146"/>
      <c r="NAN66" s="146"/>
      <c r="NAO66" s="146"/>
      <c r="NAP66" s="146"/>
      <c r="NAQ66" s="146"/>
      <c r="NAR66" s="146"/>
      <c r="NAS66" s="146"/>
      <c r="NAT66" s="146"/>
      <c r="NAU66" s="146"/>
      <c r="NAV66" s="146"/>
      <c r="NAW66" s="146"/>
      <c r="NAX66" s="146"/>
      <c r="NAY66" s="146"/>
      <c r="NAZ66" s="146"/>
      <c r="NBA66" s="146"/>
      <c r="NBB66" s="146"/>
      <c r="NBC66" s="146"/>
      <c r="NBD66" s="146"/>
      <c r="NBE66" s="146"/>
      <c r="NBF66" s="146"/>
      <c r="NBG66" s="146"/>
      <c r="NBH66" s="146"/>
      <c r="NBI66" s="146"/>
      <c r="NBJ66" s="146"/>
      <c r="NBK66" s="146"/>
      <c r="NBL66" s="146"/>
      <c r="NBM66" s="146"/>
      <c r="NBN66" s="146"/>
      <c r="NBO66" s="146"/>
      <c r="NBP66" s="146"/>
      <c r="NBQ66" s="146"/>
      <c r="NBR66" s="146"/>
      <c r="NBS66" s="146"/>
      <c r="NBT66" s="146"/>
      <c r="NBU66" s="146"/>
      <c r="NBV66" s="146"/>
      <c r="NBW66" s="146"/>
      <c r="NBX66" s="146"/>
      <c r="NBY66" s="146"/>
      <c r="NBZ66" s="146"/>
      <c r="NCA66" s="146"/>
      <c r="NCB66" s="146"/>
      <c r="NCC66" s="146"/>
      <c r="NCD66" s="146"/>
      <c r="NCE66" s="146"/>
      <c r="NCF66" s="146"/>
      <c r="NCG66" s="146"/>
      <c r="NCH66" s="146"/>
      <c r="NCI66" s="146"/>
      <c r="NCJ66" s="146"/>
      <c r="NCK66" s="146"/>
      <c r="NCL66" s="146"/>
      <c r="NCM66" s="146"/>
      <c r="NCN66" s="146"/>
      <c r="NCO66" s="146"/>
      <c r="NCP66" s="146"/>
      <c r="NCQ66" s="146"/>
      <c r="NCR66" s="146"/>
      <c r="NCS66" s="146"/>
      <c r="NCT66" s="146"/>
      <c r="NCU66" s="146"/>
      <c r="NCV66" s="146"/>
      <c r="NCW66" s="146"/>
      <c r="NCX66" s="146"/>
      <c r="NCY66" s="146"/>
      <c r="NCZ66" s="146"/>
      <c r="NDA66" s="146"/>
      <c r="NDB66" s="146"/>
      <c r="NDC66" s="146"/>
      <c r="NDD66" s="146"/>
      <c r="NDE66" s="146"/>
      <c r="NDF66" s="146"/>
      <c r="NDG66" s="146"/>
      <c r="NDH66" s="146"/>
      <c r="NDI66" s="146"/>
      <c r="NDJ66" s="146"/>
      <c r="NDK66" s="146"/>
      <c r="NDL66" s="146"/>
      <c r="NDM66" s="146"/>
      <c r="NDN66" s="146"/>
      <c r="NDO66" s="146"/>
      <c r="NDP66" s="146"/>
      <c r="NDQ66" s="146"/>
      <c r="NDR66" s="146"/>
      <c r="NDS66" s="146"/>
      <c r="NDT66" s="146"/>
      <c r="NDU66" s="146"/>
      <c r="NDV66" s="146"/>
      <c r="NDW66" s="146"/>
      <c r="NDX66" s="146"/>
      <c r="NDY66" s="146"/>
      <c r="NDZ66" s="146"/>
      <c r="NEA66" s="146"/>
      <c r="NEB66" s="146"/>
      <c r="NEC66" s="146"/>
      <c r="NED66" s="146"/>
      <c r="NEE66" s="146"/>
      <c r="NEF66" s="146"/>
      <c r="NEG66" s="146"/>
      <c r="NEH66" s="146"/>
      <c r="NEI66" s="146"/>
      <c r="NEJ66" s="146"/>
      <c r="NEK66" s="146"/>
      <c r="NEL66" s="146"/>
      <c r="NEM66" s="146"/>
      <c r="NEN66" s="146"/>
      <c r="NEO66" s="146"/>
      <c r="NEP66" s="146"/>
      <c r="NEQ66" s="146"/>
      <c r="NER66" s="146"/>
      <c r="NES66" s="146"/>
      <c r="NET66" s="146"/>
      <c r="NEU66" s="146"/>
      <c r="NEV66" s="146"/>
      <c r="NEW66" s="146"/>
      <c r="NEX66" s="146"/>
      <c r="NEY66" s="146"/>
      <c r="NEZ66" s="146"/>
      <c r="NFA66" s="146"/>
      <c r="NFB66" s="146"/>
      <c r="NFC66" s="146"/>
      <c r="NFD66" s="146"/>
      <c r="NFE66" s="146"/>
      <c r="NFF66" s="146"/>
      <c r="NFG66" s="146"/>
      <c r="NFH66" s="146"/>
      <c r="NFI66" s="146"/>
      <c r="NFJ66" s="146"/>
      <c r="NFK66" s="146"/>
      <c r="NFL66" s="146"/>
      <c r="NFM66" s="146"/>
      <c r="NFN66" s="146"/>
      <c r="NFO66" s="146"/>
      <c r="NFP66" s="146"/>
      <c r="NFQ66" s="146"/>
      <c r="NFR66" s="146"/>
      <c r="NFS66" s="146"/>
      <c r="NFT66" s="146"/>
      <c r="NFU66" s="146"/>
      <c r="NFV66" s="146"/>
      <c r="NFW66" s="146"/>
      <c r="NFX66" s="146"/>
      <c r="NFY66" s="146"/>
      <c r="NFZ66" s="146"/>
      <c r="NGA66" s="146"/>
      <c r="NGB66" s="146"/>
      <c r="NGC66" s="146"/>
      <c r="NGD66" s="146"/>
      <c r="NGE66" s="146"/>
      <c r="NGF66" s="146"/>
      <c r="NGG66" s="146"/>
      <c r="NGH66" s="146"/>
      <c r="NGI66" s="146"/>
      <c r="NGJ66" s="146"/>
      <c r="NGK66" s="146"/>
      <c r="NGL66" s="146"/>
      <c r="NGM66" s="146"/>
      <c r="NGN66" s="146"/>
      <c r="NGO66" s="146"/>
      <c r="NGP66" s="146"/>
      <c r="NGQ66" s="146"/>
      <c r="NGR66" s="146"/>
      <c r="NGS66" s="146"/>
      <c r="NGT66" s="146"/>
      <c r="NGU66" s="146"/>
      <c r="NGV66" s="146"/>
      <c r="NGW66" s="146"/>
      <c r="NGX66" s="146"/>
      <c r="NGY66" s="146"/>
      <c r="NGZ66" s="146"/>
      <c r="NHA66" s="146"/>
      <c r="NHB66" s="146"/>
      <c r="NHC66" s="146"/>
      <c r="NHD66" s="146"/>
      <c r="NHE66" s="146"/>
      <c r="NHF66" s="146"/>
      <c r="NHG66" s="146"/>
      <c r="NHH66" s="146"/>
      <c r="NHI66" s="146"/>
      <c r="NHJ66" s="146"/>
      <c r="NHK66" s="146"/>
      <c r="NHL66" s="146"/>
      <c r="NHM66" s="146"/>
      <c r="NHN66" s="146"/>
      <c r="NHO66" s="146"/>
      <c r="NHP66" s="146"/>
      <c r="NHQ66" s="146"/>
      <c r="NHR66" s="146"/>
      <c r="NHS66" s="146"/>
      <c r="NHT66" s="146"/>
      <c r="NHU66" s="146"/>
      <c r="NHV66" s="146"/>
      <c r="NHW66" s="146"/>
      <c r="NHX66" s="146"/>
      <c r="NHY66" s="146"/>
      <c r="NHZ66" s="146"/>
      <c r="NIA66" s="146"/>
      <c r="NIB66" s="146"/>
      <c r="NIC66" s="146"/>
      <c r="NID66" s="146"/>
      <c r="NIE66" s="146"/>
      <c r="NIF66" s="146"/>
      <c r="NIG66" s="146"/>
      <c r="NIH66" s="146"/>
      <c r="NII66" s="146"/>
      <c r="NIJ66" s="146"/>
      <c r="NIK66" s="146"/>
      <c r="NIL66" s="146"/>
      <c r="NIM66" s="146"/>
      <c r="NIN66" s="146"/>
      <c r="NIO66" s="146"/>
      <c r="NIP66" s="146"/>
      <c r="NIQ66" s="146"/>
      <c r="NIR66" s="146"/>
      <c r="NIS66" s="146"/>
      <c r="NIT66" s="146"/>
      <c r="NIU66" s="146"/>
      <c r="NIV66" s="146"/>
      <c r="NIW66" s="146"/>
      <c r="NIX66" s="146"/>
      <c r="NIY66" s="146"/>
      <c r="NIZ66" s="146"/>
      <c r="NJA66" s="146"/>
      <c r="NJB66" s="146"/>
      <c r="NJC66" s="146"/>
      <c r="NJD66" s="146"/>
      <c r="NJE66" s="146"/>
      <c r="NJF66" s="146"/>
      <c r="NJG66" s="146"/>
      <c r="NJH66" s="146"/>
      <c r="NJI66" s="146"/>
      <c r="NJJ66" s="146"/>
      <c r="NJK66" s="146"/>
      <c r="NJL66" s="146"/>
      <c r="NJM66" s="146"/>
      <c r="NJN66" s="146"/>
      <c r="NJO66" s="146"/>
      <c r="NJP66" s="146"/>
      <c r="NJQ66" s="146"/>
      <c r="NJR66" s="146"/>
      <c r="NJS66" s="146"/>
      <c r="NJT66" s="146"/>
      <c r="NJU66" s="146"/>
      <c r="NJV66" s="146"/>
      <c r="NJW66" s="146"/>
      <c r="NJX66" s="146"/>
      <c r="NJY66" s="146"/>
      <c r="NJZ66" s="146"/>
      <c r="NKA66" s="146"/>
      <c r="NKB66" s="146"/>
      <c r="NKC66" s="146"/>
      <c r="NKD66" s="146"/>
      <c r="NKE66" s="146"/>
      <c r="NKF66" s="146"/>
      <c r="NKG66" s="146"/>
      <c r="NKH66" s="146"/>
      <c r="NKI66" s="146"/>
      <c r="NKJ66" s="146"/>
      <c r="NKK66" s="146"/>
      <c r="NKL66" s="146"/>
      <c r="NKM66" s="146"/>
      <c r="NKN66" s="146"/>
      <c r="NKO66" s="146"/>
      <c r="NKP66" s="146"/>
      <c r="NKQ66" s="146"/>
      <c r="NKR66" s="146"/>
      <c r="NKS66" s="146"/>
      <c r="NKT66" s="146"/>
      <c r="NKU66" s="146"/>
      <c r="NKV66" s="146"/>
      <c r="NKW66" s="146"/>
      <c r="NKX66" s="146"/>
      <c r="NKY66" s="146"/>
      <c r="NKZ66" s="146"/>
      <c r="NLA66" s="146"/>
      <c r="NLB66" s="146"/>
      <c r="NLC66" s="146"/>
      <c r="NLD66" s="146"/>
      <c r="NLE66" s="146"/>
      <c r="NLF66" s="146"/>
      <c r="NLG66" s="146"/>
      <c r="NLH66" s="146"/>
      <c r="NLI66" s="146"/>
      <c r="NLJ66" s="146"/>
      <c r="NLK66" s="146"/>
      <c r="NLL66" s="146"/>
      <c r="NLM66" s="146"/>
      <c r="NLN66" s="146"/>
      <c r="NLO66" s="146"/>
      <c r="NLP66" s="146"/>
      <c r="NLQ66" s="146"/>
      <c r="NLR66" s="146"/>
      <c r="NLS66" s="146"/>
      <c r="NLT66" s="146"/>
      <c r="NLU66" s="146"/>
      <c r="NLV66" s="146"/>
      <c r="NLW66" s="146"/>
      <c r="NLX66" s="146"/>
      <c r="NLY66" s="146"/>
      <c r="NLZ66" s="146"/>
      <c r="NMA66" s="146"/>
      <c r="NMB66" s="146"/>
      <c r="NMC66" s="146"/>
      <c r="NMD66" s="146"/>
      <c r="NME66" s="146"/>
      <c r="NMF66" s="146"/>
      <c r="NMG66" s="146"/>
      <c r="NMH66" s="146"/>
      <c r="NMI66" s="146"/>
      <c r="NMJ66" s="146"/>
      <c r="NMK66" s="146"/>
      <c r="NML66" s="146"/>
      <c r="NMM66" s="146"/>
      <c r="NMN66" s="146"/>
      <c r="NMO66" s="146"/>
      <c r="NMP66" s="146"/>
      <c r="NMQ66" s="146"/>
      <c r="NMR66" s="146"/>
      <c r="NMS66" s="146"/>
      <c r="NMT66" s="146"/>
      <c r="NMU66" s="146"/>
      <c r="NMV66" s="146"/>
      <c r="NMW66" s="146"/>
      <c r="NMX66" s="146"/>
      <c r="NMY66" s="146"/>
      <c r="NMZ66" s="146"/>
      <c r="NNA66" s="146"/>
      <c r="NNB66" s="146"/>
      <c r="NNC66" s="146"/>
      <c r="NND66" s="146"/>
      <c r="NNE66" s="146"/>
      <c r="NNF66" s="146"/>
      <c r="NNG66" s="146"/>
      <c r="NNH66" s="146"/>
      <c r="NNI66" s="146"/>
      <c r="NNJ66" s="146"/>
      <c r="NNK66" s="146"/>
      <c r="NNL66" s="146"/>
      <c r="NNM66" s="146"/>
      <c r="NNN66" s="146"/>
      <c r="NNO66" s="146"/>
      <c r="NNP66" s="146"/>
      <c r="NNQ66" s="146"/>
      <c r="NNR66" s="146"/>
      <c r="NNS66" s="146"/>
      <c r="NNT66" s="146"/>
      <c r="NNU66" s="146"/>
      <c r="NNV66" s="146"/>
      <c r="NNW66" s="146"/>
      <c r="NNX66" s="146"/>
      <c r="NNY66" s="146"/>
      <c r="NNZ66" s="146"/>
      <c r="NOA66" s="146"/>
      <c r="NOB66" s="146"/>
      <c r="NOC66" s="146"/>
      <c r="NOD66" s="146"/>
      <c r="NOE66" s="146"/>
      <c r="NOF66" s="146"/>
      <c r="NOG66" s="146"/>
      <c r="NOH66" s="146"/>
      <c r="NOI66" s="146"/>
      <c r="NOJ66" s="146"/>
      <c r="NOK66" s="146"/>
      <c r="NOL66" s="146"/>
      <c r="NOM66" s="146"/>
      <c r="NON66" s="146"/>
      <c r="NOO66" s="146"/>
      <c r="NOP66" s="146"/>
      <c r="NOQ66" s="146"/>
      <c r="NOR66" s="146"/>
      <c r="NOS66" s="146"/>
      <c r="NOT66" s="146"/>
      <c r="NOU66" s="146"/>
      <c r="NOV66" s="146"/>
      <c r="NOW66" s="146"/>
      <c r="NOX66" s="146"/>
      <c r="NOY66" s="146"/>
      <c r="NOZ66" s="146"/>
      <c r="NPA66" s="146"/>
      <c r="NPB66" s="146"/>
      <c r="NPC66" s="146"/>
      <c r="NPD66" s="146"/>
      <c r="NPE66" s="146"/>
      <c r="NPF66" s="146"/>
      <c r="NPG66" s="146"/>
      <c r="NPH66" s="146"/>
      <c r="NPI66" s="146"/>
      <c r="NPJ66" s="146"/>
      <c r="NPK66" s="146"/>
      <c r="NPL66" s="146"/>
      <c r="NPM66" s="146"/>
      <c r="NPN66" s="146"/>
      <c r="NPO66" s="146"/>
      <c r="NPP66" s="146"/>
      <c r="NPQ66" s="146"/>
      <c r="NPR66" s="146"/>
      <c r="NPS66" s="146"/>
      <c r="NPT66" s="146"/>
      <c r="NPU66" s="146"/>
      <c r="NPV66" s="146"/>
      <c r="NPW66" s="146"/>
      <c r="NPX66" s="146"/>
      <c r="NPY66" s="146"/>
      <c r="NPZ66" s="146"/>
      <c r="NQA66" s="146"/>
      <c r="NQB66" s="146"/>
      <c r="NQC66" s="146"/>
      <c r="NQD66" s="146"/>
      <c r="NQE66" s="146"/>
      <c r="NQF66" s="146"/>
      <c r="NQG66" s="146"/>
      <c r="NQH66" s="146"/>
      <c r="NQI66" s="146"/>
      <c r="NQJ66" s="146"/>
      <c r="NQK66" s="146"/>
      <c r="NQL66" s="146"/>
      <c r="NQM66" s="146"/>
      <c r="NQN66" s="146"/>
      <c r="NQO66" s="146"/>
      <c r="NQP66" s="146"/>
      <c r="NQQ66" s="146"/>
      <c r="NQR66" s="146"/>
      <c r="NQS66" s="146"/>
      <c r="NQT66" s="146"/>
      <c r="NQU66" s="146"/>
      <c r="NQV66" s="146"/>
      <c r="NQW66" s="146"/>
      <c r="NQX66" s="146"/>
      <c r="NQY66" s="146"/>
      <c r="NQZ66" s="146"/>
      <c r="NRA66" s="146"/>
      <c r="NRB66" s="146"/>
      <c r="NRC66" s="146"/>
      <c r="NRD66" s="146"/>
      <c r="NRE66" s="146"/>
      <c r="NRF66" s="146"/>
      <c r="NRG66" s="146"/>
      <c r="NRH66" s="146"/>
      <c r="NRI66" s="146"/>
      <c r="NRJ66" s="146"/>
      <c r="NRK66" s="146"/>
      <c r="NRL66" s="146"/>
      <c r="NRM66" s="146"/>
      <c r="NRN66" s="146"/>
      <c r="NRO66" s="146"/>
      <c r="NRP66" s="146"/>
      <c r="NRQ66" s="146"/>
      <c r="NRR66" s="146"/>
      <c r="NRS66" s="146"/>
      <c r="NRT66" s="146"/>
      <c r="NRU66" s="146"/>
      <c r="NRV66" s="146"/>
      <c r="NRW66" s="146"/>
      <c r="NRX66" s="146"/>
      <c r="NRY66" s="146"/>
      <c r="NRZ66" s="146"/>
      <c r="NSA66" s="146"/>
      <c r="NSB66" s="146"/>
      <c r="NSC66" s="146"/>
      <c r="NSD66" s="146"/>
      <c r="NSE66" s="146"/>
      <c r="NSF66" s="146"/>
      <c r="NSG66" s="146"/>
      <c r="NSH66" s="146"/>
      <c r="NSI66" s="146"/>
      <c r="NSJ66" s="146"/>
      <c r="NSK66" s="146"/>
      <c r="NSL66" s="146"/>
      <c r="NSM66" s="146"/>
      <c r="NSN66" s="146"/>
      <c r="NSO66" s="146"/>
      <c r="NSP66" s="146"/>
      <c r="NSQ66" s="146"/>
      <c r="NSR66" s="146"/>
      <c r="NSS66" s="146"/>
      <c r="NST66" s="146"/>
      <c r="NSU66" s="146"/>
      <c r="NSV66" s="146"/>
      <c r="NSW66" s="146"/>
      <c r="NSX66" s="146"/>
      <c r="NSY66" s="146"/>
      <c r="NSZ66" s="146"/>
      <c r="NTA66" s="146"/>
      <c r="NTB66" s="146"/>
      <c r="NTC66" s="146"/>
      <c r="NTD66" s="146"/>
      <c r="NTE66" s="146"/>
      <c r="NTF66" s="146"/>
      <c r="NTG66" s="146"/>
      <c r="NTH66" s="146"/>
      <c r="NTI66" s="146"/>
      <c r="NTJ66" s="146"/>
      <c r="NTK66" s="146"/>
      <c r="NTL66" s="146"/>
      <c r="NTM66" s="146"/>
      <c r="NTN66" s="146"/>
      <c r="NTO66" s="146"/>
      <c r="NTP66" s="146"/>
      <c r="NTQ66" s="146"/>
      <c r="NTR66" s="146"/>
      <c r="NTS66" s="146"/>
      <c r="NTT66" s="146"/>
      <c r="NTU66" s="146"/>
      <c r="NTV66" s="146"/>
      <c r="NTW66" s="146"/>
      <c r="NTX66" s="146"/>
      <c r="NTY66" s="146"/>
      <c r="NTZ66" s="146"/>
      <c r="NUA66" s="146"/>
      <c r="NUB66" s="146"/>
      <c r="NUC66" s="146"/>
      <c r="NUD66" s="146"/>
      <c r="NUE66" s="146"/>
      <c r="NUF66" s="146"/>
      <c r="NUG66" s="146"/>
      <c r="NUH66" s="146"/>
      <c r="NUI66" s="146"/>
      <c r="NUJ66" s="146"/>
      <c r="NUK66" s="146"/>
      <c r="NUL66" s="146"/>
      <c r="NUM66" s="146"/>
      <c r="NUN66" s="146"/>
      <c r="NUO66" s="146"/>
      <c r="NUP66" s="146"/>
      <c r="NUQ66" s="146"/>
      <c r="NUR66" s="146"/>
      <c r="NUS66" s="146"/>
      <c r="NUT66" s="146"/>
      <c r="NUU66" s="146"/>
      <c r="NUV66" s="146"/>
      <c r="NUW66" s="146"/>
      <c r="NUX66" s="146"/>
      <c r="NUY66" s="146"/>
      <c r="NUZ66" s="146"/>
      <c r="NVA66" s="146"/>
      <c r="NVB66" s="146"/>
      <c r="NVC66" s="146"/>
      <c r="NVD66" s="146"/>
      <c r="NVE66" s="146"/>
      <c r="NVF66" s="146"/>
      <c r="NVG66" s="146"/>
      <c r="NVH66" s="146"/>
      <c r="NVI66" s="146"/>
      <c r="NVJ66" s="146"/>
      <c r="NVK66" s="146"/>
      <c r="NVL66" s="146"/>
      <c r="NVM66" s="146"/>
      <c r="NVN66" s="146"/>
      <c r="NVO66" s="146"/>
      <c r="NVP66" s="146"/>
      <c r="NVQ66" s="146"/>
      <c r="NVR66" s="146"/>
      <c r="NVS66" s="146"/>
      <c r="NVT66" s="146"/>
      <c r="NVU66" s="146"/>
      <c r="NVV66" s="146"/>
      <c r="NVW66" s="146"/>
      <c r="NVX66" s="146"/>
      <c r="NVY66" s="146"/>
      <c r="NVZ66" s="146"/>
      <c r="NWA66" s="146"/>
      <c r="NWB66" s="146"/>
      <c r="NWC66" s="146"/>
      <c r="NWD66" s="146"/>
      <c r="NWE66" s="146"/>
      <c r="NWF66" s="146"/>
      <c r="NWG66" s="146"/>
      <c r="NWH66" s="146"/>
      <c r="NWI66" s="146"/>
      <c r="NWJ66" s="146"/>
      <c r="NWK66" s="146"/>
      <c r="NWL66" s="146"/>
      <c r="NWM66" s="146"/>
      <c r="NWN66" s="146"/>
      <c r="NWO66" s="146"/>
      <c r="NWP66" s="146"/>
      <c r="NWQ66" s="146"/>
      <c r="NWR66" s="146"/>
      <c r="NWS66" s="146"/>
      <c r="NWT66" s="146"/>
      <c r="NWU66" s="146"/>
      <c r="NWV66" s="146"/>
      <c r="NWW66" s="146"/>
      <c r="NWX66" s="146"/>
      <c r="NWY66" s="146"/>
      <c r="NWZ66" s="146"/>
      <c r="NXA66" s="146"/>
      <c r="NXB66" s="146"/>
      <c r="NXC66" s="146"/>
      <c r="NXD66" s="146"/>
      <c r="NXE66" s="146"/>
      <c r="NXF66" s="146"/>
      <c r="NXG66" s="146"/>
      <c r="NXH66" s="146"/>
      <c r="NXI66" s="146"/>
      <c r="NXJ66" s="146"/>
      <c r="NXK66" s="146"/>
      <c r="NXL66" s="146"/>
      <c r="NXM66" s="146"/>
      <c r="NXN66" s="146"/>
      <c r="NXO66" s="146"/>
      <c r="NXP66" s="146"/>
      <c r="NXQ66" s="146"/>
      <c r="NXR66" s="146"/>
      <c r="NXS66" s="146"/>
      <c r="NXT66" s="146"/>
      <c r="NXU66" s="146"/>
      <c r="NXV66" s="146"/>
      <c r="NXW66" s="146"/>
      <c r="NXX66" s="146"/>
      <c r="NXY66" s="146"/>
      <c r="NXZ66" s="146"/>
      <c r="NYA66" s="146"/>
      <c r="NYB66" s="146"/>
      <c r="NYC66" s="146"/>
      <c r="NYD66" s="146"/>
      <c r="NYE66" s="146"/>
      <c r="NYF66" s="146"/>
      <c r="NYG66" s="146"/>
      <c r="NYH66" s="146"/>
      <c r="NYI66" s="146"/>
      <c r="NYJ66" s="146"/>
      <c r="NYK66" s="146"/>
      <c r="NYL66" s="146"/>
      <c r="NYM66" s="146"/>
      <c r="NYN66" s="146"/>
      <c r="NYO66" s="146"/>
      <c r="NYP66" s="146"/>
      <c r="NYQ66" s="146"/>
      <c r="NYR66" s="146"/>
      <c r="NYS66" s="146"/>
      <c r="NYT66" s="146"/>
      <c r="NYU66" s="146"/>
      <c r="NYV66" s="146"/>
      <c r="NYW66" s="146"/>
      <c r="NYX66" s="146"/>
      <c r="NYY66" s="146"/>
      <c r="NYZ66" s="146"/>
      <c r="NZA66" s="146"/>
      <c r="NZB66" s="146"/>
      <c r="NZC66" s="146"/>
      <c r="NZD66" s="146"/>
      <c r="NZE66" s="146"/>
      <c r="NZF66" s="146"/>
      <c r="NZG66" s="146"/>
      <c r="NZH66" s="146"/>
      <c r="NZI66" s="146"/>
      <c r="NZJ66" s="146"/>
      <c r="NZK66" s="146"/>
      <c r="NZL66" s="146"/>
      <c r="NZM66" s="146"/>
      <c r="NZN66" s="146"/>
      <c r="NZO66" s="146"/>
      <c r="NZP66" s="146"/>
      <c r="NZQ66" s="146"/>
      <c r="NZR66" s="146"/>
      <c r="NZS66" s="146"/>
      <c r="NZT66" s="146"/>
      <c r="NZU66" s="146"/>
      <c r="NZV66" s="146"/>
      <c r="NZW66" s="146"/>
      <c r="NZX66" s="146"/>
      <c r="NZY66" s="146"/>
      <c r="NZZ66" s="146"/>
      <c r="OAA66" s="146"/>
      <c r="OAB66" s="146"/>
      <c r="OAC66" s="146"/>
      <c r="OAD66" s="146"/>
      <c r="OAE66" s="146"/>
      <c r="OAF66" s="146"/>
      <c r="OAG66" s="146"/>
      <c r="OAH66" s="146"/>
      <c r="OAI66" s="146"/>
      <c r="OAJ66" s="146"/>
      <c r="OAK66" s="146"/>
      <c r="OAL66" s="146"/>
      <c r="OAM66" s="146"/>
      <c r="OAN66" s="146"/>
      <c r="OAO66" s="146"/>
      <c r="OAP66" s="146"/>
      <c r="OAQ66" s="146"/>
      <c r="OAR66" s="146"/>
      <c r="OAS66" s="146"/>
      <c r="OAT66" s="146"/>
      <c r="OAU66" s="146"/>
      <c r="OAV66" s="146"/>
      <c r="OAW66" s="146"/>
      <c r="OAX66" s="146"/>
      <c r="OAY66" s="146"/>
      <c r="OAZ66" s="146"/>
      <c r="OBA66" s="146"/>
      <c r="OBB66" s="146"/>
      <c r="OBC66" s="146"/>
      <c r="OBD66" s="146"/>
      <c r="OBE66" s="146"/>
      <c r="OBF66" s="146"/>
      <c r="OBG66" s="146"/>
      <c r="OBH66" s="146"/>
      <c r="OBI66" s="146"/>
      <c r="OBJ66" s="146"/>
      <c r="OBK66" s="146"/>
      <c r="OBL66" s="146"/>
      <c r="OBM66" s="146"/>
      <c r="OBN66" s="146"/>
      <c r="OBO66" s="146"/>
      <c r="OBP66" s="146"/>
      <c r="OBQ66" s="146"/>
      <c r="OBR66" s="146"/>
      <c r="OBS66" s="146"/>
      <c r="OBT66" s="146"/>
      <c r="OBU66" s="146"/>
      <c r="OBV66" s="146"/>
      <c r="OBW66" s="146"/>
      <c r="OBX66" s="146"/>
      <c r="OBY66" s="146"/>
      <c r="OBZ66" s="146"/>
      <c r="OCA66" s="146"/>
      <c r="OCB66" s="146"/>
      <c r="OCC66" s="146"/>
      <c r="OCD66" s="146"/>
      <c r="OCE66" s="146"/>
      <c r="OCF66" s="146"/>
      <c r="OCG66" s="146"/>
      <c r="OCH66" s="146"/>
      <c r="OCI66" s="146"/>
      <c r="OCJ66" s="146"/>
      <c r="OCK66" s="146"/>
      <c r="OCL66" s="146"/>
      <c r="OCM66" s="146"/>
      <c r="OCN66" s="146"/>
      <c r="OCO66" s="146"/>
      <c r="OCP66" s="146"/>
      <c r="OCQ66" s="146"/>
      <c r="OCR66" s="146"/>
      <c r="OCS66" s="146"/>
      <c r="OCT66" s="146"/>
      <c r="OCU66" s="146"/>
      <c r="OCV66" s="146"/>
      <c r="OCW66" s="146"/>
      <c r="OCX66" s="146"/>
      <c r="OCY66" s="146"/>
      <c r="OCZ66" s="146"/>
      <c r="ODA66" s="146"/>
      <c r="ODB66" s="146"/>
      <c r="ODC66" s="146"/>
      <c r="ODD66" s="146"/>
      <c r="ODE66" s="146"/>
      <c r="ODF66" s="146"/>
      <c r="ODG66" s="146"/>
      <c r="ODH66" s="146"/>
      <c r="ODI66" s="146"/>
      <c r="ODJ66" s="146"/>
      <c r="ODK66" s="146"/>
      <c r="ODL66" s="146"/>
      <c r="ODM66" s="146"/>
      <c r="ODN66" s="146"/>
      <c r="ODO66" s="146"/>
      <c r="ODP66" s="146"/>
      <c r="ODQ66" s="146"/>
      <c r="ODR66" s="146"/>
      <c r="ODS66" s="146"/>
      <c r="ODT66" s="146"/>
      <c r="ODU66" s="146"/>
      <c r="ODV66" s="146"/>
      <c r="ODW66" s="146"/>
      <c r="ODX66" s="146"/>
      <c r="ODY66" s="146"/>
      <c r="ODZ66" s="146"/>
      <c r="OEA66" s="146"/>
      <c r="OEB66" s="146"/>
      <c r="OEC66" s="146"/>
      <c r="OED66" s="146"/>
      <c r="OEE66" s="146"/>
      <c r="OEF66" s="146"/>
      <c r="OEG66" s="146"/>
      <c r="OEH66" s="146"/>
      <c r="OEI66" s="146"/>
      <c r="OEJ66" s="146"/>
      <c r="OEK66" s="146"/>
      <c r="OEL66" s="146"/>
      <c r="OEM66" s="146"/>
      <c r="OEN66" s="146"/>
      <c r="OEO66" s="146"/>
      <c r="OEP66" s="146"/>
      <c r="OEQ66" s="146"/>
      <c r="OER66" s="146"/>
      <c r="OES66" s="146"/>
      <c r="OET66" s="146"/>
      <c r="OEU66" s="146"/>
      <c r="OEV66" s="146"/>
      <c r="OEW66" s="146"/>
      <c r="OEX66" s="146"/>
      <c r="OEY66" s="146"/>
      <c r="OEZ66" s="146"/>
      <c r="OFA66" s="146"/>
      <c r="OFB66" s="146"/>
      <c r="OFC66" s="146"/>
      <c r="OFD66" s="146"/>
      <c r="OFE66" s="146"/>
      <c r="OFF66" s="146"/>
      <c r="OFG66" s="146"/>
      <c r="OFH66" s="146"/>
      <c r="OFI66" s="146"/>
      <c r="OFJ66" s="146"/>
      <c r="OFK66" s="146"/>
      <c r="OFL66" s="146"/>
      <c r="OFM66" s="146"/>
      <c r="OFN66" s="146"/>
      <c r="OFO66" s="146"/>
      <c r="OFP66" s="146"/>
      <c r="OFQ66" s="146"/>
      <c r="OFR66" s="146"/>
      <c r="OFS66" s="146"/>
      <c r="OFT66" s="146"/>
      <c r="OFU66" s="146"/>
      <c r="OFV66" s="146"/>
      <c r="OFW66" s="146"/>
      <c r="OFX66" s="146"/>
      <c r="OFY66" s="146"/>
      <c r="OFZ66" s="146"/>
      <c r="OGA66" s="146"/>
      <c r="OGB66" s="146"/>
      <c r="OGC66" s="146"/>
      <c r="OGD66" s="146"/>
      <c r="OGE66" s="146"/>
      <c r="OGF66" s="146"/>
      <c r="OGG66" s="146"/>
      <c r="OGH66" s="146"/>
      <c r="OGI66" s="146"/>
      <c r="OGJ66" s="146"/>
      <c r="OGK66" s="146"/>
      <c r="OGL66" s="146"/>
      <c r="OGM66" s="146"/>
      <c r="OGN66" s="146"/>
      <c r="OGO66" s="146"/>
      <c r="OGP66" s="146"/>
      <c r="OGQ66" s="146"/>
      <c r="OGR66" s="146"/>
      <c r="OGS66" s="146"/>
      <c r="OGT66" s="146"/>
      <c r="OGU66" s="146"/>
      <c r="OGV66" s="146"/>
      <c r="OGW66" s="146"/>
      <c r="OGX66" s="146"/>
      <c r="OGY66" s="146"/>
      <c r="OGZ66" s="146"/>
      <c r="OHA66" s="146"/>
      <c r="OHB66" s="146"/>
      <c r="OHC66" s="146"/>
      <c r="OHD66" s="146"/>
      <c r="OHE66" s="146"/>
      <c r="OHF66" s="146"/>
      <c r="OHG66" s="146"/>
      <c r="OHH66" s="146"/>
      <c r="OHI66" s="146"/>
      <c r="OHJ66" s="146"/>
      <c r="OHK66" s="146"/>
      <c r="OHL66" s="146"/>
      <c r="OHM66" s="146"/>
      <c r="OHN66" s="146"/>
      <c r="OHO66" s="146"/>
      <c r="OHP66" s="146"/>
      <c r="OHQ66" s="146"/>
      <c r="OHR66" s="146"/>
      <c r="OHS66" s="146"/>
      <c r="OHT66" s="146"/>
      <c r="OHU66" s="146"/>
      <c r="OHV66" s="146"/>
      <c r="OHW66" s="146"/>
      <c r="OHX66" s="146"/>
      <c r="OHY66" s="146"/>
      <c r="OHZ66" s="146"/>
      <c r="OIA66" s="146"/>
      <c r="OIB66" s="146"/>
      <c r="OIC66" s="146"/>
      <c r="OID66" s="146"/>
      <c r="OIE66" s="146"/>
      <c r="OIF66" s="146"/>
      <c r="OIG66" s="146"/>
      <c r="OIH66" s="146"/>
      <c r="OII66" s="146"/>
      <c r="OIJ66" s="146"/>
      <c r="OIK66" s="146"/>
      <c r="OIL66" s="146"/>
      <c r="OIM66" s="146"/>
      <c r="OIN66" s="146"/>
      <c r="OIO66" s="146"/>
      <c r="OIP66" s="146"/>
      <c r="OIQ66" s="146"/>
      <c r="OIR66" s="146"/>
      <c r="OIS66" s="146"/>
      <c r="OIT66" s="146"/>
      <c r="OIU66" s="146"/>
      <c r="OIV66" s="146"/>
      <c r="OIW66" s="146"/>
      <c r="OIX66" s="146"/>
      <c r="OIY66" s="146"/>
      <c r="OIZ66" s="146"/>
      <c r="OJA66" s="146"/>
      <c r="OJB66" s="146"/>
      <c r="OJC66" s="146"/>
      <c r="OJD66" s="146"/>
      <c r="OJE66" s="146"/>
      <c r="OJF66" s="146"/>
      <c r="OJG66" s="146"/>
      <c r="OJH66" s="146"/>
      <c r="OJI66" s="146"/>
      <c r="OJJ66" s="146"/>
      <c r="OJK66" s="146"/>
      <c r="OJL66" s="146"/>
      <c r="OJM66" s="146"/>
      <c r="OJN66" s="146"/>
      <c r="OJO66" s="146"/>
      <c r="OJP66" s="146"/>
      <c r="OJQ66" s="146"/>
      <c r="OJR66" s="146"/>
      <c r="OJS66" s="146"/>
      <c r="OJT66" s="146"/>
      <c r="OJU66" s="146"/>
      <c r="OJV66" s="146"/>
      <c r="OJW66" s="146"/>
      <c r="OJX66" s="146"/>
      <c r="OJY66" s="146"/>
      <c r="OJZ66" s="146"/>
      <c r="OKA66" s="146"/>
      <c r="OKB66" s="146"/>
      <c r="OKC66" s="146"/>
      <c r="OKD66" s="146"/>
      <c r="OKE66" s="146"/>
      <c r="OKF66" s="146"/>
      <c r="OKG66" s="146"/>
      <c r="OKH66" s="146"/>
      <c r="OKI66" s="146"/>
      <c r="OKJ66" s="146"/>
      <c r="OKK66" s="146"/>
      <c r="OKL66" s="146"/>
      <c r="OKM66" s="146"/>
      <c r="OKN66" s="146"/>
      <c r="OKO66" s="146"/>
      <c r="OKP66" s="146"/>
      <c r="OKQ66" s="146"/>
      <c r="OKR66" s="146"/>
      <c r="OKS66" s="146"/>
      <c r="OKT66" s="146"/>
      <c r="OKU66" s="146"/>
      <c r="OKV66" s="146"/>
      <c r="OKW66" s="146"/>
      <c r="OKX66" s="146"/>
      <c r="OKY66" s="146"/>
      <c r="OKZ66" s="146"/>
      <c r="OLA66" s="146"/>
      <c r="OLB66" s="146"/>
      <c r="OLC66" s="146"/>
      <c r="OLD66" s="146"/>
      <c r="OLE66" s="146"/>
      <c r="OLF66" s="146"/>
      <c r="OLG66" s="146"/>
      <c r="OLH66" s="146"/>
      <c r="OLI66" s="146"/>
      <c r="OLJ66" s="146"/>
      <c r="OLK66" s="146"/>
      <c r="OLL66" s="146"/>
      <c r="OLM66" s="146"/>
      <c r="OLN66" s="146"/>
      <c r="OLO66" s="146"/>
      <c r="OLP66" s="146"/>
      <c r="OLQ66" s="146"/>
      <c r="OLR66" s="146"/>
      <c r="OLS66" s="146"/>
      <c r="OLT66" s="146"/>
      <c r="OLU66" s="146"/>
      <c r="OLV66" s="146"/>
      <c r="OLW66" s="146"/>
      <c r="OLX66" s="146"/>
      <c r="OLY66" s="146"/>
      <c r="OLZ66" s="146"/>
      <c r="OMA66" s="146"/>
      <c r="OMB66" s="146"/>
      <c r="OMC66" s="146"/>
      <c r="OMD66" s="146"/>
      <c r="OME66" s="146"/>
      <c r="OMF66" s="146"/>
      <c r="OMG66" s="146"/>
      <c r="OMH66" s="146"/>
      <c r="OMI66" s="146"/>
      <c r="OMJ66" s="146"/>
      <c r="OMK66" s="146"/>
      <c r="OML66" s="146"/>
      <c r="OMM66" s="146"/>
      <c r="OMN66" s="146"/>
      <c r="OMO66" s="146"/>
      <c r="OMP66" s="146"/>
      <c r="OMQ66" s="146"/>
      <c r="OMR66" s="146"/>
      <c r="OMS66" s="146"/>
      <c r="OMT66" s="146"/>
      <c r="OMU66" s="146"/>
      <c r="OMV66" s="146"/>
      <c r="OMW66" s="146"/>
      <c r="OMX66" s="146"/>
      <c r="OMY66" s="146"/>
      <c r="OMZ66" s="146"/>
      <c r="ONA66" s="146"/>
      <c r="ONB66" s="146"/>
      <c r="ONC66" s="146"/>
      <c r="OND66" s="146"/>
      <c r="ONE66" s="146"/>
      <c r="ONF66" s="146"/>
      <c r="ONG66" s="146"/>
      <c r="ONH66" s="146"/>
      <c r="ONI66" s="146"/>
      <c r="ONJ66" s="146"/>
      <c r="ONK66" s="146"/>
      <c r="ONL66" s="146"/>
      <c r="ONM66" s="146"/>
      <c r="ONN66" s="146"/>
      <c r="ONO66" s="146"/>
      <c r="ONP66" s="146"/>
      <c r="ONQ66" s="146"/>
      <c r="ONR66" s="146"/>
      <c r="ONS66" s="146"/>
      <c r="ONT66" s="146"/>
      <c r="ONU66" s="146"/>
      <c r="ONV66" s="146"/>
      <c r="ONW66" s="146"/>
      <c r="ONX66" s="146"/>
      <c r="ONY66" s="146"/>
      <c r="ONZ66" s="146"/>
      <c r="OOA66" s="146"/>
      <c r="OOB66" s="146"/>
      <c r="OOC66" s="146"/>
      <c r="OOD66" s="146"/>
      <c r="OOE66" s="146"/>
      <c r="OOF66" s="146"/>
      <c r="OOG66" s="146"/>
      <c r="OOH66" s="146"/>
      <c r="OOI66" s="146"/>
      <c r="OOJ66" s="146"/>
      <c r="OOK66" s="146"/>
      <c r="OOL66" s="146"/>
      <c r="OOM66" s="146"/>
      <c r="OON66" s="146"/>
      <c r="OOO66" s="146"/>
      <c r="OOP66" s="146"/>
      <c r="OOQ66" s="146"/>
      <c r="OOR66" s="146"/>
      <c r="OOS66" s="146"/>
      <c r="OOT66" s="146"/>
      <c r="OOU66" s="146"/>
      <c r="OOV66" s="146"/>
      <c r="OOW66" s="146"/>
      <c r="OOX66" s="146"/>
      <c r="OOY66" s="146"/>
      <c r="OOZ66" s="146"/>
      <c r="OPA66" s="146"/>
      <c r="OPB66" s="146"/>
      <c r="OPC66" s="146"/>
      <c r="OPD66" s="146"/>
      <c r="OPE66" s="146"/>
      <c r="OPF66" s="146"/>
      <c r="OPG66" s="146"/>
      <c r="OPH66" s="146"/>
      <c r="OPI66" s="146"/>
      <c r="OPJ66" s="146"/>
      <c r="OPK66" s="146"/>
      <c r="OPL66" s="146"/>
      <c r="OPM66" s="146"/>
      <c r="OPN66" s="146"/>
      <c r="OPO66" s="146"/>
      <c r="OPP66" s="146"/>
      <c r="OPQ66" s="146"/>
      <c r="OPR66" s="146"/>
      <c r="OPS66" s="146"/>
      <c r="OPT66" s="146"/>
      <c r="OPU66" s="146"/>
      <c r="OPV66" s="146"/>
      <c r="OPW66" s="146"/>
      <c r="OPX66" s="146"/>
      <c r="OPY66" s="146"/>
      <c r="OPZ66" s="146"/>
      <c r="OQA66" s="146"/>
      <c r="OQB66" s="146"/>
      <c r="OQC66" s="146"/>
      <c r="OQD66" s="146"/>
      <c r="OQE66" s="146"/>
      <c r="OQF66" s="146"/>
      <c r="OQG66" s="146"/>
      <c r="OQH66" s="146"/>
      <c r="OQI66" s="146"/>
      <c r="OQJ66" s="146"/>
      <c r="OQK66" s="146"/>
      <c r="OQL66" s="146"/>
      <c r="OQM66" s="146"/>
      <c r="OQN66" s="146"/>
      <c r="OQO66" s="146"/>
      <c r="OQP66" s="146"/>
      <c r="OQQ66" s="146"/>
      <c r="OQR66" s="146"/>
      <c r="OQS66" s="146"/>
      <c r="OQT66" s="146"/>
      <c r="OQU66" s="146"/>
      <c r="OQV66" s="146"/>
      <c r="OQW66" s="146"/>
      <c r="OQX66" s="146"/>
      <c r="OQY66" s="146"/>
      <c r="OQZ66" s="146"/>
      <c r="ORA66" s="146"/>
      <c r="ORB66" s="146"/>
      <c r="ORC66" s="146"/>
      <c r="ORD66" s="146"/>
      <c r="ORE66" s="146"/>
      <c r="ORF66" s="146"/>
      <c r="ORG66" s="146"/>
      <c r="ORH66" s="146"/>
      <c r="ORI66" s="146"/>
      <c r="ORJ66" s="146"/>
      <c r="ORK66" s="146"/>
      <c r="ORL66" s="146"/>
      <c r="ORM66" s="146"/>
      <c r="ORN66" s="146"/>
      <c r="ORO66" s="146"/>
      <c r="ORP66" s="146"/>
      <c r="ORQ66" s="146"/>
      <c r="ORR66" s="146"/>
      <c r="ORS66" s="146"/>
      <c r="ORT66" s="146"/>
      <c r="ORU66" s="146"/>
      <c r="ORV66" s="146"/>
      <c r="ORW66" s="146"/>
      <c r="ORX66" s="146"/>
      <c r="ORY66" s="146"/>
      <c r="ORZ66" s="146"/>
      <c r="OSA66" s="146"/>
      <c r="OSB66" s="146"/>
      <c r="OSC66" s="146"/>
      <c r="OSD66" s="146"/>
      <c r="OSE66" s="146"/>
      <c r="OSF66" s="146"/>
      <c r="OSG66" s="146"/>
      <c r="OSH66" s="146"/>
      <c r="OSI66" s="146"/>
      <c r="OSJ66" s="146"/>
      <c r="OSK66" s="146"/>
      <c r="OSL66" s="146"/>
      <c r="OSM66" s="146"/>
      <c r="OSN66" s="146"/>
      <c r="OSO66" s="146"/>
      <c r="OSP66" s="146"/>
      <c r="OSQ66" s="146"/>
      <c r="OSR66" s="146"/>
      <c r="OSS66" s="146"/>
      <c r="OST66" s="146"/>
      <c r="OSU66" s="146"/>
      <c r="OSV66" s="146"/>
      <c r="OSW66" s="146"/>
      <c r="OSX66" s="146"/>
      <c r="OSY66" s="146"/>
      <c r="OSZ66" s="146"/>
      <c r="OTA66" s="146"/>
      <c r="OTB66" s="146"/>
      <c r="OTC66" s="146"/>
      <c r="OTD66" s="146"/>
      <c r="OTE66" s="146"/>
      <c r="OTF66" s="146"/>
      <c r="OTG66" s="146"/>
      <c r="OTH66" s="146"/>
      <c r="OTI66" s="146"/>
      <c r="OTJ66" s="146"/>
      <c r="OTK66" s="146"/>
      <c r="OTL66" s="146"/>
      <c r="OTM66" s="146"/>
      <c r="OTN66" s="146"/>
      <c r="OTO66" s="146"/>
      <c r="OTP66" s="146"/>
      <c r="OTQ66" s="146"/>
      <c r="OTR66" s="146"/>
      <c r="OTS66" s="146"/>
      <c r="OTT66" s="146"/>
      <c r="OTU66" s="146"/>
      <c r="OTV66" s="146"/>
      <c r="OTW66" s="146"/>
      <c r="OTX66" s="146"/>
      <c r="OTY66" s="146"/>
      <c r="OTZ66" s="146"/>
      <c r="OUA66" s="146"/>
      <c r="OUB66" s="146"/>
      <c r="OUC66" s="146"/>
      <c r="OUD66" s="146"/>
      <c r="OUE66" s="146"/>
      <c r="OUF66" s="146"/>
      <c r="OUG66" s="146"/>
      <c r="OUH66" s="146"/>
      <c r="OUI66" s="146"/>
      <c r="OUJ66" s="146"/>
      <c r="OUK66" s="146"/>
      <c r="OUL66" s="146"/>
      <c r="OUM66" s="146"/>
      <c r="OUN66" s="146"/>
      <c r="OUO66" s="146"/>
      <c r="OUP66" s="146"/>
      <c r="OUQ66" s="146"/>
      <c r="OUR66" s="146"/>
      <c r="OUS66" s="146"/>
      <c r="OUT66" s="146"/>
      <c r="OUU66" s="146"/>
      <c r="OUV66" s="146"/>
      <c r="OUW66" s="146"/>
      <c r="OUX66" s="146"/>
      <c r="OUY66" s="146"/>
      <c r="OUZ66" s="146"/>
      <c r="OVA66" s="146"/>
      <c r="OVB66" s="146"/>
      <c r="OVC66" s="146"/>
      <c r="OVD66" s="146"/>
      <c r="OVE66" s="146"/>
      <c r="OVF66" s="146"/>
      <c r="OVG66" s="146"/>
      <c r="OVH66" s="146"/>
      <c r="OVI66" s="146"/>
      <c r="OVJ66" s="146"/>
      <c r="OVK66" s="146"/>
      <c r="OVL66" s="146"/>
      <c r="OVM66" s="146"/>
      <c r="OVN66" s="146"/>
      <c r="OVO66" s="146"/>
      <c r="OVP66" s="146"/>
      <c r="OVQ66" s="146"/>
      <c r="OVR66" s="146"/>
      <c r="OVS66" s="146"/>
      <c r="OVT66" s="146"/>
      <c r="OVU66" s="146"/>
      <c r="OVV66" s="146"/>
      <c r="OVW66" s="146"/>
      <c r="OVX66" s="146"/>
      <c r="OVY66" s="146"/>
      <c r="OVZ66" s="146"/>
      <c r="OWA66" s="146"/>
      <c r="OWB66" s="146"/>
      <c r="OWC66" s="146"/>
      <c r="OWD66" s="146"/>
      <c r="OWE66" s="146"/>
      <c r="OWF66" s="146"/>
      <c r="OWG66" s="146"/>
      <c r="OWH66" s="146"/>
      <c r="OWI66" s="146"/>
      <c r="OWJ66" s="146"/>
      <c r="OWK66" s="146"/>
      <c r="OWL66" s="146"/>
      <c r="OWM66" s="146"/>
      <c r="OWN66" s="146"/>
      <c r="OWO66" s="146"/>
      <c r="OWP66" s="146"/>
      <c r="OWQ66" s="146"/>
      <c r="OWR66" s="146"/>
      <c r="OWS66" s="146"/>
      <c r="OWT66" s="146"/>
      <c r="OWU66" s="146"/>
      <c r="OWV66" s="146"/>
      <c r="OWW66" s="146"/>
      <c r="OWX66" s="146"/>
      <c r="OWY66" s="146"/>
      <c r="OWZ66" s="146"/>
      <c r="OXA66" s="146"/>
      <c r="OXB66" s="146"/>
      <c r="OXC66" s="146"/>
      <c r="OXD66" s="146"/>
      <c r="OXE66" s="146"/>
      <c r="OXF66" s="146"/>
      <c r="OXG66" s="146"/>
      <c r="OXH66" s="146"/>
      <c r="OXI66" s="146"/>
      <c r="OXJ66" s="146"/>
      <c r="OXK66" s="146"/>
      <c r="OXL66" s="146"/>
      <c r="OXM66" s="146"/>
      <c r="OXN66" s="146"/>
      <c r="OXO66" s="146"/>
      <c r="OXP66" s="146"/>
      <c r="OXQ66" s="146"/>
      <c r="OXR66" s="146"/>
      <c r="OXS66" s="146"/>
      <c r="OXT66" s="146"/>
      <c r="OXU66" s="146"/>
      <c r="OXV66" s="146"/>
      <c r="OXW66" s="146"/>
      <c r="OXX66" s="146"/>
      <c r="OXY66" s="146"/>
      <c r="OXZ66" s="146"/>
      <c r="OYA66" s="146"/>
      <c r="OYB66" s="146"/>
      <c r="OYC66" s="146"/>
      <c r="OYD66" s="146"/>
      <c r="OYE66" s="146"/>
      <c r="OYF66" s="146"/>
      <c r="OYG66" s="146"/>
      <c r="OYH66" s="146"/>
      <c r="OYI66" s="146"/>
      <c r="OYJ66" s="146"/>
      <c r="OYK66" s="146"/>
      <c r="OYL66" s="146"/>
      <c r="OYM66" s="146"/>
      <c r="OYN66" s="146"/>
      <c r="OYO66" s="146"/>
      <c r="OYP66" s="146"/>
      <c r="OYQ66" s="146"/>
      <c r="OYR66" s="146"/>
      <c r="OYS66" s="146"/>
      <c r="OYT66" s="146"/>
      <c r="OYU66" s="146"/>
      <c r="OYV66" s="146"/>
      <c r="OYW66" s="146"/>
      <c r="OYX66" s="146"/>
      <c r="OYY66" s="146"/>
      <c r="OYZ66" s="146"/>
      <c r="OZA66" s="146"/>
      <c r="OZB66" s="146"/>
      <c r="OZC66" s="146"/>
      <c r="OZD66" s="146"/>
      <c r="OZE66" s="146"/>
      <c r="OZF66" s="146"/>
      <c r="OZG66" s="146"/>
      <c r="OZH66" s="146"/>
      <c r="OZI66" s="146"/>
      <c r="OZJ66" s="146"/>
      <c r="OZK66" s="146"/>
      <c r="OZL66" s="146"/>
      <c r="OZM66" s="146"/>
      <c r="OZN66" s="146"/>
      <c r="OZO66" s="146"/>
      <c r="OZP66" s="146"/>
      <c r="OZQ66" s="146"/>
      <c r="OZR66" s="146"/>
      <c r="OZS66" s="146"/>
      <c r="OZT66" s="146"/>
      <c r="OZU66" s="146"/>
      <c r="OZV66" s="146"/>
      <c r="OZW66" s="146"/>
      <c r="OZX66" s="146"/>
      <c r="OZY66" s="146"/>
      <c r="OZZ66" s="146"/>
      <c r="PAA66" s="146"/>
      <c r="PAB66" s="146"/>
      <c r="PAC66" s="146"/>
      <c r="PAD66" s="146"/>
      <c r="PAE66" s="146"/>
      <c r="PAF66" s="146"/>
      <c r="PAG66" s="146"/>
      <c r="PAH66" s="146"/>
      <c r="PAI66" s="146"/>
      <c r="PAJ66" s="146"/>
      <c r="PAK66" s="146"/>
      <c r="PAL66" s="146"/>
      <c r="PAM66" s="146"/>
      <c r="PAN66" s="146"/>
      <c r="PAO66" s="146"/>
      <c r="PAP66" s="146"/>
      <c r="PAQ66" s="146"/>
      <c r="PAR66" s="146"/>
      <c r="PAS66" s="146"/>
      <c r="PAT66" s="146"/>
      <c r="PAU66" s="146"/>
      <c r="PAV66" s="146"/>
      <c r="PAW66" s="146"/>
      <c r="PAX66" s="146"/>
      <c r="PAY66" s="146"/>
      <c r="PAZ66" s="146"/>
      <c r="PBA66" s="146"/>
      <c r="PBB66" s="146"/>
      <c r="PBC66" s="146"/>
      <c r="PBD66" s="146"/>
      <c r="PBE66" s="146"/>
      <c r="PBF66" s="146"/>
      <c r="PBG66" s="146"/>
      <c r="PBH66" s="146"/>
      <c r="PBI66" s="146"/>
      <c r="PBJ66" s="146"/>
      <c r="PBK66" s="146"/>
      <c r="PBL66" s="146"/>
      <c r="PBM66" s="146"/>
      <c r="PBN66" s="146"/>
      <c r="PBO66" s="146"/>
      <c r="PBP66" s="146"/>
      <c r="PBQ66" s="146"/>
      <c r="PBR66" s="146"/>
      <c r="PBS66" s="146"/>
      <c r="PBT66" s="146"/>
      <c r="PBU66" s="146"/>
      <c r="PBV66" s="146"/>
      <c r="PBW66" s="146"/>
      <c r="PBX66" s="146"/>
      <c r="PBY66" s="146"/>
      <c r="PBZ66" s="146"/>
      <c r="PCA66" s="146"/>
      <c r="PCB66" s="146"/>
      <c r="PCC66" s="146"/>
      <c r="PCD66" s="146"/>
      <c r="PCE66" s="146"/>
      <c r="PCF66" s="146"/>
      <c r="PCG66" s="146"/>
      <c r="PCH66" s="146"/>
      <c r="PCI66" s="146"/>
      <c r="PCJ66" s="146"/>
      <c r="PCK66" s="146"/>
      <c r="PCL66" s="146"/>
      <c r="PCM66" s="146"/>
      <c r="PCN66" s="146"/>
      <c r="PCO66" s="146"/>
      <c r="PCP66" s="146"/>
      <c r="PCQ66" s="146"/>
      <c r="PCR66" s="146"/>
      <c r="PCS66" s="146"/>
      <c r="PCT66" s="146"/>
      <c r="PCU66" s="146"/>
      <c r="PCV66" s="146"/>
      <c r="PCW66" s="146"/>
      <c r="PCX66" s="146"/>
      <c r="PCY66" s="146"/>
      <c r="PCZ66" s="146"/>
      <c r="PDA66" s="146"/>
      <c r="PDB66" s="146"/>
      <c r="PDC66" s="146"/>
      <c r="PDD66" s="146"/>
      <c r="PDE66" s="146"/>
      <c r="PDF66" s="146"/>
      <c r="PDG66" s="146"/>
      <c r="PDH66" s="146"/>
      <c r="PDI66" s="146"/>
      <c r="PDJ66" s="146"/>
      <c r="PDK66" s="146"/>
      <c r="PDL66" s="146"/>
      <c r="PDM66" s="146"/>
      <c r="PDN66" s="146"/>
      <c r="PDO66" s="146"/>
      <c r="PDP66" s="146"/>
      <c r="PDQ66" s="146"/>
      <c r="PDR66" s="146"/>
      <c r="PDS66" s="146"/>
      <c r="PDT66" s="146"/>
      <c r="PDU66" s="146"/>
      <c r="PDV66" s="146"/>
      <c r="PDW66" s="146"/>
      <c r="PDX66" s="146"/>
      <c r="PDY66" s="146"/>
      <c r="PDZ66" s="146"/>
      <c r="PEA66" s="146"/>
      <c r="PEB66" s="146"/>
      <c r="PEC66" s="146"/>
      <c r="PED66" s="146"/>
      <c r="PEE66" s="146"/>
      <c r="PEF66" s="146"/>
      <c r="PEG66" s="146"/>
      <c r="PEH66" s="146"/>
      <c r="PEI66" s="146"/>
      <c r="PEJ66" s="146"/>
      <c r="PEK66" s="146"/>
      <c r="PEL66" s="146"/>
      <c r="PEM66" s="146"/>
      <c r="PEN66" s="146"/>
      <c r="PEO66" s="146"/>
      <c r="PEP66" s="146"/>
      <c r="PEQ66" s="146"/>
      <c r="PER66" s="146"/>
      <c r="PES66" s="146"/>
      <c r="PET66" s="146"/>
      <c r="PEU66" s="146"/>
      <c r="PEV66" s="146"/>
      <c r="PEW66" s="146"/>
      <c r="PEX66" s="146"/>
      <c r="PEY66" s="146"/>
      <c r="PEZ66" s="146"/>
      <c r="PFA66" s="146"/>
      <c r="PFB66" s="146"/>
      <c r="PFC66" s="146"/>
      <c r="PFD66" s="146"/>
      <c r="PFE66" s="146"/>
      <c r="PFF66" s="146"/>
      <c r="PFG66" s="146"/>
      <c r="PFH66" s="146"/>
      <c r="PFI66" s="146"/>
      <c r="PFJ66" s="146"/>
      <c r="PFK66" s="146"/>
      <c r="PFL66" s="146"/>
      <c r="PFM66" s="146"/>
      <c r="PFN66" s="146"/>
      <c r="PFO66" s="146"/>
      <c r="PFP66" s="146"/>
      <c r="PFQ66" s="146"/>
      <c r="PFR66" s="146"/>
      <c r="PFS66" s="146"/>
      <c r="PFT66" s="146"/>
      <c r="PFU66" s="146"/>
      <c r="PFV66" s="146"/>
      <c r="PFW66" s="146"/>
      <c r="PFX66" s="146"/>
      <c r="PFY66" s="146"/>
      <c r="PFZ66" s="146"/>
      <c r="PGA66" s="146"/>
      <c r="PGB66" s="146"/>
      <c r="PGC66" s="146"/>
      <c r="PGD66" s="146"/>
      <c r="PGE66" s="146"/>
      <c r="PGF66" s="146"/>
      <c r="PGG66" s="146"/>
      <c r="PGH66" s="146"/>
      <c r="PGI66" s="146"/>
      <c r="PGJ66" s="146"/>
      <c r="PGK66" s="146"/>
      <c r="PGL66" s="146"/>
      <c r="PGM66" s="146"/>
      <c r="PGN66" s="146"/>
      <c r="PGO66" s="146"/>
      <c r="PGP66" s="146"/>
      <c r="PGQ66" s="146"/>
      <c r="PGR66" s="146"/>
      <c r="PGS66" s="146"/>
      <c r="PGT66" s="146"/>
      <c r="PGU66" s="146"/>
      <c r="PGV66" s="146"/>
      <c r="PGW66" s="146"/>
      <c r="PGX66" s="146"/>
      <c r="PGY66" s="146"/>
      <c r="PGZ66" s="146"/>
      <c r="PHA66" s="146"/>
      <c r="PHB66" s="146"/>
      <c r="PHC66" s="146"/>
      <c r="PHD66" s="146"/>
      <c r="PHE66" s="146"/>
      <c r="PHF66" s="146"/>
      <c r="PHG66" s="146"/>
      <c r="PHH66" s="146"/>
      <c r="PHI66" s="146"/>
      <c r="PHJ66" s="146"/>
      <c r="PHK66" s="146"/>
      <c r="PHL66" s="146"/>
      <c r="PHM66" s="146"/>
      <c r="PHN66" s="146"/>
      <c r="PHO66" s="146"/>
      <c r="PHP66" s="146"/>
      <c r="PHQ66" s="146"/>
      <c r="PHR66" s="146"/>
      <c r="PHS66" s="146"/>
      <c r="PHT66" s="146"/>
      <c r="PHU66" s="146"/>
      <c r="PHV66" s="146"/>
      <c r="PHW66" s="146"/>
      <c r="PHX66" s="146"/>
      <c r="PHY66" s="146"/>
      <c r="PHZ66" s="146"/>
      <c r="PIA66" s="146"/>
      <c r="PIB66" s="146"/>
      <c r="PIC66" s="146"/>
      <c r="PID66" s="146"/>
      <c r="PIE66" s="146"/>
      <c r="PIF66" s="146"/>
      <c r="PIG66" s="146"/>
      <c r="PIH66" s="146"/>
      <c r="PII66" s="146"/>
      <c r="PIJ66" s="146"/>
      <c r="PIK66" s="146"/>
      <c r="PIL66" s="146"/>
      <c r="PIM66" s="146"/>
      <c r="PIN66" s="146"/>
      <c r="PIO66" s="146"/>
      <c r="PIP66" s="146"/>
      <c r="PIQ66" s="146"/>
      <c r="PIR66" s="146"/>
      <c r="PIS66" s="146"/>
      <c r="PIT66" s="146"/>
      <c r="PIU66" s="146"/>
      <c r="PIV66" s="146"/>
      <c r="PIW66" s="146"/>
      <c r="PIX66" s="146"/>
      <c r="PIY66" s="146"/>
      <c r="PIZ66" s="146"/>
      <c r="PJA66" s="146"/>
      <c r="PJB66" s="146"/>
      <c r="PJC66" s="146"/>
      <c r="PJD66" s="146"/>
      <c r="PJE66" s="146"/>
      <c r="PJF66" s="146"/>
      <c r="PJG66" s="146"/>
      <c r="PJH66" s="146"/>
      <c r="PJI66" s="146"/>
      <c r="PJJ66" s="146"/>
      <c r="PJK66" s="146"/>
      <c r="PJL66" s="146"/>
      <c r="PJM66" s="146"/>
      <c r="PJN66" s="146"/>
      <c r="PJO66" s="146"/>
      <c r="PJP66" s="146"/>
      <c r="PJQ66" s="146"/>
      <c r="PJR66" s="146"/>
      <c r="PJS66" s="146"/>
      <c r="PJT66" s="146"/>
      <c r="PJU66" s="146"/>
      <c r="PJV66" s="146"/>
      <c r="PJW66" s="146"/>
      <c r="PJX66" s="146"/>
      <c r="PJY66" s="146"/>
      <c r="PJZ66" s="146"/>
      <c r="PKA66" s="146"/>
      <c r="PKB66" s="146"/>
      <c r="PKC66" s="146"/>
      <c r="PKD66" s="146"/>
      <c r="PKE66" s="146"/>
      <c r="PKF66" s="146"/>
      <c r="PKG66" s="146"/>
      <c r="PKH66" s="146"/>
      <c r="PKI66" s="146"/>
      <c r="PKJ66" s="146"/>
      <c r="PKK66" s="146"/>
      <c r="PKL66" s="146"/>
      <c r="PKM66" s="146"/>
      <c r="PKN66" s="146"/>
      <c r="PKO66" s="146"/>
      <c r="PKP66" s="146"/>
      <c r="PKQ66" s="146"/>
      <c r="PKR66" s="146"/>
      <c r="PKS66" s="146"/>
      <c r="PKT66" s="146"/>
      <c r="PKU66" s="146"/>
      <c r="PKV66" s="146"/>
      <c r="PKW66" s="146"/>
      <c r="PKX66" s="146"/>
      <c r="PKY66" s="146"/>
      <c r="PKZ66" s="146"/>
      <c r="PLA66" s="146"/>
      <c r="PLB66" s="146"/>
      <c r="PLC66" s="146"/>
      <c r="PLD66" s="146"/>
      <c r="PLE66" s="146"/>
      <c r="PLF66" s="146"/>
      <c r="PLG66" s="146"/>
      <c r="PLH66" s="146"/>
      <c r="PLI66" s="146"/>
      <c r="PLJ66" s="146"/>
      <c r="PLK66" s="146"/>
      <c r="PLL66" s="146"/>
      <c r="PLM66" s="146"/>
      <c r="PLN66" s="146"/>
      <c r="PLO66" s="146"/>
      <c r="PLP66" s="146"/>
      <c r="PLQ66" s="146"/>
      <c r="PLR66" s="146"/>
      <c r="PLS66" s="146"/>
      <c r="PLT66" s="146"/>
      <c r="PLU66" s="146"/>
      <c r="PLV66" s="146"/>
      <c r="PLW66" s="146"/>
      <c r="PLX66" s="146"/>
      <c r="PLY66" s="146"/>
      <c r="PLZ66" s="146"/>
      <c r="PMA66" s="146"/>
      <c r="PMB66" s="146"/>
      <c r="PMC66" s="146"/>
      <c r="PMD66" s="146"/>
      <c r="PME66" s="146"/>
      <c r="PMF66" s="146"/>
      <c r="PMG66" s="146"/>
      <c r="PMH66" s="146"/>
      <c r="PMI66" s="146"/>
      <c r="PMJ66" s="146"/>
      <c r="PMK66" s="146"/>
      <c r="PML66" s="146"/>
      <c r="PMM66" s="146"/>
      <c r="PMN66" s="146"/>
      <c r="PMO66" s="146"/>
      <c r="PMP66" s="146"/>
      <c r="PMQ66" s="146"/>
      <c r="PMR66" s="146"/>
      <c r="PMS66" s="146"/>
      <c r="PMT66" s="146"/>
      <c r="PMU66" s="146"/>
      <c r="PMV66" s="146"/>
      <c r="PMW66" s="146"/>
      <c r="PMX66" s="146"/>
      <c r="PMY66" s="146"/>
      <c r="PMZ66" s="146"/>
      <c r="PNA66" s="146"/>
      <c r="PNB66" s="146"/>
      <c r="PNC66" s="146"/>
      <c r="PND66" s="146"/>
      <c r="PNE66" s="146"/>
      <c r="PNF66" s="146"/>
      <c r="PNG66" s="146"/>
      <c r="PNH66" s="146"/>
      <c r="PNI66" s="146"/>
      <c r="PNJ66" s="146"/>
      <c r="PNK66" s="146"/>
      <c r="PNL66" s="146"/>
      <c r="PNM66" s="146"/>
      <c r="PNN66" s="146"/>
      <c r="PNO66" s="146"/>
      <c r="PNP66" s="146"/>
      <c r="PNQ66" s="146"/>
      <c r="PNR66" s="146"/>
      <c r="PNS66" s="146"/>
      <c r="PNT66" s="146"/>
      <c r="PNU66" s="146"/>
      <c r="PNV66" s="146"/>
      <c r="PNW66" s="146"/>
      <c r="PNX66" s="146"/>
      <c r="PNY66" s="146"/>
      <c r="PNZ66" s="146"/>
      <c r="POA66" s="146"/>
      <c r="POB66" s="146"/>
      <c r="POC66" s="146"/>
      <c r="POD66" s="146"/>
      <c r="POE66" s="146"/>
      <c r="POF66" s="146"/>
      <c r="POG66" s="146"/>
      <c r="POH66" s="146"/>
      <c r="POI66" s="146"/>
      <c r="POJ66" s="146"/>
      <c r="POK66" s="146"/>
      <c r="POL66" s="146"/>
      <c r="POM66" s="146"/>
      <c r="PON66" s="146"/>
      <c r="POO66" s="146"/>
      <c r="POP66" s="146"/>
      <c r="POQ66" s="146"/>
      <c r="POR66" s="146"/>
      <c r="POS66" s="146"/>
      <c r="POT66" s="146"/>
      <c r="POU66" s="146"/>
      <c r="POV66" s="146"/>
      <c r="POW66" s="146"/>
      <c r="POX66" s="146"/>
      <c r="POY66" s="146"/>
      <c r="POZ66" s="146"/>
      <c r="PPA66" s="146"/>
      <c r="PPB66" s="146"/>
      <c r="PPC66" s="146"/>
      <c r="PPD66" s="146"/>
      <c r="PPE66" s="146"/>
      <c r="PPF66" s="146"/>
      <c r="PPG66" s="146"/>
      <c r="PPH66" s="146"/>
      <c r="PPI66" s="146"/>
      <c r="PPJ66" s="146"/>
      <c r="PPK66" s="146"/>
      <c r="PPL66" s="146"/>
      <c r="PPM66" s="146"/>
      <c r="PPN66" s="146"/>
      <c r="PPO66" s="146"/>
      <c r="PPP66" s="146"/>
      <c r="PPQ66" s="146"/>
      <c r="PPR66" s="146"/>
      <c r="PPS66" s="146"/>
      <c r="PPT66" s="146"/>
      <c r="PPU66" s="146"/>
      <c r="PPV66" s="146"/>
      <c r="PPW66" s="146"/>
      <c r="PPX66" s="146"/>
      <c r="PPY66" s="146"/>
      <c r="PPZ66" s="146"/>
      <c r="PQA66" s="146"/>
      <c r="PQB66" s="146"/>
      <c r="PQC66" s="146"/>
      <c r="PQD66" s="146"/>
      <c r="PQE66" s="146"/>
      <c r="PQF66" s="146"/>
      <c r="PQG66" s="146"/>
      <c r="PQH66" s="146"/>
      <c r="PQI66" s="146"/>
      <c r="PQJ66" s="146"/>
      <c r="PQK66" s="146"/>
      <c r="PQL66" s="146"/>
      <c r="PQM66" s="146"/>
      <c r="PQN66" s="146"/>
      <c r="PQO66" s="146"/>
      <c r="PQP66" s="146"/>
      <c r="PQQ66" s="146"/>
      <c r="PQR66" s="146"/>
      <c r="PQS66" s="146"/>
      <c r="PQT66" s="146"/>
      <c r="PQU66" s="146"/>
      <c r="PQV66" s="146"/>
      <c r="PQW66" s="146"/>
      <c r="PQX66" s="146"/>
      <c r="PQY66" s="146"/>
      <c r="PQZ66" s="146"/>
      <c r="PRA66" s="146"/>
      <c r="PRB66" s="146"/>
      <c r="PRC66" s="146"/>
      <c r="PRD66" s="146"/>
      <c r="PRE66" s="146"/>
      <c r="PRF66" s="146"/>
      <c r="PRG66" s="146"/>
      <c r="PRH66" s="146"/>
      <c r="PRI66" s="146"/>
      <c r="PRJ66" s="146"/>
      <c r="PRK66" s="146"/>
      <c r="PRL66" s="146"/>
      <c r="PRM66" s="146"/>
      <c r="PRN66" s="146"/>
      <c r="PRO66" s="146"/>
      <c r="PRP66" s="146"/>
      <c r="PRQ66" s="146"/>
      <c r="PRR66" s="146"/>
      <c r="PRS66" s="146"/>
      <c r="PRT66" s="146"/>
      <c r="PRU66" s="146"/>
      <c r="PRV66" s="146"/>
      <c r="PRW66" s="146"/>
      <c r="PRX66" s="146"/>
      <c r="PRY66" s="146"/>
      <c r="PRZ66" s="146"/>
      <c r="PSA66" s="146"/>
      <c r="PSB66" s="146"/>
      <c r="PSC66" s="146"/>
      <c r="PSD66" s="146"/>
      <c r="PSE66" s="146"/>
      <c r="PSF66" s="146"/>
      <c r="PSG66" s="146"/>
      <c r="PSH66" s="146"/>
      <c r="PSI66" s="146"/>
      <c r="PSJ66" s="146"/>
      <c r="PSK66" s="146"/>
      <c r="PSL66" s="146"/>
      <c r="PSM66" s="146"/>
      <c r="PSN66" s="146"/>
      <c r="PSO66" s="146"/>
      <c r="PSP66" s="146"/>
      <c r="PSQ66" s="146"/>
      <c r="PSR66" s="146"/>
      <c r="PSS66" s="146"/>
      <c r="PST66" s="146"/>
      <c r="PSU66" s="146"/>
      <c r="PSV66" s="146"/>
      <c r="PSW66" s="146"/>
      <c r="PSX66" s="146"/>
      <c r="PSY66" s="146"/>
      <c r="PSZ66" s="146"/>
      <c r="PTA66" s="146"/>
      <c r="PTB66" s="146"/>
      <c r="PTC66" s="146"/>
      <c r="PTD66" s="146"/>
      <c r="PTE66" s="146"/>
      <c r="PTF66" s="146"/>
      <c r="PTG66" s="146"/>
      <c r="PTH66" s="146"/>
      <c r="PTI66" s="146"/>
      <c r="PTJ66" s="146"/>
      <c r="PTK66" s="146"/>
      <c r="PTL66" s="146"/>
      <c r="PTM66" s="146"/>
      <c r="PTN66" s="146"/>
      <c r="PTO66" s="146"/>
      <c r="PTP66" s="146"/>
      <c r="PTQ66" s="146"/>
      <c r="PTR66" s="146"/>
      <c r="PTS66" s="146"/>
      <c r="PTT66" s="146"/>
      <c r="PTU66" s="146"/>
      <c r="PTV66" s="146"/>
      <c r="PTW66" s="146"/>
      <c r="PTX66" s="146"/>
      <c r="PTY66" s="146"/>
      <c r="PTZ66" s="146"/>
      <c r="PUA66" s="146"/>
      <c r="PUB66" s="146"/>
      <c r="PUC66" s="146"/>
      <c r="PUD66" s="146"/>
      <c r="PUE66" s="146"/>
      <c r="PUF66" s="146"/>
      <c r="PUG66" s="146"/>
      <c r="PUH66" s="146"/>
      <c r="PUI66" s="146"/>
      <c r="PUJ66" s="146"/>
      <c r="PUK66" s="146"/>
      <c r="PUL66" s="146"/>
      <c r="PUM66" s="146"/>
      <c r="PUN66" s="146"/>
      <c r="PUO66" s="146"/>
      <c r="PUP66" s="146"/>
      <c r="PUQ66" s="146"/>
      <c r="PUR66" s="146"/>
      <c r="PUS66" s="146"/>
      <c r="PUT66" s="146"/>
      <c r="PUU66" s="146"/>
      <c r="PUV66" s="146"/>
      <c r="PUW66" s="146"/>
      <c r="PUX66" s="146"/>
      <c r="PUY66" s="146"/>
      <c r="PUZ66" s="146"/>
      <c r="PVA66" s="146"/>
      <c r="PVB66" s="146"/>
      <c r="PVC66" s="146"/>
      <c r="PVD66" s="146"/>
      <c r="PVE66" s="146"/>
      <c r="PVF66" s="146"/>
      <c r="PVG66" s="146"/>
      <c r="PVH66" s="146"/>
      <c r="PVI66" s="146"/>
      <c r="PVJ66" s="146"/>
      <c r="PVK66" s="146"/>
      <c r="PVL66" s="146"/>
      <c r="PVM66" s="146"/>
      <c r="PVN66" s="146"/>
      <c r="PVO66" s="146"/>
      <c r="PVP66" s="146"/>
      <c r="PVQ66" s="146"/>
      <c r="PVR66" s="146"/>
      <c r="PVS66" s="146"/>
      <c r="PVT66" s="146"/>
      <c r="PVU66" s="146"/>
      <c r="PVV66" s="146"/>
      <c r="PVW66" s="146"/>
      <c r="PVX66" s="146"/>
      <c r="PVY66" s="146"/>
      <c r="PVZ66" s="146"/>
      <c r="PWA66" s="146"/>
      <c r="PWB66" s="146"/>
      <c r="PWC66" s="146"/>
      <c r="PWD66" s="146"/>
      <c r="PWE66" s="146"/>
      <c r="PWF66" s="146"/>
      <c r="PWG66" s="146"/>
      <c r="PWH66" s="146"/>
      <c r="PWI66" s="146"/>
      <c r="PWJ66" s="146"/>
      <c r="PWK66" s="146"/>
      <c r="PWL66" s="146"/>
      <c r="PWM66" s="146"/>
      <c r="PWN66" s="146"/>
      <c r="PWO66" s="146"/>
      <c r="PWP66" s="146"/>
      <c r="PWQ66" s="146"/>
      <c r="PWR66" s="146"/>
      <c r="PWS66" s="146"/>
      <c r="PWT66" s="146"/>
      <c r="PWU66" s="146"/>
      <c r="PWV66" s="146"/>
      <c r="PWW66" s="146"/>
      <c r="PWX66" s="146"/>
      <c r="PWY66" s="146"/>
      <c r="PWZ66" s="146"/>
      <c r="PXA66" s="146"/>
      <c r="PXB66" s="146"/>
      <c r="PXC66" s="146"/>
      <c r="PXD66" s="146"/>
      <c r="PXE66" s="146"/>
      <c r="PXF66" s="146"/>
      <c r="PXG66" s="146"/>
      <c r="PXH66" s="146"/>
      <c r="PXI66" s="146"/>
      <c r="PXJ66" s="146"/>
      <c r="PXK66" s="146"/>
      <c r="PXL66" s="146"/>
      <c r="PXM66" s="146"/>
      <c r="PXN66" s="146"/>
      <c r="PXO66" s="146"/>
      <c r="PXP66" s="146"/>
      <c r="PXQ66" s="146"/>
      <c r="PXR66" s="146"/>
      <c r="PXS66" s="146"/>
      <c r="PXT66" s="146"/>
      <c r="PXU66" s="146"/>
      <c r="PXV66" s="146"/>
      <c r="PXW66" s="146"/>
      <c r="PXX66" s="146"/>
      <c r="PXY66" s="146"/>
      <c r="PXZ66" s="146"/>
      <c r="PYA66" s="146"/>
      <c r="PYB66" s="146"/>
      <c r="PYC66" s="146"/>
      <c r="PYD66" s="146"/>
      <c r="PYE66" s="146"/>
      <c r="PYF66" s="146"/>
      <c r="PYG66" s="146"/>
      <c r="PYH66" s="146"/>
      <c r="PYI66" s="146"/>
      <c r="PYJ66" s="146"/>
      <c r="PYK66" s="146"/>
      <c r="PYL66" s="146"/>
      <c r="PYM66" s="146"/>
      <c r="PYN66" s="146"/>
      <c r="PYO66" s="146"/>
      <c r="PYP66" s="146"/>
      <c r="PYQ66" s="146"/>
      <c r="PYR66" s="146"/>
      <c r="PYS66" s="146"/>
      <c r="PYT66" s="146"/>
      <c r="PYU66" s="146"/>
      <c r="PYV66" s="146"/>
      <c r="PYW66" s="146"/>
      <c r="PYX66" s="146"/>
      <c r="PYY66" s="146"/>
      <c r="PYZ66" s="146"/>
      <c r="PZA66" s="146"/>
      <c r="PZB66" s="146"/>
      <c r="PZC66" s="146"/>
      <c r="PZD66" s="146"/>
      <c r="PZE66" s="146"/>
      <c r="PZF66" s="146"/>
      <c r="PZG66" s="146"/>
      <c r="PZH66" s="146"/>
      <c r="PZI66" s="146"/>
      <c r="PZJ66" s="146"/>
      <c r="PZK66" s="146"/>
      <c r="PZL66" s="146"/>
      <c r="PZM66" s="146"/>
      <c r="PZN66" s="146"/>
      <c r="PZO66" s="146"/>
      <c r="PZP66" s="146"/>
      <c r="PZQ66" s="146"/>
      <c r="PZR66" s="146"/>
      <c r="PZS66" s="146"/>
      <c r="PZT66" s="146"/>
      <c r="PZU66" s="146"/>
      <c r="PZV66" s="146"/>
      <c r="PZW66" s="146"/>
      <c r="PZX66" s="146"/>
      <c r="PZY66" s="146"/>
      <c r="PZZ66" s="146"/>
      <c r="QAA66" s="146"/>
      <c r="QAB66" s="146"/>
      <c r="QAC66" s="146"/>
      <c r="QAD66" s="146"/>
      <c r="QAE66" s="146"/>
      <c r="QAF66" s="146"/>
      <c r="QAG66" s="146"/>
      <c r="QAH66" s="146"/>
      <c r="QAI66" s="146"/>
      <c r="QAJ66" s="146"/>
      <c r="QAK66" s="146"/>
      <c r="QAL66" s="146"/>
      <c r="QAM66" s="146"/>
      <c r="QAN66" s="146"/>
      <c r="QAO66" s="146"/>
      <c r="QAP66" s="146"/>
      <c r="QAQ66" s="146"/>
      <c r="QAR66" s="146"/>
      <c r="QAS66" s="146"/>
      <c r="QAT66" s="146"/>
      <c r="QAU66" s="146"/>
      <c r="QAV66" s="146"/>
      <c r="QAW66" s="146"/>
      <c r="QAX66" s="146"/>
      <c r="QAY66" s="146"/>
      <c r="QAZ66" s="146"/>
      <c r="QBA66" s="146"/>
      <c r="QBB66" s="146"/>
      <c r="QBC66" s="146"/>
      <c r="QBD66" s="146"/>
      <c r="QBE66" s="146"/>
      <c r="QBF66" s="146"/>
      <c r="QBG66" s="146"/>
      <c r="QBH66" s="146"/>
      <c r="QBI66" s="146"/>
      <c r="QBJ66" s="146"/>
      <c r="QBK66" s="146"/>
      <c r="QBL66" s="146"/>
      <c r="QBM66" s="146"/>
      <c r="QBN66" s="146"/>
      <c r="QBO66" s="146"/>
      <c r="QBP66" s="146"/>
      <c r="QBQ66" s="146"/>
      <c r="QBR66" s="146"/>
      <c r="QBS66" s="146"/>
      <c r="QBT66" s="146"/>
      <c r="QBU66" s="146"/>
      <c r="QBV66" s="146"/>
      <c r="QBW66" s="146"/>
      <c r="QBX66" s="146"/>
      <c r="QBY66" s="146"/>
      <c r="QBZ66" s="146"/>
      <c r="QCA66" s="146"/>
      <c r="QCB66" s="146"/>
      <c r="QCC66" s="146"/>
      <c r="QCD66" s="146"/>
      <c r="QCE66" s="146"/>
      <c r="QCF66" s="146"/>
      <c r="QCG66" s="146"/>
      <c r="QCH66" s="146"/>
      <c r="QCI66" s="146"/>
      <c r="QCJ66" s="146"/>
      <c r="QCK66" s="146"/>
      <c r="QCL66" s="146"/>
      <c r="QCM66" s="146"/>
      <c r="QCN66" s="146"/>
      <c r="QCO66" s="146"/>
      <c r="QCP66" s="146"/>
      <c r="QCQ66" s="146"/>
      <c r="QCR66" s="146"/>
      <c r="QCS66" s="146"/>
      <c r="QCT66" s="146"/>
      <c r="QCU66" s="146"/>
      <c r="QCV66" s="146"/>
      <c r="QCW66" s="146"/>
      <c r="QCX66" s="146"/>
      <c r="QCY66" s="146"/>
      <c r="QCZ66" s="146"/>
      <c r="QDA66" s="146"/>
      <c r="QDB66" s="146"/>
      <c r="QDC66" s="146"/>
      <c r="QDD66" s="146"/>
      <c r="QDE66" s="146"/>
      <c r="QDF66" s="146"/>
      <c r="QDG66" s="146"/>
      <c r="QDH66" s="146"/>
      <c r="QDI66" s="146"/>
      <c r="QDJ66" s="146"/>
      <c r="QDK66" s="146"/>
      <c r="QDL66" s="146"/>
      <c r="QDM66" s="146"/>
      <c r="QDN66" s="146"/>
      <c r="QDO66" s="146"/>
      <c r="QDP66" s="146"/>
      <c r="QDQ66" s="146"/>
      <c r="QDR66" s="146"/>
      <c r="QDS66" s="146"/>
      <c r="QDT66" s="146"/>
      <c r="QDU66" s="146"/>
      <c r="QDV66" s="146"/>
      <c r="QDW66" s="146"/>
      <c r="QDX66" s="146"/>
      <c r="QDY66" s="146"/>
      <c r="QDZ66" s="146"/>
      <c r="QEA66" s="146"/>
      <c r="QEB66" s="146"/>
      <c r="QEC66" s="146"/>
      <c r="QED66" s="146"/>
      <c r="QEE66" s="146"/>
      <c r="QEF66" s="146"/>
      <c r="QEG66" s="146"/>
      <c r="QEH66" s="146"/>
      <c r="QEI66" s="146"/>
      <c r="QEJ66" s="146"/>
      <c r="QEK66" s="146"/>
      <c r="QEL66" s="146"/>
      <c r="QEM66" s="146"/>
      <c r="QEN66" s="146"/>
      <c r="QEO66" s="146"/>
      <c r="QEP66" s="146"/>
      <c r="QEQ66" s="146"/>
      <c r="QER66" s="146"/>
      <c r="QES66" s="146"/>
      <c r="QET66" s="146"/>
      <c r="QEU66" s="146"/>
      <c r="QEV66" s="146"/>
      <c r="QEW66" s="146"/>
      <c r="QEX66" s="146"/>
      <c r="QEY66" s="146"/>
      <c r="QEZ66" s="146"/>
      <c r="QFA66" s="146"/>
      <c r="QFB66" s="146"/>
      <c r="QFC66" s="146"/>
      <c r="QFD66" s="146"/>
      <c r="QFE66" s="146"/>
      <c r="QFF66" s="146"/>
      <c r="QFG66" s="146"/>
      <c r="QFH66" s="146"/>
      <c r="QFI66" s="146"/>
      <c r="QFJ66" s="146"/>
      <c r="QFK66" s="146"/>
      <c r="QFL66" s="146"/>
      <c r="QFM66" s="146"/>
      <c r="QFN66" s="146"/>
      <c r="QFO66" s="146"/>
      <c r="QFP66" s="146"/>
      <c r="QFQ66" s="146"/>
      <c r="QFR66" s="146"/>
      <c r="QFS66" s="146"/>
      <c r="QFT66" s="146"/>
      <c r="QFU66" s="146"/>
      <c r="QFV66" s="146"/>
      <c r="QFW66" s="146"/>
      <c r="QFX66" s="146"/>
      <c r="QFY66" s="146"/>
      <c r="QFZ66" s="146"/>
      <c r="QGA66" s="146"/>
      <c r="QGB66" s="146"/>
      <c r="QGC66" s="146"/>
      <c r="QGD66" s="146"/>
      <c r="QGE66" s="146"/>
      <c r="QGF66" s="146"/>
      <c r="QGG66" s="146"/>
      <c r="QGH66" s="146"/>
      <c r="QGI66" s="146"/>
      <c r="QGJ66" s="146"/>
      <c r="QGK66" s="146"/>
      <c r="QGL66" s="146"/>
      <c r="QGM66" s="146"/>
      <c r="QGN66" s="146"/>
      <c r="QGO66" s="146"/>
      <c r="QGP66" s="146"/>
      <c r="QGQ66" s="146"/>
      <c r="QGR66" s="146"/>
      <c r="QGS66" s="146"/>
      <c r="QGT66" s="146"/>
      <c r="QGU66" s="146"/>
      <c r="QGV66" s="146"/>
      <c r="QGW66" s="146"/>
      <c r="QGX66" s="146"/>
      <c r="QGY66" s="146"/>
      <c r="QGZ66" s="146"/>
      <c r="QHA66" s="146"/>
      <c r="QHB66" s="146"/>
      <c r="QHC66" s="146"/>
      <c r="QHD66" s="146"/>
      <c r="QHE66" s="146"/>
      <c r="QHF66" s="146"/>
      <c r="QHG66" s="146"/>
      <c r="QHH66" s="146"/>
      <c r="QHI66" s="146"/>
      <c r="QHJ66" s="146"/>
      <c r="QHK66" s="146"/>
      <c r="QHL66" s="146"/>
      <c r="QHM66" s="146"/>
      <c r="QHN66" s="146"/>
      <c r="QHO66" s="146"/>
      <c r="QHP66" s="146"/>
      <c r="QHQ66" s="146"/>
      <c r="QHR66" s="146"/>
      <c r="QHS66" s="146"/>
      <c r="QHT66" s="146"/>
      <c r="QHU66" s="146"/>
      <c r="QHV66" s="146"/>
      <c r="QHW66" s="146"/>
      <c r="QHX66" s="146"/>
      <c r="QHY66" s="146"/>
      <c r="QHZ66" s="146"/>
      <c r="QIA66" s="146"/>
      <c r="QIB66" s="146"/>
      <c r="QIC66" s="146"/>
      <c r="QID66" s="146"/>
      <c r="QIE66" s="146"/>
      <c r="QIF66" s="146"/>
      <c r="QIG66" s="146"/>
      <c r="QIH66" s="146"/>
      <c r="QII66" s="146"/>
      <c r="QIJ66" s="146"/>
      <c r="QIK66" s="146"/>
      <c r="QIL66" s="146"/>
      <c r="QIM66" s="146"/>
      <c r="QIN66" s="146"/>
      <c r="QIO66" s="146"/>
      <c r="QIP66" s="146"/>
      <c r="QIQ66" s="146"/>
      <c r="QIR66" s="146"/>
      <c r="QIS66" s="146"/>
      <c r="QIT66" s="146"/>
      <c r="QIU66" s="146"/>
      <c r="QIV66" s="146"/>
      <c r="QIW66" s="146"/>
      <c r="QIX66" s="146"/>
      <c r="QIY66" s="146"/>
      <c r="QIZ66" s="146"/>
      <c r="QJA66" s="146"/>
      <c r="QJB66" s="146"/>
      <c r="QJC66" s="146"/>
      <c r="QJD66" s="146"/>
      <c r="QJE66" s="146"/>
      <c r="QJF66" s="146"/>
      <c r="QJG66" s="146"/>
      <c r="QJH66" s="146"/>
      <c r="QJI66" s="146"/>
      <c r="QJJ66" s="146"/>
      <c r="QJK66" s="146"/>
      <c r="QJL66" s="146"/>
      <c r="QJM66" s="146"/>
      <c r="QJN66" s="146"/>
      <c r="QJO66" s="146"/>
      <c r="QJP66" s="146"/>
      <c r="QJQ66" s="146"/>
      <c r="QJR66" s="146"/>
      <c r="QJS66" s="146"/>
      <c r="QJT66" s="146"/>
      <c r="QJU66" s="146"/>
      <c r="QJV66" s="146"/>
      <c r="QJW66" s="146"/>
      <c r="QJX66" s="146"/>
      <c r="QJY66" s="146"/>
      <c r="QJZ66" s="146"/>
      <c r="QKA66" s="146"/>
      <c r="QKB66" s="146"/>
      <c r="QKC66" s="146"/>
      <c r="QKD66" s="146"/>
      <c r="QKE66" s="146"/>
      <c r="QKF66" s="146"/>
      <c r="QKG66" s="146"/>
      <c r="QKH66" s="146"/>
      <c r="QKI66" s="146"/>
      <c r="QKJ66" s="146"/>
      <c r="QKK66" s="146"/>
      <c r="QKL66" s="146"/>
      <c r="QKM66" s="146"/>
      <c r="QKN66" s="146"/>
      <c r="QKO66" s="146"/>
      <c r="QKP66" s="146"/>
      <c r="QKQ66" s="146"/>
      <c r="QKR66" s="146"/>
      <c r="QKS66" s="146"/>
      <c r="QKT66" s="146"/>
      <c r="QKU66" s="146"/>
      <c r="QKV66" s="146"/>
      <c r="QKW66" s="146"/>
      <c r="QKX66" s="146"/>
      <c r="QKY66" s="146"/>
      <c r="QKZ66" s="146"/>
      <c r="QLA66" s="146"/>
      <c r="QLB66" s="146"/>
      <c r="QLC66" s="146"/>
      <c r="QLD66" s="146"/>
      <c r="QLE66" s="146"/>
      <c r="QLF66" s="146"/>
      <c r="QLG66" s="146"/>
      <c r="QLH66" s="146"/>
      <c r="QLI66" s="146"/>
      <c r="QLJ66" s="146"/>
      <c r="QLK66" s="146"/>
      <c r="QLL66" s="146"/>
      <c r="QLM66" s="146"/>
      <c r="QLN66" s="146"/>
      <c r="QLO66" s="146"/>
      <c r="QLP66" s="146"/>
      <c r="QLQ66" s="146"/>
      <c r="QLR66" s="146"/>
      <c r="QLS66" s="146"/>
      <c r="QLT66" s="146"/>
      <c r="QLU66" s="146"/>
      <c r="QLV66" s="146"/>
      <c r="QLW66" s="146"/>
      <c r="QLX66" s="146"/>
      <c r="QLY66" s="146"/>
      <c r="QLZ66" s="146"/>
      <c r="QMA66" s="146"/>
      <c r="QMB66" s="146"/>
      <c r="QMC66" s="146"/>
      <c r="QMD66" s="146"/>
      <c r="QME66" s="146"/>
      <c r="QMF66" s="146"/>
      <c r="QMG66" s="146"/>
      <c r="QMH66" s="146"/>
      <c r="QMI66" s="146"/>
      <c r="QMJ66" s="146"/>
      <c r="QMK66" s="146"/>
      <c r="QML66" s="146"/>
      <c r="QMM66" s="146"/>
      <c r="QMN66" s="146"/>
      <c r="QMO66" s="146"/>
      <c r="QMP66" s="146"/>
      <c r="QMQ66" s="146"/>
      <c r="QMR66" s="146"/>
      <c r="QMS66" s="146"/>
      <c r="QMT66" s="146"/>
      <c r="QMU66" s="146"/>
      <c r="QMV66" s="146"/>
      <c r="QMW66" s="146"/>
      <c r="QMX66" s="146"/>
      <c r="QMY66" s="146"/>
      <c r="QMZ66" s="146"/>
      <c r="QNA66" s="146"/>
      <c r="QNB66" s="146"/>
      <c r="QNC66" s="146"/>
      <c r="QND66" s="146"/>
      <c r="QNE66" s="146"/>
      <c r="QNF66" s="146"/>
      <c r="QNG66" s="146"/>
      <c r="QNH66" s="146"/>
      <c r="QNI66" s="146"/>
      <c r="QNJ66" s="146"/>
      <c r="QNK66" s="146"/>
      <c r="QNL66" s="146"/>
      <c r="QNM66" s="146"/>
      <c r="QNN66" s="146"/>
      <c r="QNO66" s="146"/>
      <c r="QNP66" s="146"/>
      <c r="QNQ66" s="146"/>
      <c r="QNR66" s="146"/>
      <c r="QNS66" s="146"/>
      <c r="QNT66" s="146"/>
      <c r="QNU66" s="146"/>
      <c r="QNV66" s="146"/>
      <c r="QNW66" s="146"/>
      <c r="QNX66" s="146"/>
      <c r="QNY66" s="146"/>
      <c r="QNZ66" s="146"/>
      <c r="QOA66" s="146"/>
      <c r="QOB66" s="146"/>
      <c r="QOC66" s="146"/>
      <c r="QOD66" s="146"/>
      <c r="QOE66" s="146"/>
      <c r="QOF66" s="146"/>
      <c r="QOG66" s="146"/>
      <c r="QOH66" s="146"/>
      <c r="QOI66" s="146"/>
      <c r="QOJ66" s="146"/>
      <c r="QOK66" s="146"/>
      <c r="QOL66" s="146"/>
      <c r="QOM66" s="146"/>
      <c r="QON66" s="146"/>
      <c r="QOO66" s="146"/>
      <c r="QOP66" s="146"/>
      <c r="QOQ66" s="146"/>
      <c r="QOR66" s="146"/>
      <c r="QOS66" s="146"/>
      <c r="QOT66" s="146"/>
      <c r="QOU66" s="146"/>
      <c r="QOV66" s="146"/>
      <c r="QOW66" s="146"/>
      <c r="QOX66" s="146"/>
      <c r="QOY66" s="146"/>
      <c r="QOZ66" s="146"/>
      <c r="QPA66" s="146"/>
      <c r="QPB66" s="146"/>
      <c r="QPC66" s="146"/>
      <c r="QPD66" s="146"/>
      <c r="QPE66" s="146"/>
      <c r="QPF66" s="146"/>
      <c r="QPG66" s="146"/>
      <c r="QPH66" s="146"/>
      <c r="QPI66" s="146"/>
      <c r="QPJ66" s="146"/>
      <c r="QPK66" s="146"/>
      <c r="QPL66" s="146"/>
      <c r="QPM66" s="146"/>
      <c r="QPN66" s="146"/>
      <c r="QPO66" s="146"/>
      <c r="QPP66" s="146"/>
      <c r="QPQ66" s="146"/>
      <c r="QPR66" s="146"/>
      <c r="QPS66" s="146"/>
      <c r="QPT66" s="146"/>
      <c r="QPU66" s="146"/>
      <c r="QPV66" s="146"/>
      <c r="QPW66" s="146"/>
      <c r="QPX66" s="146"/>
      <c r="QPY66" s="146"/>
      <c r="QPZ66" s="146"/>
      <c r="QQA66" s="146"/>
      <c r="QQB66" s="146"/>
      <c r="QQC66" s="146"/>
      <c r="QQD66" s="146"/>
      <c r="QQE66" s="146"/>
      <c r="QQF66" s="146"/>
      <c r="QQG66" s="146"/>
      <c r="QQH66" s="146"/>
      <c r="QQI66" s="146"/>
      <c r="QQJ66" s="146"/>
      <c r="QQK66" s="146"/>
      <c r="QQL66" s="146"/>
      <c r="QQM66" s="146"/>
      <c r="QQN66" s="146"/>
      <c r="QQO66" s="146"/>
      <c r="QQP66" s="146"/>
      <c r="QQQ66" s="146"/>
      <c r="QQR66" s="146"/>
      <c r="QQS66" s="146"/>
      <c r="QQT66" s="146"/>
      <c r="QQU66" s="146"/>
      <c r="QQV66" s="146"/>
      <c r="QQW66" s="146"/>
      <c r="QQX66" s="146"/>
      <c r="QQY66" s="146"/>
      <c r="QQZ66" s="146"/>
      <c r="QRA66" s="146"/>
      <c r="QRB66" s="146"/>
      <c r="QRC66" s="146"/>
      <c r="QRD66" s="146"/>
      <c r="QRE66" s="146"/>
      <c r="QRF66" s="146"/>
      <c r="QRG66" s="146"/>
      <c r="QRH66" s="146"/>
      <c r="QRI66" s="146"/>
      <c r="QRJ66" s="146"/>
      <c r="QRK66" s="146"/>
      <c r="QRL66" s="146"/>
      <c r="QRM66" s="146"/>
      <c r="QRN66" s="146"/>
      <c r="QRO66" s="146"/>
      <c r="QRP66" s="146"/>
      <c r="QRQ66" s="146"/>
      <c r="QRR66" s="146"/>
      <c r="QRS66" s="146"/>
      <c r="QRT66" s="146"/>
      <c r="QRU66" s="146"/>
      <c r="QRV66" s="146"/>
      <c r="QRW66" s="146"/>
      <c r="QRX66" s="146"/>
      <c r="QRY66" s="146"/>
      <c r="QRZ66" s="146"/>
      <c r="QSA66" s="146"/>
      <c r="QSB66" s="146"/>
      <c r="QSC66" s="146"/>
      <c r="QSD66" s="146"/>
      <c r="QSE66" s="146"/>
      <c r="QSF66" s="146"/>
      <c r="QSG66" s="146"/>
      <c r="QSH66" s="146"/>
      <c r="QSI66" s="146"/>
      <c r="QSJ66" s="146"/>
      <c r="QSK66" s="146"/>
      <c r="QSL66" s="146"/>
      <c r="QSM66" s="146"/>
      <c r="QSN66" s="146"/>
      <c r="QSO66" s="146"/>
      <c r="QSP66" s="146"/>
      <c r="QSQ66" s="146"/>
      <c r="QSR66" s="146"/>
      <c r="QSS66" s="146"/>
      <c r="QST66" s="146"/>
      <c r="QSU66" s="146"/>
      <c r="QSV66" s="146"/>
      <c r="QSW66" s="146"/>
      <c r="QSX66" s="146"/>
      <c r="QSY66" s="146"/>
      <c r="QSZ66" s="146"/>
      <c r="QTA66" s="146"/>
      <c r="QTB66" s="146"/>
      <c r="QTC66" s="146"/>
      <c r="QTD66" s="146"/>
      <c r="QTE66" s="146"/>
      <c r="QTF66" s="146"/>
      <c r="QTG66" s="146"/>
      <c r="QTH66" s="146"/>
      <c r="QTI66" s="146"/>
      <c r="QTJ66" s="146"/>
      <c r="QTK66" s="146"/>
      <c r="QTL66" s="146"/>
      <c r="QTM66" s="146"/>
      <c r="QTN66" s="146"/>
      <c r="QTO66" s="146"/>
      <c r="QTP66" s="146"/>
      <c r="QTQ66" s="146"/>
      <c r="QTR66" s="146"/>
      <c r="QTS66" s="146"/>
      <c r="QTT66" s="146"/>
      <c r="QTU66" s="146"/>
      <c r="QTV66" s="146"/>
      <c r="QTW66" s="146"/>
      <c r="QTX66" s="146"/>
      <c r="QTY66" s="146"/>
      <c r="QTZ66" s="146"/>
      <c r="QUA66" s="146"/>
      <c r="QUB66" s="146"/>
      <c r="QUC66" s="146"/>
      <c r="QUD66" s="146"/>
      <c r="QUE66" s="146"/>
      <c r="QUF66" s="146"/>
      <c r="QUG66" s="146"/>
      <c r="QUH66" s="146"/>
      <c r="QUI66" s="146"/>
      <c r="QUJ66" s="146"/>
      <c r="QUK66" s="146"/>
      <c r="QUL66" s="146"/>
      <c r="QUM66" s="146"/>
      <c r="QUN66" s="146"/>
      <c r="QUO66" s="146"/>
      <c r="QUP66" s="146"/>
      <c r="QUQ66" s="146"/>
      <c r="QUR66" s="146"/>
      <c r="QUS66" s="146"/>
      <c r="QUT66" s="146"/>
      <c r="QUU66" s="146"/>
      <c r="QUV66" s="146"/>
      <c r="QUW66" s="146"/>
      <c r="QUX66" s="146"/>
      <c r="QUY66" s="146"/>
      <c r="QUZ66" s="146"/>
      <c r="QVA66" s="146"/>
      <c r="QVB66" s="146"/>
      <c r="QVC66" s="146"/>
      <c r="QVD66" s="146"/>
      <c r="QVE66" s="146"/>
      <c r="QVF66" s="146"/>
      <c r="QVG66" s="146"/>
      <c r="QVH66" s="146"/>
      <c r="QVI66" s="146"/>
      <c r="QVJ66" s="146"/>
      <c r="QVK66" s="146"/>
      <c r="QVL66" s="146"/>
      <c r="QVM66" s="146"/>
      <c r="QVN66" s="146"/>
      <c r="QVO66" s="146"/>
      <c r="QVP66" s="146"/>
      <c r="QVQ66" s="146"/>
      <c r="QVR66" s="146"/>
      <c r="QVS66" s="146"/>
      <c r="QVT66" s="146"/>
      <c r="QVU66" s="146"/>
      <c r="QVV66" s="146"/>
      <c r="QVW66" s="146"/>
      <c r="QVX66" s="146"/>
      <c r="QVY66" s="146"/>
      <c r="QVZ66" s="146"/>
      <c r="QWA66" s="146"/>
      <c r="QWB66" s="146"/>
      <c r="QWC66" s="146"/>
      <c r="QWD66" s="146"/>
      <c r="QWE66" s="146"/>
      <c r="QWF66" s="146"/>
      <c r="QWG66" s="146"/>
      <c r="QWH66" s="146"/>
      <c r="QWI66" s="146"/>
      <c r="QWJ66" s="146"/>
      <c r="QWK66" s="146"/>
      <c r="QWL66" s="146"/>
      <c r="QWM66" s="146"/>
      <c r="QWN66" s="146"/>
      <c r="QWO66" s="146"/>
      <c r="QWP66" s="146"/>
      <c r="QWQ66" s="146"/>
      <c r="QWR66" s="146"/>
      <c r="QWS66" s="146"/>
      <c r="QWT66" s="146"/>
      <c r="QWU66" s="146"/>
      <c r="QWV66" s="146"/>
      <c r="QWW66" s="146"/>
      <c r="QWX66" s="146"/>
      <c r="QWY66" s="146"/>
      <c r="QWZ66" s="146"/>
      <c r="QXA66" s="146"/>
      <c r="QXB66" s="146"/>
      <c r="QXC66" s="146"/>
      <c r="QXD66" s="146"/>
      <c r="QXE66" s="146"/>
      <c r="QXF66" s="146"/>
      <c r="QXG66" s="146"/>
      <c r="QXH66" s="146"/>
      <c r="QXI66" s="146"/>
      <c r="QXJ66" s="146"/>
      <c r="QXK66" s="146"/>
      <c r="QXL66" s="146"/>
      <c r="QXM66" s="146"/>
      <c r="QXN66" s="146"/>
      <c r="QXO66" s="146"/>
      <c r="QXP66" s="146"/>
      <c r="QXQ66" s="146"/>
      <c r="QXR66" s="146"/>
      <c r="QXS66" s="146"/>
      <c r="QXT66" s="146"/>
      <c r="QXU66" s="146"/>
      <c r="QXV66" s="146"/>
      <c r="QXW66" s="146"/>
      <c r="QXX66" s="146"/>
      <c r="QXY66" s="146"/>
      <c r="QXZ66" s="146"/>
      <c r="QYA66" s="146"/>
      <c r="QYB66" s="146"/>
      <c r="QYC66" s="146"/>
      <c r="QYD66" s="146"/>
      <c r="QYE66" s="146"/>
      <c r="QYF66" s="146"/>
      <c r="QYG66" s="146"/>
      <c r="QYH66" s="146"/>
      <c r="QYI66" s="146"/>
      <c r="QYJ66" s="146"/>
      <c r="QYK66" s="146"/>
      <c r="QYL66" s="146"/>
      <c r="QYM66" s="146"/>
      <c r="QYN66" s="146"/>
      <c r="QYO66" s="146"/>
      <c r="QYP66" s="146"/>
      <c r="QYQ66" s="146"/>
      <c r="QYR66" s="146"/>
      <c r="QYS66" s="146"/>
      <c r="QYT66" s="146"/>
      <c r="QYU66" s="146"/>
      <c r="QYV66" s="146"/>
      <c r="QYW66" s="146"/>
      <c r="QYX66" s="146"/>
      <c r="QYY66" s="146"/>
      <c r="QYZ66" s="146"/>
      <c r="QZA66" s="146"/>
      <c r="QZB66" s="146"/>
      <c r="QZC66" s="146"/>
      <c r="QZD66" s="146"/>
      <c r="QZE66" s="146"/>
      <c r="QZF66" s="146"/>
      <c r="QZG66" s="146"/>
      <c r="QZH66" s="146"/>
      <c r="QZI66" s="146"/>
      <c r="QZJ66" s="146"/>
      <c r="QZK66" s="146"/>
      <c r="QZL66" s="146"/>
      <c r="QZM66" s="146"/>
      <c r="QZN66" s="146"/>
      <c r="QZO66" s="146"/>
      <c r="QZP66" s="146"/>
      <c r="QZQ66" s="146"/>
      <c r="QZR66" s="146"/>
      <c r="QZS66" s="146"/>
      <c r="QZT66" s="146"/>
      <c r="QZU66" s="146"/>
      <c r="QZV66" s="146"/>
      <c r="QZW66" s="146"/>
      <c r="QZX66" s="146"/>
      <c r="QZY66" s="146"/>
      <c r="QZZ66" s="146"/>
      <c r="RAA66" s="146"/>
      <c r="RAB66" s="146"/>
      <c r="RAC66" s="146"/>
      <c r="RAD66" s="146"/>
      <c r="RAE66" s="146"/>
      <c r="RAF66" s="146"/>
      <c r="RAG66" s="146"/>
      <c r="RAH66" s="146"/>
      <c r="RAI66" s="146"/>
      <c r="RAJ66" s="146"/>
      <c r="RAK66" s="146"/>
      <c r="RAL66" s="146"/>
      <c r="RAM66" s="146"/>
      <c r="RAN66" s="146"/>
      <c r="RAO66" s="146"/>
      <c r="RAP66" s="146"/>
      <c r="RAQ66" s="146"/>
      <c r="RAR66" s="146"/>
      <c r="RAS66" s="146"/>
      <c r="RAT66" s="146"/>
      <c r="RAU66" s="146"/>
      <c r="RAV66" s="146"/>
      <c r="RAW66" s="146"/>
      <c r="RAX66" s="146"/>
      <c r="RAY66" s="146"/>
      <c r="RAZ66" s="146"/>
      <c r="RBA66" s="146"/>
      <c r="RBB66" s="146"/>
      <c r="RBC66" s="146"/>
      <c r="RBD66" s="146"/>
      <c r="RBE66" s="146"/>
      <c r="RBF66" s="146"/>
      <c r="RBG66" s="146"/>
      <c r="RBH66" s="146"/>
      <c r="RBI66" s="146"/>
      <c r="RBJ66" s="146"/>
      <c r="RBK66" s="146"/>
      <c r="RBL66" s="146"/>
      <c r="RBM66" s="146"/>
      <c r="RBN66" s="146"/>
      <c r="RBO66" s="146"/>
      <c r="RBP66" s="146"/>
      <c r="RBQ66" s="146"/>
      <c r="RBR66" s="146"/>
      <c r="RBS66" s="146"/>
      <c r="RBT66" s="146"/>
      <c r="RBU66" s="146"/>
      <c r="RBV66" s="146"/>
      <c r="RBW66" s="146"/>
      <c r="RBX66" s="146"/>
      <c r="RBY66" s="146"/>
      <c r="RBZ66" s="146"/>
      <c r="RCA66" s="146"/>
      <c r="RCB66" s="146"/>
      <c r="RCC66" s="146"/>
      <c r="RCD66" s="146"/>
      <c r="RCE66" s="146"/>
      <c r="RCF66" s="146"/>
      <c r="RCG66" s="146"/>
      <c r="RCH66" s="146"/>
      <c r="RCI66" s="146"/>
      <c r="RCJ66" s="146"/>
      <c r="RCK66" s="146"/>
      <c r="RCL66" s="146"/>
      <c r="RCM66" s="146"/>
      <c r="RCN66" s="146"/>
      <c r="RCO66" s="146"/>
      <c r="RCP66" s="146"/>
      <c r="RCQ66" s="146"/>
      <c r="RCR66" s="146"/>
      <c r="RCS66" s="146"/>
      <c r="RCT66" s="146"/>
      <c r="RCU66" s="146"/>
      <c r="RCV66" s="146"/>
      <c r="RCW66" s="146"/>
      <c r="RCX66" s="146"/>
      <c r="RCY66" s="146"/>
      <c r="RCZ66" s="146"/>
      <c r="RDA66" s="146"/>
      <c r="RDB66" s="146"/>
      <c r="RDC66" s="146"/>
      <c r="RDD66" s="146"/>
      <c r="RDE66" s="146"/>
      <c r="RDF66" s="146"/>
      <c r="RDG66" s="146"/>
      <c r="RDH66" s="146"/>
      <c r="RDI66" s="146"/>
      <c r="RDJ66" s="146"/>
      <c r="RDK66" s="146"/>
      <c r="RDL66" s="146"/>
      <c r="RDM66" s="146"/>
      <c r="RDN66" s="146"/>
      <c r="RDO66" s="146"/>
      <c r="RDP66" s="146"/>
      <c r="RDQ66" s="146"/>
      <c r="RDR66" s="146"/>
      <c r="RDS66" s="146"/>
      <c r="RDT66" s="146"/>
      <c r="RDU66" s="146"/>
      <c r="RDV66" s="146"/>
      <c r="RDW66" s="146"/>
      <c r="RDX66" s="146"/>
      <c r="RDY66" s="146"/>
      <c r="RDZ66" s="146"/>
      <c r="REA66" s="146"/>
      <c r="REB66" s="146"/>
      <c r="REC66" s="146"/>
      <c r="RED66" s="146"/>
      <c r="REE66" s="146"/>
      <c r="REF66" s="146"/>
      <c r="REG66" s="146"/>
      <c r="REH66" s="146"/>
      <c r="REI66" s="146"/>
      <c r="REJ66" s="146"/>
      <c r="REK66" s="146"/>
      <c r="REL66" s="146"/>
      <c r="REM66" s="146"/>
      <c r="REN66" s="146"/>
      <c r="REO66" s="146"/>
      <c r="REP66" s="146"/>
      <c r="REQ66" s="146"/>
      <c r="RER66" s="146"/>
      <c r="RES66" s="146"/>
      <c r="RET66" s="146"/>
      <c r="REU66" s="146"/>
      <c r="REV66" s="146"/>
      <c r="REW66" s="146"/>
      <c r="REX66" s="146"/>
      <c r="REY66" s="146"/>
      <c r="REZ66" s="146"/>
      <c r="RFA66" s="146"/>
      <c r="RFB66" s="146"/>
      <c r="RFC66" s="146"/>
      <c r="RFD66" s="146"/>
      <c r="RFE66" s="146"/>
      <c r="RFF66" s="146"/>
      <c r="RFG66" s="146"/>
      <c r="RFH66" s="146"/>
      <c r="RFI66" s="146"/>
      <c r="RFJ66" s="146"/>
      <c r="RFK66" s="146"/>
      <c r="RFL66" s="146"/>
      <c r="RFM66" s="146"/>
      <c r="RFN66" s="146"/>
      <c r="RFO66" s="146"/>
      <c r="RFP66" s="146"/>
      <c r="RFQ66" s="146"/>
      <c r="RFR66" s="146"/>
      <c r="RFS66" s="146"/>
      <c r="RFT66" s="146"/>
      <c r="RFU66" s="146"/>
      <c r="RFV66" s="146"/>
      <c r="RFW66" s="146"/>
      <c r="RFX66" s="146"/>
      <c r="RFY66" s="146"/>
      <c r="RFZ66" s="146"/>
      <c r="RGA66" s="146"/>
      <c r="RGB66" s="146"/>
      <c r="RGC66" s="146"/>
      <c r="RGD66" s="146"/>
      <c r="RGE66" s="146"/>
      <c r="RGF66" s="146"/>
      <c r="RGG66" s="146"/>
      <c r="RGH66" s="146"/>
      <c r="RGI66" s="146"/>
      <c r="RGJ66" s="146"/>
      <c r="RGK66" s="146"/>
      <c r="RGL66" s="146"/>
      <c r="RGM66" s="146"/>
      <c r="RGN66" s="146"/>
      <c r="RGO66" s="146"/>
      <c r="RGP66" s="146"/>
      <c r="RGQ66" s="146"/>
      <c r="RGR66" s="146"/>
      <c r="RGS66" s="146"/>
      <c r="RGT66" s="146"/>
      <c r="RGU66" s="146"/>
      <c r="RGV66" s="146"/>
      <c r="RGW66" s="146"/>
      <c r="RGX66" s="146"/>
      <c r="RGY66" s="146"/>
      <c r="RGZ66" s="146"/>
      <c r="RHA66" s="146"/>
      <c r="RHB66" s="146"/>
      <c r="RHC66" s="146"/>
      <c r="RHD66" s="146"/>
      <c r="RHE66" s="146"/>
      <c r="RHF66" s="146"/>
      <c r="RHG66" s="146"/>
      <c r="RHH66" s="146"/>
      <c r="RHI66" s="146"/>
      <c r="RHJ66" s="146"/>
      <c r="RHK66" s="146"/>
      <c r="RHL66" s="146"/>
      <c r="RHM66" s="146"/>
      <c r="RHN66" s="146"/>
      <c r="RHO66" s="146"/>
      <c r="RHP66" s="146"/>
      <c r="RHQ66" s="146"/>
      <c r="RHR66" s="146"/>
      <c r="RHS66" s="146"/>
      <c r="RHT66" s="146"/>
      <c r="RHU66" s="146"/>
      <c r="RHV66" s="146"/>
      <c r="RHW66" s="146"/>
      <c r="RHX66" s="146"/>
      <c r="RHY66" s="146"/>
      <c r="RHZ66" s="146"/>
      <c r="RIA66" s="146"/>
      <c r="RIB66" s="146"/>
      <c r="RIC66" s="146"/>
      <c r="RID66" s="146"/>
      <c r="RIE66" s="146"/>
      <c r="RIF66" s="146"/>
      <c r="RIG66" s="146"/>
      <c r="RIH66" s="146"/>
      <c r="RII66" s="146"/>
      <c r="RIJ66" s="146"/>
      <c r="RIK66" s="146"/>
      <c r="RIL66" s="146"/>
      <c r="RIM66" s="146"/>
      <c r="RIN66" s="146"/>
      <c r="RIO66" s="146"/>
      <c r="RIP66" s="146"/>
      <c r="RIQ66" s="146"/>
      <c r="RIR66" s="146"/>
      <c r="RIS66" s="146"/>
      <c r="RIT66" s="146"/>
      <c r="RIU66" s="146"/>
      <c r="RIV66" s="146"/>
      <c r="RIW66" s="146"/>
      <c r="RIX66" s="146"/>
      <c r="RIY66" s="146"/>
      <c r="RIZ66" s="146"/>
      <c r="RJA66" s="146"/>
      <c r="RJB66" s="146"/>
      <c r="RJC66" s="146"/>
      <c r="RJD66" s="146"/>
      <c r="RJE66" s="146"/>
      <c r="RJF66" s="146"/>
      <c r="RJG66" s="146"/>
      <c r="RJH66" s="146"/>
      <c r="RJI66" s="146"/>
      <c r="RJJ66" s="146"/>
      <c r="RJK66" s="146"/>
      <c r="RJL66" s="146"/>
      <c r="RJM66" s="146"/>
      <c r="RJN66" s="146"/>
      <c r="RJO66" s="146"/>
      <c r="RJP66" s="146"/>
      <c r="RJQ66" s="146"/>
      <c r="RJR66" s="146"/>
      <c r="RJS66" s="146"/>
      <c r="RJT66" s="146"/>
      <c r="RJU66" s="146"/>
      <c r="RJV66" s="146"/>
      <c r="RJW66" s="146"/>
      <c r="RJX66" s="146"/>
      <c r="RJY66" s="146"/>
      <c r="RJZ66" s="146"/>
      <c r="RKA66" s="146"/>
      <c r="RKB66" s="146"/>
      <c r="RKC66" s="146"/>
      <c r="RKD66" s="146"/>
      <c r="RKE66" s="146"/>
      <c r="RKF66" s="146"/>
      <c r="RKG66" s="146"/>
      <c r="RKH66" s="146"/>
      <c r="RKI66" s="146"/>
      <c r="RKJ66" s="146"/>
      <c r="RKK66" s="146"/>
      <c r="RKL66" s="146"/>
      <c r="RKM66" s="146"/>
      <c r="RKN66" s="146"/>
      <c r="RKO66" s="146"/>
      <c r="RKP66" s="146"/>
      <c r="RKQ66" s="146"/>
      <c r="RKR66" s="146"/>
      <c r="RKS66" s="146"/>
      <c r="RKT66" s="146"/>
      <c r="RKU66" s="146"/>
      <c r="RKV66" s="146"/>
      <c r="RKW66" s="146"/>
      <c r="RKX66" s="146"/>
      <c r="RKY66" s="146"/>
      <c r="RKZ66" s="146"/>
      <c r="RLA66" s="146"/>
      <c r="RLB66" s="146"/>
      <c r="RLC66" s="146"/>
      <c r="RLD66" s="146"/>
      <c r="RLE66" s="146"/>
      <c r="RLF66" s="146"/>
      <c r="RLG66" s="146"/>
      <c r="RLH66" s="146"/>
      <c r="RLI66" s="146"/>
      <c r="RLJ66" s="146"/>
      <c r="RLK66" s="146"/>
      <c r="RLL66" s="146"/>
      <c r="RLM66" s="146"/>
      <c r="RLN66" s="146"/>
      <c r="RLO66" s="146"/>
      <c r="RLP66" s="146"/>
      <c r="RLQ66" s="146"/>
      <c r="RLR66" s="146"/>
      <c r="RLS66" s="146"/>
      <c r="RLT66" s="146"/>
      <c r="RLU66" s="146"/>
      <c r="RLV66" s="146"/>
      <c r="RLW66" s="146"/>
      <c r="RLX66" s="146"/>
      <c r="RLY66" s="146"/>
      <c r="RLZ66" s="146"/>
      <c r="RMA66" s="146"/>
      <c r="RMB66" s="146"/>
      <c r="RMC66" s="146"/>
      <c r="RMD66" s="146"/>
      <c r="RME66" s="146"/>
      <c r="RMF66" s="146"/>
      <c r="RMG66" s="146"/>
      <c r="RMH66" s="146"/>
      <c r="RMI66" s="146"/>
      <c r="RMJ66" s="146"/>
      <c r="RMK66" s="146"/>
      <c r="RML66" s="146"/>
      <c r="RMM66" s="146"/>
      <c r="RMN66" s="146"/>
      <c r="RMO66" s="146"/>
      <c r="RMP66" s="146"/>
      <c r="RMQ66" s="146"/>
      <c r="RMR66" s="146"/>
      <c r="RMS66" s="146"/>
      <c r="RMT66" s="146"/>
      <c r="RMU66" s="146"/>
      <c r="RMV66" s="146"/>
      <c r="RMW66" s="146"/>
      <c r="RMX66" s="146"/>
      <c r="RMY66" s="146"/>
      <c r="RMZ66" s="146"/>
      <c r="RNA66" s="146"/>
      <c r="RNB66" s="146"/>
      <c r="RNC66" s="146"/>
      <c r="RND66" s="146"/>
      <c r="RNE66" s="146"/>
      <c r="RNF66" s="146"/>
      <c r="RNG66" s="146"/>
      <c r="RNH66" s="146"/>
      <c r="RNI66" s="146"/>
      <c r="RNJ66" s="146"/>
      <c r="RNK66" s="146"/>
      <c r="RNL66" s="146"/>
      <c r="RNM66" s="146"/>
      <c r="RNN66" s="146"/>
      <c r="RNO66" s="146"/>
      <c r="RNP66" s="146"/>
      <c r="RNQ66" s="146"/>
      <c r="RNR66" s="146"/>
      <c r="RNS66" s="146"/>
      <c r="RNT66" s="146"/>
      <c r="RNU66" s="146"/>
      <c r="RNV66" s="146"/>
      <c r="RNW66" s="146"/>
      <c r="RNX66" s="146"/>
      <c r="RNY66" s="146"/>
      <c r="RNZ66" s="146"/>
      <c r="ROA66" s="146"/>
      <c r="ROB66" s="146"/>
      <c r="ROC66" s="146"/>
      <c r="ROD66" s="146"/>
      <c r="ROE66" s="146"/>
      <c r="ROF66" s="146"/>
      <c r="ROG66" s="146"/>
      <c r="ROH66" s="146"/>
      <c r="ROI66" s="146"/>
      <c r="ROJ66" s="146"/>
      <c r="ROK66" s="146"/>
      <c r="ROL66" s="146"/>
      <c r="ROM66" s="146"/>
      <c r="RON66" s="146"/>
      <c r="ROO66" s="146"/>
      <c r="ROP66" s="146"/>
      <c r="ROQ66" s="146"/>
      <c r="ROR66" s="146"/>
      <c r="ROS66" s="146"/>
      <c r="ROT66" s="146"/>
      <c r="ROU66" s="146"/>
      <c r="ROV66" s="146"/>
      <c r="ROW66" s="146"/>
      <c r="ROX66" s="146"/>
      <c r="ROY66" s="146"/>
      <c r="ROZ66" s="146"/>
      <c r="RPA66" s="146"/>
      <c r="RPB66" s="146"/>
      <c r="RPC66" s="146"/>
      <c r="RPD66" s="146"/>
      <c r="RPE66" s="146"/>
      <c r="RPF66" s="146"/>
      <c r="RPG66" s="146"/>
      <c r="RPH66" s="146"/>
      <c r="RPI66" s="146"/>
      <c r="RPJ66" s="146"/>
      <c r="RPK66" s="146"/>
      <c r="RPL66" s="146"/>
      <c r="RPM66" s="146"/>
      <c r="RPN66" s="146"/>
      <c r="RPO66" s="146"/>
      <c r="RPP66" s="146"/>
      <c r="RPQ66" s="146"/>
      <c r="RPR66" s="146"/>
      <c r="RPS66" s="146"/>
      <c r="RPT66" s="146"/>
      <c r="RPU66" s="146"/>
      <c r="RPV66" s="146"/>
      <c r="RPW66" s="146"/>
      <c r="RPX66" s="146"/>
      <c r="RPY66" s="146"/>
      <c r="RPZ66" s="146"/>
      <c r="RQA66" s="146"/>
      <c r="RQB66" s="146"/>
      <c r="RQC66" s="146"/>
      <c r="RQD66" s="146"/>
      <c r="RQE66" s="146"/>
      <c r="RQF66" s="146"/>
      <c r="RQG66" s="146"/>
      <c r="RQH66" s="146"/>
      <c r="RQI66" s="146"/>
      <c r="RQJ66" s="146"/>
      <c r="RQK66" s="146"/>
      <c r="RQL66" s="146"/>
      <c r="RQM66" s="146"/>
      <c r="RQN66" s="146"/>
      <c r="RQO66" s="146"/>
      <c r="RQP66" s="146"/>
      <c r="RQQ66" s="146"/>
      <c r="RQR66" s="146"/>
      <c r="RQS66" s="146"/>
      <c r="RQT66" s="146"/>
      <c r="RQU66" s="146"/>
      <c r="RQV66" s="146"/>
      <c r="RQW66" s="146"/>
      <c r="RQX66" s="146"/>
      <c r="RQY66" s="146"/>
      <c r="RQZ66" s="146"/>
      <c r="RRA66" s="146"/>
      <c r="RRB66" s="146"/>
      <c r="RRC66" s="146"/>
      <c r="RRD66" s="146"/>
      <c r="RRE66" s="146"/>
      <c r="RRF66" s="146"/>
      <c r="RRG66" s="146"/>
      <c r="RRH66" s="146"/>
      <c r="RRI66" s="146"/>
      <c r="RRJ66" s="146"/>
      <c r="RRK66" s="146"/>
      <c r="RRL66" s="146"/>
      <c r="RRM66" s="146"/>
      <c r="RRN66" s="146"/>
      <c r="RRO66" s="146"/>
      <c r="RRP66" s="146"/>
      <c r="RRQ66" s="146"/>
      <c r="RRR66" s="146"/>
      <c r="RRS66" s="146"/>
      <c r="RRT66" s="146"/>
      <c r="RRU66" s="146"/>
      <c r="RRV66" s="146"/>
      <c r="RRW66" s="146"/>
      <c r="RRX66" s="146"/>
      <c r="RRY66" s="146"/>
      <c r="RRZ66" s="146"/>
      <c r="RSA66" s="146"/>
      <c r="RSB66" s="146"/>
      <c r="RSC66" s="146"/>
      <c r="RSD66" s="146"/>
      <c r="RSE66" s="146"/>
      <c r="RSF66" s="146"/>
      <c r="RSG66" s="146"/>
      <c r="RSH66" s="146"/>
      <c r="RSI66" s="146"/>
      <c r="RSJ66" s="146"/>
      <c r="RSK66" s="146"/>
      <c r="RSL66" s="146"/>
      <c r="RSM66" s="146"/>
      <c r="RSN66" s="146"/>
      <c r="RSO66" s="146"/>
      <c r="RSP66" s="146"/>
      <c r="RSQ66" s="146"/>
      <c r="RSR66" s="146"/>
      <c r="RSS66" s="146"/>
      <c r="RST66" s="146"/>
      <c r="RSU66" s="146"/>
      <c r="RSV66" s="146"/>
      <c r="RSW66" s="146"/>
      <c r="RSX66" s="146"/>
      <c r="RSY66" s="146"/>
      <c r="RSZ66" s="146"/>
      <c r="RTA66" s="146"/>
      <c r="RTB66" s="146"/>
      <c r="RTC66" s="146"/>
      <c r="RTD66" s="146"/>
      <c r="RTE66" s="146"/>
      <c r="RTF66" s="146"/>
      <c r="RTG66" s="146"/>
      <c r="RTH66" s="146"/>
      <c r="RTI66" s="146"/>
      <c r="RTJ66" s="146"/>
      <c r="RTK66" s="146"/>
      <c r="RTL66" s="146"/>
      <c r="RTM66" s="146"/>
      <c r="RTN66" s="146"/>
      <c r="RTO66" s="146"/>
      <c r="RTP66" s="146"/>
      <c r="RTQ66" s="146"/>
      <c r="RTR66" s="146"/>
      <c r="RTS66" s="146"/>
      <c r="RTT66" s="146"/>
      <c r="RTU66" s="146"/>
      <c r="RTV66" s="146"/>
      <c r="RTW66" s="146"/>
      <c r="RTX66" s="146"/>
      <c r="RTY66" s="146"/>
      <c r="RTZ66" s="146"/>
      <c r="RUA66" s="146"/>
      <c r="RUB66" s="146"/>
      <c r="RUC66" s="146"/>
      <c r="RUD66" s="146"/>
      <c r="RUE66" s="146"/>
      <c r="RUF66" s="146"/>
      <c r="RUG66" s="146"/>
      <c r="RUH66" s="146"/>
      <c r="RUI66" s="146"/>
      <c r="RUJ66" s="146"/>
      <c r="RUK66" s="146"/>
      <c r="RUL66" s="146"/>
      <c r="RUM66" s="146"/>
      <c r="RUN66" s="146"/>
      <c r="RUO66" s="146"/>
      <c r="RUP66" s="146"/>
      <c r="RUQ66" s="146"/>
      <c r="RUR66" s="146"/>
      <c r="RUS66" s="146"/>
      <c r="RUT66" s="146"/>
      <c r="RUU66" s="146"/>
      <c r="RUV66" s="146"/>
      <c r="RUW66" s="146"/>
      <c r="RUX66" s="146"/>
      <c r="RUY66" s="146"/>
      <c r="RUZ66" s="146"/>
      <c r="RVA66" s="146"/>
      <c r="RVB66" s="146"/>
      <c r="RVC66" s="146"/>
      <c r="RVD66" s="146"/>
      <c r="RVE66" s="146"/>
      <c r="RVF66" s="146"/>
      <c r="RVG66" s="146"/>
      <c r="RVH66" s="146"/>
      <c r="RVI66" s="146"/>
      <c r="RVJ66" s="146"/>
      <c r="RVK66" s="146"/>
      <c r="RVL66" s="146"/>
      <c r="RVM66" s="146"/>
      <c r="RVN66" s="146"/>
      <c r="RVO66" s="146"/>
      <c r="RVP66" s="146"/>
      <c r="RVQ66" s="146"/>
      <c r="RVR66" s="146"/>
      <c r="RVS66" s="146"/>
      <c r="RVT66" s="146"/>
      <c r="RVU66" s="146"/>
      <c r="RVV66" s="146"/>
      <c r="RVW66" s="146"/>
      <c r="RVX66" s="146"/>
      <c r="RVY66" s="146"/>
      <c r="RVZ66" s="146"/>
      <c r="RWA66" s="146"/>
      <c r="RWB66" s="146"/>
      <c r="RWC66" s="146"/>
      <c r="RWD66" s="146"/>
      <c r="RWE66" s="146"/>
      <c r="RWF66" s="146"/>
      <c r="RWG66" s="146"/>
      <c r="RWH66" s="146"/>
      <c r="RWI66" s="146"/>
      <c r="RWJ66" s="146"/>
      <c r="RWK66" s="146"/>
      <c r="RWL66" s="146"/>
      <c r="RWM66" s="146"/>
      <c r="RWN66" s="146"/>
      <c r="RWO66" s="146"/>
      <c r="RWP66" s="146"/>
      <c r="RWQ66" s="146"/>
      <c r="RWR66" s="146"/>
      <c r="RWS66" s="146"/>
      <c r="RWT66" s="146"/>
      <c r="RWU66" s="146"/>
      <c r="RWV66" s="146"/>
      <c r="RWW66" s="146"/>
      <c r="RWX66" s="146"/>
      <c r="RWY66" s="146"/>
      <c r="RWZ66" s="146"/>
      <c r="RXA66" s="146"/>
      <c r="RXB66" s="146"/>
      <c r="RXC66" s="146"/>
      <c r="RXD66" s="146"/>
      <c r="RXE66" s="146"/>
      <c r="RXF66" s="146"/>
      <c r="RXG66" s="146"/>
      <c r="RXH66" s="146"/>
      <c r="RXI66" s="146"/>
      <c r="RXJ66" s="146"/>
      <c r="RXK66" s="146"/>
      <c r="RXL66" s="146"/>
      <c r="RXM66" s="146"/>
      <c r="RXN66" s="146"/>
      <c r="RXO66" s="146"/>
      <c r="RXP66" s="146"/>
      <c r="RXQ66" s="146"/>
      <c r="RXR66" s="146"/>
      <c r="RXS66" s="146"/>
      <c r="RXT66" s="146"/>
      <c r="RXU66" s="146"/>
      <c r="RXV66" s="146"/>
      <c r="RXW66" s="146"/>
      <c r="RXX66" s="146"/>
      <c r="RXY66" s="146"/>
      <c r="RXZ66" s="146"/>
      <c r="RYA66" s="146"/>
      <c r="RYB66" s="146"/>
      <c r="RYC66" s="146"/>
      <c r="RYD66" s="146"/>
      <c r="RYE66" s="146"/>
      <c r="RYF66" s="146"/>
      <c r="RYG66" s="146"/>
      <c r="RYH66" s="146"/>
      <c r="RYI66" s="146"/>
      <c r="RYJ66" s="146"/>
      <c r="RYK66" s="146"/>
      <c r="RYL66" s="146"/>
      <c r="RYM66" s="146"/>
      <c r="RYN66" s="146"/>
      <c r="RYO66" s="146"/>
      <c r="RYP66" s="146"/>
      <c r="RYQ66" s="146"/>
      <c r="RYR66" s="146"/>
      <c r="RYS66" s="146"/>
      <c r="RYT66" s="146"/>
      <c r="RYU66" s="146"/>
      <c r="RYV66" s="146"/>
      <c r="RYW66" s="146"/>
      <c r="RYX66" s="146"/>
      <c r="RYY66" s="146"/>
      <c r="RYZ66" s="146"/>
      <c r="RZA66" s="146"/>
      <c r="RZB66" s="146"/>
      <c r="RZC66" s="146"/>
      <c r="RZD66" s="146"/>
      <c r="RZE66" s="146"/>
      <c r="RZF66" s="146"/>
      <c r="RZG66" s="146"/>
      <c r="RZH66" s="146"/>
      <c r="RZI66" s="146"/>
      <c r="RZJ66" s="146"/>
      <c r="RZK66" s="146"/>
      <c r="RZL66" s="146"/>
      <c r="RZM66" s="146"/>
      <c r="RZN66" s="146"/>
      <c r="RZO66" s="146"/>
      <c r="RZP66" s="146"/>
      <c r="RZQ66" s="146"/>
      <c r="RZR66" s="146"/>
      <c r="RZS66" s="146"/>
      <c r="RZT66" s="146"/>
      <c r="RZU66" s="146"/>
      <c r="RZV66" s="146"/>
      <c r="RZW66" s="146"/>
      <c r="RZX66" s="146"/>
      <c r="RZY66" s="146"/>
      <c r="RZZ66" s="146"/>
      <c r="SAA66" s="146"/>
      <c r="SAB66" s="146"/>
      <c r="SAC66" s="146"/>
      <c r="SAD66" s="146"/>
      <c r="SAE66" s="146"/>
      <c r="SAF66" s="146"/>
      <c r="SAG66" s="146"/>
      <c r="SAH66" s="146"/>
      <c r="SAI66" s="146"/>
      <c r="SAJ66" s="146"/>
      <c r="SAK66" s="146"/>
      <c r="SAL66" s="146"/>
      <c r="SAM66" s="146"/>
      <c r="SAN66" s="146"/>
      <c r="SAO66" s="146"/>
      <c r="SAP66" s="146"/>
      <c r="SAQ66" s="146"/>
      <c r="SAR66" s="146"/>
      <c r="SAS66" s="146"/>
      <c r="SAT66" s="146"/>
      <c r="SAU66" s="146"/>
      <c r="SAV66" s="146"/>
      <c r="SAW66" s="146"/>
      <c r="SAX66" s="146"/>
      <c r="SAY66" s="146"/>
      <c r="SAZ66" s="146"/>
      <c r="SBA66" s="146"/>
      <c r="SBB66" s="146"/>
      <c r="SBC66" s="146"/>
      <c r="SBD66" s="146"/>
      <c r="SBE66" s="146"/>
      <c r="SBF66" s="146"/>
      <c r="SBG66" s="146"/>
      <c r="SBH66" s="146"/>
      <c r="SBI66" s="146"/>
      <c r="SBJ66" s="146"/>
      <c r="SBK66" s="146"/>
      <c r="SBL66" s="146"/>
      <c r="SBM66" s="146"/>
      <c r="SBN66" s="146"/>
      <c r="SBO66" s="146"/>
      <c r="SBP66" s="146"/>
      <c r="SBQ66" s="146"/>
      <c r="SBR66" s="146"/>
      <c r="SBS66" s="146"/>
      <c r="SBT66" s="146"/>
      <c r="SBU66" s="146"/>
      <c r="SBV66" s="146"/>
      <c r="SBW66" s="146"/>
      <c r="SBX66" s="146"/>
      <c r="SBY66" s="146"/>
      <c r="SBZ66" s="146"/>
      <c r="SCA66" s="146"/>
      <c r="SCB66" s="146"/>
      <c r="SCC66" s="146"/>
      <c r="SCD66" s="146"/>
      <c r="SCE66" s="146"/>
      <c r="SCF66" s="146"/>
      <c r="SCG66" s="146"/>
      <c r="SCH66" s="146"/>
      <c r="SCI66" s="146"/>
      <c r="SCJ66" s="146"/>
      <c r="SCK66" s="146"/>
      <c r="SCL66" s="146"/>
      <c r="SCM66" s="146"/>
      <c r="SCN66" s="146"/>
      <c r="SCO66" s="146"/>
      <c r="SCP66" s="146"/>
      <c r="SCQ66" s="146"/>
      <c r="SCR66" s="146"/>
      <c r="SCS66" s="146"/>
      <c r="SCT66" s="146"/>
      <c r="SCU66" s="146"/>
      <c r="SCV66" s="146"/>
      <c r="SCW66" s="146"/>
      <c r="SCX66" s="146"/>
      <c r="SCY66" s="146"/>
      <c r="SCZ66" s="146"/>
      <c r="SDA66" s="146"/>
      <c r="SDB66" s="146"/>
      <c r="SDC66" s="146"/>
      <c r="SDD66" s="146"/>
      <c r="SDE66" s="146"/>
      <c r="SDF66" s="146"/>
      <c r="SDG66" s="146"/>
      <c r="SDH66" s="146"/>
      <c r="SDI66" s="146"/>
      <c r="SDJ66" s="146"/>
      <c r="SDK66" s="146"/>
      <c r="SDL66" s="146"/>
      <c r="SDM66" s="146"/>
      <c r="SDN66" s="146"/>
      <c r="SDO66" s="146"/>
      <c r="SDP66" s="146"/>
      <c r="SDQ66" s="146"/>
      <c r="SDR66" s="146"/>
      <c r="SDS66" s="146"/>
      <c r="SDT66" s="146"/>
      <c r="SDU66" s="146"/>
      <c r="SDV66" s="146"/>
      <c r="SDW66" s="146"/>
      <c r="SDX66" s="146"/>
      <c r="SDY66" s="146"/>
      <c r="SDZ66" s="146"/>
      <c r="SEA66" s="146"/>
      <c r="SEB66" s="146"/>
      <c r="SEC66" s="146"/>
      <c r="SED66" s="146"/>
      <c r="SEE66" s="146"/>
      <c r="SEF66" s="146"/>
      <c r="SEG66" s="146"/>
      <c r="SEH66" s="146"/>
      <c r="SEI66" s="146"/>
      <c r="SEJ66" s="146"/>
      <c r="SEK66" s="146"/>
      <c r="SEL66" s="146"/>
      <c r="SEM66" s="146"/>
      <c r="SEN66" s="146"/>
      <c r="SEO66" s="146"/>
      <c r="SEP66" s="146"/>
      <c r="SEQ66" s="146"/>
      <c r="SER66" s="146"/>
      <c r="SES66" s="146"/>
      <c r="SET66" s="146"/>
      <c r="SEU66" s="146"/>
      <c r="SEV66" s="146"/>
      <c r="SEW66" s="146"/>
      <c r="SEX66" s="146"/>
      <c r="SEY66" s="146"/>
      <c r="SEZ66" s="146"/>
      <c r="SFA66" s="146"/>
      <c r="SFB66" s="146"/>
      <c r="SFC66" s="146"/>
      <c r="SFD66" s="146"/>
      <c r="SFE66" s="146"/>
      <c r="SFF66" s="146"/>
      <c r="SFG66" s="146"/>
      <c r="SFH66" s="146"/>
      <c r="SFI66" s="146"/>
      <c r="SFJ66" s="146"/>
      <c r="SFK66" s="146"/>
      <c r="SFL66" s="146"/>
      <c r="SFM66" s="146"/>
      <c r="SFN66" s="146"/>
      <c r="SFO66" s="146"/>
      <c r="SFP66" s="146"/>
      <c r="SFQ66" s="146"/>
      <c r="SFR66" s="146"/>
      <c r="SFS66" s="146"/>
      <c r="SFT66" s="146"/>
      <c r="SFU66" s="146"/>
      <c r="SFV66" s="146"/>
      <c r="SFW66" s="146"/>
      <c r="SFX66" s="146"/>
      <c r="SFY66" s="146"/>
      <c r="SFZ66" s="146"/>
      <c r="SGA66" s="146"/>
      <c r="SGB66" s="146"/>
      <c r="SGC66" s="146"/>
      <c r="SGD66" s="146"/>
      <c r="SGE66" s="146"/>
      <c r="SGF66" s="146"/>
      <c r="SGG66" s="146"/>
      <c r="SGH66" s="146"/>
      <c r="SGI66" s="146"/>
      <c r="SGJ66" s="146"/>
      <c r="SGK66" s="146"/>
      <c r="SGL66" s="146"/>
      <c r="SGM66" s="146"/>
      <c r="SGN66" s="146"/>
      <c r="SGO66" s="146"/>
      <c r="SGP66" s="146"/>
      <c r="SGQ66" s="146"/>
      <c r="SGR66" s="146"/>
      <c r="SGS66" s="146"/>
      <c r="SGT66" s="146"/>
      <c r="SGU66" s="146"/>
      <c r="SGV66" s="146"/>
      <c r="SGW66" s="146"/>
      <c r="SGX66" s="146"/>
      <c r="SGY66" s="146"/>
      <c r="SGZ66" s="146"/>
      <c r="SHA66" s="146"/>
      <c r="SHB66" s="146"/>
      <c r="SHC66" s="146"/>
      <c r="SHD66" s="146"/>
      <c r="SHE66" s="146"/>
      <c r="SHF66" s="146"/>
      <c r="SHG66" s="146"/>
      <c r="SHH66" s="146"/>
      <c r="SHI66" s="146"/>
      <c r="SHJ66" s="146"/>
      <c r="SHK66" s="146"/>
      <c r="SHL66" s="146"/>
      <c r="SHM66" s="146"/>
      <c r="SHN66" s="146"/>
      <c r="SHO66" s="146"/>
      <c r="SHP66" s="146"/>
      <c r="SHQ66" s="146"/>
      <c r="SHR66" s="146"/>
      <c r="SHS66" s="146"/>
      <c r="SHT66" s="146"/>
      <c r="SHU66" s="146"/>
      <c r="SHV66" s="146"/>
      <c r="SHW66" s="146"/>
      <c r="SHX66" s="146"/>
      <c r="SHY66" s="146"/>
      <c r="SHZ66" s="146"/>
      <c r="SIA66" s="146"/>
      <c r="SIB66" s="146"/>
      <c r="SIC66" s="146"/>
      <c r="SID66" s="146"/>
      <c r="SIE66" s="146"/>
      <c r="SIF66" s="146"/>
      <c r="SIG66" s="146"/>
      <c r="SIH66" s="146"/>
      <c r="SII66" s="146"/>
      <c r="SIJ66" s="146"/>
      <c r="SIK66" s="146"/>
      <c r="SIL66" s="146"/>
      <c r="SIM66" s="146"/>
      <c r="SIN66" s="146"/>
      <c r="SIO66" s="146"/>
      <c r="SIP66" s="146"/>
      <c r="SIQ66" s="146"/>
      <c r="SIR66" s="146"/>
      <c r="SIS66" s="146"/>
      <c r="SIT66" s="146"/>
      <c r="SIU66" s="146"/>
      <c r="SIV66" s="146"/>
      <c r="SIW66" s="146"/>
      <c r="SIX66" s="146"/>
      <c r="SIY66" s="146"/>
      <c r="SIZ66" s="146"/>
      <c r="SJA66" s="146"/>
      <c r="SJB66" s="146"/>
      <c r="SJC66" s="146"/>
      <c r="SJD66" s="146"/>
      <c r="SJE66" s="146"/>
      <c r="SJF66" s="146"/>
      <c r="SJG66" s="146"/>
      <c r="SJH66" s="146"/>
      <c r="SJI66" s="146"/>
      <c r="SJJ66" s="146"/>
      <c r="SJK66" s="146"/>
      <c r="SJL66" s="146"/>
      <c r="SJM66" s="146"/>
      <c r="SJN66" s="146"/>
      <c r="SJO66" s="146"/>
      <c r="SJP66" s="146"/>
      <c r="SJQ66" s="146"/>
      <c r="SJR66" s="146"/>
      <c r="SJS66" s="146"/>
      <c r="SJT66" s="146"/>
      <c r="SJU66" s="146"/>
      <c r="SJV66" s="146"/>
      <c r="SJW66" s="146"/>
      <c r="SJX66" s="146"/>
      <c r="SJY66" s="146"/>
      <c r="SJZ66" s="146"/>
      <c r="SKA66" s="146"/>
      <c r="SKB66" s="146"/>
      <c r="SKC66" s="146"/>
      <c r="SKD66" s="146"/>
      <c r="SKE66" s="146"/>
      <c r="SKF66" s="146"/>
      <c r="SKG66" s="146"/>
      <c r="SKH66" s="146"/>
      <c r="SKI66" s="146"/>
      <c r="SKJ66" s="146"/>
      <c r="SKK66" s="146"/>
      <c r="SKL66" s="146"/>
      <c r="SKM66" s="146"/>
      <c r="SKN66" s="146"/>
      <c r="SKO66" s="146"/>
      <c r="SKP66" s="146"/>
      <c r="SKQ66" s="146"/>
      <c r="SKR66" s="146"/>
      <c r="SKS66" s="146"/>
      <c r="SKT66" s="146"/>
      <c r="SKU66" s="146"/>
      <c r="SKV66" s="146"/>
      <c r="SKW66" s="146"/>
      <c r="SKX66" s="146"/>
      <c r="SKY66" s="146"/>
      <c r="SKZ66" s="146"/>
      <c r="SLA66" s="146"/>
      <c r="SLB66" s="146"/>
      <c r="SLC66" s="146"/>
      <c r="SLD66" s="146"/>
      <c r="SLE66" s="146"/>
      <c r="SLF66" s="146"/>
      <c r="SLG66" s="146"/>
      <c r="SLH66" s="146"/>
      <c r="SLI66" s="146"/>
      <c r="SLJ66" s="146"/>
      <c r="SLK66" s="146"/>
      <c r="SLL66" s="146"/>
      <c r="SLM66" s="146"/>
      <c r="SLN66" s="146"/>
      <c r="SLO66" s="146"/>
      <c r="SLP66" s="146"/>
      <c r="SLQ66" s="146"/>
      <c r="SLR66" s="146"/>
      <c r="SLS66" s="146"/>
      <c r="SLT66" s="146"/>
      <c r="SLU66" s="146"/>
      <c r="SLV66" s="146"/>
      <c r="SLW66" s="146"/>
      <c r="SLX66" s="146"/>
      <c r="SLY66" s="146"/>
      <c r="SLZ66" s="146"/>
      <c r="SMA66" s="146"/>
      <c r="SMB66" s="146"/>
      <c r="SMC66" s="146"/>
      <c r="SMD66" s="146"/>
      <c r="SME66" s="146"/>
      <c r="SMF66" s="146"/>
      <c r="SMG66" s="146"/>
      <c r="SMH66" s="146"/>
      <c r="SMI66" s="146"/>
      <c r="SMJ66" s="146"/>
      <c r="SMK66" s="146"/>
      <c r="SML66" s="146"/>
      <c r="SMM66" s="146"/>
      <c r="SMN66" s="146"/>
      <c r="SMO66" s="146"/>
      <c r="SMP66" s="146"/>
      <c r="SMQ66" s="146"/>
      <c r="SMR66" s="146"/>
      <c r="SMS66" s="146"/>
      <c r="SMT66" s="146"/>
      <c r="SMU66" s="146"/>
      <c r="SMV66" s="146"/>
      <c r="SMW66" s="146"/>
      <c r="SMX66" s="146"/>
      <c r="SMY66" s="146"/>
      <c r="SMZ66" s="146"/>
      <c r="SNA66" s="146"/>
      <c r="SNB66" s="146"/>
      <c r="SNC66" s="146"/>
      <c r="SND66" s="146"/>
      <c r="SNE66" s="146"/>
      <c r="SNF66" s="146"/>
      <c r="SNG66" s="146"/>
      <c r="SNH66" s="146"/>
      <c r="SNI66" s="146"/>
      <c r="SNJ66" s="146"/>
      <c r="SNK66" s="146"/>
      <c r="SNL66" s="146"/>
      <c r="SNM66" s="146"/>
      <c r="SNN66" s="146"/>
      <c r="SNO66" s="146"/>
      <c r="SNP66" s="146"/>
      <c r="SNQ66" s="146"/>
      <c r="SNR66" s="146"/>
      <c r="SNS66" s="146"/>
      <c r="SNT66" s="146"/>
      <c r="SNU66" s="146"/>
      <c r="SNV66" s="146"/>
      <c r="SNW66" s="146"/>
      <c r="SNX66" s="146"/>
      <c r="SNY66" s="146"/>
      <c r="SNZ66" s="146"/>
      <c r="SOA66" s="146"/>
      <c r="SOB66" s="146"/>
      <c r="SOC66" s="146"/>
      <c r="SOD66" s="146"/>
      <c r="SOE66" s="146"/>
      <c r="SOF66" s="146"/>
      <c r="SOG66" s="146"/>
      <c r="SOH66" s="146"/>
      <c r="SOI66" s="146"/>
      <c r="SOJ66" s="146"/>
      <c r="SOK66" s="146"/>
      <c r="SOL66" s="146"/>
      <c r="SOM66" s="146"/>
      <c r="SON66" s="146"/>
      <c r="SOO66" s="146"/>
      <c r="SOP66" s="146"/>
      <c r="SOQ66" s="146"/>
      <c r="SOR66" s="146"/>
      <c r="SOS66" s="146"/>
      <c r="SOT66" s="146"/>
      <c r="SOU66" s="146"/>
      <c r="SOV66" s="146"/>
      <c r="SOW66" s="146"/>
      <c r="SOX66" s="146"/>
      <c r="SOY66" s="146"/>
      <c r="SOZ66" s="146"/>
      <c r="SPA66" s="146"/>
      <c r="SPB66" s="146"/>
      <c r="SPC66" s="146"/>
      <c r="SPD66" s="146"/>
      <c r="SPE66" s="146"/>
      <c r="SPF66" s="146"/>
      <c r="SPG66" s="146"/>
      <c r="SPH66" s="146"/>
      <c r="SPI66" s="146"/>
      <c r="SPJ66" s="146"/>
      <c r="SPK66" s="146"/>
      <c r="SPL66" s="146"/>
      <c r="SPM66" s="146"/>
      <c r="SPN66" s="146"/>
      <c r="SPO66" s="146"/>
      <c r="SPP66" s="146"/>
      <c r="SPQ66" s="146"/>
      <c r="SPR66" s="146"/>
      <c r="SPS66" s="146"/>
      <c r="SPT66" s="146"/>
      <c r="SPU66" s="146"/>
      <c r="SPV66" s="146"/>
      <c r="SPW66" s="146"/>
      <c r="SPX66" s="146"/>
      <c r="SPY66" s="146"/>
      <c r="SPZ66" s="146"/>
      <c r="SQA66" s="146"/>
      <c r="SQB66" s="146"/>
      <c r="SQC66" s="146"/>
      <c r="SQD66" s="146"/>
      <c r="SQE66" s="146"/>
      <c r="SQF66" s="146"/>
      <c r="SQG66" s="146"/>
      <c r="SQH66" s="146"/>
      <c r="SQI66" s="146"/>
      <c r="SQJ66" s="146"/>
      <c r="SQK66" s="146"/>
      <c r="SQL66" s="146"/>
      <c r="SQM66" s="146"/>
      <c r="SQN66" s="146"/>
      <c r="SQO66" s="146"/>
      <c r="SQP66" s="146"/>
      <c r="SQQ66" s="146"/>
      <c r="SQR66" s="146"/>
      <c r="SQS66" s="146"/>
      <c r="SQT66" s="146"/>
      <c r="SQU66" s="146"/>
      <c r="SQV66" s="146"/>
      <c r="SQW66" s="146"/>
      <c r="SQX66" s="146"/>
      <c r="SQY66" s="146"/>
      <c r="SQZ66" s="146"/>
      <c r="SRA66" s="146"/>
      <c r="SRB66" s="146"/>
      <c r="SRC66" s="146"/>
      <c r="SRD66" s="146"/>
      <c r="SRE66" s="146"/>
      <c r="SRF66" s="146"/>
      <c r="SRG66" s="146"/>
      <c r="SRH66" s="146"/>
      <c r="SRI66" s="146"/>
      <c r="SRJ66" s="146"/>
      <c r="SRK66" s="146"/>
      <c r="SRL66" s="146"/>
      <c r="SRM66" s="146"/>
      <c r="SRN66" s="146"/>
      <c r="SRO66" s="146"/>
      <c r="SRP66" s="146"/>
      <c r="SRQ66" s="146"/>
      <c r="SRR66" s="146"/>
      <c r="SRS66" s="146"/>
      <c r="SRT66" s="146"/>
      <c r="SRU66" s="146"/>
      <c r="SRV66" s="146"/>
      <c r="SRW66" s="146"/>
      <c r="SRX66" s="146"/>
      <c r="SRY66" s="146"/>
      <c r="SRZ66" s="146"/>
      <c r="SSA66" s="146"/>
      <c r="SSB66" s="146"/>
      <c r="SSC66" s="146"/>
      <c r="SSD66" s="146"/>
      <c r="SSE66" s="146"/>
      <c r="SSF66" s="146"/>
      <c r="SSG66" s="146"/>
      <c r="SSH66" s="146"/>
      <c r="SSI66" s="146"/>
      <c r="SSJ66" s="146"/>
      <c r="SSK66" s="146"/>
      <c r="SSL66" s="146"/>
      <c r="SSM66" s="146"/>
      <c r="SSN66" s="146"/>
      <c r="SSO66" s="146"/>
      <c r="SSP66" s="146"/>
      <c r="SSQ66" s="146"/>
      <c r="SSR66" s="146"/>
      <c r="SSS66" s="146"/>
      <c r="SST66" s="146"/>
      <c r="SSU66" s="146"/>
      <c r="SSV66" s="146"/>
      <c r="SSW66" s="146"/>
      <c r="SSX66" s="146"/>
      <c r="SSY66" s="146"/>
      <c r="SSZ66" s="146"/>
      <c r="STA66" s="146"/>
      <c r="STB66" s="146"/>
      <c r="STC66" s="146"/>
      <c r="STD66" s="146"/>
      <c r="STE66" s="146"/>
      <c r="STF66" s="146"/>
      <c r="STG66" s="146"/>
      <c r="STH66" s="146"/>
      <c r="STI66" s="146"/>
      <c r="STJ66" s="146"/>
      <c r="STK66" s="146"/>
      <c r="STL66" s="146"/>
      <c r="STM66" s="146"/>
      <c r="STN66" s="146"/>
      <c r="STO66" s="146"/>
      <c r="STP66" s="146"/>
      <c r="STQ66" s="146"/>
      <c r="STR66" s="146"/>
      <c r="STS66" s="146"/>
      <c r="STT66" s="146"/>
      <c r="STU66" s="146"/>
      <c r="STV66" s="146"/>
      <c r="STW66" s="146"/>
      <c r="STX66" s="146"/>
      <c r="STY66" s="146"/>
      <c r="STZ66" s="146"/>
      <c r="SUA66" s="146"/>
      <c r="SUB66" s="146"/>
      <c r="SUC66" s="146"/>
      <c r="SUD66" s="146"/>
      <c r="SUE66" s="146"/>
      <c r="SUF66" s="146"/>
      <c r="SUG66" s="146"/>
      <c r="SUH66" s="146"/>
      <c r="SUI66" s="146"/>
      <c r="SUJ66" s="146"/>
      <c r="SUK66" s="146"/>
      <c r="SUL66" s="146"/>
      <c r="SUM66" s="146"/>
      <c r="SUN66" s="146"/>
      <c r="SUO66" s="146"/>
      <c r="SUP66" s="146"/>
      <c r="SUQ66" s="146"/>
      <c r="SUR66" s="146"/>
      <c r="SUS66" s="146"/>
      <c r="SUT66" s="146"/>
      <c r="SUU66" s="146"/>
      <c r="SUV66" s="146"/>
      <c r="SUW66" s="146"/>
      <c r="SUX66" s="146"/>
      <c r="SUY66" s="146"/>
      <c r="SUZ66" s="146"/>
      <c r="SVA66" s="146"/>
      <c r="SVB66" s="146"/>
      <c r="SVC66" s="146"/>
      <c r="SVD66" s="146"/>
      <c r="SVE66" s="146"/>
      <c r="SVF66" s="146"/>
      <c r="SVG66" s="146"/>
      <c r="SVH66" s="146"/>
      <c r="SVI66" s="146"/>
      <c r="SVJ66" s="146"/>
      <c r="SVK66" s="146"/>
      <c r="SVL66" s="146"/>
      <c r="SVM66" s="146"/>
      <c r="SVN66" s="146"/>
      <c r="SVO66" s="146"/>
      <c r="SVP66" s="146"/>
      <c r="SVQ66" s="146"/>
      <c r="SVR66" s="146"/>
      <c r="SVS66" s="146"/>
      <c r="SVT66" s="146"/>
      <c r="SVU66" s="146"/>
      <c r="SVV66" s="146"/>
      <c r="SVW66" s="146"/>
      <c r="SVX66" s="146"/>
      <c r="SVY66" s="146"/>
      <c r="SVZ66" s="146"/>
      <c r="SWA66" s="146"/>
      <c r="SWB66" s="146"/>
      <c r="SWC66" s="146"/>
      <c r="SWD66" s="146"/>
      <c r="SWE66" s="146"/>
      <c r="SWF66" s="146"/>
      <c r="SWG66" s="146"/>
      <c r="SWH66" s="146"/>
      <c r="SWI66" s="146"/>
      <c r="SWJ66" s="146"/>
      <c r="SWK66" s="146"/>
      <c r="SWL66" s="146"/>
      <c r="SWM66" s="146"/>
      <c r="SWN66" s="146"/>
      <c r="SWO66" s="146"/>
      <c r="SWP66" s="146"/>
      <c r="SWQ66" s="146"/>
      <c r="SWR66" s="146"/>
      <c r="SWS66" s="146"/>
      <c r="SWT66" s="146"/>
      <c r="SWU66" s="146"/>
      <c r="SWV66" s="146"/>
      <c r="SWW66" s="146"/>
      <c r="SWX66" s="146"/>
      <c r="SWY66" s="146"/>
      <c r="SWZ66" s="146"/>
      <c r="SXA66" s="146"/>
      <c r="SXB66" s="146"/>
      <c r="SXC66" s="146"/>
      <c r="SXD66" s="146"/>
      <c r="SXE66" s="146"/>
      <c r="SXF66" s="146"/>
      <c r="SXG66" s="146"/>
      <c r="SXH66" s="146"/>
      <c r="SXI66" s="146"/>
      <c r="SXJ66" s="146"/>
      <c r="SXK66" s="146"/>
      <c r="SXL66" s="146"/>
      <c r="SXM66" s="146"/>
      <c r="SXN66" s="146"/>
      <c r="SXO66" s="146"/>
      <c r="SXP66" s="146"/>
      <c r="SXQ66" s="146"/>
      <c r="SXR66" s="146"/>
      <c r="SXS66" s="146"/>
      <c r="SXT66" s="146"/>
      <c r="SXU66" s="146"/>
      <c r="SXV66" s="146"/>
      <c r="SXW66" s="146"/>
      <c r="SXX66" s="146"/>
      <c r="SXY66" s="146"/>
      <c r="SXZ66" s="146"/>
      <c r="SYA66" s="146"/>
      <c r="SYB66" s="146"/>
      <c r="SYC66" s="146"/>
      <c r="SYD66" s="146"/>
      <c r="SYE66" s="146"/>
      <c r="SYF66" s="146"/>
      <c r="SYG66" s="146"/>
      <c r="SYH66" s="146"/>
      <c r="SYI66" s="146"/>
      <c r="SYJ66" s="146"/>
      <c r="SYK66" s="146"/>
      <c r="SYL66" s="146"/>
      <c r="SYM66" s="146"/>
      <c r="SYN66" s="146"/>
      <c r="SYO66" s="146"/>
      <c r="SYP66" s="146"/>
      <c r="SYQ66" s="146"/>
      <c r="SYR66" s="146"/>
      <c r="SYS66" s="146"/>
      <c r="SYT66" s="146"/>
      <c r="SYU66" s="146"/>
      <c r="SYV66" s="146"/>
      <c r="SYW66" s="146"/>
      <c r="SYX66" s="146"/>
      <c r="SYY66" s="146"/>
      <c r="SYZ66" s="146"/>
      <c r="SZA66" s="146"/>
      <c r="SZB66" s="146"/>
      <c r="SZC66" s="146"/>
      <c r="SZD66" s="146"/>
      <c r="SZE66" s="146"/>
      <c r="SZF66" s="146"/>
      <c r="SZG66" s="146"/>
      <c r="SZH66" s="146"/>
      <c r="SZI66" s="146"/>
      <c r="SZJ66" s="146"/>
      <c r="SZK66" s="146"/>
      <c r="SZL66" s="146"/>
      <c r="SZM66" s="146"/>
      <c r="SZN66" s="146"/>
      <c r="SZO66" s="146"/>
      <c r="SZP66" s="146"/>
      <c r="SZQ66" s="146"/>
      <c r="SZR66" s="146"/>
      <c r="SZS66" s="146"/>
      <c r="SZT66" s="146"/>
      <c r="SZU66" s="146"/>
      <c r="SZV66" s="146"/>
      <c r="SZW66" s="146"/>
      <c r="SZX66" s="146"/>
      <c r="SZY66" s="146"/>
      <c r="SZZ66" s="146"/>
      <c r="TAA66" s="146"/>
      <c r="TAB66" s="146"/>
      <c r="TAC66" s="146"/>
      <c r="TAD66" s="146"/>
      <c r="TAE66" s="146"/>
      <c r="TAF66" s="146"/>
      <c r="TAG66" s="146"/>
      <c r="TAH66" s="146"/>
      <c r="TAI66" s="146"/>
      <c r="TAJ66" s="146"/>
      <c r="TAK66" s="146"/>
      <c r="TAL66" s="146"/>
      <c r="TAM66" s="146"/>
      <c r="TAN66" s="146"/>
      <c r="TAO66" s="146"/>
      <c r="TAP66" s="146"/>
      <c r="TAQ66" s="146"/>
      <c r="TAR66" s="146"/>
      <c r="TAS66" s="146"/>
      <c r="TAT66" s="146"/>
      <c r="TAU66" s="146"/>
      <c r="TAV66" s="146"/>
      <c r="TAW66" s="146"/>
      <c r="TAX66" s="146"/>
      <c r="TAY66" s="146"/>
      <c r="TAZ66" s="146"/>
      <c r="TBA66" s="146"/>
      <c r="TBB66" s="146"/>
      <c r="TBC66" s="146"/>
      <c r="TBD66" s="146"/>
      <c r="TBE66" s="146"/>
      <c r="TBF66" s="146"/>
      <c r="TBG66" s="146"/>
      <c r="TBH66" s="146"/>
      <c r="TBI66" s="146"/>
      <c r="TBJ66" s="146"/>
      <c r="TBK66" s="146"/>
      <c r="TBL66" s="146"/>
      <c r="TBM66" s="146"/>
      <c r="TBN66" s="146"/>
      <c r="TBO66" s="146"/>
      <c r="TBP66" s="146"/>
      <c r="TBQ66" s="146"/>
      <c r="TBR66" s="146"/>
      <c r="TBS66" s="146"/>
      <c r="TBT66" s="146"/>
      <c r="TBU66" s="146"/>
      <c r="TBV66" s="146"/>
      <c r="TBW66" s="146"/>
      <c r="TBX66" s="146"/>
      <c r="TBY66" s="146"/>
      <c r="TBZ66" s="146"/>
      <c r="TCA66" s="146"/>
      <c r="TCB66" s="146"/>
      <c r="TCC66" s="146"/>
      <c r="TCD66" s="146"/>
      <c r="TCE66" s="146"/>
      <c r="TCF66" s="146"/>
      <c r="TCG66" s="146"/>
      <c r="TCH66" s="146"/>
      <c r="TCI66" s="146"/>
      <c r="TCJ66" s="146"/>
      <c r="TCK66" s="146"/>
      <c r="TCL66" s="146"/>
      <c r="TCM66" s="146"/>
      <c r="TCN66" s="146"/>
      <c r="TCO66" s="146"/>
      <c r="TCP66" s="146"/>
      <c r="TCQ66" s="146"/>
      <c r="TCR66" s="146"/>
      <c r="TCS66" s="146"/>
      <c r="TCT66" s="146"/>
      <c r="TCU66" s="146"/>
      <c r="TCV66" s="146"/>
      <c r="TCW66" s="146"/>
      <c r="TCX66" s="146"/>
      <c r="TCY66" s="146"/>
      <c r="TCZ66" s="146"/>
      <c r="TDA66" s="146"/>
      <c r="TDB66" s="146"/>
      <c r="TDC66" s="146"/>
      <c r="TDD66" s="146"/>
      <c r="TDE66" s="146"/>
      <c r="TDF66" s="146"/>
      <c r="TDG66" s="146"/>
      <c r="TDH66" s="146"/>
      <c r="TDI66" s="146"/>
      <c r="TDJ66" s="146"/>
      <c r="TDK66" s="146"/>
      <c r="TDL66" s="146"/>
      <c r="TDM66" s="146"/>
      <c r="TDN66" s="146"/>
      <c r="TDO66" s="146"/>
      <c r="TDP66" s="146"/>
      <c r="TDQ66" s="146"/>
      <c r="TDR66" s="146"/>
      <c r="TDS66" s="146"/>
      <c r="TDT66" s="146"/>
      <c r="TDU66" s="146"/>
      <c r="TDV66" s="146"/>
      <c r="TDW66" s="146"/>
      <c r="TDX66" s="146"/>
      <c r="TDY66" s="146"/>
      <c r="TDZ66" s="146"/>
      <c r="TEA66" s="146"/>
      <c r="TEB66" s="146"/>
      <c r="TEC66" s="146"/>
      <c r="TED66" s="146"/>
      <c r="TEE66" s="146"/>
      <c r="TEF66" s="146"/>
      <c r="TEG66" s="146"/>
      <c r="TEH66" s="146"/>
      <c r="TEI66" s="146"/>
      <c r="TEJ66" s="146"/>
      <c r="TEK66" s="146"/>
      <c r="TEL66" s="146"/>
      <c r="TEM66" s="146"/>
      <c r="TEN66" s="146"/>
      <c r="TEO66" s="146"/>
      <c r="TEP66" s="146"/>
      <c r="TEQ66" s="146"/>
      <c r="TER66" s="146"/>
      <c r="TES66" s="146"/>
      <c r="TET66" s="146"/>
      <c r="TEU66" s="146"/>
      <c r="TEV66" s="146"/>
      <c r="TEW66" s="146"/>
      <c r="TEX66" s="146"/>
      <c r="TEY66" s="146"/>
      <c r="TEZ66" s="146"/>
      <c r="TFA66" s="146"/>
      <c r="TFB66" s="146"/>
      <c r="TFC66" s="146"/>
      <c r="TFD66" s="146"/>
      <c r="TFE66" s="146"/>
      <c r="TFF66" s="146"/>
      <c r="TFG66" s="146"/>
      <c r="TFH66" s="146"/>
      <c r="TFI66" s="146"/>
      <c r="TFJ66" s="146"/>
      <c r="TFK66" s="146"/>
      <c r="TFL66" s="146"/>
      <c r="TFM66" s="146"/>
      <c r="TFN66" s="146"/>
      <c r="TFO66" s="146"/>
      <c r="TFP66" s="146"/>
      <c r="TFQ66" s="146"/>
      <c r="TFR66" s="146"/>
      <c r="TFS66" s="146"/>
      <c r="TFT66" s="146"/>
      <c r="TFU66" s="146"/>
      <c r="TFV66" s="146"/>
      <c r="TFW66" s="146"/>
      <c r="TFX66" s="146"/>
      <c r="TFY66" s="146"/>
      <c r="TFZ66" s="146"/>
      <c r="TGA66" s="146"/>
      <c r="TGB66" s="146"/>
      <c r="TGC66" s="146"/>
      <c r="TGD66" s="146"/>
      <c r="TGE66" s="146"/>
      <c r="TGF66" s="146"/>
      <c r="TGG66" s="146"/>
      <c r="TGH66" s="146"/>
      <c r="TGI66" s="146"/>
      <c r="TGJ66" s="146"/>
      <c r="TGK66" s="146"/>
      <c r="TGL66" s="146"/>
      <c r="TGM66" s="146"/>
      <c r="TGN66" s="146"/>
      <c r="TGO66" s="146"/>
      <c r="TGP66" s="146"/>
      <c r="TGQ66" s="146"/>
      <c r="TGR66" s="146"/>
      <c r="TGS66" s="146"/>
      <c r="TGT66" s="146"/>
      <c r="TGU66" s="146"/>
      <c r="TGV66" s="146"/>
      <c r="TGW66" s="146"/>
      <c r="TGX66" s="146"/>
      <c r="TGY66" s="146"/>
      <c r="TGZ66" s="146"/>
      <c r="THA66" s="146"/>
      <c r="THB66" s="146"/>
      <c r="THC66" s="146"/>
      <c r="THD66" s="146"/>
      <c r="THE66" s="146"/>
      <c r="THF66" s="146"/>
      <c r="THG66" s="146"/>
      <c r="THH66" s="146"/>
      <c r="THI66" s="146"/>
      <c r="THJ66" s="146"/>
      <c r="THK66" s="146"/>
      <c r="THL66" s="146"/>
      <c r="THM66" s="146"/>
      <c r="THN66" s="146"/>
      <c r="THO66" s="146"/>
      <c r="THP66" s="146"/>
      <c r="THQ66" s="146"/>
      <c r="THR66" s="146"/>
      <c r="THS66" s="146"/>
      <c r="THT66" s="146"/>
      <c r="THU66" s="146"/>
      <c r="THV66" s="146"/>
      <c r="THW66" s="146"/>
      <c r="THX66" s="146"/>
      <c r="THY66" s="146"/>
      <c r="THZ66" s="146"/>
      <c r="TIA66" s="146"/>
      <c r="TIB66" s="146"/>
      <c r="TIC66" s="146"/>
      <c r="TID66" s="146"/>
      <c r="TIE66" s="146"/>
      <c r="TIF66" s="146"/>
      <c r="TIG66" s="146"/>
      <c r="TIH66" s="146"/>
      <c r="TII66" s="146"/>
      <c r="TIJ66" s="146"/>
      <c r="TIK66" s="146"/>
      <c r="TIL66" s="146"/>
      <c r="TIM66" s="146"/>
      <c r="TIN66" s="146"/>
      <c r="TIO66" s="146"/>
      <c r="TIP66" s="146"/>
      <c r="TIQ66" s="146"/>
      <c r="TIR66" s="146"/>
      <c r="TIS66" s="146"/>
      <c r="TIT66" s="146"/>
      <c r="TIU66" s="146"/>
      <c r="TIV66" s="146"/>
      <c r="TIW66" s="146"/>
      <c r="TIX66" s="146"/>
      <c r="TIY66" s="146"/>
      <c r="TIZ66" s="146"/>
      <c r="TJA66" s="146"/>
      <c r="TJB66" s="146"/>
      <c r="TJC66" s="146"/>
      <c r="TJD66" s="146"/>
      <c r="TJE66" s="146"/>
      <c r="TJF66" s="146"/>
      <c r="TJG66" s="146"/>
      <c r="TJH66" s="146"/>
      <c r="TJI66" s="146"/>
      <c r="TJJ66" s="146"/>
      <c r="TJK66" s="146"/>
      <c r="TJL66" s="146"/>
      <c r="TJM66" s="146"/>
      <c r="TJN66" s="146"/>
      <c r="TJO66" s="146"/>
      <c r="TJP66" s="146"/>
      <c r="TJQ66" s="146"/>
      <c r="TJR66" s="146"/>
      <c r="TJS66" s="146"/>
      <c r="TJT66" s="146"/>
      <c r="TJU66" s="146"/>
      <c r="TJV66" s="146"/>
      <c r="TJW66" s="146"/>
      <c r="TJX66" s="146"/>
      <c r="TJY66" s="146"/>
      <c r="TJZ66" s="146"/>
      <c r="TKA66" s="146"/>
      <c r="TKB66" s="146"/>
      <c r="TKC66" s="146"/>
      <c r="TKD66" s="146"/>
      <c r="TKE66" s="146"/>
      <c r="TKF66" s="146"/>
      <c r="TKG66" s="146"/>
      <c r="TKH66" s="146"/>
      <c r="TKI66" s="146"/>
      <c r="TKJ66" s="146"/>
      <c r="TKK66" s="146"/>
      <c r="TKL66" s="146"/>
      <c r="TKM66" s="146"/>
      <c r="TKN66" s="146"/>
      <c r="TKO66" s="146"/>
      <c r="TKP66" s="146"/>
      <c r="TKQ66" s="146"/>
      <c r="TKR66" s="146"/>
      <c r="TKS66" s="146"/>
      <c r="TKT66" s="146"/>
      <c r="TKU66" s="146"/>
      <c r="TKV66" s="146"/>
      <c r="TKW66" s="146"/>
      <c r="TKX66" s="146"/>
      <c r="TKY66" s="146"/>
      <c r="TKZ66" s="146"/>
      <c r="TLA66" s="146"/>
      <c r="TLB66" s="146"/>
      <c r="TLC66" s="146"/>
      <c r="TLD66" s="146"/>
      <c r="TLE66" s="146"/>
      <c r="TLF66" s="146"/>
      <c r="TLG66" s="146"/>
      <c r="TLH66" s="146"/>
      <c r="TLI66" s="146"/>
      <c r="TLJ66" s="146"/>
      <c r="TLK66" s="146"/>
      <c r="TLL66" s="146"/>
      <c r="TLM66" s="146"/>
      <c r="TLN66" s="146"/>
      <c r="TLO66" s="146"/>
      <c r="TLP66" s="146"/>
      <c r="TLQ66" s="146"/>
      <c r="TLR66" s="146"/>
      <c r="TLS66" s="146"/>
      <c r="TLT66" s="146"/>
      <c r="TLU66" s="146"/>
      <c r="TLV66" s="146"/>
      <c r="TLW66" s="146"/>
      <c r="TLX66" s="146"/>
      <c r="TLY66" s="146"/>
      <c r="TLZ66" s="146"/>
      <c r="TMA66" s="146"/>
      <c r="TMB66" s="146"/>
      <c r="TMC66" s="146"/>
      <c r="TMD66" s="146"/>
      <c r="TME66" s="146"/>
      <c r="TMF66" s="146"/>
      <c r="TMG66" s="146"/>
      <c r="TMH66" s="146"/>
      <c r="TMI66" s="146"/>
      <c r="TMJ66" s="146"/>
      <c r="TMK66" s="146"/>
      <c r="TML66" s="146"/>
      <c r="TMM66" s="146"/>
      <c r="TMN66" s="146"/>
      <c r="TMO66" s="146"/>
      <c r="TMP66" s="146"/>
      <c r="TMQ66" s="146"/>
      <c r="TMR66" s="146"/>
      <c r="TMS66" s="146"/>
      <c r="TMT66" s="146"/>
      <c r="TMU66" s="146"/>
      <c r="TMV66" s="146"/>
      <c r="TMW66" s="146"/>
      <c r="TMX66" s="146"/>
      <c r="TMY66" s="146"/>
      <c r="TMZ66" s="146"/>
      <c r="TNA66" s="146"/>
      <c r="TNB66" s="146"/>
      <c r="TNC66" s="146"/>
      <c r="TND66" s="146"/>
      <c r="TNE66" s="146"/>
      <c r="TNF66" s="146"/>
      <c r="TNG66" s="146"/>
      <c r="TNH66" s="146"/>
      <c r="TNI66" s="146"/>
      <c r="TNJ66" s="146"/>
      <c r="TNK66" s="146"/>
      <c r="TNL66" s="146"/>
      <c r="TNM66" s="146"/>
      <c r="TNN66" s="146"/>
      <c r="TNO66" s="146"/>
      <c r="TNP66" s="146"/>
      <c r="TNQ66" s="146"/>
      <c r="TNR66" s="146"/>
      <c r="TNS66" s="146"/>
      <c r="TNT66" s="146"/>
      <c r="TNU66" s="146"/>
      <c r="TNV66" s="146"/>
      <c r="TNW66" s="146"/>
      <c r="TNX66" s="146"/>
      <c r="TNY66" s="146"/>
      <c r="TNZ66" s="146"/>
      <c r="TOA66" s="146"/>
      <c r="TOB66" s="146"/>
      <c r="TOC66" s="146"/>
      <c r="TOD66" s="146"/>
      <c r="TOE66" s="146"/>
      <c r="TOF66" s="146"/>
      <c r="TOG66" s="146"/>
      <c r="TOH66" s="146"/>
      <c r="TOI66" s="146"/>
      <c r="TOJ66" s="146"/>
      <c r="TOK66" s="146"/>
      <c r="TOL66" s="146"/>
      <c r="TOM66" s="146"/>
      <c r="TON66" s="146"/>
      <c r="TOO66" s="146"/>
      <c r="TOP66" s="146"/>
      <c r="TOQ66" s="146"/>
      <c r="TOR66" s="146"/>
      <c r="TOS66" s="146"/>
      <c r="TOT66" s="146"/>
      <c r="TOU66" s="146"/>
      <c r="TOV66" s="146"/>
      <c r="TOW66" s="146"/>
      <c r="TOX66" s="146"/>
      <c r="TOY66" s="146"/>
      <c r="TOZ66" s="146"/>
      <c r="TPA66" s="146"/>
      <c r="TPB66" s="146"/>
      <c r="TPC66" s="146"/>
      <c r="TPD66" s="146"/>
      <c r="TPE66" s="146"/>
      <c r="TPF66" s="146"/>
      <c r="TPG66" s="146"/>
      <c r="TPH66" s="146"/>
      <c r="TPI66" s="146"/>
      <c r="TPJ66" s="146"/>
      <c r="TPK66" s="146"/>
      <c r="TPL66" s="146"/>
      <c r="TPM66" s="146"/>
      <c r="TPN66" s="146"/>
      <c r="TPO66" s="146"/>
      <c r="TPP66" s="146"/>
      <c r="TPQ66" s="146"/>
      <c r="TPR66" s="146"/>
      <c r="TPS66" s="146"/>
      <c r="TPT66" s="146"/>
      <c r="TPU66" s="146"/>
      <c r="TPV66" s="146"/>
      <c r="TPW66" s="146"/>
      <c r="TPX66" s="146"/>
      <c r="TPY66" s="146"/>
      <c r="TPZ66" s="146"/>
      <c r="TQA66" s="146"/>
      <c r="TQB66" s="146"/>
      <c r="TQC66" s="146"/>
      <c r="TQD66" s="146"/>
      <c r="TQE66" s="146"/>
      <c r="TQF66" s="146"/>
      <c r="TQG66" s="146"/>
      <c r="TQH66" s="146"/>
      <c r="TQI66" s="146"/>
      <c r="TQJ66" s="146"/>
      <c r="TQK66" s="146"/>
      <c r="TQL66" s="146"/>
      <c r="TQM66" s="146"/>
      <c r="TQN66" s="146"/>
      <c r="TQO66" s="146"/>
      <c r="TQP66" s="146"/>
      <c r="TQQ66" s="146"/>
      <c r="TQR66" s="146"/>
      <c r="TQS66" s="146"/>
      <c r="TQT66" s="146"/>
      <c r="TQU66" s="146"/>
      <c r="TQV66" s="146"/>
      <c r="TQW66" s="146"/>
      <c r="TQX66" s="146"/>
      <c r="TQY66" s="146"/>
      <c r="TQZ66" s="146"/>
      <c r="TRA66" s="146"/>
      <c r="TRB66" s="146"/>
      <c r="TRC66" s="146"/>
      <c r="TRD66" s="146"/>
      <c r="TRE66" s="146"/>
      <c r="TRF66" s="146"/>
      <c r="TRG66" s="146"/>
      <c r="TRH66" s="146"/>
      <c r="TRI66" s="146"/>
      <c r="TRJ66" s="146"/>
      <c r="TRK66" s="146"/>
      <c r="TRL66" s="146"/>
      <c r="TRM66" s="146"/>
      <c r="TRN66" s="146"/>
      <c r="TRO66" s="146"/>
      <c r="TRP66" s="146"/>
      <c r="TRQ66" s="146"/>
      <c r="TRR66" s="146"/>
      <c r="TRS66" s="146"/>
      <c r="TRT66" s="146"/>
      <c r="TRU66" s="146"/>
      <c r="TRV66" s="146"/>
      <c r="TRW66" s="146"/>
      <c r="TRX66" s="146"/>
      <c r="TRY66" s="146"/>
      <c r="TRZ66" s="146"/>
      <c r="TSA66" s="146"/>
      <c r="TSB66" s="146"/>
      <c r="TSC66" s="146"/>
      <c r="TSD66" s="146"/>
      <c r="TSE66" s="146"/>
      <c r="TSF66" s="146"/>
      <c r="TSG66" s="146"/>
      <c r="TSH66" s="146"/>
      <c r="TSI66" s="146"/>
      <c r="TSJ66" s="146"/>
      <c r="TSK66" s="146"/>
      <c r="TSL66" s="146"/>
      <c r="TSM66" s="146"/>
      <c r="TSN66" s="146"/>
      <c r="TSO66" s="146"/>
      <c r="TSP66" s="146"/>
      <c r="TSQ66" s="146"/>
      <c r="TSR66" s="146"/>
      <c r="TSS66" s="146"/>
      <c r="TST66" s="146"/>
      <c r="TSU66" s="146"/>
      <c r="TSV66" s="146"/>
      <c r="TSW66" s="146"/>
      <c r="TSX66" s="146"/>
      <c r="TSY66" s="146"/>
      <c r="TSZ66" s="146"/>
      <c r="TTA66" s="146"/>
      <c r="TTB66" s="146"/>
      <c r="TTC66" s="146"/>
      <c r="TTD66" s="146"/>
      <c r="TTE66" s="146"/>
      <c r="TTF66" s="146"/>
      <c r="TTG66" s="146"/>
      <c r="TTH66" s="146"/>
      <c r="TTI66" s="146"/>
      <c r="TTJ66" s="146"/>
      <c r="TTK66" s="146"/>
      <c r="TTL66" s="146"/>
      <c r="TTM66" s="146"/>
      <c r="TTN66" s="146"/>
      <c r="TTO66" s="146"/>
      <c r="TTP66" s="146"/>
      <c r="TTQ66" s="146"/>
      <c r="TTR66" s="146"/>
      <c r="TTS66" s="146"/>
      <c r="TTT66" s="146"/>
      <c r="TTU66" s="146"/>
      <c r="TTV66" s="146"/>
      <c r="TTW66" s="146"/>
      <c r="TTX66" s="146"/>
      <c r="TTY66" s="146"/>
      <c r="TTZ66" s="146"/>
      <c r="TUA66" s="146"/>
      <c r="TUB66" s="146"/>
      <c r="TUC66" s="146"/>
      <c r="TUD66" s="146"/>
      <c r="TUE66" s="146"/>
      <c r="TUF66" s="146"/>
      <c r="TUG66" s="146"/>
      <c r="TUH66" s="146"/>
      <c r="TUI66" s="146"/>
      <c r="TUJ66" s="146"/>
      <c r="TUK66" s="146"/>
      <c r="TUL66" s="146"/>
      <c r="TUM66" s="146"/>
      <c r="TUN66" s="146"/>
      <c r="TUO66" s="146"/>
      <c r="TUP66" s="146"/>
      <c r="TUQ66" s="146"/>
      <c r="TUR66" s="146"/>
      <c r="TUS66" s="146"/>
      <c r="TUT66" s="146"/>
      <c r="TUU66" s="146"/>
      <c r="TUV66" s="146"/>
      <c r="TUW66" s="146"/>
      <c r="TUX66" s="146"/>
      <c r="TUY66" s="146"/>
      <c r="TUZ66" s="146"/>
      <c r="TVA66" s="146"/>
      <c r="TVB66" s="146"/>
      <c r="TVC66" s="146"/>
      <c r="TVD66" s="146"/>
      <c r="TVE66" s="146"/>
      <c r="TVF66" s="146"/>
      <c r="TVG66" s="146"/>
      <c r="TVH66" s="146"/>
      <c r="TVI66" s="146"/>
      <c r="TVJ66" s="146"/>
      <c r="TVK66" s="146"/>
      <c r="TVL66" s="146"/>
      <c r="TVM66" s="146"/>
      <c r="TVN66" s="146"/>
      <c r="TVO66" s="146"/>
      <c r="TVP66" s="146"/>
      <c r="TVQ66" s="146"/>
      <c r="TVR66" s="146"/>
      <c r="TVS66" s="146"/>
      <c r="TVT66" s="146"/>
      <c r="TVU66" s="146"/>
      <c r="TVV66" s="146"/>
      <c r="TVW66" s="146"/>
      <c r="TVX66" s="146"/>
      <c r="TVY66" s="146"/>
      <c r="TVZ66" s="146"/>
      <c r="TWA66" s="146"/>
      <c r="TWB66" s="146"/>
      <c r="TWC66" s="146"/>
      <c r="TWD66" s="146"/>
      <c r="TWE66" s="146"/>
      <c r="TWF66" s="146"/>
      <c r="TWG66" s="146"/>
      <c r="TWH66" s="146"/>
      <c r="TWI66" s="146"/>
      <c r="TWJ66" s="146"/>
      <c r="TWK66" s="146"/>
      <c r="TWL66" s="146"/>
      <c r="TWM66" s="146"/>
      <c r="TWN66" s="146"/>
      <c r="TWO66" s="146"/>
      <c r="TWP66" s="146"/>
      <c r="TWQ66" s="146"/>
      <c r="TWR66" s="146"/>
      <c r="TWS66" s="146"/>
      <c r="TWT66" s="146"/>
      <c r="TWU66" s="146"/>
      <c r="TWV66" s="146"/>
      <c r="TWW66" s="146"/>
      <c r="TWX66" s="146"/>
      <c r="TWY66" s="146"/>
      <c r="TWZ66" s="146"/>
      <c r="TXA66" s="146"/>
      <c r="TXB66" s="146"/>
      <c r="TXC66" s="146"/>
      <c r="TXD66" s="146"/>
      <c r="TXE66" s="146"/>
      <c r="TXF66" s="146"/>
      <c r="TXG66" s="146"/>
      <c r="TXH66" s="146"/>
      <c r="TXI66" s="146"/>
      <c r="TXJ66" s="146"/>
      <c r="TXK66" s="146"/>
      <c r="TXL66" s="146"/>
      <c r="TXM66" s="146"/>
      <c r="TXN66" s="146"/>
      <c r="TXO66" s="146"/>
      <c r="TXP66" s="146"/>
      <c r="TXQ66" s="146"/>
      <c r="TXR66" s="146"/>
      <c r="TXS66" s="146"/>
      <c r="TXT66" s="146"/>
      <c r="TXU66" s="146"/>
      <c r="TXV66" s="146"/>
      <c r="TXW66" s="146"/>
      <c r="TXX66" s="146"/>
      <c r="TXY66" s="146"/>
      <c r="TXZ66" s="146"/>
      <c r="TYA66" s="146"/>
      <c r="TYB66" s="146"/>
      <c r="TYC66" s="146"/>
      <c r="TYD66" s="146"/>
      <c r="TYE66" s="146"/>
      <c r="TYF66" s="146"/>
      <c r="TYG66" s="146"/>
      <c r="TYH66" s="146"/>
      <c r="TYI66" s="146"/>
      <c r="TYJ66" s="146"/>
      <c r="TYK66" s="146"/>
      <c r="TYL66" s="146"/>
      <c r="TYM66" s="146"/>
      <c r="TYN66" s="146"/>
      <c r="TYO66" s="146"/>
      <c r="TYP66" s="146"/>
      <c r="TYQ66" s="146"/>
      <c r="TYR66" s="146"/>
      <c r="TYS66" s="146"/>
      <c r="TYT66" s="146"/>
      <c r="TYU66" s="146"/>
      <c r="TYV66" s="146"/>
      <c r="TYW66" s="146"/>
      <c r="TYX66" s="146"/>
      <c r="TYY66" s="146"/>
      <c r="TYZ66" s="146"/>
      <c r="TZA66" s="146"/>
      <c r="TZB66" s="146"/>
      <c r="TZC66" s="146"/>
      <c r="TZD66" s="146"/>
      <c r="TZE66" s="146"/>
      <c r="TZF66" s="146"/>
      <c r="TZG66" s="146"/>
      <c r="TZH66" s="146"/>
      <c r="TZI66" s="146"/>
      <c r="TZJ66" s="146"/>
      <c r="TZK66" s="146"/>
      <c r="TZL66" s="146"/>
      <c r="TZM66" s="146"/>
      <c r="TZN66" s="146"/>
      <c r="TZO66" s="146"/>
      <c r="TZP66" s="146"/>
      <c r="TZQ66" s="146"/>
      <c r="TZR66" s="146"/>
      <c r="TZS66" s="146"/>
      <c r="TZT66" s="146"/>
      <c r="TZU66" s="146"/>
      <c r="TZV66" s="146"/>
      <c r="TZW66" s="146"/>
      <c r="TZX66" s="146"/>
      <c r="TZY66" s="146"/>
      <c r="TZZ66" s="146"/>
      <c r="UAA66" s="146"/>
      <c r="UAB66" s="146"/>
      <c r="UAC66" s="146"/>
      <c r="UAD66" s="146"/>
      <c r="UAE66" s="146"/>
      <c r="UAF66" s="146"/>
      <c r="UAG66" s="146"/>
      <c r="UAH66" s="146"/>
      <c r="UAI66" s="146"/>
      <c r="UAJ66" s="146"/>
      <c r="UAK66" s="146"/>
      <c r="UAL66" s="146"/>
      <c r="UAM66" s="146"/>
      <c r="UAN66" s="146"/>
      <c r="UAO66" s="146"/>
      <c r="UAP66" s="146"/>
      <c r="UAQ66" s="146"/>
      <c r="UAR66" s="146"/>
      <c r="UAS66" s="146"/>
      <c r="UAT66" s="146"/>
      <c r="UAU66" s="146"/>
      <c r="UAV66" s="146"/>
      <c r="UAW66" s="146"/>
      <c r="UAX66" s="146"/>
      <c r="UAY66" s="146"/>
      <c r="UAZ66" s="146"/>
      <c r="UBA66" s="146"/>
      <c r="UBB66" s="146"/>
      <c r="UBC66" s="146"/>
      <c r="UBD66" s="146"/>
      <c r="UBE66" s="146"/>
      <c r="UBF66" s="146"/>
      <c r="UBG66" s="146"/>
      <c r="UBH66" s="146"/>
      <c r="UBI66" s="146"/>
      <c r="UBJ66" s="146"/>
      <c r="UBK66" s="146"/>
      <c r="UBL66" s="146"/>
      <c r="UBM66" s="146"/>
      <c r="UBN66" s="146"/>
      <c r="UBO66" s="146"/>
      <c r="UBP66" s="146"/>
      <c r="UBQ66" s="146"/>
      <c r="UBR66" s="146"/>
      <c r="UBS66" s="146"/>
      <c r="UBT66" s="146"/>
      <c r="UBU66" s="146"/>
      <c r="UBV66" s="146"/>
      <c r="UBW66" s="146"/>
      <c r="UBX66" s="146"/>
      <c r="UBY66" s="146"/>
      <c r="UBZ66" s="146"/>
      <c r="UCA66" s="146"/>
      <c r="UCB66" s="146"/>
      <c r="UCC66" s="146"/>
      <c r="UCD66" s="146"/>
      <c r="UCE66" s="146"/>
      <c r="UCF66" s="146"/>
      <c r="UCG66" s="146"/>
      <c r="UCH66" s="146"/>
      <c r="UCI66" s="146"/>
      <c r="UCJ66" s="146"/>
      <c r="UCK66" s="146"/>
      <c r="UCL66" s="146"/>
      <c r="UCM66" s="146"/>
      <c r="UCN66" s="146"/>
      <c r="UCO66" s="146"/>
      <c r="UCP66" s="146"/>
      <c r="UCQ66" s="146"/>
      <c r="UCR66" s="146"/>
      <c r="UCS66" s="146"/>
      <c r="UCT66" s="146"/>
      <c r="UCU66" s="146"/>
      <c r="UCV66" s="146"/>
      <c r="UCW66" s="146"/>
      <c r="UCX66" s="146"/>
      <c r="UCY66" s="146"/>
      <c r="UCZ66" s="146"/>
      <c r="UDA66" s="146"/>
      <c r="UDB66" s="146"/>
      <c r="UDC66" s="146"/>
      <c r="UDD66" s="146"/>
      <c r="UDE66" s="146"/>
      <c r="UDF66" s="146"/>
      <c r="UDG66" s="146"/>
      <c r="UDH66" s="146"/>
      <c r="UDI66" s="146"/>
      <c r="UDJ66" s="146"/>
      <c r="UDK66" s="146"/>
      <c r="UDL66" s="146"/>
      <c r="UDM66" s="146"/>
      <c r="UDN66" s="146"/>
      <c r="UDO66" s="146"/>
      <c r="UDP66" s="146"/>
      <c r="UDQ66" s="146"/>
      <c r="UDR66" s="146"/>
      <c r="UDS66" s="146"/>
      <c r="UDT66" s="146"/>
      <c r="UDU66" s="146"/>
      <c r="UDV66" s="146"/>
      <c r="UDW66" s="146"/>
      <c r="UDX66" s="146"/>
      <c r="UDY66" s="146"/>
      <c r="UDZ66" s="146"/>
      <c r="UEA66" s="146"/>
      <c r="UEB66" s="146"/>
      <c r="UEC66" s="146"/>
      <c r="UED66" s="146"/>
      <c r="UEE66" s="146"/>
      <c r="UEF66" s="146"/>
      <c r="UEG66" s="146"/>
      <c r="UEH66" s="146"/>
      <c r="UEI66" s="146"/>
      <c r="UEJ66" s="146"/>
      <c r="UEK66" s="146"/>
      <c r="UEL66" s="146"/>
      <c r="UEM66" s="146"/>
      <c r="UEN66" s="146"/>
      <c r="UEO66" s="146"/>
      <c r="UEP66" s="146"/>
      <c r="UEQ66" s="146"/>
      <c r="UER66" s="146"/>
      <c r="UES66" s="146"/>
      <c r="UET66" s="146"/>
      <c r="UEU66" s="146"/>
      <c r="UEV66" s="146"/>
      <c r="UEW66" s="146"/>
      <c r="UEX66" s="146"/>
      <c r="UEY66" s="146"/>
      <c r="UEZ66" s="146"/>
      <c r="UFA66" s="146"/>
      <c r="UFB66" s="146"/>
      <c r="UFC66" s="146"/>
      <c r="UFD66" s="146"/>
      <c r="UFE66" s="146"/>
      <c r="UFF66" s="146"/>
      <c r="UFG66" s="146"/>
      <c r="UFH66" s="146"/>
      <c r="UFI66" s="146"/>
      <c r="UFJ66" s="146"/>
      <c r="UFK66" s="146"/>
      <c r="UFL66" s="146"/>
      <c r="UFM66" s="146"/>
      <c r="UFN66" s="146"/>
      <c r="UFO66" s="146"/>
      <c r="UFP66" s="146"/>
      <c r="UFQ66" s="146"/>
      <c r="UFR66" s="146"/>
      <c r="UFS66" s="146"/>
      <c r="UFT66" s="146"/>
      <c r="UFU66" s="146"/>
      <c r="UFV66" s="146"/>
      <c r="UFW66" s="146"/>
      <c r="UFX66" s="146"/>
      <c r="UFY66" s="146"/>
      <c r="UFZ66" s="146"/>
      <c r="UGA66" s="146"/>
      <c r="UGB66" s="146"/>
      <c r="UGC66" s="146"/>
      <c r="UGD66" s="146"/>
      <c r="UGE66" s="146"/>
      <c r="UGF66" s="146"/>
      <c r="UGG66" s="146"/>
      <c r="UGH66" s="146"/>
      <c r="UGI66" s="146"/>
      <c r="UGJ66" s="146"/>
      <c r="UGK66" s="146"/>
      <c r="UGL66" s="146"/>
      <c r="UGM66" s="146"/>
      <c r="UGN66" s="146"/>
      <c r="UGO66" s="146"/>
      <c r="UGP66" s="146"/>
      <c r="UGQ66" s="146"/>
      <c r="UGR66" s="146"/>
      <c r="UGS66" s="146"/>
      <c r="UGT66" s="146"/>
      <c r="UGU66" s="146"/>
      <c r="UGV66" s="146"/>
      <c r="UGW66" s="146"/>
      <c r="UGX66" s="146"/>
      <c r="UGY66" s="146"/>
      <c r="UGZ66" s="146"/>
      <c r="UHA66" s="146"/>
      <c r="UHB66" s="146"/>
      <c r="UHC66" s="146"/>
      <c r="UHD66" s="146"/>
      <c r="UHE66" s="146"/>
      <c r="UHF66" s="146"/>
      <c r="UHG66" s="146"/>
      <c r="UHH66" s="146"/>
      <c r="UHI66" s="146"/>
      <c r="UHJ66" s="146"/>
      <c r="UHK66" s="146"/>
      <c r="UHL66" s="146"/>
      <c r="UHM66" s="146"/>
      <c r="UHN66" s="146"/>
      <c r="UHO66" s="146"/>
      <c r="UHP66" s="146"/>
      <c r="UHQ66" s="146"/>
      <c r="UHR66" s="146"/>
      <c r="UHS66" s="146"/>
      <c r="UHT66" s="146"/>
      <c r="UHU66" s="146"/>
      <c r="UHV66" s="146"/>
      <c r="UHW66" s="146"/>
      <c r="UHX66" s="146"/>
      <c r="UHY66" s="146"/>
      <c r="UHZ66" s="146"/>
      <c r="UIA66" s="146"/>
      <c r="UIB66" s="146"/>
      <c r="UIC66" s="146"/>
      <c r="UID66" s="146"/>
      <c r="UIE66" s="146"/>
      <c r="UIF66" s="146"/>
      <c r="UIG66" s="146"/>
      <c r="UIH66" s="146"/>
      <c r="UII66" s="146"/>
      <c r="UIJ66" s="146"/>
      <c r="UIK66" s="146"/>
      <c r="UIL66" s="146"/>
      <c r="UIM66" s="146"/>
      <c r="UIN66" s="146"/>
      <c r="UIO66" s="146"/>
      <c r="UIP66" s="146"/>
      <c r="UIQ66" s="146"/>
      <c r="UIR66" s="146"/>
      <c r="UIS66" s="146"/>
      <c r="UIT66" s="146"/>
      <c r="UIU66" s="146"/>
      <c r="UIV66" s="146"/>
      <c r="UIW66" s="146"/>
      <c r="UIX66" s="146"/>
      <c r="UIY66" s="146"/>
      <c r="UIZ66" s="146"/>
      <c r="UJA66" s="146"/>
      <c r="UJB66" s="146"/>
      <c r="UJC66" s="146"/>
      <c r="UJD66" s="146"/>
      <c r="UJE66" s="146"/>
      <c r="UJF66" s="146"/>
      <c r="UJG66" s="146"/>
      <c r="UJH66" s="146"/>
      <c r="UJI66" s="146"/>
      <c r="UJJ66" s="146"/>
      <c r="UJK66" s="146"/>
      <c r="UJL66" s="146"/>
      <c r="UJM66" s="146"/>
      <c r="UJN66" s="146"/>
      <c r="UJO66" s="146"/>
      <c r="UJP66" s="146"/>
      <c r="UJQ66" s="146"/>
      <c r="UJR66" s="146"/>
      <c r="UJS66" s="146"/>
      <c r="UJT66" s="146"/>
      <c r="UJU66" s="146"/>
      <c r="UJV66" s="146"/>
      <c r="UJW66" s="146"/>
      <c r="UJX66" s="146"/>
      <c r="UJY66" s="146"/>
      <c r="UJZ66" s="146"/>
      <c r="UKA66" s="146"/>
      <c r="UKB66" s="146"/>
      <c r="UKC66" s="146"/>
      <c r="UKD66" s="146"/>
      <c r="UKE66" s="146"/>
      <c r="UKF66" s="146"/>
      <c r="UKG66" s="146"/>
      <c r="UKH66" s="146"/>
      <c r="UKI66" s="146"/>
      <c r="UKJ66" s="146"/>
      <c r="UKK66" s="146"/>
      <c r="UKL66" s="146"/>
      <c r="UKM66" s="146"/>
      <c r="UKN66" s="146"/>
      <c r="UKO66" s="146"/>
      <c r="UKP66" s="146"/>
      <c r="UKQ66" s="146"/>
      <c r="UKR66" s="146"/>
      <c r="UKS66" s="146"/>
      <c r="UKT66" s="146"/>
      <c r="UKU66" s="146"/>
      <c r="UKV66" s="146"/>
      <c r="UKW66" s="146"/>
      <c r="UKX66" s="146"/>
      <c r="UKY66" s="146"/>
      <c r="UKZ66" s="146"/>
      <c r="ULA66" s="146"/>
      <c r="ULB66" s="146"/>
      <c r="ULC66" s="146"/>
      <c r="ULD66" s="146"/>
      <c r="ULE66" s="146"/>
      <c r="ULF66" s="146"/>
      <c r="ULG66" s="146"/>
      <c r="ULH66" s="146"/>
      <c r="ULI66" s="146"/>
      <c r="ULJ66" s="146"/>
      <c r="ULK66" s="146"/>
      <c r="ULL66" s="146"/>
      <c r="ULM66" s="146"/>
      <c r="ULN66" s="146"/>
      <c r="ULO66" s="146"/>
      <c r="ULP66" s="146"/>
      <c r="ULQ66" s="146"/>
      <c r="ULR66" s="146"/>
      <c r="ULS66" s="146"/>
      <c r="ULT66" s="146"/>
      <c r="ULU66" s="146"/>
      <c r="ULV66" s="146"/>
      <c r="ULW66" s="146"/>
      <c r="ULX66" s="146"/>
      <c r="ULY66" s="146"/>
      <c r="ULZ66" s="146"/>
      <c r="UMA66" s="146"/>
      <c r="UMB66" s="146"/>
      <c r="UMC66" s="146"/>
      <c r="UMD66" s="146"/>
      <c r="UME66" s="146"/>
      <c r="UMF66" s="146"/>
      <c r="UMG66" s="146"/>
      <c r="UMH66" s="146"/>
      <c r="UMI66" s="146"/>
      <c r="UMJ66" s="146"/>
      <c r="UMK66" s="146"/>
      <c r="UML66" s="146"/>
      <c r="UMM66" s="146"/>
      <c r="UMN66" s="146"/>
      <c r="UMO66" s="146"/>
      <c r="UMP66" s="146"/>
      <c r="UMQ66" s="146"/>
      <c r="UMR66" s="146"/>
      <c r="UMS66" s="146"/>
      <c r="UMT66" s="146"/>
      <c r="UMU66" s="146"/>
      <c r="UMV66" s="146"/>
      <c r="UMW66" s="146"/>
      <c r="UMX66" s="146"/>
      <c r="UMY66" s="146"/>
      <c r="UMZ66" s="146"/>
      <c r="UNA66" s="146"/>
      <c r="UNB66" s="146"/>
      <c r="UNC66" s="146"/>
      <c r="UND66" s="146"/>
      <c r="UNE66" s="146"/>
      <c r="UNF66" s="146"/>
      <c r="UNG66" s="146"/>
      <c r="UNH66" s="146"/>
      <c r="UNI66" s="146"/>
      <c r="UNJ66" s="146"/>
      <c r="UNK66" s="146"/>
      <c r="UNL66" s="146"/>
      <c r="UNM66" s="146"/>
      <c r="UNN66" s="146"/>
      <c r="UNO66" s="146"/>
      <c r="UNP66" s="146"/>
      <c r="UNQ66" s="146"/>
      <c r="UNR66" s="146"/>
      <c r="UNS66" s="146"/>
      <c r="UNT66" s="146"/>
      <c r="UNU66" s="146"/>
      <c r="UNV66" s="146"/>
      <c r="UNW66" s="146"/>
      <c r="UNX66" s="146"/>
      <c r="UNY66" s="146"/>
      <c r="UNZ66" s="146"/>
      <c r="UOA66" s="146"/>
      <c r="UOB66" s="146"/>
      <c r="UOC66" s="146"/>
      <c r="UOD66" s="146"/>
      <c r="UOE66" s="146"/>
      <c r="UOF66" s="146"/>
      <c r="UOG66" s="146"/>
      <c r="UOH66" s="146"/>
      <c r="UOI66" s="146"/>
      <c r="UOJ66" s="146"/>
      <c r="UOK66" s="146"/>
      <c r="UOL66" s="146"/>
      <c r="UOM66" s="146"/>
      <c r="UON66" s="146"/>
      <c r="UOO66" s="146"/>
      <c r="UOP66" s="146"/>
      <c r="UOQ66" s="146"/>
      <c r="UOR66" s="146"/>
      <c r="UOS66" s="146"/>
      <c r="UOT66" s="146"/>
      <c r="UOU66" s="146"/>
      <c r="UOV66" s="146"/>
      <c r="UOW66" s="146"/>
      <c r="UOX66" s="146"/>
      <c r="UOY66" s="146"/>
      <c r="UOZ66" s="146"/>
      <c r="UPA66" s="146"/>
      <c r="UPB66" s="146"/>
      <c r="UPC66" s="146"/>
      <c r="UPD66" s="146"/>
      <c r="UPE66" s="146"/>
      <c r="UPF66" s="146"/>
      <c r="UPG66" s="146"/>
      <c r="UPH66" s="146"/>
      <c r="UPI66" s="146"/>
      <c r="UPJ66" s="146"/>
      <c r="UPK66" s="146"/>
      <c r="UPL66" s="146"/>
      <c r="UPM66" s="146"/>
      <c r="UPN66" s="146"/>
      <c r="UPO66" s="146"/>
      <c r="UPP66" s="146"/>
      <c r="UPQ66" s="146"/>
      <c r="UPR66" s="146"/>
      <c r="UPS66" s="146"/>
      <c r="UPT66" s="146"/>
      <c r="UPU66" s="146"/>
      <c r="UPV66" s="146"/>
      <c r="UPW66" s="146"/>
      <c r="UPX66" s="146"/>
      <c r="UPY66" s="146"/>
      <c r="UPZ66" s="146"/>
      <c r="UQA66" s="146"/>
      <c r="UQB66" s="146"/>
      <c r="UQC66" s="146"/>
      <c r="UQD66" s="146"/>
      <c r="UQE66" s="146"/>
      <c r="UQF66" s="146"/>
      <c r="UQG66" s="146"/>
      <c r="UQH66" s="146"/>
      <c r="UQI66" s="146"/>
      <c r="UQJ66" s="146"/>
      <c r="UQK66" s="146"/>
      <c r="UQL66" s="146"/>
      <c r="UQM66" s="146"/>
      <c r="UQN66" s="146"/>
      <c r="UQO66" s="146"/>
      <c r="UQP66" s="146"/>
      <c r="UQQ66" s="146"/>
      <c r="UQR66" s="146"/>
      <c r="UQS66" s="146"/>
      <c r="UQT66" s="146"/>
      <c r="UQU66" s="146"/>
      <c r="UQV66" s="146"/>
      <c r="UQW66" s="146"/>
      <c r="UQX66" s="146"/>
      <c r="UQY66" s="146"/>
      <c r="UQZ66" s="146"/>
      <c r="URA66" s="146"/>
      <c r="URB66" s="146"/>
      <c r="URC66" s="146"/>
      <c r="URD66" s="146"/>
      <c r="URE66" s="146"/>
      <c r="URF66" s="146"/>
      <c r="URG66" s="146"/>
      <c r="URH66" s="146"/>
      <c r="URI66" s="146"/>
      <c r="URJ66" s="146"/>
      <c r="URK66" s="146"/>
      <c r="URL66" s="146"/>
      <c r="URM66" s="146"/>
      <c r="URN66" s="146"/>
      <c r="URO66" s="146"/>
      <c r="URP66" s="146"/>
      <c r="URQ66" s="146"/>
      <c r="URR66" s="146"/>
      <c r="URS66" s="146"/>
      <c r="URT66" s="146"/>
      <c r="URU66" s="146"/>
      <c r="URV66" s="146"/>
      <c r="URW66" s="146"/>
      <c r="URX66" s="146"/>
      <c r="URY66" s="146"/>
      <c r="URZ66" s="146"/>
      <c r="USA66" s="146"/>
      <c r="USB66" s="146"/>
      <c r="USC66" s="146"/>
      <c r="USD66" s="146"/>
      <c r="USE66" s="146"/>
      <c r="USF66" s="146"/>
      <c r="USG66" s="146"/>
      <c r="USH66" s="146"/>
      <c r="USI66" s="146"/>
      <c r="USJ66" s="146"/>
      <c r="USK66" s="146"/>
      <c r="USL66" s="146"/>
      <c r="USM66" s="146"/>
      <c r="USN66" s="146"/>
      <c r="USO66" s="146"/>
      <c r="USP66" s="146"/>
      <c r="USQ66" s="146"/>
      <c r="USR66" s="146"/>
      <c r="USS66" s="146"/>
      <c r="UST66" s="146"/>
      <c r="USU66" s="146"/>
      <c r="USV66" s="146"/>
      <c r="USW66" s="146"/>
      <c r="USX66" s="146"/>
      <c r="USY66" s="146"/>
      <c r="USZ66" s="146"/>
      <c r="UTA66" s="146"/>
      <c r="UTB66" s="146"/>
      <c r="UTC66" s="146"/>
      <c r="UTD66" s="146"/>
      <c r="UTE66" s="146"/>
      <c r="UTF66" s="146"/>
      <c r="UTG66" s="146"/>
      <c r="UTH66" s="146"/>
      <c r="UTI66" s="146"/>
      <c r="UTJ66" s="146"/>
      <c r="UTK66" s="146"/>
      <c r="UTL66" s="146"/>
      <c r="UTM66" s="146"/>
      <c r="UTN66" s="146"/>
      <c r="UTO66" s="146"/>
      <c r="UTP66" s="146"/>
      <c r="UTQ66" s="146"/>
      <c r="UTR66" s="146"/>
      <c r="UTS66" s="146"/>
      <c r="UTT66" s="146"/>
      <c r="UTU66" s="146"/>
      <c r="UTV66" s="146"/>
      <c r="UTW66" s="146"/>
      <c r="UTX66" s="146"/>
      <c r="UTY66" s="146"/>
      <c r="UTZ66" s="146"/>
      <c r="UUA66" s="146"/>
      <c r="UUB66" s="146"/>
      <c r="UUC66" s="146"/>
      <c r="UUD66" s="146"/>
      <c r="UUE66" s="146"/>
      <c r="UUF66" s="146"/>
      <c r="UUG66" s="146"/>
      <c r="UUH66" s="146"/>
      <c r="UUI66" s="146"/>
      <c r="UUJ66" s="146"/>
      <c r="UUK66" s="146"/>
      <c r="UUL66" s="146"/>
      <c r="UUM66" s="146"/>
      <c r="UUN66" s="146"/>
      <c r="UUO66" s="146"/>
      <c r="UUP66" s="146"/>
      <c r="UUQ66" s="146"/>
      <c r="UUR66" s="146"/>
      <c r="UUS66" s="146"/>
      <c r="UUT66" s="146"/>
      <c r="UUU66" s="146"/>
      <c r="UUV66" s="146"/>
      <c r="UUW66" s="146"/>
      <c r="UUX66" s="146"/>
      <c r="UUY66" s="146"/>
      <c r="UUZ66" s="146"/>
      <c r="UVA66" s="146"/>
      <c r="UVB66" s="146"/>
      <c r="UVC66" s="146"/>
      <c r="UVD66" s="146"/>
      <c r="UVE66" s="146"/>
      <c r="UVF66" s="146"/>
      <c r="UVG66" s="146"/>
      <c r="UVH66" s="146"/>
      <c r="UVI66" s="146"/>
      <c r="UVJ66" s="146"/>
      <c r="UVK66" s="146"/>
      <c r="UVL66" s="146"/>
      <c r="UVM66" s="146"/>
      <c r="UVN66" s="146"/>
      <c r="UVO66" s="146"/>
      <c r="UVP66" s="146"/>
      <c r="UVQ66" s="146"/>
      <c r="UVR66" s="146"/>
      <c r="UVS66" s="146"/>
      <c r="UVT66" s="146"/>
      <c r="UVU66" s="146"/>
      <c r="UVV66" s="146"/>
      <c r="UVW66" s="146"/>
      <c r="UVX66" s="146"/>
      <c r="UVY66" s="146"/>
      <c r="UVZ66" s="146"/>
      <c r="UWA66" s="146"/>
      <c r="UWB66" s="146"/>
      <c r="UWC66" s="146"/>
      <c r="UWD66" s="146"/>
      <c r="UWE66" s="146"/>
      <c r="UWF66" s="146"/>
      <c r="UWG66" s="146"/>
      <c r="UWH66" s="146"/>
      <c r="UWI66" s="146"/>
      <c r="UWJ66" s="146"/>
      <c r="UWK66" s="146"/>
      <c r="UWL66" s="146"/>
      <c r="UWM66" s="146"/>
      <c r="UWN66" s="146"/>
      <c r="UWO66" s="146"/>
      <c r="UWP66" s="146"/>
      <c r="UWQ66" s="146"/>
      <c r="UWR66" s="146"/>
      <c r="UWS66" s="146"/>
      <c r="UWT66" s="146"/>
      <c r="UWU66" s="146"/>
      <c r="UWV66" s="146"/>
      <c r="UWW66" s="146"/>
      <c r="UWX66" s="146"/>
      <c r="UWY66" s="146"/>
      <c r="UWZ66" s="146"/>
      <c r="UXA66" s="146"/>
      <c r="UXB66" s="146"/>
      <c r="UXC66" s="146"/>
      <c r="UXD66" s="146"/>
      <c r="UXE66" s="146"/>
      <c r="UXF66" s="146"/>
      <c r="UXG66" s="146"/>
      <c r="UXH66" s="146"/>
      <c r="UXI66" s="146"/>
      <c r="UXJ66" s="146"/>
      <c r="UXK66" s="146"/>
      <c r="UXL66" s="146"/>
      <c r="UXM66" s="146"/>
      <c r="UXN66" s="146"/>
      <c r="UXO66" s="146"/>
      <c r="UXP66" s="146"/>
      <c r="UXQ66" s="146"/>
      <c r="UXR66" s="146"/>
      <c r="UXS66" s="146"/>
      <c r="UXT66" s="146"/>
      <c r="UXU66" s="146"/>
      <c r="UXV66" s="146"/>
      <c r="UXW66" s="146"/>
      <c r="UXX66" s="146"/>
      <c r="UXY66" s="146"/>
      <c r="UXZ66" s="146"/>
      <c r="UYA66" s="146"/>
      <c r="UYB66" s="146"/>
      <c r="UYC66" s="146"/>
      <c r="UYD66" s="146"/>
      <c r="UYE66" s="146"/>
      <c r="UYF66" s="146"/>
      <c r="UYG66" s="146"/>
      <c r="UYH66" s="146"/>
      <c r="UYI66" s="146"/>
      <c r="UYJ66" s="146"/>
      <c r="UYK66" s="146"/>
      <c r="UYL66" s="146"/>
      <c r="UYM66" s="146"/>
      <c r="UYN66" s="146"/>
      <c r="UYO66" s="146"/>
      <c r="UYP66" s="146"/>
      <c r="UYQ66" s="146"/>
      <c r="UYR66" s="146"/>
      <c r="UYS66" s="146"/>
      <c r="UYT66" s="146"/>
      <c r="UYU66" s="146"/>
      <c r="UYV66" s="146"/>
      <c r="UYW66" s="146"/>
      <c r="UYX66" s="146"/>
      <c r="UYY66" s="146"/>
      <c r="UYZ66" s="146"/>
      <c r="UZA66" s="146"/>
      <c r="UZB66" s="146"/>
      <c r="UZC66" s="146"/>
      <c r="UZD66" s="146"/>
      <c r="UZE66" s="146"/>
      <c r="UZF66" s="146"/>
      <c r="UZG66" s="146"/>
      <c r="UZH66" s="146"/>
      <c r="UZI66" s="146"/>
      <c r="UZJ66" s="146"/>
      <c r="UZK66" s="146"/>
      <c r="UZL66" s="146"/>
      <c r="UZM66" s="146"/>
      <c r="UZN66" s="146"/>
      <c r="UZO66" s="146"/>
      <c r="UZP66" s="146"/>
      <c r="UZQ66" s="146"/>
      <c r="UZR66" s="146"/>
      <c r="UZS66" s="146"/>
      <c r="UZT66" s="146"/>
      <c r="UZU66" s="146"/>
      <c r="UZV66" s="146"/>
      <c r="UZW66" s="146"/>
      <c r="UZX66" s="146"/>
      <c r="UZY66" s="146"/>
      <c r="UZZ66" s="146"/>
      <c r="VAA66" s="146"/>
      <c r="VAB66" s="146"/>
      <c r="VAC66" s="146"/>
      <c r="VAD66" s="146"/>
      <c r="VAE66" s="146"/>
      <c r="VAF66" s="146"/>
      <c r="VAG66" s="146"/>
      <c r="VAH66" s="146"/>
      <c r="VAI66" s="146"/>
      <c r="VAJ66" s="146"/>
      <c r="VAK66" s="146"/>
      <c r="VAL66" s="146"/>
      <c r="VAM66" s="146"/>
      <c r="VAN66" s="146"/>
      <c r="VAO66" s="146"/>
      <c r="VAP66" s="146"/>
      <c r="VAQ66" s="146"/>
      <c r="VAR66" s="146"/>
      <c r="VAS66" s="146"/>
      <c r="VAT66" s="146"/>
      <c r="VAU66" s="146"/>
      <c r="VAV66" s="146"/>
      <c r="VAW66" s="146"/>
      <c r="VAX66" s="146"/>
      <c r="VAY66" s="146"/>
      <c r="VAZ66" s="146"/>
      <c r="VBA66" s="146"/>
      <c r="VBB66" s="146"/>
      <c r="VBC66" s="146"/>
      <c r="VBD66" s="146"/>
      <c r="VBE66" s="146"/>
      <c r="VBF66" s="146"/>
      <c r="VBG66" s="146"/>
      <c r="VBH66" s="146"/>
      <c r="VBI66" s="146"/>
      <c r="VBJ66" s="146"/>
      <c r="VBK66" s="146"/>
      <c r="VBL66" s="146"/>
      <c r="VBM66" s="146"/>
      <c r="VBN66" s="146"/>
      <c r="VBO66" s="146"/>
      <c r="VBP66" s="146"/>
      <c r="VBQ66" s="146"/>
      <c r="VBR66" s="146"/>
      <c r="VBS66" s="146"/>
      <c r="VBT66" s="146"/>
      <c r="VBU66" s="146"/>
      <c r="VBV66" s="146"/>
      <c r="VBW66" s="146"/>
      <c r="VBX66" s="146"/>
      <c r="VBY66" s="146"/>
      <c r="VBZ66" s="146"/>
      <c r="VCA66" s="146"/>
      <c r="VCB66" s="146"/>
      <c r="VCC66" s="146"/>
      <c r="VCD66" s="146"/>
      <c r="VCE66" s="146"/>
      <c r="VCF66" s="146"/>
      <c r="VCG66" s="146"/>
      <c r="VCH66" s="146"/>
      <c r="VCI66" s="146"/>
      <c r="VCJ66" s="146"/>
      <c r="VCK66" s="146"/>
      <c r="VCL66" s="146"/>
      <c r="VCM66" s="146"/>
      <c r="VCN66" s="146"/>
      <c r="VCO66" s="146"/>
      <c r="VCP66" s="146"/>
      <c r="VCQ66" s="146"/>
      <c r="VCR66" s="146"/>
      <c r="VCS66" s="146"/>
      <c r="VCT66" s="146"/>
      <c r="VCU66" s="146"/>
      <c r="VCV66" s="146"/>
      <c r="VCW66" s="146"/>
      <c r="VCX66" s="146"/>
      <c r="VCY66" s="146"/>
      <c r="VCZ66" s="146"/>
      <c r="VDA66" s="146"/>
      <c r="VDB66" s="146"/>
      <c r="VDC66" s="146"/>
      <c r="VDD66" s="146"/>
      <c r="VDE66" s="146"/>
      <c r="VDF66" s="146"/>
      <c r="VDG66" s="146"/>
      <c r="VDH66" s="146"/>
      <c r="VDI66" s="146"/>
      <c r="VDJ66" s="146"/>
      <c r="VDK66" s="146"/>
      <c r="VDL66" s="146"/>
      <c r="VDM66" s="146"/>
      <c r="VDN66" s="146"/>
      <c r="VDO66" s="146"/>
      <c r="VDP66" s="146"/>
      <c r="VDQ66" s="146"/>
      <c r="VDR66" s="146"/>
      <c r="VDS66" s="146"/>
      <c r="VDT66" s="146"/>
      <c r="VDU66" s="146"/>
      <c r="VDV66" s="146"/>
      <c r="VDW66" s="146"/>
      <c r="VDX66" s="146"/>
      <c r="VDY66" s="146"/>
      <c r="VDZ66" s="146"/>
      <c r="VEA66" s="146"/>
      <c r="VEB66" s="146"/>
      <c r="VEC66" s="146"/>
      <c r="VED66" s="146"/>
      <c r="VEE66" s="146"/>
      <c r="VEF66" s="146"/>
      <c r="VEG66" s="146"/>
      <c r="VEH66" s="146"/>
      <c r="VEI66" s="146"/>
      <c r="VEJ66" s="146"/>
      <c r="VEK66" s="146"/>
      <c r="VEL66" s="146"/>
      <c r="VEM66" s="146"/>
      <c r="VEN66" s="146"/>
      <c r="VEO66" s="146"/>
      <c r="VEP66" s="146"/>
      <c r="VEQ66" s="146"/>
      <c r="VER66" s="146"/>
      <c r="VES66" s="146"/>
      <c r="VET66" s="146"/>
      <c r="VEU66" s="146"/>
      <c r="VEV66" s="146"/>
      <c r="VEW66" s="146"/>
      <c r="VEX66" s="146"/>
      <c r="VEY66" s="146"/>
      <c r="VEZ66" s="146"/>
      <c r="VFA66" s="146"/>
      <c r="VFB66" s="146"/>
      <c r="VFC66" s="146"/>
      <c r="VFD66" s="146"/>
      <c r="VFE66" s="146"/>
      <c r="VFF66" s="146"/>
      <c r="VFG66" s="146"/>
      <c r="VFH66" s="146"/>
      <c r="VFI66" s="146"/>
      <c r="VFJ66" s="146"/>
      <c r="VFK66" s="146"/>
      <c r="VFL66" s="146"/>
      <c r="VFM66" s="146"/>
      <c r="VFN66" s="146"/>
      <c r="VFO66" s="146"/>
      <c r="VFP66" s="146"/>
      <c r="VFQ66" s="146"/>
      <c r="VFR66" s="146"/>
      <c r="VFS66" s="146"/>
      <c r="VFT66" s="146"/>
      <c r="VFU66" s="146"/>
      <c r="VFV66" s="146"/>
      <c r="VFW66" s="146"/>
      <c r="VFX66" s="146"/>
      <c r="VFY66" s="146"/>
      <c r="VFZ66" s="146"/>
      <c r="VGA66" s="146"/>
      <c r="VGB66" s="146"/>
      <c r="VGC66" s="146"/>
      <c r="VGD66" s="146"/>
      <c r="VGE66" s="146"/>
      <c r="VGF66" s="146"/>
      <c r="VGG66" s="146"/>
      <c r="VGH66" s="146"/>
      <c r="VGI66" s="146"/>
      <c r="VGJ66" s="146"/>
      <c r="VGK66" s="146"/>
      <c r="VGL66" s="146"/>
      <c r="VGM66" s="146"/>
      <c r="VGN66" s="146"/>
      <c r="VGO66" s="146"/>
      <c r="VGP66" s="146"/>
      <c r="VGQ66" s="146"/>
      <c r="VGR66" s="146"/>
      <c r="VGS66" s="146"/>
      <c r="VGT66" s="146"/>
      <c r="VGU66" s="146"/>
      <c r="VGV66" s="146"/>
      <c r="VGW66" s="146"/>
      <c r="VGX66" s="146"/>
      <c r="VGY66" s="146"/>
      <c r="VGZ66" s="146"/>
      <c r="VHA66" s="146"/>
      <c r="VHB66" s="146"/>
      <c r="VHC66" s="146"/>
      <c r="VHD66" s="146"/>
      <c r="VHE66" s="146"/>
      <c r="VHF66" s="146"/>
      <c r="VHG66" s="146"/>
      <c r="VHH66" s="146"/>
      <c r="VHI66" s="146"/>
      <c r="VHJ66" s="146"/>
      <c r="VHK66" s="146"/>
      <c r="VHL66" s="146"/>
      <c r="VHM66" s="146"/>
      <c r="VHN66" s="146"/>
      <c r="VHO66" s="146"/>
      <c r="VHP66" s="146"/>
      <c r="VHQ66" s="146"/>
      <c r="VHR66" s="146"/>
      <c r="VHS66" s="146"/>
      <c r="VHT66" s="146"/>
      <c r="VHU66" s="146"/>
      <c r="VHV66" s="146"/>
      <c r="VHW66" s="146"/>
      <c r="VHX66" s="146"/>
      <c r="VHY66" s="146"/>
      <c r="VHZ66" s="146"/>
      <c r="VIA66" s="146"/>
      <c r="VIB66" s="146"/>
      <c r="VIC66" s="146"/>
      <c r="VID66" s="146"/>
      <c r="VIE66" s="146"/>
      <c r="VIF66" s="146"/>
      <c r="VIG66" s="146"/>
      <c r="VIH66" s="146"/>
      <c r="VII66" s="146"/>
      <c r="VIJ66" s="146"/>
      <c r="VIK66" s="146"/>
      <c r="VIL66" s="146"/>
      <c r="VIM66" s="146"/>
      <c r="VIN66" s="146"/>
      <c r="VIO66" s="146"/>
      <c r="VIP66" s="146"/>
      <c r="VIQ66" s="146"/>
      <c r="VIR66" s="146"/>
      <c r="VIS66" s="146"/>
      <c r="VIT66" s="146"/>
      <c r="VIU66" s="146"/>
      <c r="VIV66" s="146"/>
      <c r="VIW66" s="146"/>
      <c r="VIX66" s="146"/>
      <c r="VIY66" s="146"/>
      <c r="VIZ66" s="146"/>
      <c r="VJA66" s="146"/>
      <c r="VJB66" s="146"/>
      <c r="VJC66" s="146"/>
      <c r="VJD66" s="146"/>
      <c r="VJE66" s="146"/>
      <c r="VJF66" s="146"/>
      <c r="VJG66" s="146"/>
      <c r="VJH66" s="146"/>
      <c r="VJI66" s="146"/>
      <c r="VJJ66" s="146"/>
      <c r="VJK66" s="146"/>
      <c r="VJL66" s="146"/>
      <c r="VJM66" s="146"/>
      <c r="VJN66" s="146"/>
      <c r="VJO66" s="146"/>
      <c r="VJP66" s="146"/>
      <c r="VJQ66" s="146"/>
      <c r="VJR66" s="146"/>
      <c r="VJS66" s="146"/>
      <c r="VJT66" s="146"/>
      <c r="VJU66" s="146"/>
      <c r="VJV66" s="146"/>
      <c r="VJW66" s="146"/>
      <c r="VJX66" s="146"/>
      <c r="VJY66" s="146"/>
      <c r="VJZ66" s="146"/>
      <c r="VKA66" s="146"/>
      <c r="VKB66" s="146"/>
      <c r="VKC66" s="146"/>
      <c r="VKD66" s="146"/>
      <c r="VKE66" s="146"/>
      <c r="VKF66" s="146"/>
      <c r="VKG66" s="146"/>
      <c r="VKH66" s="146"/>
      <c r="VKI66" s="146"/>
      <c r="VKJ66" s="146"/>
      <c r="VKK66" s="146"/>
      <c r="VKL66" s="146"/>
      <c r="VKM66" s="146"/>
      <c r="VKN66" s="146"/>
      <c r="VKO66" s="146"/>
      <c r="VKP66" s="146"/>
      <c r="VKQ66" s="146"/>
      <c r="VKR66" s="146"/>
      <c r="VKS66" s="146"/>
      <c r="VKT66" s="146"/>
      <c r="VKU66" s="146"/>
      <c r="VKV66" s="146"/>
      <c r="VKW66" s="146"/>
      <c r="VKX66" s="146"/>
      <c r="VKY66" s="146"/>
      <c r="VKZ66" s="146"/>
      <c r="VLA66" s="146"/>
      <c r="VLB66" s="146"/>
      <c r="VLC66" s="146"/>
      <c r="VLD66" s="146"/>
      <c r="VLE66" s="146"/>
      <c r="VLF66" s="146"/>
      <c r="VLG66" s="146"/>
      <c r="VLH66" s="146"/>
      <c r="VLI66" s="146"/>
      <c r="VLJ66" s="146"/>
      <c r="VLK66" s="146"/>
      <c r="VLL66" s="146"/>
      <c r="VLM66" s="146"/>
      <c r="VLN66" s="146"/>
      <c r="VLO66" s="146"/>
      <c r="VLP66" s="146"/>
      <c r="VLQ66" s="146"/>
      <c r="VLR66" s="146"/>
      <c r="VLS66" s="146"/>
      <c r="VLT66" s="146"/>
      <c r="VLU66" s="146"/>
      <c r="VLV66" s="146"/>
      <c r="VLW66" s="146"/>
      <c r="VLX66" s="146"/>
      <c r="VLY66" s="146"/>
      <c r="VLZ66" s="146"/>
      <c r="VMA66" s="146"/>
      <c r="VMB66" s="146"/>
      <c r="VMC66" s="146"/>
      <c r="VMD66" s="146"/>
      <c r="VME66" s="146"/>
      <c r="VMF66" s="146"/>
      <c r="VMG66" s="146"/>
      <c r="VMH66" s="146"/>
      <c r="VMI66" s="146"/>
      <c r="VMJ66" s="146"/>
      <c r="VMK66" s="146"/>
      <c r="VML66" s="146"/>
      <c r="VMM66" s="146"/>
      <c r="VMN66" s="146"/>
      <c r="VMO66" s="146"/>
      <c r="VMP66" s="146"/>
      <c r="VMQ66" s="146"/>
      <c r="VMR66" s="146"/>
      <c r="VMS66" s="146"/>
      <c r="VMT66" s="146"/>
      <c r="VMU66" s="146"/>
      <c r="VMV66" s="146"/>
      <c r="VMW66" s="146"/>
      <c r="VMX66" s="146"/>
      <c r="VMY66" s="146"/>
      <c r="VMZ66" s="146"/>
      <c r="VNA66" s="146"/>
      <c r="VNB66" s="146"/>
      <c r="VNC66" s="146"/>
      <c r="VND66" s="146"/>
      <c r="VNE66" s="146"/>
      <c r="VNF66" s="146"/>
      <c r="VNG66" s="146"/>
      <c r="VNH66" s="146"/>
      <c r="VNI66" s="146"/>
      <c r="VNJ66" s="146"/>
      <c r="VNK66" s="146"/>
      <c r="VNL66" s="146"/>
      <c r="VNM66" s="146"/>
      <c r="VNN66" s="146"/>
      <c r="VNO66" s="146"/>
      <c r="VNP66" s="146"/>
      <c r="VNQ66" s="146"/>
      <c r="VNR66" s="146"/>
      <c r="VNS66" s="146"/>
      <c r="VNT66" s="146"/>
      <c r="VNU66" s="146"/>
      <c r="VNV66" s="146"/>
      <c r="VNW66" s="146"/>
      <c r="VNX66" s="146"/>
      <c r="VNY66" s="146"/>
      <c r="VNZ66" s="146"/>
      <c r="VOA66" s="146"/>
      <c r="VOB66" s="146"/>
      <c r="VOC66" s="146"/>
      <c r="VOD66" s="146"/>
      <c r="VOE66" s="146"/>
      <c r="VOF66" s="146"/>
      <c r="VOG66" s="146"/>
      <c r="VOH66" s="146"/>
      <c r="VOI66" s="146"/>
      <c r="VOJ66" s="146"/>
      <c r="VOK66" s="146"/>
      <c r="VOL66" s="146"/>
      <c r="VOM66" s="146"/>
      <c r="VON66" s="146"/>
      <c r="VOO66" s="146"/>
      <c r="VOP66" s="146"/>
      <c r="VOQ66" s="146"/>
      <c r="VOR66" s="146"/>
      <c r="VOS66" s="146"/>
      <c r="VOT66" s="146"/>
      <c r="VOU66" s="146"/>
      <c r="VOV66" s="146"/>
      <c r="VOW66" s="146"/>
      <c r="VOX66" s="146"/>
      <c r="VOY66" s="146"/>
      <c r="VOZ66" s="146"/>
      <c r="VPA66" s="146"/>
      <c r="VPB66" s="146"/>
      <c r="VPC66" s="146"/>
      <c r="VPD66" s="146"/>
      <c r="VPE66" s="146"/>
      <c r="VPF66" s="146"/>
      <c r="VPG66" s="146"/>
      <c r="VPH66" s="146"/>
      <c r="VPI66" s="146"/>
      <c r="VPJ66" s="146"/>
      <c r="VPK66" s="146"/>
      <c r="VPL66" s="146"/>
      <c r="VPM66" s="146"/>
      <c r="VPN66" s="146"/>
      <c r="VPO66" s="146"/>
      <c r="VPP66" s="146"/>
      <c r="VPQ66" s="146"/>
      <c r="VPR66" s="146"/>
      <c r="VPS66" s="146"/>
      <c r="VPT66" s="146"/>
      <c r="VPU66" s="146"/>
      <c r="VPV66" s="146"/>
      <c r="VPW66" s="146"/>
      <c r="VPX66" s="146"/>
      <c r="VPY66" s="146"/>
      <c r="VPZ66" s="146"/>
      <c r="VQA66" s="146"/>
      <c r="VQB66" s="146"/>
      <c r="VQC66" s="146"/>
      <c r="VQD66" s="146"/>
      <c r="VQE66" s="146"/>
      <c r="VQF66" s="146"/>
      <c r="VQG66" s="146"/>
      <c r="VQH66" s="146"/>
      <c r="VQI66" s="146"/>
      <c r="VQJ66" s="146"/>
      <c r="VQK66" s="146"/>
      <c r="VQL66" s="146"/>
      <c r="VQM66" s="146"/>
      <c r="VQN66" s="146"/>
      <c r="VQO66" s="146"/>
      <c r="VQP66" s="146"/>
      <c r="VQQ66" s="146"/>
      <c r="VQR66" s="146"/>
      <c r="VQS66" s="146"/>
      <c r="VQT66" s="146"/>
      <c r="VQU66" s="146"/>
      <c r="VQV66" s="146"/>
      <c r="VQW66" s="146"/>
      <c r="VQX66" s="146"/>
      <c r="VQY66" s="146"/>
      <c r="VQZ66" s="146"/>
      <c r="VRA66" s="146"/>
      <c r="VRB66" s="146"/>
      <c r="VRC66" s="146"/>
      <c r="VRD66" s="146"/>
      <c r="VRE66" s="146"/>
      <c r="VRF66" s="146"/>
      <c r="VRG66" s="146"/>
      <c r="VRH66" s="146"/>
      <c r="VRI66" s="146"/>
      <c r="VRJ66" s="146"/>
      <c r="VRK66" s="146"/>
      <c r="VRL66" s="146"/>
      <c r="VRM66" s="146"/>
      <c r="VRN66" s="146"/>
      <c r="VRO66" s="146"/>
      <c r="VRP66" s="146"/>
      <c r="VRQ66" s="146"/>
      <c r="VRR66" s="146"/>
      <c r="VRS66" s="146"/>
      <c r="VRT66" s="146"/>
      <c r="VRU66" s="146"/>
      <c r="VRV66" s="146"/>
      <c r="VRW66" s="146"/>
      <c r="VRX66" s="146"/>
      <c r="VRY66" s="146"/>
      <c r="VRZ66" s="146"/>
      <c r="VSA66" s="146"/>
      <c r="VSB66" s="146"/>
      <c r="VSC66" s="146"/>
      <c r="VSD66" s="146"/>
      <c r="VSE66" s="146"/>
      <c r="VSF66" s="146"/>
      <c r="VSG66" s="146"/>
      <c r="VSH66" s="146"/>
      <c r="VSI66" s="146"/>
      <c r="VSJ66" s="146"/>
      <c r="VSK66" s="146"/>
      <c r="VSL66" s="146"/>
      <c r="VSM66" s="146"/>
      <c r="VSN66" s="146"/>
      <c r="VSO66" s="146"/>
      <c r="VSP66" s="146"/>
      <c r="VSQ66" s="146"/>
      <c r="VSR66" s="146"/>
      <c r="VSS66" s="146"/>
      <c r="VST66" s="146"/>
      <c r="VSU66" s="146"/>
      <c r="VSV66" s="146"/>
      <c r="VSW66" s="146"/>
      <c r="VSX66" s="146"/>
      <c r="VSY66" s="146"/>
      <c r="VSZ66" s="146"/>
      <c r="VTA66" s="146"/>
      <c r="VTB66" s="146"/>
      <c r="VTC66" s="146"/>
      <c r="VTD66" s="146"/>
      <c r="VTE66" s="146"/>
      <c r="VTF66" s="146"/>
      <c r="VTG66" s="146"/>
      <c r="VTH66" s="146"/>
      <c r="VTI66" s="146"/>
      <c r="VTJ66" s="146"/>
      <c r="VTK66" s="146"/>
      <c r="VTL66" s="146"/>
      <c r="VTM66" s="146"/>
      <c r="VTN66" s="146"/>
      <c r="VTO66" s="146"/>
      <c r="VTP66" s="146"/>
      <c r="VTQ66" s="146"/>
      <c r="VTR66" s="146"/>
      <c r="VTS66" s="146"/>
      <c r="VTT66" s="146"/>
      <c r="VTU66" s="146"/>
      <c r="VTV66" s="146"/>
      <c r="VTW66" s="146"/>
      <c r="VTX66" s="146"/>
      <c r="VTY66" s="146"/>
      <c r="VTZ66" s="146"/>
      <c r="VUA66" s="146"/>
      <c r="VUB66" s="146"/>
      <c r="VUC66" s="146"/>
      <c r="VUD66" s="146"/>
      <c r="VUE66" s="146"/>
      <c r="VUF66" s="146"/>
      <c r="VUG66" s="146"/>
      <c r="VUH66" s="146"/>
      <c r="VUI66" s="146"/>
      <c r="VUJ66" s="146"/>
      <c r="VUK66" s="146"/>
      <c r="VUL66" s="146"/>
      <c r="VUM66" s="146"/>
      <c r="VUN66" s="146"/>
      <c r="VUO66" s="146"/>
      <c r="VUP66" s="146"/>
      <c r="VUQ66" s="146"/>
      <c r="VUR66" s="146"/>
      <c r="VUS66" s="146"/>
      <c r="VUT66" s="146"/>
      <c r="VUU66" s="146"/>
      <c r="VUV66" s="146"/>
      <c r="VUW66" s="146"/>
      <c r="VUX66" s="146"/>
      <c r="VUY66" s="146"/>
      <c r="VUZ66" s="146"/>
      <c r="VVA66" s="146"/>
      <c r="VVB66" s="146"/>
      <c r="VVC66" s="146"/>
      <c r="VVD66" s="146"/>
      <c r="VVE66" s="146"/>
      <c r="VVF66" s="146"/>
      <c r="VVG66" s="146"/>
      <c r="VVH66" s="146"/>
      <c r="VVI66" s="146"/>
      <c r="VVJ66" s="146"/>
      <c r="VVK66" s="146"/>
      <c r="VVL66" s="146"/>
      <c r="VVM66" s="146"/>
      <c r="VVN66" s="146"/>
      <c r="VVO66" s="146"/>
      <c r="VVP66" s="146"/>
      <c r="VVQ66" s="146"/>
      <c r="VVR66" s="146"/>
      <c r="VVS66" s="146"/>
      <c r="VVT66" s="146"/>
      <c r="VVU66" s="146"/>
      <c r="VVV66" s="146"/>
      <c r="VVW66" s="146"/>
      <c r="VVX66" s="146"/>
      <c r="VVY66" s="146"/>
      <c r="VVZ66" s="146"/>
      <c r="VWA66" s="146"/>
      <c r="VWB66" s="146"/>
      <c r="VWC66" s="146"/>
      <c r="VWD66" s="146"/>
      <c r="VWE66" s="146"/>
      <c r="VWF66" s="146"/>
      <c r="VWG66" s="146"/>
      <c r="VWH66" s="146"/>
      <c r="VWI66" s="146"/>
      <c r="VWJ66" s="146"/>
      <c r="VWK66" s="146"/>
      <c r="VWL66" s="146"/>
      <c r="VWM66" s="146"/>
      <c r="VWN66" s="146"/>
      <c r="VWO66" s="146"/>
      <c r="VWP66" s="146"/>
      <c r="VWQ66" s="146"/>
      <c r="VWR66" s="146"/>
      <c r="VWS66" s="146"/>
      <c r="VWT66" s="146"/>
      <c r="VWU66" s="146"/>
      <c r="VWV66" s="146"/>
      <c r="VWW66" s="146"/>
      <c r="VWX66" s="146"/>
      <c r="VWY66" s="146"/>
      <c r="VWZ66" s="146"/>
      <c r="VXA66" s="146"/>
      <c r="VXB66" s="146"/>
      <c r="VXC66" s="146"/>
      <c r="VXD66" s="146"/>
      <c r="VXE66" s="146"/>
      <c r="VXF66" s="146"/>
      <c r="VXG66" s="146"/>
      <c r="VXH66" s="146"/>
      <c r="VXI66" s="146"/>
      <c r="VXJ66" s="146"/>
      <c r="VXK66" s="146"/>
      <c r="VXL66" s="146"/>
      <c r="VXM66" s="146"/>
      <c r="VXN66" s="146"/>
      <c r="VXO66" s="146"/>
      <c r="VXP66" s="146"/>
      <c r="VXQ66" s="146"/>
      <c r="VXR66" s="146"/>
      <c r="VXS66" s="146"/>
      <c r="VXT66" s="146"/>
      <c r="VXU66" s="146"/>
      <c r="VXV66" s="146"/>
      <c r="VXW66" s="146"/>
      <c r="VXX66" s="146"/>
      <c r="VXY66" s="146"/>
      <c r="VXZ66" s="146"/>
      <c r="VYA66" s="146"/>
      <c r="VYB66" s="146"/>
      <c r="VYC66" s="146"/>
      <c r="VYD66" s="146"/>
      <c r="VYE66" s="146"/>
      <c r="VYF66" s="146"/>
      <c r="VYG66" s="146"/>
      <c r="VYH66" s="146"/>
      <c r="VYI66" s="146"/>
      <c r="VYJ66" s="146"/>
      <c r="VYK66" s="146"/>
      <c r="VYL66" s="146"/>
      <c r="VYM66" s="146"/>
      <c r="VYN66" s="146"/>
      <c r="VYO66" s="146"/>
      <c r="VYP66" s="146"/>
      <c r="VYQ66" s="146"/>
      <c r="VYR66" s="146"/>
      <c r="VYS66" s="146"/>
      <c r="VYT66" s="146"/>
      <c r="VYU66" s="146"/>
      <c r="VYV66" s="146"/>
      <c r="VYW66" s="146"/>
      <c r="VYX66" s="146"/>
      <c r="VYY66" s="146"/>
      <c r="VYZ66" s="146"/>
      <c r="VZA66" s="146"/>
      <c r="VZB66" s="146"/>
      <c r="VZC66" s="146"/>
      <c r="VZD66" s="146"/>
      <c r="VZE66" s="146"/>
      <c r="VZF66" s="146"/>
      <c r="VZG66" s="146"/>
      <c r="VZH66" s="146"/>
      <c r="VZI66" s="146"/>
      <c r="VZJ66" s="146"/>
      <c r="VZK66" s="146"/>
      <c r="VZL66" s="146"/>
      <c r="VZM66" s="146"/>
      <c r="VZN66" s="146"/>
      <c r="VZO66" s="146"/>
      <c r="VZP66" s="146"/>
      <c r="VZQ66" s="146"/>
      <c r="VZR66" s="146"/>
      <c r="VZS66" s="146"/>
      <c r="VZT66" s="146"/>
      <c r="VZU66" s="146"/>
      <c r="VZV66" s="146"/>
      <c r="VZW66" s="146"/>
      <c r="VZX66" s="146"/>
      <c r="VZY66" s="146"/>
      <c r="VZZ66" s="146"/>
      <c r="WAA66" s="146"/>
      <c r="WAB66" s="146"/>
      <c r="WAC66" s="146"/>
      <c r="WAD66" s="146"/>
      <c r="WAE66" s="146"/>
      <c r="WAF66" s="146"/>
      <c r="WAG66" s="146"/>
      <c r="WAH66" s="146"/>
      <c r="WAI66" s="146"/>
      <c r="WAJ66" s="146"/>
      <c r="WAK66" s="146"/>
      <c r="WAL66" s="146"/>
      <c r="WAM66" s="146"/>
      <c r="WAN66" s="146"/>
      <c r="WAO66" s="146"/>
      <c r="WAP66" s="146"/>
      <c r="WAQ66" s="146"/>
      <c r="WAR66" s="146"/>
      <c r="WAS66" s="146"/>
      <c r="WAT66" s="146"/>
      <c r="WAU66" s="146"/>
      <c r="WAV66" s="146"/>
      <c r="WAW66" s="146"/>
      <c r="WAX66" s="146"/>
      <c r="WAY66" s="146"/>
      <c r="WAZ66" s="146"/>
      <c r="WBA66" s="146"/>
      <c r="WBB66" s="146"/>
      <c r="WBC66" s="146"/>
      <c r="WBD66" s="146"/>
      <c r="WBE66" s="146"/>
      <c r="WBF66" s="146"/>
      <c r="WBG66" s="146"/>
      <c r="WBH66" s="146"/>
      <c r="WBI66" s="146"/>
      <c r="WBJ66" s="146"/>
      <c r="WBK66" s="146"/>
      <c r="WBL66" s="146"/>
      <c r="WBM66" s="146"/>
      <c r="WBN66" s="146"/>
      <c r="WBO66" s="146"/>
      <c r="WBP66" s="146"/>
      <c r="WBQ66" s="146"/>
      <c r="WBR66" s="146"/>
      <c r="WBS66" s="146"/>
      <c r="WBT66" s="146"/>
      <c r="WBU66" s="146"/>
      <c r="WBV66" s="146"/>
      <c r="WBW66" s="146"/>
      <c r="WBX66" s="146"/>
      <c r="WBY66" s="146"/>
      <c r="WBZ66" s="146"/>
      <c r="WCA66" s="146"/>
      <c r="WCB66" s="146"/>
      <c r="WCC66" s="146"/>
      <c r="WCD66" s="146"/>
      <c r="WCE66" s="146"/>
      <c r="WCF66" s="146"/>
      <c r="WCG66" s="146"/>
      <c r="WCH66" s="146"/>
      <c r="WCI66" s="146"/>
      <c r="WCJ66" s="146"/>
      <c r="WCK66" s="146"/>
      <c r="WCL66" s="146"/>
      <c r="WCM66" s="146"/>
      <c r="WCN66" s="146"/>
      <c r="WCO66" s="146"/>
      <c r="WCP66" s="146"/>
      <c r="WCQ66" s="146"/>
      <c r="WCR66" s="146"/>
      <c r="WCS66" s="146"/>
      <c r="WCT66" s="146"/>
      <c r="WCU66" s="146"/>
      <c r="WCV66" s="146"/>
      <c r="WCW66" s="146"/>
      <c r="WCX66" s="146"/>
      <c r="WCY66" s="146"/>
      <c r="WCZ66" s="146"/>
      <c r="WDA66" s="146"/>
      <c r="WDB66" s="146"/>
      <c r="WDC66" s="146"/>
      <c r="WDD66" s="146"/>
      <c r="WDE66" s="146"/>
      <c r="WDF66" s="146"/>
      <c r="WDG66" s="146"/>
      <c r="WDH66" s="146"/>
      <c r="WDI66" s="146"/>
      <c r="WDJ66" s="146"/>
      <c r="WDK66" s="146"/>
      <c r="WDL66" s="146"/>
      <c r="WDM66" s="146"/>
      <c r="WDN66" s="146"/>
      <c r="WDO66" s="146"/>
      <c r="WDP66" s="146"/>
      <c r="WDQ66" s="146"/>
      <c r="WDR66" s="146"/>
      <c r="WDS66" s="146"/>
      <c r="WDT66" s="146"/>
      <c r="WDU66" s="146"/>
      <c r="WDV66" s="146"/>
      <c r="WDW66" s="146"/>
      <c r="WDX66" s="146"/>
      <c r="WDY66" s="146"/>
      <c r="WDZ66" s="146"/>
      <c r="WEA66" s="146"/>
      <c r="WEB66" s="146"/>
      <c r="WEC66" s="146"/>
      <c r="WED66" s="146"/>
      <c r="WEE66" s="146"/>
      <c r="WEF66" s="146"/>
      <c r="WEG66" s="146"/>
      <c r="WEH66" s="146"/>
      <c r="WEI66" s="146"/>
      <c r="WEJ66" s="146"/>
      <c r="WEK66" s="146"/>
      <c r="WEL66" s="146"/>
      <c r="WEM66" s="146"/>
      <c r="WEN66" s="146"/>
      <c r="WEO66" s="146"/>
      <c r="WEP66" s="146"/>
      <c r="WEQ66" s="146"/>
      <c r="WER66" s="146"/>
      <c r="WES66" s="146"/>
      <c r="WET66" s="146"/>
      <c r="WEU66" s="146"/>
      <c r="WEV66" s="146"/>
      <c r="WEW66" s="146"/>
      <c r="WEX66" s="146"/>
      <c r="WEY66" s="146"/>
      <c r="WEZ66" s="146"/>
      <c r="WFA66" s="146"/>
      <c r="WFB66" s="146"/>
      <c r="WFC66" s="146"/>
      <c r="WFD66" s="146"/>
      <c r="WFE66" s="146"/>
      <c r="WFF66" s="146"/>
      <c r="WFG66" s="146"/>
      <c r="WFH66" s="146"/>
      <c r="WFI66" s="146"/>
      <c r="WFJ66" s="146"/>
      <c r="WFK66" s="146"/>
      <c r="WFL66" s="146"/>
      <c r="WFM66" s="146"/>
      <c r="WFN66" s="146"/>
      <c r="WFO66" s="146"/>
      <c r="WFP66" s="146"/>
      <c r="WFQ66" s="146"/>
      <c r="WFR66" s="146"/>
      <c r="WFS66" s="146"/>
      <c r="WFT66" s="146"/>
      <c r="WFU66" s="146"/>
      <c r="WFV66" s="146"/>
      <c r="WFW66" s="146"/>
      <c r="WFX66" s="146"/>
      <c r="WFY66" s="146"/>
      <c r="WFZ66" s="146"/>
      <c r="WGA66" s="146"/>
      <c r="WGB66" s="146"/>
      <c r="WGC66" s="146"/>
      <c r="WGD66" s="146"/>
      <c r="WGE66" s="146"/>
      <c r="WGF66" s="146"/>
      <c r="WGG66" s="146"/>
      <c r="WGH66" s="146"/>
      <c r="WGI66" s="146"/>
      <c r="WGJ66" s="146"/>
      <c r="WGK66" s="146"/>
      <c r="WGL66" s="146"/>
      <c r="WGM66" s="146"/>
      <c r="WGN66" s="146"/>
      <c r="WGO66" s="146"/>
      <c r="WGP66" s="146"/>
      <c r="WGQ66" s="146"/>
      <c r="WGR66" s="146"/>
      <c r="WGS66" s="146"/>
      <c r="WGT66" s="146"/>
      <c r="WGU66" s="146"/>
      <c r="WGV66" s="146"/>
      <c r="WGW66" s="146"/>
      <c r="WGX66" s="146"/>
      <c r="WGY66" s="146"/>
      <c r="WGZ66" s="146"/>
      <c r="WHA66" s="146"/>
      <c r="WHB66" s="146"/>
      <c r="WHC66" s="146"/>
      <c r="WHD66" s="146"/>
      <c r="WHE66" s="146"/>
      <c r="WHF66" s="146"/>
      <c r="WHG66" s="146"/>
      <c r="WHH66" s="146"/>
      <c r="WHI66" s="146"/>
      <c r="WHJ66" s="146"/>
      <c r="WHK66" s="146"/>
      <c r="WHL66" s="146"/>
      <c r="WHM66" s="146"/>
      <c r="WHN66" s="146"/>
      <c r="WHO66" s="146"/>
      <c r="WHP66" s="146"/>
      <c r="WHQ66" s="146"/>
      <c r="WHR66" s="146"/>
      <c r="WHS66" s="146"/>
      <c r="WHT66" s="146"/>
      <c r="WHU66" s="146"/>
      <c r="WHV66" s="146"/>
      <c r="WHW66" s="146"/>
      <c r="WHX66" s="146"/>
      <c r="WHY66" s="146"/>
      <c r="WHZ66" s="146"/>
      <c r="WIA66" s="146"/>
      <c r="WIB66" s="146"/>
      <c r="WIC66" s="146"/>
      <c r="WID66" s="146"/>
      <c r="WIE66" s="146"/>
      <c r="WIF66" s="146"/>
      <c r="WIG66" s="146"/>
      <c r="WIH66" s="146"/>
      <c r="WII66" s="146"/>
      <c r="WIJ66" s="146"/>
      <c r="WIK66" s="146"/>
      <c r="WIL66" s="146"/>
      <c r="WIM66" s="146"/>
      <c r="WIN66" s="146"/>
      <c r="WIO66" s="146"/>
      <c r="WIP66" s="146"/>
      <c r="WIQ66" s="146"/>
      <c r="WIR66" s="146"/>
      <c r="WIS66" s="146"/>
      <c r="WIT66" s="146"/>
      <c r="WIU66" s="146"/>
      <c r="WIV66" s="146"/>
      <c r="WIW66" s="146"/>
      <c r="WIX66" s="146"/>
      <c r="WIY66" s="146"/>
      <c r="WIZ66" s="146"/>
      <c r="WJA66" s="146"/>
      <c r="WJB66" s="146"/>
      <c r="WJC66" s="146"/>
      <c r="WJD66" s="146"/>
      <c r="WJE66" s="146"/>
      <c r="WJF66" s="146"/>
      <c r="WJG66" s="146"/>
      <c r="WJH66" s="146"/>
      <c r="WJI66" s="146"/>
      <c r="WJJ66" s="146"/>
      <c r="WJK66" s="146"/>
      <c r="WJL66" s="146"/>
      <c r="WJM66" s="146"/>
      <c r="WJN66" s="146"/>
      <c r="WJO66" s="146"/>
      <c r="WJP66" s="146"/>
      <c r="WJQ66" s="146"/>
      <c r="WJR66" s="146"/>
      <c r="WJS66" s="146"/>
      <c r="WJT66" s="146"/>
      <c r="WJU66" s="146"/>
      <c r="WJV66" s="146"/>
      <c r="WJW66" s="146"/>
      <c r="WJX66" s="146"/>
      <c r="WJY66" s="146"/>
      <c r="WJZ66" s="146"/>
      <c r="WKA66" s="146"/>
      <c r="WKB66" s="146"/>
      <c r="WKC66" s="146"/>
      <c r="WKD66" s="146"/>
      <c r="WKE66" s="146"/>
      <c r="WKF66" s="146"/>
      <c r="WKG66" s="146"/>
      <c r="WKH66" s="146"/>
      <c r="WKI66" s="146"/>
      <c r="WKJ66" s="146"/>
      <c r="WKK66" s="146"/>
      <c r="WKL66" s="146"/>
      <c r="WKM66" s="146"/>
      <c r="WKN66" s="146"/>
      <c r="WKO66" s="146"/>
      <c r="WKP66" s="146"/>
      <c r="WKQ66" s="146"/>
      <c r="WKR66" s="146"/>
      <c r="WKS66" s="146"/>
      <c r="WKT66" s="146"/>
      <c r="WKU66" s="146"/>
      <c r="WKV66" s="146"/>
      <c r="WKW66" s="146"/>
      <c r="WKX66" s="146"/>
      <c r="WKY66" s="146"/>
      <c r="WKZ66" s="146"/>
      <c r="WLA66" s="146"/>
      <c r="WLB66" s="146"/>
      <c r="WLC66" s="146"/>
      <c r="WLD66" s="146"/>
      <c r="WLE66" s="146"/>
      <c r="WLF66" s="146"/>
      <c r="WLG66" s="146"/>
      <c r="WLH66" s="146"/>
      <c r="WLI66" s="146"/>
      <c r="WLJ66" s="146"/>
      <c r="WLK66" s="146"/>
      <c r="WLL66" s="146"/>
      <c r="WLM66" s="146"/>
      <c r="WLN66" s="146"/>
      <c r="WLO66" s="146"/>
      <c r="WLP66" s="146"/>
      <c r="WLQ66" s="146"/>
      <c r="WLR66" s="146"/>
      <c r="WLS66" s="146"/>
      <c r="WLT66" s="146"/>
      <c r="WLU66" s="146"/>
      <c r="WLV66" s="146"/>
      <c r="WLW66" s="146"/>
      <c r="WLX66" s="146"/>
      <c r="WLY66" s="146"/>
      <c r="WLZ66" s="146"/>
      <c r="WMA66" s="146"/>
      <c r="WMB66" s="146"/>
      <c r="WMC66" s="146"/>
      <c r="WMD66" s="146"/>
      <c r="WME66" s="146"/>
      <c r="WMF66" s="146"/>
      <c r="WMG66" s="146"/>
      <c r="WMH66" s="146"/>
      <c r="WMI66" s="146"/>
      <c r="WMJ66" s="146"/>
      <c r="WMK66" s="146"/>
      <c r="WML66" s="146"/>
      <c r="WMM66" s="146"/>
      <c r="WMN66" s="146"/>
      <c r="WMO66" s="146"/>
      <c r="WMP66" s="146"/>
      <c r="WMQ66" s="146"/>
      <c r="WMR66" s="146"/>
      <c r="WMS66" s="146"/>
      <c r="WMT66" s="146"/>
      <c r="WMU66" s="146"/>
      <c r="WMV66" s="146"/>
      <c r="WMW66" s="146"/>
      <c r="WMX66" s="146"/>
      <c r="WMY66" s="146"/>
      <c r="WMZ66" s="146"/>
      <c r="WNA66" s="146"/>
      <c r="WNB66" s="146"/>
      <c r="WNC66" s="146"/>
      <c r="WND66" s="146"/>
      <c r="WNE66" s="146"/>
      <c r="WNF66" s="146"/>
      <c r="WNG66" s="146"/>
      <c r="WNH66" s="146"/>
      <c r="WNI66" s="146"/>
      <c r="WNJ66" s="146"/>
      <c r="WNK66" s="146"/>
      <c r="WNL66" s="146"/>
      <c r="WNM66" s="146"/>
      <c r="WNN66" s="146"/>
      <c r="WNO66" s="146"/>
      <c r="WNP66" s="146"/>
      <c r="WNQ66" s="146"/>
      <c r="WNR66" s="146"/>
      <c r="WNS66" s="146"/>
      <c r="WNT66" s="146"/>
      <c r="WNU66" s="146"/>
      <c r="WNV66" s="146"/>
      <c r="WNW66" s="146"/>
      <c r="WNX66" s="146"/>
      <c r="WNY66" s="146"/>
      <c r="WNZ66" s="146"/>
      <c r="WOA66" s="146"/>
      <c r="WOB66" s="146"/>
      <c r="WOC66" s="146"/>
      <c r="WOD66" s="146"/>
      <c r="WOE66" s="146"/>
      <c r="WOF66" s="146"/>
      <c r="WOG66" s="146"/>
      <c r="WOH66" s="146"/>
      <c r="WOI66" s="146"/>
      <c r="WOJ66" s="146"/>
      <c r="WOK66" s="146"/>
      <c r="WOL66" s="146"/>
      <c r="WOM66" s="146"/>
      <c r="WON66" s="146"/>
      <c r="WOO66" s="146"/>
      <c r="WOP66" s="146"/>
      <c r="WOQ66" s="146"/>
      <c r="WOR66" s="146"/>
      <c r="WOS66" s="146"/>
      <c r="WOT66" s="146"/>
      <c r="WOU66" s="146"/>
      <c r="WOV66" s="146"/>
      <c r="WOW66" s="146"/>
      <c r="WOX66" s="146"/>
      <c r="WOY66" s="146"/>
      <c r="WOZ66" s="146"/>
      <c r="WPA66" s="146"/>
      <c r="WPB66" s="146"/>
      <c r="WPC66" s="146"/>
      <c r="WPD66" s="146"/>
      <c r="WPE66" s="146"/>
      <c r="WPF66" s="146"/>
      <c r="WPG66" s="146"/>
      <c r="WPH66" s="146"/>
      <c r="WPI66" s="146"/>
      <c r="WPJ66" s="146"/>
      <c r="WPK66" s="146"/>
      <c r="WPL66" s="146"/>
      <c r="WPM66" s="146"/>
      <c r="WPN66" s="146"/>
      <c r="WPO66" s="146"/>
      <c r="WPP66" s="146"/>
      <c r="WPQ66" s="146"/>
      <c r="WPR66" s="146"/>
      <c r="WPS66" s="146"/>
      <c r="WPT66" s="146"/>
      <c r="WPU66" s="146"/>
      <c r="WPV66" s="146"/>
      <c r="WPW66" s="146"/>
      <c r="WPX66" s="146"/>
      <c r="WPY66" s="146"/>
      <c r="WPZ66" s="146"/>
      <c r="WQA66" s="146"/>
      <c r="WQB66" s="146"/>
      <c r="WQC66" s="146"/>
      <c r="WQD66" s="146"/>
      <c r="WQE66" s="146"/>
      <c r="WQF66" s="146"/>
      <c r="WQG66" s="146"/>
      <c r="WQH66" s="146"/>
      <c r="WQI66" s="146"/>
      <c r="WQJ66" s="146"/>
      <c r="WQK66" s="146"/>
      <c r="WQL66" s="146"/>
      <c r="WQM66" s="146"/>
      <c r="WQN66" s="146"/>
      <c r="WQO66" s="146"/>
      <c r="WQP66" s="146"/>
      <c r="WQQ66" s="146"/>
      <c r="WQR66" s="146"/>
      <c r="WQS66" s="146"/>
      <c r="WQT66" s="146"/>
      <c r="WQU66" s="146"/>
      <c r="WQV66" s="146"/>
      <c r="WQW66" s="146"/>
      <c r="WQX66" s="146"/>
      <c r="WQY66" s="146"/>
      <c r="WQZ66" s="146"/>
      <c r="WRA66" s="146"/>
      <c r="WRB66" s="146"/>
      <c r="WRC66" s="146"/>
      <c r="WRD66" s="146"/>
      <c r="WRE66" s="146"/>
      <c r="WRF66" s="146"/>
      <c r="WRG66" s="146"/>
      <c r="WRH66" s="146"/>
      <c r="WRI66" s="146"/>
      <c r="WRJ66" s="146"/>
      <c r="WRK66" s="146"/>
      <c r="WRL66" s="146"/>
      <c r="WRM66" s="146"/>
      <c r="WRN66" s="146"/>
      <c r="WRO66" s="146"/>
      <c r="WRP66" s="146"/>
      <c r="WRQ66" s="146"/>
      <c r="WRR66" s="146"/>
      <c r="WRS66" s="146"/>
      <c r="WRT66" s="146"/>
      <c r="WRU66" s="146"/>
      <c r="WRV66" s="146"/>
      <c r="WRW66" s="146"/>
      <c r="WRX66" s="146"/>
      <c r="WRY66" s="146"/>
      <c r="WRZ66" s="146"/>
      <c r="WSA66" s="146"/>
      <c r="WSB66" s="146"/>
      <c r="WSC66" s="146"/>
      <c r="WSD66" s="146"/>
      <c r="WSE66" s="146"/>
      <c r="WSF66" s="146"/>
      <c r="WSG66" s="146"/>
      <c r="WSH66" s="146"/>
      <c r="WSI66" s="146"/>
      <c r="WSJ66" s="146"/>
      <c r="WSK66" s="146"/>
      <c r="WSL66" s="146"/>
      <c r="WSM66" s="146"/>
      <c r="WSN66" s="146"/>
      <c r="WSO66" s="146"/>
      <c r="WSP66" s="146"/>
      <c r="WSQ66" s="146"/>
      <c r="WSR66" s="146"/>
      <c r="WSS66" s="146"/>
      <c r="WST66" s="146"/>
      <c r="WSU66" s="146"/>
      <c r="WSV66" s="146"/>
      <c r="WSW66" s="146"/>
      <c r="WSX66" s="146"/>
      <c r="WSY66" s="146"/>
      <c r="WSZ66" s="146"/>
      <c r="WTA66" s="146"/>
      <c r="WTB66" s="146"/>
      <c r="WTC66" s="146"/>
      <c r="WTD66" s="146"/>
      <c r="WTE66" s="146"/>
      <c r="WTF66" s="146"/>
      <c r="WTG66" s="146"/>
      <c r="WTH66" s="146"/>
      <c r="WTI66" s="146"/>
      <c r="WTJ66" s="146"/>
      <c r="WTK66" s="146"/>
      <c r="WTL66" s="146"/>
      <c r="WTM66" s="146"/>
      <c r="WTN66" s="146"/>
      <c r="WTO66" s="146"/>
      <c r="WTP66" s="146"/>
      <c r="WTQ66" s="146"/>
      <c r="WTR66" s="146"/>
      <c r="WTS66" s="146"/>
      <c r="WTT66" s="146"/>
      <c r="WTU66" s="146"/>
      <c r="WTV66" s="146"/>
      <c r="WTW66" s="146"/>
      <c r="WTX66" s="146"/>
      <c r="WTY66" s="146"/>
      <c r="WTZ66" s="146"/>
      <c r="WUA66" s="146"/>
      <c r="WUB66" s="146"/>
      <c r="WUC66" s="146"/>
      <c r="WUD66" s="146"/>
      <c r="WUE66" s="146"/>
      <c r="WUF66" s="146"/>
      <c r="WUG66" s="146"/>
      <c r="WUH66" s="146"/>
      <c r="WUI66" s="146"/>
      <c r="WUJ66" s="146"/>
      <c r="WUK66" s="146"/>
      <c r="WUL66" s="146"/>
      <c r="WUM66" s="146"/>
      <c r="WUN66" s="146"/>
      <c r="WUO66" s="146"/>
      <c r="WUP66" s="146"/>
      <c r="WUQ66" s="146"/>
      <c r="WUR66" s="146"/>
      <c r="WUS66" s="146"/>
      <c r="WUT66" s="146"/>
      <c r="WUU66" s="146"/>
      <c r="WUV66" s="146"/>
      <c r="WUW66" s="146"/>
      <c r="WUX66" s="146"/>
      <c r="WUY66" s="146"/>
      <c r="WUZ66" s="146"/>
      <c r="WVA66" s="146"/>
      <c r="WVB66" s="146"/>
      <c r="WVC66" s="146"/>
      <c r="WVD66" s="146"/>
      <c r="WVE66" s="146"/>
      <c r="WVF66" s="146"/>
      <c r="WVG66" s="146"/>
      <c r="WVH66" s="146"/>
      <c r="WVI66" s="146"/>
      <c r="WVJ66" s="146"/>
      <c r="WVK66" s="146"/>
      <c r="WVL66" s="146"/>
      <c r="WVM66" s="146"/>
      <c r="WVN66" s="146"/>
      <c r="WVO66" s="146"/>
      <c r="WVP66" s="146"/>
      <c r="WVQ66" s="146"/>
      <c r="WVR66" s="146"/>
      <c r="WVS66" s="146"/>
      <c r="WVT66" s="146"/>
      <c r="WVU66" s="146"/>
      <c r="WVV66" s="146"/>
      <c r="WVW66" s="146"/>
      <c r="WVX66" s="146"/>
      <c r="WVY66" s="146"/>
      <c r="WVZ66" s="146"/>
      <c r="WWA66" s="146"/>
      <c r="WWB66" s="146"/>
      <c r="WWC66" s="146"/>
      <c r="WWD66" s="146"/>
      <c r="WWE66" s="146"/>
      <c r="WWF66" s="146"/>
      <c r="WWG66" s="146"/>
      <c r="WWH66" s="146"/>
      <c r="WWI66" s="146"/>
      <c r="WWJ66" s="146"/>
      <c r="WWK66" s="146"/>
      <c r="WWL66" s="146"/>
      <c r="WWM66" s="146"/>
      <c r="WWN66" s="146"/>
      <c r="WWO66" s="146"/>
      <c r="WWP66" s="146"/>
      <c r="WWQ66" s="146"/>
      <c r="WWR66" s="146"/>
      <c r="WWS66" s="146"/>
      <c r="WWT66" s="146"/>
      <c r="WWU66" s="146"/>
      <c r="WWV66" s="146"/>
      <c r="WWW66" s="146"/>
      <c r="WWX66" s="146"/>
      <c r="WWY66" s="146"/>
      <c r="WWZ66" s="146"/>
      <c r="WXA66" s="146"/>
      <c r="WXB66" s="146"/>
      <c r="WXC66" s="146"/>
      <c r="WXD66" s="146"/>
      <c r="WXE66" s="146"/>
      <c r="WXF66" s="146"/>
      <c r="WXG66" s="146"/>
      <c r="WXH66" s="146"/>
      <c r="WXI66" s="146"/>
      <c r="WXJ66" s="146"/>
      <c r="WXK66" s="146"/>
      <c r="WXL66" s="146"/>
      <c r="WXM66" s="146"/>
      <c r="WXN66" s="146"/>
      <c r="WXO66" s="146"/>
      <c r="WXP66" s="146"/>
      <c r="WXQ66" s="146"/>
      <c r="WXR66" s="146"/>
      <c r="WXS66" s="146"/>
      <c r="WXT66" s="146"/>
      <c r="WXU66" s="146"/>
      <c r="WXV66" s="146"/>
      <c r="WXW66" s="146"/>
      <c r="WXX66" s="146"/>
      <c r="WXY66" s="146"/>
      <c r="WXZ66" s="146"/>
      <c r="WYA66" s="146"/>
      <c r="WYB66" s="146"/>
      <c r="WYC66" s="146"/>
      <c r="WYD66" s="146"/>
      <c r="WYE66" s="146"/>
      <c r="WYF66" s="146"/>
      <c r="WYG66" s="146"/>
      <c r="WYH66" s="146"/>
      <c r="WYI66" s="146"/>
      <c r="WYJ66" s="146"/>
      <c r="WYK66" s="146"/>
      <c r="WYL66" s="146"/>
      <c r="WYM66" s="146"/>
      <c r="WYN66" s="146"/>
      <c r="WYO66" s="146"/>
      <c r="WYP66" s="146"/>
      <c r="WYQ66" s="146"/>
      <c r="WYR66" s="146"/>
      <c r="WYS66" s="146"/>
      <c r="WYT66" s="146"/>
      <c r="WYU66" s="146"/>
      <c r="WYV66" s="146"/>
      <c r="WYW66" s="146"/>
      <c r="WYX66" s="146"/>
      <c r="WYY66" s="146"/>
      <c r="WYZ66" s="146"/>
      <c r="WZA66" s="146"/>
      <c r="WZB66" s="146"/>
      <c r="WZC66" s="146"/>
      <c r="WZD66" s="146"/>
      <c r="WZE66" s="146"/>
      <c r="WZF66" s="146"/>
      <c r="WZG66" s="146"/>
      <c r="WZH66" s="146"/>
      <c r="WZI66" s="146"/>
      <c r="WZJ66" s="146"/>
      <c r="WZK66" s="146"/>
      <c r="WZL66" s="146"/>
      <c r="WZM66" s="146"/>
      <c r="WZN66" s="146"/>
      <c r="WZO66" s="146"/>
      <c r="WZP66" s="146"/>
      <c r="WZQ66" s="146"/>
      <c r="WZR66" s="146"/>
      <c r="WZS66" s="146"/>
      <c r="WZT66" s="146"/>
      <c r="WZU66" s="146"/>
      <c r="WZV66" s="146"/>
      <c r="WZW66" s="146"/>
      <c r="WZX66" s="146"/>
      <c r="WZY66" s="146"/>
      <c r="WZZ66" s="146"/>
      <c r="XAA66" s="146"/>
      <c r="XAB66" s="146"/>
      <c r="XAC66" s="146"/>
      <c r="XAD66" s="146"/>
      <c r="XAE66" s="146"/>
      <c r="XAF66" s="146"/>
      <c r="XAG66" s="146"/>
      <c r="XAH66" s="146"/>
      <c r="XAI66" s="146"/>
      <c r="XAJ66" s="146"/>
      <c r="XAK66" s="146"/>
      <c r="XAL66" s="146"/>
      <c r="XAM66" s="146"/>
      <c r="XAN66" s="146"/>
      <c r="XAO66" s="146"/>
      <c r="XAP66" s="146"/>
      <c r="XAQ66" s="146"/>
      <c r="XAR66" s="146"/>
      <c r="XAS66" s="146"/>
      <c r="XAT66" s="146"/>
      <c r="XAU66" s="146"/>
      <c r="XAV66" s="146"/>
      <c r="XAW66" s="146"/>
      <c r="XAX66" s="146"/>
      <c r="XAY66" s="146"/>
      <c r="XAZ66" s="146"/>
      <c r="XBA66" s="146"/>
      <c r="XBB66" s="146"/>
      <c r="XBC66" s="146"/>
      <c r="XBD66" s="146"/>
      <c r="XBE66" s="146"/>
      <c r="XBF66" s="146"/>
      <c r="XBG66" s="146"/>
      <c r="XBH66" s="146"/>
      <c r="XBI66" s="146"/>
      <c r="XBJ66" s="146"/>
      <c r="XBK66" s="146"/>
      <c r="XBL66" s="146"/>
      <c r="XBM66" s="146"/>
      <c r="XBN66" s="146"/>
      <c r="XBO66" s="146"/>
      <c r="XBP66" s="146"/>
      <c r="XBQ66" s="146"/>
      <c r="XBR66" s="146"/>
      <c r="XBS66" s="146"/>
      <c r="XBT66" s="146"/>
      <c r="XBU66" s="146"/>
      <c r="XBV66" s="146"/>
      <c r="XBW66" s="146"/>
      <c r="XBX66" s="146"/>
      <c r="XBY66" s="146"/>
      <c r="XBZ66" s="146"/>
      <c r="XCA66" s="146"/>
      <c r="XCB66" s="146"/>
      <c r="XCC66" s="146"/>
      <c r="XCD66" s="146"/>
      <c r="XCE66" s="146"/>
      <c r="XCF66" s="146"/>
      <c r="XCG66" s="146"/>
      <c r="XCH66" s="146"/>
      <c r="XCI66" s="146"/>
      <c r="XCJ66" s="146"/>
      <c r="XCK66" s="146"/>
      <c r="XCL66" s="146"/>
      <c r="XCM66" s="146"/>
      <c r="XCN66" s="146"/>
      <c r="XCO66" s="146"/>
      <c r="XCP66" s="146"/>
      <c r="XCQ66" s="146"/>
      <c r="XCR66" s="146"/>
      <c r="XCS66" s="146"/>
      <c r="XCT66" s="146"/>
      <c r="XCU66" s="146"/>
      <c r="XCV66" s="146"/>
      <c r="XCW66" s="146"/>
      <c r="XCX66" s="146"/>
      <c r="XCY66" s="146"/>
      <c r="XCZ66" s="146"/>
      <c r="XDA66" s="146"/>
      <c r="XDB66" s="146"/>
      <c r="XDC66" s="146"/>
      <c r="XDD66" s="146"/>
      <c r="XDE66" s="146"/>
      <c r="XDF66" s="146"/>
      <c r="XDG66" s="146"/>
      <c r="XDH66" s="146"/>
      <c r="XDI66" s="146"/>
      <c r="XDJ66" s="146"/>
      <c r="XDK66" s="146"/>
      <c r="XDL66" s="146"/>
      <c r="XDM66" s="146"/>
      <c r="XDN66" s="146"/>
      <c r="XDO66" s="146"/>
      <c r="XDP66" s="146"/>
      <c r="XDQ66" s="146"/>
      <c r="XDR66" s="146"/>
      <c r="XDS66" s="146"/>
      <c r="XDT66" s="146"/>
      <c r="XDU66" s="146"/>
      <c r="XDV66" s="146"/>
      <c r="XDW66" s="146"/>
      <c r="XDX66" s="146"/>
      <c r="XDY66" s="146"/>
      <c r="XDZ66" s="146"/>
      <c r="XEA66" s="146"/>
      <c r="XEB66" s="146"/>
      <c r="XEC66" s="146"/>
      <c r="XED66" s="146"/>
      <c r="XEE66" s="146"/>
      <c r="XEF66" s="146"/>
      <c r="XEG66" s="146"/>
      <c r="XEH66" s="146"/>
      <c r="XEI66" s="146"/>
      <c r="XEJ66" s="146"/>
      <c r="XEK66" s="146"/>
      <c r="XEL66" s="146"/>
      <c r="XEM66" s="146"/>
      <c r="XEN66" s="146"/>
      <c r="XEO66" s="146"/>
      <c r="XEP66" s="146"/>
      <c r="XEQ66" s="146"/>
      <c r="XER66" s="146"/>
      <c r="XES66" s="146"/>
      <c r="XET66" s="146"/>
      <c r="XEU66" s="146"/>
      <c r="XEV66" s="146"/>
      <c r="XEW66" s="146"/>
      <c r="XEX66" s="146"/>
      <c r="XEY66" s="146"/>
      <c r="XEZ66" s="146"/>
      <c r="XFA66" s="146"/>
      <c r="XFB66" s="146"/>
      <c r="XFC66" s="146"/>
      <c r="XFD66" s="146"/>
    </row>
    <row r="68" spans="1:16384" s="5" customFormat="1" ht="18.75" x14ac:dyDescent="0.3">
      <c r="C68" s="14" t="s">
        <v>997</v>
      </c>
      <c r="D68" s="14"/>
      <c r="E68" s="15" t="s">
        <v>3</v>
      </c>
      <c r="G68" s="15" t="s">
        <v>4</v>
      </c>
    </row>
    <row r="69" spans="1:16384" s="5" customFormat="1" x14ac:dyDescent="0.25"/>
    <row r="70" spans="1:16384" s="5" customFormat="1" x14ac:dyDescent="0.25">
      <c r="A70" s="83" t="s">
        <v>1208</v>
      </c>
      <c r="C70" s="1" t="s">
        <v>1209</v>
      </c>
      <c r="E70" s="11">
        <f>VLOOKUP(A70,TB!TB,4,FALSE)*-1</f>
        <v>0</v>
      </c>
      <c r="G70" s="11">
        <f>VLOOKUP(A70,TB!TB,5,FALSE)*-1</f>
        <v>0</v>
      </c>
    </row>
    <row r="71" spans="1:16384" s="5" customFormat="1" x14ac:dyDescent="0.25">
      <c r="A71" s="9" t="s">
        <v>76</v>
      </c>
      <c r="B71" s="1"/>
      <c r="C71" s="10" t="s">
        <v>77</v>
      </c>
      <c r="D71" s="10"/>
      <c r="E71" s="11">
        <f>VLOOKUP(A71,TB!TB,4,FALSE)*-1</f>
        <v>0</v>
      </c>
      <c r="G71" s="11">
        <f>VLOOKUP(A71,TB!TB,5,FALSE)*-1</f>
        <v>0</v>
      </c>
    </row>
    <row r="72" spans="1:16384" s="5" customFormat="1" x14ac:dyDescent="0.25">
      <c r="A72" s="4" t="s">
        <v>78</v>
      </c>
      <c r="B72" s="1"/>
      <c r="C72" s="1" t="s">
        <v>79</v>
      </c>
      <c r="D72" s="1"/>
      <c r="E72" s="11">
        <f>VLOOKUP(A72,TB!TB,4,FALSE)*-1</f>
        <v>0</v>
      </c>
      <c r="G72" s="11">
        <f>VLOOKUP(A72,TB!TB,5,FALSE)*-1</f>
        <v>0</v>
      </c>
      <c r="AW72" s="85"/>
    </row>
    <row r="73" spans="1:16384" s="5" customFormat="1" ht="15.75" thickBot="1" x14ac:dyDescent="0.3">
      <c r="A73" s="44" t="s">
        <v>1259</v>
      </c>
      <c r="B73" s="1"/>
      <c r="C73" s="1" t="s">
        <v>1260</v>
      </c>
      <c r="D73" s="1"/>
      <c r="E73" s="11">
        <f>VLOOKUP(A73,TB!TB,4,FALSE)*-1</f>
        <v>408353.3</v>
      </c>
      <c r="G73" s="11">
        <f>VLOOKUP(A73,TB!TB,5,FALSE)*-1</f>
        <v>0</v>
      </c>
      <c r="AW73" s="112"/>
    </row>
    <row r="74" spans="1:16384" s="5" customFormat="1" ht="15.75" thickTop="1" x14ac:dyDescent="0.25">
      <c r="A74" s="9" t="s">
        <v>80</v>
      </c>
      <c r="B74" s="1"/>
      <c r="C74" s="10" t="s">
        <v>81</v>
      </c>
      <c r="D74" s="10"/>
      <c r="E74" s="29">
        <f>VLOOKUP(A74,TB!TB,4,FALSE)*-1</f>
        <v>-365.91</v>
      </c>
      <c r="G74" s="59">
        <f>VLOOKUP(A74,TB!TB,5,FALSE)*-1</f>
        <v>0</v>
      </c>
      <c r="AW74" s="106"/>
    </row>
    <row r="75" spans="1:16384" s="5" customFormat="1" x14ac:dyDescent="0.25">
      <c r="A75" s="9"/>
      <c r="B75" s="1"/>
      <c r="C75" s="21" t="s">
        <v>1013</v>
      </c>
      <c r="D75" s="10"/>
      <c r="E75" s="26">
        <f>SUM(E70:E74)</f>
        <v>407987.39</v>
      </c>
      <c r="F75" s="27"/>
      <c r="G75" s="94">
        <f>SUM(G70:G74)</f>
        <v>0</v>
      </c>
    </row>
    <row r="76" spans="1:16384" s="5" customFormat="1" x14ac:dyDescent="0.25">
      <c r="A76" s="9"/>
      <c r="B76" s="1"/>
      <c r="C76" s="10"/>
      <c r="D76" s="10"/>
      <c r="E76" s="11"/>
      <c r="G76" s="11"/>
    </row>
    <row r="77" spans="1:16384" s="5" customFormat="1" x14ac:dyDescent="0.25">
      <c r="A77" s="4" t="s">
        <v>82</v>
      </c>
      <c r="B77" s="1"/>
      <c r="C77" s="1" t="s">
        <v>83</v>
      </c>
      <c r="D77" s="1"/>
      <c r="E77" s="11">
        <f>VLOOKUP(A77,TB!TB,4,FALSE)*-1</f>
        <v>0</v>
      </c>
      <c r="G77" s="11">
        <f>VLOOKUP(A77,TB!TB,5,FALSE)*-1</f>
        <v>0</v>
      </c>
    </row>
    <row r="78" spans="1:16384" s="5" customFormat="1" x14ac:dyDescent="0.25">
      <c r="A78" s="9" t="s">
        <v>84</v>
      </c>
      <c r="B78" s="1"/>
      <c r="C78" s="10" t="s">
        <v>85</v>
      </c>
      <c r="D78" s="10"/>
      <c r="E78" s="11">
        <f>VLOOKUP(A78,TB!TB,4,FALSE)*-1</f>
        <v>2146398.2799999998</v>
      </c>
      <c r="G78" s="11">
        <f>VLOOKUP(A78,TB!TB,5,FALSE)*-1</f>
        <v>299810.59999999998</v>
      </c>
    </row>
    <row r="79" spans="1:16384" s="5" customFormat="1" x14ac:dyDescent="0.25">
      <c r="A79" s="9" t="s">
        <v>1184</v>
      </c>
      <c r="B79" s="1"/>
      <c r="C79" s="1" t="s">
        <v>1187</v>
      </c>
      <c r="D79" s="10"/>
      <c r="E79" s="66">
        <f>VLOOKUP(A79,TB!TB,4,FALSE)*-1</f>
        <v>0</v>
      </c>
      <c r="G79" s="59">
        <f>VLOOKUP(A79,TB!TB,5,FALSE)*-1</f>
        <v>0</v>
      </c>
    </row>
    <row r="80" spans="1:16384" s="5" customFormat="1" x14ac:dyDescent="0.25">
      <c r="A80" s="9"/>
      <c r="B80" s="1"/>
      <c r="C80" s="21" t="s">
        <v>1014</v>
      </c>
      <c r="D80" s="10"/>
      <c r="E80" s="26">
        <f>SUM(E77:E79)</f>
        <v>2146398.2799999998</v>
      </c>
      <c r="F80" s="27"/>
      <c r="G80" s="95">
        <f>SUM(G77:G79)</f>
        <v>299810.59999999998</v>
      </c>
    </row>
    <row r="81" spans="1:7" x14ac:dyDescent="0.25">
      <c r="A81" s="9"/>
      <c r="B81" s="1"/>
      <c r="C81" s="10"/>
      <c r="D81" s="10"/>
      <c r="E81" s="11"/>
      <c r="G81" s="11"/>
    </row>
    <row r="82" spans="1:7" x14ac:dyDescent="0.25">
      <c r="A82" s="4" t="s">
        <v>86</v>
      </c>
      <c r="B82" s="1"/>
      <c r="C82" s="1" t="s">
        <v>87</v>
      </c>
      <c r="D82" s="1"/>
      <c r="E82" s="11">
        <f>VLOOKUP(A82,TB!TB,4,FALSE)*-1</f>
        <v>0</v>
      </c>
      <c r="G82" s="59">
        <f>VLOOKUP(A82,TB!TB,5,FALSE)*-1</f>
        <v>0</v>
      </c>
    </row>
    <row r="83" spans="1:7" x14ac:dyDescent="0.25">
      <c r="A83" s="9" t="s">
        <v>88</v>
      </c>
      <c r="B83" s="1"/>
      <c r="C83" s="10" t="s">
        <v>89</v>
      </c>
      <c r="D83" s="10"/>
      <c r="E83" s="11">
        <f>VLOOKUP(A83,TB!TB,4,FALSE)*-1</f>
        <v>12017.73</v>
      </c>
      <c r="G83" s="59">
        <f>VLOOKUP(A83,TB!TB,5,FALSE)*-1</f>
        <v>0</v>
      </c>
    </row>
    <row r="84" spans="1:7" x14ac:dyDescent="0.25">
      <c r="A84" s="4" t="s">
        <v>90</v>
      </c>
      <c r="B84" s="1"/>
      <c r="C84" s="1" t="s">
        <v>91</v>
      </c>
      <c r="D84" s="1"/>
      <c r="E84" s="11">
        <f>VLOOKUP(A84,TB!TB,4,FALSE)*-1</f>
        <v>0</v>
      </c>
      <c r="G84" s="59">
        <f>VLOOKUP(A84,TB!TB,5,FALSE)*-1</f>
        <v>0</v>
      </c>
    </row>
    <row r="85" spans="1:7" x14ac:dyDescent="0.25">
      <c r="A85" s="9" t="s">
        <v>92</v>
      </c>
      <c r="B85" s="1"/>
      <c r="C85" s="10" t="s">
        <v>93</v>
      </c>
      <c r="D85" s="10"/>
      <c r="E85" s="11">
        <f>VLOOKUP(A85,TB!TB,4,FALSE)*-1</f>
        <v>0</v>
      </c>
      <c r="G85" s="59">
        <f>VLOOKUP(A85,TB!TB,5,FALSE)*-1</f>
        <v>0</v>
      </c>
    </row>
    <row r="86" spans="1:7" x14ac:dyDescent="0.25">
      <c r="A86" s="4" t="s">
        <v>94</v>
      </c>
      <c r="B86" s="1"/>
      <c r="C86" s="1" t="s">
        <v>95</v>
      </c>
      <c r="D86" s="1"/>
      <c r="E86" s="11">
        <f>VLOOKUP(A86,TB!TB,4,FALSE)*-1</f>
        <v>0</v>
      </c>
      <c r="G86" s="59">
        <f>VLOOKUP(A86,TB!TB,5,FALSE)*-1</f>
        <v>0</v>
      </c>
    </row>
    <row r="87" spans="1:7" x14ac:dyDescent="0.25">
      <c r="A87" s="9" t="s">
        <v>96</v>
      </c>
      <c r="B87" s="1"/>
      <c r="C87" s="10" t="s">
        <v>97</v>
      </c>
      <c r="D87" s="10"/>
      <c r="E87" s="11">
        <f>VLOOKUP(A87,TB!TB,4,FALSE)*-1</f>
        <v>0</v>
      </c>
      <c r="G87" s="59">
        <f>VLOOKUP(A87,TB!TB,5,FALSE)*-1</f>
        <v>0</v>
      </c>
    </row>
    <row r="88" spans="1:7" x14ac:dyDescent="0.25">
      <c r="A88" s="4" t="s">
        <v>98</v>
      </c>
      <c r="B88" s="1"/>
      <c r="C88" s="1" t="s">
        <v>99</v>
      </c>
      <c r="D88" s="1"/>
      <c r="E88" s="11">
        <f>VLOOKUP(A88,TB!TB,4,FALSE)*-1</f>
        <v>0</v>
      </c>
      <c r="G88" s="59">
        <f>VLOOKUP(A88,TB!TB,5,FALSE)*-1</f>
        <v>0</v>
      </c>
    </row>
    <row r="89" spans="1:7" x14ac:dyDescent="0.25">
      <c r="A89" s="9" t="s">
        <v>100</v>
      </c>
      <c r="B89" s="1"/>
      <c r="C89" s="10" t="s">
        <v>101</v>
      </c>
      <c r="D89" s="10"/>
      <c r="E89" s="11">
        <f>VLOOKUP(A89,TB!TB,4,FALSE)*-1</f>
        <v>0</v>
      </c>
      <c r="G89" s="59">
        <f>VLOOKUP(A89,TB!TB,5,FALSE)*-1</f>
        <v>0</v>
      </c>
    </row>
    <row r="90" spans="1:7" x14ac:dyDescent="0.25">
      <c r="A90" s="4" t="s">
        <v>102</v>
      </c>
      <c r="B90" s="1"/>
      <c r="C90" s="1" t="s">
        <v>103</v>
      </c>
      <c r="D90" s="1"/>
      <c r="E90" s="11">
        <f>VLOOKUP(A90,TB!TB,4,FALSE)*-1</f>
        <v>-28372.080000000002</v>
      </c>
      <c r="G90" s="59">
        <f>VLOOKUP(A90,TB!TB,5,FALSE)*-1</f>
        <v>0</v>
      </c>
    </row>
    <row r="91" spans="1:7" x14ac:dyDescent="0.25">
      <c r="A91" s="44" t="s">
        <v>1217</v>
      </c>
      <c r="B91" s="1"/>
      <c r="C91" s="1" t="s">
        <v>1218</v>
      </c>
      <c r="D91" s="1"/>
      <c r="E91" s="11">
        <f>VLOOKUP(A91,TB!TB,4,FALSE)*-1</f>
        <v>0</v>
      </c>
      <c r="G91" s="59">
        <f>VLOOKUP(A91,TB!TB,5,FALSE)*-1</f>
        <v>0</v>
      </c>
    </row>
    <row r="92" spans="1:7" x14ac:dyDescent="0.25">
      <c r="A92" s="44" t="s">
        <v>1394</v>
      </c>
      <c r="B92" s="1"/>
      <c r="C92" s="1" t="s">
        <v>1395</v>
      </c>
      <c r="D92" s="1"/>
      <c r="E92" s="11">
        <f>VLOOKUP(A92,TB!TB,4,FALSE)*-1</f>
        <v>0</v>
      </c>
      <c r="G92" s="59">
        <f>VLOOKUP(A92,TB!TB,5,FALSE)*-1</f>
        <v>0</v>
      </c>
    </row>
    <row r="93" spans="1:7" x14ac:dyDescent="0.25">
      <c r="A93" s="44" t="s">
        <v>1374</v>
      </c>
      <c r="B93" s="1"/>
      <c r="C93" s="1" t="s">
        <v>1375</v>
      </c>
      <c r="D93" s="1"/>
      <c r="E93" s="66">
        <f>VLOOKUP(A93,TB!TB,4,FALSE)*-1</f>
        <v>12519</v>
      </c>
      <c r="G93" s="59">
        <f>VLOOKUP(A93,TB!TB,5,FALSE)*-1</f>
        <v>0</v>
      </c>
    </row>
    <row r="94" spans="1:7" x14ac:dyDescent="0.25">
      <c r="A94" s="4"/>
      <c r="B94" s="1"/>
      <c r="C94" s="20" t="s">
        <v>1015</v>
      </c>
      <c r="D94" s="1"/>
      <c r="E94" s="26">
        <f>SUM(E82:E93)</f>
        <v>-3835.3500000000022</v>
      </c>
      <c r="F94" s="27"/>
      <c r="G94" s="94">
        <f>SUM(G82:G93)</f>
        <v>0</v>
      </c>
    </row>
    <row r="95" spans="1:7" x14ac:dyDescent="0.25">
      <c r="A95" s="4"/>
      <c r="B95" s="1"/>
      <c r="C95" s="1"/>
      <c r="D95" s="1"/>
      <c r="E95" s="11"/>
      <c r="G95" s="11"/>
    </row>
    <row r="96" spans="1:7" x14ac:dyDescent="0.25">
      <c r="A96" s="4"/>
      <c r="B96" s="1"/>
      <c r="C96" s="1"/>
      <c r="D96" s="1"/>
      <c r="E96" s="11"/>
      <c r="G96" s="11"/>
    </row>
    <row r="97" spans="1:7" x14ac:dyDescent="0.25">
      <c r="A97" s="9" t="s">
        <v>104</v>
      </c>
      <c r="B97" s="1"/>
      <c r="C97" s="10" t="s">
        <v>105</v>
      </c>
      <c r="D97" s="10"/>
      <c r="E97" s="11">
        <f>VLOOKUP(A97,TB!TB,4,FALSE)*-1</f>
        <v>0</v>
      </c>
      <c r="G97" s="59">
        <f>VLOOKUP(A97,TB!TB,5,FALSE)*-1</f>
        <v>0</v>
      </c>
    </row>
    <row r="98" spans="1:7" x14ac:dyDescent="0.25">
      <c r="A98" s="4" t="s">
        <v>106</v>
      </c>
      <c r="B98" s="1"/>
      <c r="C98" s="1" t="s">
        <v>107</v>
      </c>
      <c r="D98" s="1"/>
      <c r="E98" s="11">
        <f>VLOOKUP(A98,TB!TB,4,FALSE)*-1</f>
        <v>0</v>
      </c>
      <c r="G98" s="59">
        <f>VLOOKUP(A98,TB!TB,5,FALSE)*-1</f>
        <v>0</v>
      </c>
    </row>
    <row r="99" spans="1:7" x14ac:dyDescent="0.25">
      <c r="A99" s="4" t="s">
        <v>168</v>
      </c>
      <c r="B99" s="1"/>
      <c r="C99" s="1" t="s">
        <v>169</v>
      </c>
      <c r="D99" s="1"/>
      <c r="E99" s="11">
        <f>VLOOKUP(A99,TB!TB,4,FALSE)*-1</f>
        <v>0</v>
      </c>
      <c r="G99" s="59">
        <f>VLOOKUP(A99,TB!TB,5,FALSE)*-1</f>
        <v>0</v>
      </c>
    </row>
    <row r="100" spans="1:7" x14ac:dyDescent="0.25">
      <c r="A100" s="4" t="s">
        <v>1238</v>
      </c>
      <c r="B100" s="1"/>
      <c r="C100" s="1" t="s">
        <v>1239</v>
      </c>
      <c r="D100" s="1"/>
      <c r="E100" s="11">
        <f>VLOOKUP(A100,TB!TB,4,FALSE)*-1</f>
        <v>-180282.3</v>
      </c>
      <c r="G100" s="59">
        <f>VLOOKUP(A100,TB!TB,5,FALSE)*-1</f>
        <v>0</v>
      </c>
    </row>
    <row r="101" spans="1:7" x14ac:dyDescent="0.25">
      <c r="A101" s="9" t="s">
        <v>170</v>
      </c>
      <c r="B101" s="1"/>
      <c r="C101" s="10" t="s">
        <v>171</v>
      </c>
      <c r="D101" s="10"/>
      <c r="E101" s="11">
        <f>VLOOKUP(A101,TB!TB,4,FALSE)*-1</f>
        <v>149403.66</v>
      </c>
      <c r="G101" s="59">
        <f>VLOOKUP(A101,TB!TB,5,FALSE)*-1</f>
        <v>0</v>
      </c>
    </row>
    <row r="102" spans="1:7" x14ac:dyDescent="0.25">
      <c r="A102" s="18" t="s">
        <v>1266</v>
      </c>
      <c r="B102" s="1"/>
      <c r="C102" s="10" t="s">
        <v>1267</v>
      </c>
      <c r="D102" s="10"/>
      <c r="E102" s="11">
        <f>VLOOKUP(A102,TB!TB,4,FALSE)*-1</f>
        <v>0</v>
      </c>
      <c r="G102" s="59">
        <f>VLOOKUP(A102,TB!TB,5,FALSE)*-1</f>
        <v>0</v>
      </c>
    </row>
    <row r="103" spans="1:7" x14ac:dyDescent="0.25">
      <c r="A103" s="4" t="s">
        <v>172</v>
      </c>
      <c r="B103" s="1"/>
      <c r="C103" s="1" t="s">
        <v>1264</v>
      </c>
      <c r="D103" s="1"/>
      <c r="E103" s="11">
        <f>VLOOKUP(A103,TB!TB,4,FALSE)*-1</f>
        <v>352936.77</v>
      </c>
      <c r="G103" s="59">
        <f>VLOOKUP(A103,TB!TB,5,FALSE)*-1</f>
        <v>-255631.18</v>
      </c>
    </row>
    <row r="104" spans="1:7" x14ac:dyDescent="0.25">
      <c r="A104" s="9" t="s">
        <v>173</v>
      </c>
      <c r="B104" s="1"/>
      <c r="C104" s="10" t="s">
        <v>1265</v>
      </c>
      <c r="D104" s="10"/>
      <c r="E104" s="11">
        <f>VLOOKUP(A104,TB!TB,4,FALSE)*-1</f>
        <v>0</v>
      </c>
      <c r="G104" s="59">
        <f>VLOOKUP(A104,TB!TB,5,FALSE)*-1</f>
        <v>0</v>
      </c>
    </row>
    <row r="105" spans="1:7" x14ac:dyDescent="0.25">
      <c r="A105" s="9" t="s">
        <v>108</v>
      </c>
      <c r="B105" s="1"/>
      <c r="C105" s="10" t="s">
        <v>109</v>
      </c>
      <c r="D105" s="10"/>
      <c r="E105" s="29">
        <f>VLOOKUP(A105,TB!TB,4,FALSE)*-1</f>
        <v>0.4</v>
      </c>
      <c r="G105" s="59">
        <f>VLOOKUP(A105,TB!TB,5,FALSE)*-1</f>
        <v>0</v>
      </c>
    </row>
    <row r="106" spans="1:7" x14ac:dyDescent="0.25">
      <c r="A106" s="9"/>
      <c r="B106" s="1"/>
      <c r="C106" s="21" t="s">
        <v>171</v>
      </c>
      <c r="D106" s="10"/>
      <c r="E106" s="26">
        <f>SUM(E97:E105)</f>
        <v>322058.53000000003</v>
      </c>
      <c r="F106" s="27"/>
      <c r="G106" s="94">
        <f>SUM(G97:G105)</f>
        <v>-255631.18</v>
      </c>
    </row>
    <row r="107" spans="1:7" x14ac:dyDescent="0.25">
      <c r="A107" s="9"/>
      <c r="B107" s="1"/>
      <c r="C107" s="10"/>
      <c r="D107" s="10"/>
      <c r="E107" s="11"/>
      <c r="G107" s="11"/>
    </row>
    <row r="108" spans="1:7" x14ac:dyDescent="0.25">
      <c r="A108" s="4" t="s">
        <v>110</v>
      </c>
      <c r="B108" s="1"/>
      <c r="C108" s="1" t="s">
        <v>111</v>
      </c>
      <c r="D108" s="1"/>
      <c r="E108" s="11">
        <f>VLOOKUP(A108,TB!TB,4,FALSE)*-1</f>
        <v>30051.41</v>
      </c>
      <c r="G108" s="59">
        <f>VLOOKUP(A108,TB!TB,5,FALSE)*-1</f>
        <v>5184.0200000000004</v>
      </c>
    </row>
    <row r="109" spans="1:7" x14ac:dyDescent="0.25">
      <c r="A109" s="9" t="s">
        <v>752</v>
      </c>
      <c r="B109" s="1"/>
      <c r="C109" s="10" t="s">
        <v>753</v>
      </c>
      <c r="D109" s="10"/>
      <c r="E109" s="11">
        <f>VLOOKUP(A109,TB!TB,4,FALSE)*-1</f>
        <v>-6351.97</v>
      </c>
      <c r="G109" s="59">
        <f>VLOOKUP(A109,TB!TB,5,FALSE)*-1</f>
        <v>3991.7</v>
      </c>
    </row>
    <row r="110" spans="1:7" x14ac:dyDescent="0.25">
      <c r="A110" s="4" t="s">
        <v>112</v>
      </c>
      <c r="B110" s="1"/>
      <c r="C110" s="1" t="s">
        <v>113</v>
      </c>
      <c r="D110" s="1"/>
      <c r="E110" s="11">
        <f>VLOOKUP(A110,TB!TB,4,FALSE)*-1</f>
        <v>-1954.37</v>
      </c>
      <c r="G110" s="59">
        <f>VLOOKUP(A110,TB!TB,5,FALSE)*-1</f>
        <v>0</v>
      </c>
    </row>
    <row r="111" spans="1:7" x14ac:dyDescent="0.25">
      <c r="A111" s="9" t="s">
        <v>114</v>
      </c>
      <c r="B111" s="1"/>
      <c r="C111" s="10" t="s">
        <v>115</v>
      </c>
      <c r="D111" s="10"/>
      <c r="E111" s="11">
        <f>VLOOKUP(A111,TB!TB,4,FALSE)*-1</f>
        <v>549</v>
      </c>
      <c r="G111" s="59">
        <f>VLOOKUP(A111,TB!TB,5,FALSE)*-1</f>
        <v>-3434</v>
      </c>
    </row>
    <row r="112" spans="1:7" x14ac:dyDescent="0.25">
      <c r="A112" s="4" t="s">
        <v>116</v>
      </c>
      <c r="B112" s="1"/>
      <c r="C112" s="1" t="s">
        <v>117</v>
      </c>
      <c r="D112" s="1"/>
      <c r="E112" s="11">
        <f>VLOOKUP(A112,TB!TB,4,FALSE)*-1</f>
        <v>12265.2</v>
      </c>
      <c r="G112" s="59">
        <f>VLOOKUP(A112,TB!TB,5,FALSE)*-1</f>
        <v>0</v>
      </c>
    </row>
    <row r="113" spans="1:7" x14ac:dyDescent="0.25">
      <c r="A113" s="9" t="s">
        <v>118</v>
      </c>
      <c r="B113" s="1"/>
      <c r="C113" s="10" t="s">
        <v>119</v>
      </c>
      <c r="D113" s="10"/>
      <c r="E113" s="11">
        <f>VLOOKUP(A113,TB!TB,4,FALSE)*-1</f>
        <v>4191.1499999999996</v>
      </c>
      <c r="G113" s="59">
        <f>VLOOKUP(A113,TB!TB,5,FALSE)*-1</f>
        <v>-207</v>
      </c>
    </row>
    <row r="114" spans="1:7" x14ac:dyDescent="0.25">
      <c r="A114" s="4" t="s">
        <v>120</v>
      </c>
      <c r="B114" s="1"/>
      <c r="C114" s="1" t="s">
        <v>121</v>
      </c>
      <c r="D114" s="1"/>
      <c r="E114" s="11">
        <f>VLOOKUP(A114,TB!TB,4,FALSE)*-1</f>
        <v>-3.44</v>
      </c>
      <c r="G114" s="59">
        <f>VLOOKUP(A114,TB!TB,5,FALSE)*-1</f>
        <v>-12642.71</v>
      </c>
    </row>
    <row r="115" spans="1:7" x14ac:dyDescent="0.25">
      <c r="A115" s="9" t="s">
        <v>122</v>
      </c>
      <c r="B115" s="1"/>
      <c r="C115" s="10" t="s">
        <v>123</v>
      </c>
      <c r="D115" s="10"/>
      <c r="E115" s="11">
        <f>VLOOKUP(A115,TB!TB,4,FALSE)*-1</f>
        <v>803.77</v>
      </c>
      <c r="G115" s="59">
        <f>VLOOKUP(A115,TB!TB,5,FALSE)*-1</f>
        <v>0</v>
      </c>
    </row>
    <row r="116" spans="1:7" x14ac:dyDescent="0.25">
      <c r="A116" s="4" t="s">
        <v>124</v>
      </c>
      <c r="B116" s="1"/>
      <c r="C116" s="1" t="s">
        <v>125</v>
      </c>
      <c r="D116" s="1"/>
      <c r="E116" s="11">
        <f>VLOOKUP(A116,TB!TB,4,FALSE)*-1</f>
        <v>8117.49</v>
      </c>
      <c r="G116" s="59">
        <f>VLOOKUP(A116,TB!TB,5,FALSE)*-1</f>
        <v>0</v>
      </c>
    </row>
    <row r="117" spans="1:7" x14ac:dyDescent="0.25">
      <c r="A117" s="9" t="s">
        <v>126</v>
      </c>
      <c r="B117" s="1"/>
      <c r="C117" s="10" t="s">
        <v>127</v>
      </c>
      <c r="D117" s="10"/>
      <c r="E117" s="11">
        <f>VLOOKUP(A117,TB!TB,4,FALSE)*-1</f>
        <v>3264.7</v>
      </c>
      <c r="G117" s="59">
        <f>VLOOKUP(A117,TB!TB,5,FALSE)*-1</f>
        <v>0</v>
      </c>
    </row>
    <row r="118" spans="1:7" x14ac:dyDescent="0.25">
      <c r="A118" s="4" t="s">
        <v>128</v>
      </c>
      <c r="B118" s="1"/>
      <c r="C118" s="1" t="s">
        <v>129</v>
      </c>
      <c r="D118" s="1"/>
      <c r="E118" s="11">
        <f>VLOOKUP(A118,TB!TB,4,FALSE)*-1</f>
        <v>8179.88</v>
      </c>
      <c r="G118" s="59">
        <f>VLOOKUP(A118,TB!TB,5,FALSE)*-1</f>
        <v>0</v>
      </c>
    </row>
    <row r="119" spans="1:7" x14ac:dyDescent="0.25">
      <c r="A119" s="9" t="s">
        <v>754</v>
      </c>
      <c r="B119" s="1"/>
      <c r="C119" s="10" t="s">
        <v>755</v>
      </c>
      <c r="D119" s="10"/>
      <c r="E119" s="11">
        <f>VLOOKUP(A119,TB!TB,4,FALSE)*-1</f>
        <v>10193.25</v>
      </c>
      <c r="G119" s="59">
        <f>VLOOKUP(A119,TB!TB,5,FALSE)*-1</f>
        <v>8753.35</v>
      </c>
    </row>
    <row r="120" spans="1:7" x14ac:dyDescent="0.25">
      <c r="A120" s="4" t="s">
        <v>130</v>
      </c>
      <c r="B120" s="1"/>
      <c r="C120" s="1" t="s">
        <v>131</v>
      </c>
      <c r="D120" s="1"/>
      <c r="E120" s="11">
        <f>VLOOKUP(A120,TB!TB,4,FALSE)*-1</f>
        <v>270.98</v>
      </c>
      <c r="G120" s="59">
        <f>VLOOKUP(A120,TB!TB,5,FALSE)*-1</f>
        <v>-11175.56</v>
      </c>
    </row>
    <row r="121" spans="1:7" x14ac:dyDescent="0.25">
      <c r="A121" s="9" t="s">
        <v>132</v>
      </c>
      <c r="B121" s="1"/>
      <c r="C121" s="10" t="s">
        <v>133</v>
      </c>
      <c r="D121" s="10"/>
      <c r="E121" s="11">
        <f>VLOOKUP(A121,TB!TB,4,FALSE)*-1</f>
        <v>0</v>
      </c>
      <c r="G121" s="59">
        <f>VLOOKUP(A121,TB!TB,5,FALSE)*-1</f>
        <v>0</v>
      </c>
    </row>
    <row r="122" spans="1:7" x14ac:dyDescent="0.25">
      <c r="A122" s="4" t="s">
        <v>134</v>
      </c>
      <c r="B122" s="1"/>
      <c r="C122" s="1" t="s">
        <v>135</v>
      </c>
      <c r="D122" s="1"/>
      <c r="E122" s="11">
        <f>VLOOKUP(A122,TB!TB,4,FALSE)*-1</f>
        <v>7691.18</v>
      </c>
      <c r="G122" s="59">
        <f>VLOOKUP(A122,TB!TB,5,FALSE)*-1</f>
        <v>-18337.3</v>
      </c>
    </row>
    <row r="123" spans="1:7" x14ac:dyDescent="0.25">
      <c r="A123" s="9" t="s">
        <v>136</v>
      </c>
      <c r="B123" s="1"/>
      <c r="C123" s="10" t="s">
        <v>137</v>
      </c>
      <c r="D123" s="10"/>
      <c r="E123" s="11">
        <f>VLOOKUP(A123,TB!TB,4,FALSE)*-1</f>
        <v>356.78</v>
      </c>
      <c r="G123" s="59">
        <f>VLOOKUP(A123,TB!TB,5,FALSE)*-1</f>
        <v>-19.3</v>
      </c>
    </row>
    <row r="124" spans="1:7" x14ac:dyDescent="0.25">
      <c r="A124" s="4" t="s">
        <v>138</v>
      </c>
      <c r="B124" s="1"/>
      <c r="C124" s="1" t="s">
        <v>139</v>
      </c>
      <c r="D124" s="1"/>
      <c r="E124" s="11">
        <f>VLOOKUP(A124,TB!TB,4,FALSE)*-1</f>
        <v>-1540.49</v>
      </c>
      <c r="G124" s="59">
        <f>VLOOKUP(A124,TB!TB,5,FALSE)*-1</f>
        <v>0</v>
      </c>
    </row>
    <row r="125" spans="1:7" x14ac:dyDescent="0.25">
      <c r="A125" s="9" t="s">
        <v>140</v>
      </c>
      <c r="B125" s="1"/>
      <c r="C125" s="10" t="s">
        <v>141</v>
      </c>
      <c r="D125" s="10"/>
      <c r="E125" s="11">
        <f>VLOOKUP(A125,TB!TB,4,FALSE)*-1</f>
        <v>827.76</v>
      </c>
      <c r="G125" s="59">
        <f>VLOOKUP(A125,TB!TB,5,FALSE)*-1</f>
        <v>-12120.41</v>
      </c>
    </row>
    <row r="126" spans="1:7" x14ac:dyDescent="0.25">
      <c r="A126" s="4" t="s">
        <v>142</v>
      </c>
      <c r="B126" s="1"/>
      <c r="C126" s="1" t="s">
        <v>143</v>
      </c>
      <c r="D126" s="1"/>
      <c r="E126" s="11">
        <f>VLOOKUP(A126,TB!TB,4,FALSE)*-1</f>
        <v>8245.06</v>
      </c>
      <c r="G126" s="59">
        <f>VLOOKUP(A126,TB!TB,5,FALSE)*-1</f>
        <v>-3463.09</v>
      </c>
    </row>
    <row r="127" spans="1:7" x14ac:dyDescent="0.25">
      <c r="A127" s="9" t="s">
        <v>144</v>
      </c>
      <c r="B127" s="1"/>
      <c r="C127" s="10" t="s">
        <v>145</v>
      </c>
      <c r="D127" s="10"/>
      <c r="E127" s="11">
        <f>VLOOKUP(A127,TB!TB,4,FALSE)*-1</f>
        <v>1097.48</v>
      </c>
      <c r="G127" s="59">
        <f>VLOOKUP(A127,TB!TB,5,FALSE)*-1</f>
        <v>0</v>
      </c>
    </row>
    <row r="128" spans="1:7" x14ac:dyDescent="0.25">
      <c r="A128" s="4" t="s">
        <v>146</v>
      </c>
      <c r="B128" s="1"/>
      <c r="C128" s="1" t="s">
        <v>147</v>
      </c>
      <c r="D128" s="1"/>
      <c r="E128" s="11">
        <f>VLOOKUP(A128,TB!TB,4,FALSE)*-1</f>
        <v>202.73</v>
      </c>
      <c r="G128" s="59">
        <f>VLOOKUP(A128,TB!TB,5,FALSE)*-1</f>
        <v>-150.49</v>
      </c>
    </row>
    <row r="129" spans="1:7" x14ac:dyDescent="0.25">
      <c r="A129" s="9" t="s">
        <v>756</v>
      </c>
      <c r="B129" s="1"/>
      <c r="C129" s="10" t="s">
        <v>757</v>
      </c>
      <c r="D129" s="10"/>
      <c r="E129" s="11">
        <f>VLOOKUP(A129,TB!TB,4,FALSE)*-1</f>
        <v>22.01</v>
      </c>
      <c r="G129" s="59">
        <f>VLOOKUP(A129,TB!TB,5,FALSE)*-1</f>
        <v>-8603.9599999999991</v>
      </c>
    </row>
    <row r="130" spans="1:7" x14ac:dyDescent="0.25">
      <c r="A130" s="4" t="s">
        <v>148</v>
      </c>
      <c r="B130" s="1"/>
      <c r="C130" s="1" t="s">
        <v>149</v>
      </c>
      <c r="D130" s="1"/>
      <c r="E130" s="11">
        <f>VLOOKUP(A130,TB!TB,4,FALSE)*-1</f>
        <v>-8967.36</v>
      </c>
      <c r="G130" s="59">
        <f>VLOOKUP(A130,TB!TB,5,FALSE)*-1</f>
        <v>313.60000000000002</v>
      </c>
    </row>
    <row r="131" spans="1:7" x14ac:dyDescent="0.25">
      <c r="A131" s="9" t="s">
        <v>150</v>
      </c>
      <c r="B131" s="1"/>
      <c r="C131" s="10" t="s">
        <v>151</v>
      </c>
      <c r="D131" s="10"/>
      <c r="E131" s="11">
        <f>VLOOKUP(A131,TB!TB,4,FALSE)*-1</f>
        <v>0</v>
      </c>
      <c r="G131" s="59">
        <f>VLOOKUP(A131,TB!TB,5,FALSE)*-1</f>
        <v>-3512.97</v>
      </c>
    </row>
    <row r="132" spans="1:7" x14ac:dyDescent="0.25">
      <c r="A132" s="4" t="s">
        <v>152</v>
      </c>
      <c r="B132" s="1"/>
      <c r="C132" s="1" t="s">
        <v>153</v>
      </c>
      <c r="D132" s="1"/>
      <c r="E132" s="11">
        <f>VLOOKUP(A132,TB!TB,4,FALSE)*-1</f>
        <v>315.66000000000003</v>
      </c>
      <c r="G132" s="59">
        <f>VLOOKUP(A132,TB!TB,5,FALSE)*-1</f>
        <v>0</v>
      </c>
    </row>
    <row r="133" spans="1:7" x14ac:dyDescent="0.25">
      <c r="A133" s="9" t="s">
        <v>154</v>
      </c>
      <c r="B133" s="1"/>
      <c r="C133" s="10" t="s">
        <v>155</v>
      </c>
      <c r="D133" s="10"/>
      <c r="E133" s="11">
        <f>VLOOKUP(A133,TB!TB,4,FALSE)*-1</f>
        <v>23.23</v>
      </c>
      <c r="G133" s="59">
        <f>VLOOKUP(A133,TB!TB,5,FALSE)*-1</f>
        <v>0</v>
      </c>
    </row>
    <row r="134" spans="1:7" x14ac:dyDescent="0.25">
      <c r="A134" s="4" t="s">
        <v>156</v>
      </c>
      <c r="B134" s="1"/>
      <c r="C134" s="1" t="s">
        <v>157</v>
      </c>
      <c r="D134" s="1"/>
      <c r="E134" s="11">
        <f>VLOOKUP(A134,TB!TB,4,FALSE)*-1</f>
        <v>-180.36</v>
      </c>
      <c r="G134" s="59">
        <f>VLOOKUP(A134,TB!TB,5,FALSE)*-1</f>
        <v>0</v>
      </c>
    </row>
    <row r="135" spans="1:7" x14ac:dyDescent="0.25">
      <c r="A135" s="9" t="s">
        <v>158</v>
      </c>
      <c r="B135" s="1"/>
      <c r="C135" s="10" t="s">
        <v>159</v>
      </c>
      <c r="D135" s="10"/>
      <c r="E135" s="11">
        <f>VLOOKUP(A135,TB!TB,4,FALSE)*-1</f>
        <v>6425.8</v>
      </c>
      <c r="G135" s="59">
        <f>VLOOKUP(A135,TB!TB,5,FALSE)*-1</f>
        <v>6085.8</v>
      </c>
    </row>
    <row r="136" spans="1:7" x14ac:dyDescent="0.25">
      <c r="A136" s="4" t="s">
        <v>160</v>
      </c>
      <c r="B136" s="1"/>
      <c r="C136" s="1" t="s">
        <v>161</v>
      </c>
      <c r="D136" s="1"/>
      <c r="E136" s="11">
        <f>VLOOKUP(A136,TB!TB,4,FALSE)*-1</f>
        <v>4642.08</v>
      </c>
      <c r="G136" s="59">
        <f>VLOOKUP(A136,TB!TB,5,FALSE)*-1</f>
        <v>0</v>
      </c>
    </row>
    <row r="137" spans="1:7" x14ac:dyDescent="0.25">
      <c r="A137" s="9" t="s">
        <v>162</v>
      </c>
      <c r="B137" s="1"/>
      <c r="C137" s="10" t="s">
        <v>163</v>
      </c>
      <c r="D137" s="10"/>
      <c r="E137" s="11">
        <f>VLOOKUP(A137,TB!TB,4,FALSE)*-1</f>
        <v>100.45</v>
      </c>
      <c r="G137" s="59">
        <f>VLOOKUP(A137,TB!TB,5,FALSE)*-1</f>
        <v>95.57</v>
      </c>
    </row>
    <row r="138" spans="1:7" x14ac:dyDescent="0.25">
      <c r="A138" s="4" t="s">
        <v>164</v>
      </c>
      <c r="B138" s="1"/>
      <c r="C138" s="1" t="s">
        <v>165</v>
      </c>
      <c r="D138" s="1"/>
      <c r="E138" s="11">
        <f>VLOOKUP(A138,TB!TB,4,FALSE)*-1</f>
        <v>373.91</v>
      </c>
      <c r="G138" s="59">
        <f>VLOOKUP(A138,TB!TB,5,FALSE)*-1</f>
        <v>-3846.42</v>
      </c>
    </row>
    <row r="139" spans="1:7" x14ac:dyDescent="0.25">
      <c r="A139" s="4" t="s">
        <v>1188</v>
      </c>
      <c r="B139" s="1"/>
      <c r="C139" s="1" t="s">
        <v>1189</v>
      </c>
      <c r="D139" s="1"/>
      <c r="E139" s="11">
        <f>VLOOKUP(A139,TB!TB,4,FALSE)*-1</f>
        <v>-586.4</v>
      </c>
      <c r="G139" s="59">
        <f>VLOOKUP(A139,TB!TB,5,FALSE)*-1</f>
        <v>-1086.17</v>
      </c>
    </row>
    <row r="140" spans="1:7" x14ac:dyDescent="0.25">
      <c r="A140" s="44" t="s">
        <v>1190</v>
      </c>
      <c r="B140" s="1"/>
      <c r="C140" s="1" t="s">
        <v>1191</v>
      </c>
      <c r="D140" s="1"/>
      <c r="E140" s="11">
        <f>VLOOKUP(A140,TB!TB,4,FALSE)*-1</f>
        <v>0</v>
      </c>
      <c r="G140" s="59">
        <f>VLOOKUP(A140,TB!TB,5,FALSE)*-1</f>
        <v>0</v>
      </c>
    </row>
    <row r="141" spans="1:7" x14ac:dyDescent="0.25">
      <c r="A141" s="44" t="s">
        <v>1192</v>
      </c>
      <c r="B141" s="1"/>
      <c r="C141" s="1" t="s">
        <v>1193</v>
      </c>
      <c r="D141" s="1"/>
      <c r="E141" s="11">
        <f>VLOOKUP(A141,TB!TB,4,FALSE)*-1</f>
        <v>3.55</v>
      </c>
      <c r="F141" s="85"/>
      <c r="G141" s="59">
        <f>VLOOKUP(A141,TB!TB,5,FALSE)*-1</f>
        <v>-12.39</v>
      </c>
    </row>
    <row r="142" spans="1:7" x14ac:dyDescent="0.25">
      <c r="A142" s="44" t="s">
        <v>1215</v>
      </c>
      <c r="B142" s="1"/>
      <c r="C142" s="24" t="s">
        <v>1216</v>
      </c>
      <c r="D142" s="1"/>
      <c r="E142" s="11">
        <f>VLOOKUP(A142,TB!TB,4,FALSE)*-1</f>
        <v>0</v>
      </c>
      <c r="F142" s="85"/>
      <c r="G142" s="59">
        <f>VLOOKUP(A142,TB!TB,5,FALSE)*-1</f>
        <v>-12551.04</v>
      </c>
    </row>
    <row r="143" spans="1:7" x14ac:dyDescent="0.25">
      <c r="A143" s="44" t="s">
        <v>1224</v>
      </c>
      <c r="B143" s="1"/>
      <c r="C143" s="5" t="s">
        <v>1225</v>
      </c>
      <c r="D143" s="109"/>
      <c r="E143" s="11">
        <f>VLOOKUP(A143,TB!TB,4,FALSE)*-1</f>
        <v>-2317.41</v>
      </c>
      <c r="F143" s="85"/>
      <c r="G143" s="59">
        <f>VLOOKUP(A143,TB!TB,5,FALSE)*-1</f>
        <v>0</v>
      </c>
    </row>
    <row r="144" spans="1:7" x14ac:dyDescent="0.25">
      <c r="A144" s="44" t="s">
        <v>1240</v>
      </c>
      <c r="B144" s="1"/>
      <c r="C144" s="5" t="s">
        <v>1241</v>
      </c>
      <c r="D144" s="109"/>
      <c r="E144" s="11">
        <f>VLOOKUP(A144,TB!TB,4,FALSE)*-1</f>
        <v>0</v>
      </c>
      <c r="F144" s="85"/>
      <c r="G144" s="59">
        <f>VLOOKUP(A144,TB!TB,5,FALSE)*-1</f>
        <v>0</v>
      </c>
    </row>
    <row r="145" spans="1:7" x14ac:dyDescent="0.25">
      <c r="A145" s="44" t="s">
        <v>1274</v>
      </c>
      <c r="B145" s="1"/>
      <c r="C145" s="5" t="s">
        <v>1275</v>
      </c>
      <c r="D145" s="109"/>
      <c r="E145" s="11">
        <f>VLOOKUP(A145,TB!TB,4,FALSE)*-1</f>
        <v>0</v>
      </c>
      <c r="F145" s="85"/>
      <c r="G145" s="59">
        <f>VLOOKUP(A145,TB!TB,5,FALSE)*-1</f>
        <v>0</v>
      </c>
    </row>
    <row r="146" spans="1:7" x14ac:dyDescent="0.25">
      <c r="A146" s="44" t="s">
        <v>1392</v>
      </c>
      <c r="B146" s="1"/>
      <c r="C146" s="5" t="s">
        <v>1393</v>
      </c>
      <c r="D146" s="109"/>
      <c r="E146" s="11">
        <f>VLOOKUP(A146,TB!TB,4,FALSE)*-1</f>
        <v>85.7</v>
      </c>
      <c r="F146" s="85"/>
      <c r="G146" s="59">
        <f>VLOOKUP(A146,TB!TB,5,FALSE)*-1</f>
        <v>0</v>
      </c>
    </row>
    <row r="147" spans="1:7" x14ac:dyDescent="0.25">
      <c r="A147" s="44" t="s">
        <v>1528</v>
      </c>
      <c r="B147" s="1"/>
      <c r="C147" s="27" t="s">
        <v>1529</v>
      </c>
      <c r="D147" s="109"/>
      <c r="E147" s="11">
        <f>VLOOKUP(A147,TB!TB,4,FALSE)*-1</f>
        <v>0</v>
      </c>
      <c r="F147" s="85"/>
      <c r="G147" s="59">
        <f>VLOOKUP(A147,TB!TB,5,FALSE)*-1</f>
        <v>0</v>
      </c>
    </row>
    <row r="148" spans="1:7" x14ac:dyDescent="0.25">
      <c r="A148" s="122" t="s">
        <v>166</v>
      </c>
      <c r="B148" s="1"/>
      <c r="C148" s="110" t="s">
        <v>167</v>
      </c>
      <c r="D148" s="10"/>
      <c r="E148" s="59">
        <f>VLOOKUP(A148,TB!TB,4,FALSE)*-1</f>
        <v>0</v>
      </c>
      <c r="G148" s="59">
        <f>VLOOKUP(A148,TB!TB,5,FALSE)*-1</f>
        <v>0</v>
      </c>
    </row>
    <row r="149" spans="1:7" x14ac:dyDescent="0.25">
      <c r="C149" s="22" t="s">
        <v>1016</v>
      </c>
      <c r="E149" s="94">
        <f>SUM(E108:E148)</f>
        <v>86398.40999999996</v>
      </c>
      <c r="F149" s="27"/>
      <c r="G149" s="94">
        <f>SUM(G108:G148)</f>
        <v>-66738.76999999999</v>
      </c>
    </row>
    <row r="150" spans="1:7" x14ac:dyDescent="0.25">
      <c r="C150" s="22"/>
      <c r="E150" s="11"/>
      <c r="G150" s="11"/>
    </row>
    <row r="151" spans="1:7" x14ac:dyDescent="0.25">
      <c r="C151" s="22" t="s">
        <v>1018</v>
      </c>
      <c r="E151" s="11">
        <f>E149+E106+E94+E80+E75</f>
        <v>2959007.26</v>
      </c>
      <c r="G151" s="11">
        <f>G149+G106+G94+G80+G75</f>
        <v>-22559.349999999977</v>
      </c>
    </row>
    <row r="152" spans="1:7" x14ac:dyDescent="0.25">
      <c r="C152" s="22"/>
    </row>
    <row r="153" spans="1:7" x14ac:dyDescent="0.25">
      <c r="A153" s="9" t="s">
        <v>71</v>
      </c>
      <c r="B153" s="1"/>
      <c r="C153" s="10" t="s">
        <v>72</v>
      </c>
      <c r="D153" s="10"/>
      <c r="E153" s="11">
        <f>VLOOKUP(A153,TB!TB,4,FALSE)*-1</f>
        <v>0</v>
      </c>
      <c r="G153" s="59">
        <f>VLOOKUP(A153,TB!TB,5,FALSE)*-1</f>
        <v>0</v>
      </c>
    </row>
    <row r="154" spans="1:7" x14ac:dyDescent="0.25">
      <c r="A154" s="18" t="s">
        <v>1257</v>
      </c>
      <c r="B154" s="1"/>
      <c r="C154" s="10" t="s">
        <v>1258</v>
      </c>
      <c r="D154" s="10"/>
      <c r="E154" s="11">
        <f>VLOOKUP(A154,TB!TB,4,FALSE)*-1</f>
        <v>966924.52</v>
      </c>
      <c r="G154" s="59">
        <f>VLOOKUP(A154,TB!TB,5,FALSE)*-1</f>
        <v>0</v>
      </c>
    </row>
    <row r="155" spans="1:7" x14ac:dyDescent="0.25">
      <c r="A155" s="4" t="s">
        <v>74</v>
      </c>
      <c r="B155" s="1"/>
      <c r="C155" s="1" t="s">
        <v>75</v>
      </c>
      <c r="D155" s="1"/>
      <c r="E155" s="11">
        <f>VLOOKUP(A155,TB!TB,4,FALSE)*-1</f>
        <v>0</v>
      </c>
      <c r="G155" s="59">
        <f>VLOOKUP(A155,TB!TB,5,FALSE)*-1</f>
        <v>0</v>
      </c>
    </row>
    <row r="156" spans="1:7" x14ac:dyDescent="0.25">
      <c r="A156" s="4" t="s">
        <v>1362</v>
      </c>
      <c r="B156" s="1"/>
      <c r="C156" s="1" t="s">
        <v>1363</v>
      </c>
      <c r="D156" s="1"/>
      <c r="E156" s="11">
        <f>VLOOKUP(A156,TB!TB,4,FALSE)*-1</f>
        <v>58502.64</v>
      </c>
      <c r="G156" s="59">
        <f>VLOOKUP(A156,TB!TB,5,FALSE)*-1</f>
        <v>0</v>
      </c>
    </row>
    <row r="157" spans="1:7" x14ac:dyDescent="0.25">
      <c r="A157" s="4" t="s">
        <v>1364</v>
      </c>
      <c r="B157" s="1"/>
      <c r="C157" s="1" t="s">
        <v>1365</v>
      </c>
      <c r="D157" s="1"/>
      <c r="E157" s="11">
        <f>VLOOKUP(A157,TB!TB,4,FALSE)*-1</f>
        <v>54118.64</v>
      </c>
      <c r="G157" s="59">
        <f>VLOOKUP(A157,TB!TB,5,FALSE)*-1</f>
        <v>0</v>
      </c>
    </row>
    <row r="158" spans="1:7" x14ac:dyDescent="0.25">
      <c r="A158" s="4" t="s">
        <v>1366</v>
      </c>
      <c r="B158" s="1"/>
      <c r="C158" s="1" t="s">
        <v>1367</v>
      </c>
      <c r="D158" s="1"/>
      <c r="E158" s="11">
        <f>VLOOKUP(A158,TB!TB,4,FALSE)*-1</f>
        <v>66648.570000000007</v>
      </c>
      <c r="G158" s="59">
        <f>VLOOKUP(A158,TB!TB,5,FALSE)*-1</f>
        <v>0</v>
      </c>
    </row>
    <row r="159" spans="1:7" x14ac:dyDescent="0.25">
      <c r="A159" s="4" t="s">
        <v>1370</v>
      </c>
      <c r="B159" s="1"/>
      <c r="C159" s="1" t="s">
        <v>1371</v>
      </c>
      <c r="D159" s="1"/>
      <c r="E159" s="11">
        <f>VLOOKUP(A159,TB!TB,4,FALSE)*-1</f>
        <v>54524</v>
      </c>
      <c r="G159" s="59">
        <f>VLOOKUP(A159,TB!TB,5,FALSE)*-1</f>
        <v>0</v>
      </c>
    </row>
    <row r="160" spans="1:7" x14ac:dyDescent="0.25">
      <c r="A160" s="4" t="s">
        <v>1368</v>
      </c>
      <c r="B160" s="1"/>
      <c r="C160" s="1" t="s">
        <v>1369</v>
      </c>
      <c r="D160" s="1"/>
      <c r="E160" s="11">
        <f>VLOOKUP(A160,TB!TB,4,FALSE)*-1</f>
        <v>57145.16</v>
      </c>
      <c r="G160" s="59">
        <f>VLOOKUP(A160,TB!TB,5,FALSE)*-1</f>
        <v>0</v>
      </c>
    </row>
    <row r="161" spans="1:7" x14ac:dyDescent="0.25">
      <c r="A161" s="4" t="s">
        <v>1372</v>
      </c>
      <c r="B161" s="1"/>
      <c r="C161" s="1" t="s">
        <v>1373</v>
      </c>
      <c r="D161" s="1"/>
      <c r="E161" s="11">
        <f>VLOOKUP(A161,TB!TB,4,FALSE)*-1</f>
        <v>65102.09</v>
      </c>
      <c r="G161" s="59">
        <f>VLOOKUP(A161,TB!TB,5,FALSE)*-1</f>
        <v>0</v>
      </c>
    </row>
    <row r="162" spans="1:7" x14ac:dyDescent="0.25">
      <c r="A162" s="123" t="s">
        <v>1532</v>
      </c>
      <c r="C162" s="5" t="s">
        <v>1535</v>
      </c>
      <c r="E162" s="11">
        <f>VLOOKUP(A162,TB!TB,4,FALSE)*-1</f>
        <v>8100</v>
      </c>
      <c r="G162" s="59">
        <f>VLOOKUP(A162,TB!TB,5,FALSE)*-1</f>
        <v>0</v>
      </c>
    </row>
    <row r="163" spans="1:7" x14ac:dyDescent="0.25">
      <c r="A163" s="4" t="s">
        <v>1360</v>
      </c>
      <c r="B163" s="1"/>
      <c r="C163" s="1" t="s">
        <v>1361</v>
      </c>
      <c r="D163" s="1"/>
      <c r="E163" s="29">
        <f>VLOOKUP(A163,TB!TB,4,FALSE)*-1</f>
        <v>2831009.8</v>
      </c>
      <c r="G163" s="29">
        <f>VLOOKUP(A163,TB!TB,5,FALSE)*-1</f>
        <v>0</v>
      </c>
    </row>
    <row r="164" spans="1:7" x14ac:dyDescent="0.25">
      <c r="E164" s="26">
        <f>SUM(E153:E163)</f>
        <v>4162075.42</v>
      </c>
      <c r="F164" s="27"/>
      <c r="G164" s="26">
        <f>SUM(G153:G163)</f>
        <v>0</v>
      </c>
    </row>
    <row r="166" spans="1:7" ht="15.75" x14ac:dyDescent="0.25">
      <c r="C166" s="23" t="s">
        <v>1017</v>
      </c>
      <c r="E166" s="11">
        <f>E151+E164</f>
        <v>7121082.6799999997</v>
      </c>
      <c r="G166" s="11">
        <f>G151+G164</f>
        <v>-22559.349999999977</v>
      </c>
    </row>
    <row r="167" spans="1:7" ht="15.75" x14ac:dyDescent="0.25">
      <c r="C167" s="23"/>
    </row>
    <row r="168" spans="1:7" x14ac:dyDescent="0.25">
      <c r="A168" s="4" t="s">
        <v>174</v>
      </c>
      <c r="B168" s="1"/>
      <c r="C168" s="1" t="s">
        <v>175</v>
      </c>
      <c r="D168" s="1"/>
      <c r="E168" s="11">
        <f>VLOOKUP(A168,TB!TB,4,FALSE)*-1</f>
        <v>750</v>
      </c>
      <c r="G168" s="59">
        <f>VLOOKUP(A168,TB!TB,5,FALSE)*-1</f>
        <v>0</v>
      </c>
    </row>
    <row r="169" spans="1:7" x14ac:dyDescent="0.25">
      <c r="A169" s="44" t="s">
        <v>1261</v>
      </c>
      <c r="B169" s="1"/>
      <c r="C169" s="1" t="s">
        <v>1262</v>
      </c>
      <c r="D169" s="1"/>
      <c r="E169" s="11">
        <f>VLOOKUP(A169,TB!TB,4,FALSE)*-1</f>
        <v>-5499409.4699999997</v>
      </c>
      <c r="G169" s="59">
        <f>VLOOKUP(A169,TB!TB,5,FALSE)*-1</f>
        <v>0</v>
      </c>
    </row>
    <row r="170" spans="1:7" x14ac:dyDescent="0.25">
      <c r="B170" s="1"/>
      <c r="C170" s="10" t="s">
        <v>177</v>
      </c>
      <c r="D170" s="10"/>
      <c r="E170" s="11">
        <f>'Combined Detail P and L'!N641</f>
        <v>374023.03999999992</v>
      </c>
      <c r="G170" s="59">
        <f>'Combined Detail P and L'!H641</f>
        <v>374023.03999999992</v>
      </c>
    </row>
    <row r="171" spans="1:7" x14ac:dyDescent="0.25">
      <c r="A171" s="83" t="s">
        <v>1235</v>
      </c>
      <c r="B171" s="1"/>
      <c r="C171" s="1" t="s">
        <v>1482</v>
      </c>
      <c r="D171" s="10"/>
      <c r="E171" s="11">
        <f>VLOOKUP(A171,TB!TB,4,FALSE)*-1</f>
        <v>-20400</v>
      </c>
      <c r="G171" s="59">
        <f>VLOOKUP(A171,TB!TB,5,FALSE)*-1</f>
        <v>0</v>
      </c>
    </row>
    <row r="172" spans="1:7" x14ac:dyDescent="0.25">
      <c r="A172" s="4" t="s">
        <v>178</v>
      </c>
      <c r="B172" s="1"/>
      <c r="C172" s="1" t="s">
        <v>179</v>
      </c>
      <c r="D172" s="1"/>
      <c r="E172" s="29">
        <f>VLOOKUP(A172,TB!TB,4,FALSE)*-1</f>
        <v>33371519.670000002</v>
      </c>
      <c r="G172" s="59">
        <f>VLOOKUP(A172,TB!TB,5,FALSE)*-1</f>
        <v>0</v>
      </c>
    </row>
    <row r="173" spans="1:7" x14ac:dyDescent="0.25">
      <c r="C173" s="22" t="s">
        <v>1019</v>
      </c>
      <c r="E173" s="26">
        <f>SUM(E168:E172)</f>
        <v>28226483.240000002</v>
      </c>
      <c r="F173" s="27"/>
      <c r="G173" s="94">
        <f>SUM(G168:G172)</f>
        <v>374023.03999999992</v>
      </c>
    </row>
    <row r="175" spans="1:7" ht="15.75" thickBot="1" x14ac:dyDescent="0.3">
      <c r="A175" s="9" t="s">
        <v>176</v>
      </c>
      <c r="C175" s="22" t="s">
        <v>1021</v>
      </c>
      <c r="E175" s="59">
        <f>VLOOKUP(A175,TB!TB,4,FALSE)*-1</f>
        <v>0</v>
      </c>
      <c r="G175" s="59">
        <f>VLOOKUP(A175,TB!TB,5,FALSE)*-1</f>
        <v>0</v>
      </c>
    </row>
    <row r="176" spans="1:7" ht="15.75" thickTop="1" x14ac:dyDescent="0.25">
      <c r="C176" s="22" t="s">
        <v>1020</v>
      </c>
      <c r="E176" s="105">
        <f>E173+E166+E175</f>
        <v>35347565.920000002</v>
      </c>
      <c r="F176" s="27"/>
      <c r="G176" s="105">
        <f>G173+G166+G175</f>
        <v>351463.68999999994</v>
      </c>
    </row>
    <row r="177" spans="3:12" x14ac:dyDescent="0.25">
      <c r="C177" s="22"/>
    </row>
    <row r="179" spans="3:12" x14ac:dyDescent="0.25">
      <c r="C179" s="13"/>
      <c r="G179" s="11"/>
    </row>
    <row r="180" spans="3:12" x14ac:dyDescent="0.25">
      <c r="E180" s="11">
        <f>E176-E61</f>
        <v>0</v>
      </c>
      <c r="L180" s="19"/>
    </row>
    <row r="181" spans="3:12" x14ac:dyDescent="0.25">
      <c r="C181" s="13"/>
      <c r="E181" s="11"/>
      <c r="G181" s="11"/>
      <c r="L181" s="11"/>
    </row>
  </sheetData>
  <mergeCells count="6147">
    <mergeCell ref="XDQ66:XDX66"/>
    <mergeCell ref="XDY66:XEF66"/>
    <mergeCell ref="XEG66:XEN66"/>
    <mergeCell ref="XEO66:XEV66"/>
    <mergeCell ref="XEW66:XFD66"/>
    <mergeCell ref="XCC66:XCJ66"/>
    <mergeCell ref="XCK66:XCR66"/>
    <mergeCell ref="XCS66:XCZ66"/>
    <mergeCell ref="XDA66:XDH66"/>
    <mergeCell ref="XDI66:XDP66"/>
    <mergeCell ref="XAO66:XAV66"/>
    <mergeCell ref="XAW66:XBD66"/>
    <mergeCell ref="XBE66:XBL66"/>
    <mergeCell ref="XBM66:XBT66"/>
    <mergeCell ref="XBU66:XCB66"/>
    <mergeCell ref="WZA66:WZH66"/>
    <mergeCell ref="WZI66:WZP66"/>
    <mergeCell ref="WZQ66:WZX66"/>
    <mergeCell ref="WZY66:XAF66"/>
    <mergeCell ref="XAG66:XAN66"/>
    <mergeCell ref="WXM66:WXT66"/>
    <mergeCell ref="WXU66:WYB66"/>
    <mergeCell ref="WYC66:WYJ66"/>
    <mergeCell ref="WYK66:WYR66"/>
    <mergeCell ref="WYS66:WYZ66"/>
    <mergeCell ref="WVY66:WWF66"/>
    <mergeCell ref="WWG66:WWN66"/>
    <mergeCell ref="WWO66:WWV66"/>
    <mergeCell ref="WWW66:WXD66"/>
    <mergeCell ref="WXE66:WXL66"/>
    <mergeCell ref="WUK66:WUR66"/>
    <mergeCell ref="WUS66:WUZ66"/>
    <mergeCell ref="WVA66:WVH66"/>
    <mergeCell ref="WVI66:WVP66"/>
    <mergeCell ref="WVQ66:WVX66"/>
    <mergeCell ref="WSW66:WTD66"/>
    <mergeCell ref="WTE66:WTL66"/>
    <mergeCell ref="WTM66:WTT66"/>
    <mergeCell ref="WTU66:WUB66"/>
    <mergeCell ref="WUC66:WUJ66"/>
    <mergeCell ref="WRI66:WRP66"/>
    <mergeCell ref="WRQ66:WRX66"/>
    <mergeCell ref="WRY66:WSF66"/>
    <mergeCell ref="WSG66:WSN66"/>
    <mergeCell ref="WSO66:WSV66"/>
    <mergeCell ref="WPU66:WQB66"/>
    <mergeCell ref="WQC66:WQJ66"/>
    <mergeCell ref="WQK66:WQR66"/>
    <mergeCell ref="WQS66:WQZ66"/>
    <mergeCell ref="WRA66:WRH66"/>
    <mergeCell ref="WOG66:WON66"/>
    <mergeCell ref="WOO66:WOV66"/>
    <mergeCell ref="WOW66:WPD66"/>
    <mergeCell ref="WPE66:WPL66"/>
    <mergeCell ref="WPM66:WPT66"/>
    <mergeCell ref="WMS66:WMZ66"/>
    <mergeCell ref="WNA66:WNH66"/>
    <mergeCell ref="WNI66:WNP66"/>
    <mergeCell ref="WNQ66:WNX66"/>
    <mergeCell ref="WNY66:WOF66"/>
    <mergeCell ref="WLE66:WLL66"/>
    <mergeCell ref="WLM66:WLT66"/>
    <mergeCell ref="WLU66:WMB66"/>
    <mergeCell ref="WMC66:WMJ66"/>
    <mergeCell ref="WMK66:WMR66"/>
    <mergeCell ref="WJQ66:WJX66"/>
    <mergeCell ref="WJY66:WKF66"/>
    <mergeCell ref="WKG66:WKN66"/>
    <mergeCell ref="WKO66:WKV66"/>
    <mergeCell ref="WKW66:WLD66"/>
    <mergeCell ref="WIC66:WIJ66"/>
    <mergeCell ref="WIK66:WIR66"/>
    <mergeCell ref="WIS66:WIZ66"/>
    <mergeCell ref="WJA66:WJH66"/>
    <mergeCell ref="WJI66:WJP66"/>
    <mergeCell ref="WGO66:WGV66"/>
    <mergeCell ref="WGW66:WHD66"/>
    <mergeCell ref="WHE66:WHL66"/>
    <mergeCell ref="WHM66:WHT66"/>
    <mergeCell ref="WHU66:WIB66"/>
    <mergeCell ref="WFA66:WFH66"/>
    <mergeCell ref="WFI66:WFP66"/>
    <mergeCell ref="WFQ66:WFX66"/>
    <mergeCell ref="WFY66:WGF66"/>
    <mergeCell ref="WGG66:WGN66"/>
    <mergeCell ref="WDM66:WDT66"/>
    <mergeCell ref="WDU66:WEB66"/>
    <mergeCell ref="WEC66:WEJ66"/>
    <mergeCell ref="WEK66:WER66"/>
    <mergeCell ref="WES66:WEZ66"/>
    <mergeCell ref="WBY66:WCF66"/>
    <mergeCell ref="WCG66:WCN66"/>
    <mergeCell ref="WCO66:WCV66"/>
    <mergeCell ref="WCW66:WDD66"/>
    <mergeCell ref="WDE66:WDL66"/>
    <mergeCell ref="WAK66:WAR66"/>
    <mergeCell ref="WAS66:WAZ66"/>
    <mergeCell ref="WBA66:WBH66"/>
    <mergeCell ref="WBI66:WBP66"/>
    <mergeCell ref="WBQ66:WBX66"/>
    <mergeCell ref="VYW66:VZD66"/>
    <mergeCell ref="VZE66:VZL66"/>
    <mergeCell ref="VZM66:VZT66"/>
    <mergeCell ref="VZU66:WAB66"/>
    <mergeCell ref="WAC66:WAJ66"/>
    <mergeCell ref="VXI66:VXP66"/>
    <mergeCell ref="VXQ66:VXX66"/>
    <mergeCell ref="VXY66:VYF66"/>
    <mergeCell ref="VYG66:VYN66"/>
    <mergeCell ref="VYO66:VYV66"/>
    <mergeCell ref="VVU66:VWB66"/>
    <mergeCell ref="VWC66:VWJ66"/>
    <mergeCell ref="VWK66:VWR66"/>
    <mergeCell ref="VWS66:VWZ66"/>
    <mergeCell ref="VXA66:VXH66"/>
    <mergeCell ref="VUG66:VUN66"/>
    <mergeCell ref="VUO66:VUV66"/>
    <mergeCell ref="VUW66:VVD66"/>
    <mergeCell ref="VVE66:VVL66"/>
    <mergeCell ref="VVM66:VVT66"/>
    <mergeCell ref="VSS66:VSZ66"/>
    <mergeCell ref="VTA66:VTH66"/>
    <mergeCell ref="VTI66:VTP66"/>
    <mergeCell ref="VTQ66:VTX66"/>
    <mergeCell ref="VTY66:VUF66"/>
    <mergeCell ref="VRE66:VRL66"/>
    <mergeCell ref="VRM66:VRT66"/>
    <mergeCell ref="VRU66:VSB66"/>
    <mergeCell ref="VSC66:VSJ66"/>
    <mergeCell ref="VSK66:VSR66"/>
    <mergeCell ref="VPQ66:VPX66"/>
    <mergeCell ref="VPY66:VQF66"/>
    <mergeCell ref="VQG66:VQN66"/>
    <mergeCell ref="VQO66:VQV66"/>
    <mergeCell ref="VQW66:VRD66"/>
    <mergeCell ref="VOC66:VOJ66"/>
    <mergeCell ref="VOK66:VOR66"/>
    <mergeCell ref="VOS66:VOZ66"/>
    <mergeCell ref="VPA66:VPH66"/>
    <mergeCell ref="VPI66:VPP66"/>
    <mergeCell ref="VMO66:VMV66"/>
    <mergeCell ref="VMW66:VND66"/>
    <mergeCell ref="VNE66:VNL66"/>
    <mergeCell ref="VNM66:VNT66"/>
    <mergeCell ref="VNU66:VOB66"/>
    <mergeCell ref="VLA66:VLH66"/>
    <mergeCell ref="VLI66:VLP66"/>
    <mergeCell ref="VLQ66:VLX66"/>
    <mergeCell ref="VLY66:VMF66"/>
    <mergeCell ref="VMG66:VMN66"/>
    <mergeCell ref="VJM66:VJT66"/>
    <mergeCell ref="VJU66:VKB66"/>
    <mergeCell ref="VKC66:VKJ66"/>
    <mergeCell ref="VKK66:VKR66"/>
    <mergeCell ref="VKS66:VKZ66"/>
    <mergeCell ref="VHY66:VIF66"/>
    <mergeCell ref="VIG66:VIN66"/>
    <mergeCell ref="VIO66:VIV66"/>
    <mergeCell ref="VIW66:VJD66"/>
    <mergeCell ref="VJE66:VJL66"/>
    <mergeCell ref="VGK66:VGR66"/>
    <mergeCell ref="VGS66:VGZ66"/>
    <mergeCell ref="VHA66:VHH66"/>
    <mergeCell ref="VHI66:VHP66"/>
    <mergeCell ref="VHQ66:VHX66"/>
    <mergeCell ref="VEW66:VFD66"/>
    <mergeCell ref="VFE66:VFL66"/>
    <mergeCell ref="VFM66:VFT66"/>
    <mergeCell ref="VFU66:VGB66"/>
    <mergeCell ref="VGC66:VGJ66"/>
    <mergeCell ref="VDI66:VDP66"/>
    <mergeCell ref="VDQ66:VDX66"/>
    <mergeCell ref="VDY66:VEF66"/>
    <mergeCell ref="VEG66:VEN66"/>
    <mergeCell ref="VEO66:VEV66"/>
    <mergeCell ref="VBU66:VCB66"/>
    <mergeCell ref="VCC66:VCJ66"/>
    <mergeCell ref="VCK66:VCR66"/>
    <mergeCell ref="VCS66:VCZ66"/>
    <mergeCell ref="VDA66:VDH66"/>
    <mergeCell ref="VAG66:VAN66"/>
    <mergeCell ref="VAO66:VAV66"/>
    <mergeCell ref="VAW66:VBD66"/>
    <mergeCell ref="VBE66:VBL66"/>
    <mergeCell ref="VBM66:VBT66"/>
    <mergeCell ref="UYS66:UYZ66"/>
    <mergeCell ref="UZA66:UZH66"/>
    <mergeCell ref="UZI66:UZP66"/>
    <mergeCell ref="UZQ66:UZX66"/>
    <mergeCell ref="UZY66:VAF66"/>
    <mergeCell ref="UXE66:UXL66"/>
    <mergeCell ref="UXM66:UXT66"/>
    <mergeCell ref="UXU66:UYB66"/>
    <mergeCell ref="UYC66:UYJ66"/>
    <mergeCell ref="UYK66:UYR66"/>
    <mergeCell ref="UVQ66:UVX66"/>
    <mergeCell ref="UVY66:UWF66"/>
    <mergeCell ref="UWG66:UWN66"/>
    <mergeCell ref="UWO66:UWV66"/>
    <mergeCell ref="UWW66:UXD66"/>
    <mergeCell ref="UUC66:UUJ66"/>
    <mergeCell ref="UUK66:UUR66"/>
    <mergeCell ref="UUS66:UUZ66"/>
    <mergeCell ref="UVA66:UVH66"/>
    <mergeCell ref="UVI66:UVP66"/>
    <mergeCell ref="USO66:USV66"/>
    <mergeCell ref="USW66:UTD66"/>
    <mergeCell ref="UTE66:UTL66"/>
    <mergeCell ref="UTM66:UTT66"/>
    <mergeCell ref="UTU66:UUB66"/>
    <mergeCell ref="URA66:URH66"/>
    <mergeCell ref="URI66:URP66"/>
    <mergeCell ref="URQ66:URX66"/>
    <mergeCell ref="URY66:USF66"/>
    <mergeCell ref="USG66:USN66"/>
    <mergeCell ref="UPM66:UPT66"/>
    <mergeCell ref="UPU66:UQB66"/>
    <mergeCell ref="UQC66:UQJ66"/>
    <mergeCell ref="UQK66:UQR66"/>
    <mergeCell ref="UQS66:UQZ66"/>
    <mergeCell ref="UNY66:UOF66"/>
    <mergeCell ref="UOG66:UON66"/>
    <mergeCell ref="UOO66:UOV66"/>
    <mergeCell ref="UOW66:UPD66"/>
    <mergeCell ref="UPE66:UPL66"/>
    <mergeCell ref="UMK66:UMR66"/>
    <mergeCell ref="UMS66:UMZ66"/>
    <mergeCell ref="UNA66:UNH66"/>
    <mergeCell ref="UNI66:UNP66"/>
    <mergeCell ref="UNQ66:UNX66"/>
    <mergeCell ref="UKW66:ULD66"/>
    <mergeCell ref="ULE66:ULL66"/>
    <mergeCell ref="ULM66:ULT66"/>
    <mergeCell ref="ULU66:UMB66"/>
    <mergeCell ref="UMC66:UMJ66"/>
    <mergeCell ref="UJI66:UJP66"/>
    <mergeCell ref="UJQ66:UJX66"/>
    <mergeCell ref="UJY66:UKF66"/>
    <mergeCell ref="UKG66:UKN66"/>
    <mergeCell ref="UKO66:UKV66"/>
    <mergeCell ref="UHU66:UIB66"/>
    <mergeCell ref="UIC66:UIJ66"/>
    <mergeCell ref="UIK66:UIR66"/>
    <mergeCell ref="UIS66:UIZ66"/>
    <mergeCell ref="UJA66:UJH66"/>
    <mergeCell ref="UGG66:UGN66"/>
    <mergeCell ref="UGO66:UGV66"/>
    <mergeCell ref="UGW66:UHD66"/>
    <mergeCell ref="UHE66:UHL66"/>
    <mergeCell ref="UHM66:UHT66"/>
    <mergeCell ref="UES66:UEZ66"/>
    <mergeCell ref="UFA66:UFH66"/>
    <mergeCell ref="UFI66:UFP66"/>
    <mergeCell ref="UFQ66:UFX66"/>
    <mergeCell ref="UFY66:UGF66"/>
    <mergeCell ref="UDE66:UDL66"/>
    <mergeCell ref="UDM66:UDT66"/>
    <mergeCell ref="UDU66:UEB66"/>
    <mergeCell ref="UEC66:UEJ66"/>
    <mergeCell ref="UEK66:UER66"/>
    <mergeCell ref="UBQ66:UBX66"/>
    <mergeCell ref="UBY66:UCF66"/>
    <mergeCell ref="UCG66:UCN66"/>
    <mergeCell ref="UCO66:UCV66"/>
    <mergeCell ref="UCW66:UDD66"/>
    <mergeCell ref="UAC66:UAJ66"/>
    <mergeCell ref="UAK66:UAR66"/>
    <mergeCell ref="UAS66:UAZ66"/>
    <mergeCell ref="UBA66:UBH66"/>
    <mergeCell ref="UBI66:UBP66"/>
    <mergeCell ref="TYO66:TYV66"/>
    <mergeCell ref="TYW66:TZD66"/>
    <mergeCell ref="TZE66:TZL66"/>
    <mergeCell ref="TZM66:TZT66"/>
    <mergeCell ref="TZU66:UAB66"/>
    <mergeCell ref="TXA66:TXH66"/>
    <mergeCell ref="TXI66:TXP66"/>
    <mergeCell ref="TXQ66:TXX66"/>
    <mergeCell ref="TXY66:TYF66"/>
    <mergeCell ref="TYG66:TYN66"/>
    <mergeCell ref="TVM66:TVT66"/>
    <mergeCell ref="TVU66:TWB66"/>
    <mergeCell ref="TWC66:TWJ66"/>
    <mergeCell ref="TWK66:TWR66"/>
    <mergeCell ref="TWS66:TWZ66"/>
    <mergeCell ref="TTY66:TUF66"/>
    <mergeCell ref="TUG66:TUN66"/>
    <mergeCell ref="TUO66:TUV66"/>
    <mergeCell ref="TUW66:TVD66"/>
    <mergeCell ref="TVE66:TVL66"/>
    <mergeCell ref="TSK66:TSR66"/>
    <mergeCell ref="TSS66:TSZ66"/>
    <mergeCell ref="TTA66:TTH66"/>
    <mergeCell ref="TTI66:TTP66"/>
    <mergeCell ref="TTQ66:TTX66"/>
    <mergeCell ref="TQW66:TRD66"/>
    <mergeCell ref="TRE66:TRL66"/>
    <mergeCell ref="TRM66:TRT66"/>
    <mergeCell ref="TRU66:TSB66"/>
    <mergeCell ref="TSC66:TSJ66"/>
    <mergeCell ref="TPI66:TPP66"/>
    <mergeCell ref="TPQ66:TPX66"/>
    <mergeCell ref="TPY66:TQF66"/>
    <mergeCell ref="TQG66:TQN66"/>
    <mergeCell ref="TQO66:TQV66"/>
    <mergeCell ref="TNU66:TOB66"/>
    <mergeCell ref="TOC66:TOJ66"/>
    <mergeCell ref="TOK66:TOR66"/>
    <mergeCell ref="TOS66:TOZ66"/>
    <mergeCell ref="TPA66:TPH66"/>
    <mergeCell ref="TMG66:TMN66"/>
    <mergeCell ref="TMO66:TMV66"/>
    <mergeCell ref="TMW66:TND66"/>
    <mergeCell ref="TNE66:TNL66"/>
    <mergeCell ref="TNM66:TNT66"/>
    <mergeCell ref="TKS66:TKZ66"/>
    <mergeCell ref="TLA66:TLH66"/>
    <mergeCell ref="TLI66:TLP66"/>
    <mergeCell ref="TLQ66:TLX66"/>
    <mergeCell ref="TLY66:TMF66"/>
    <mergeCell ref="TJE66:TJL66"/>
    <mergeCell ref="TJM66:TJT66"/>
    <mergeCell ref="TJU66:TKB66"/>
    <mergeCell ref="TKC66:TKJ66"/>
    <mergeCell ref="TKK66:TKR66"/>
    <mergeCell ref="THQ66:THX66"/>
    <mergeCell ref="THY66:TIF66"/>
    <mergeCell ref="TIG66:TIN66"/>
    <mergeCell ref="TIO66:TIV66"/>
    <mergeCell ref="TIW66:TJD66"/>
    <mergeCell ref="TGC66:TGJ66"/>
    <mergeCell ref="TGK66:TGR66"/>
    <mergeCell ref="TGS66:TGZ66"/>
    <mergeCell ref="THA66:THH66"/>
    <mergeCell ref="THI66:THP66"/>
    <mergeCell ref="TEO66:TEV66"/>
    <mergeCell ref="TEW66:TFD66"/>
    <mergeCell ref="TFE66:TFL66"/>
    <mergeCell ref="TFM66:TFT66"/>
    <mergeCell ref="TFU66:TGB66"/>
    <mergeCell ref="TDA66:TDH66"/>
    <mergeCell ref="TDI66:TDP66"/>
    <mergeCell ref="TDQ66:TDX66"/>
    <mergeCell ref="TDY66:TEF66"/>
    <mergeCell ref="TEG66:TEN66"/>
    <mergeCell ref="TBM66:TBT66"/>
    <mergeCell ref="TBU66:TCB66"/>
    <mergeCell ref="TCC66:TCJ66"/>
    <mergeCell ref="TCK66:TCR66"/>
    <mergeCell ref="TCS66:TCZ66"/>
    <mergeCell ref="SZY66:TAF66"/>
    <mergeCell ref="TAG66:TAN66"/>
    <mergeCell ref="TAO66:TAV66"/>
    <mergeCell ref="TAW66:TBD66"/>
    <mergeCell ref="TBE66:TBL66"/>
    <mergeCell ref="SYK66:SYR66"/>
    <mergeCell ref="SYS66:SYZ66"/>
    <mergeCell ref="SZA66:SZH66"/>
    <mergeCell ref="SZI66:SZP66"/>
    <mergeCell ref="SZQ66:SZX66"/>
    <mergeCell ref="SWW66:SXD66"/>
    <mergeCell ref="SXE66:SXL66"/>
    <mergeCell ref="SXM66:SXT66"/>
    <mergeCell ref="SXU66:SYB66"/>
    <mergeCell ref="SYC66:SYJ66"/>
    <mergeCell ref="SVI66:SVP66"/>
    <mergeCell ref="SVQ66:SVX66"/>
    <mergeCell ref="SVY66:SWF66"/>
    <mergeCell ref="SWG66:SWN66"/>
    <mergeCell ref="SWO66:SWV66"/>
    <mergeCell ref="STU66:SUB66"/>
    <mergeCell ref="SUC66:SUJ66"/>
    <mergeCell ref="SUK66:SUR66"/>
    <mergeCell ref="SUS66:SUZ66"/>
    <mergeCell ref="SVA66:SVH66"/>
    <mergeCell ref="SSG66:SSN66"/>
    <mergeCell ref="SSO66:SSV66"/>
    <mergeCell ref="SSW66:STD66"/>
    <mergeCell ref="STE66:STL66"/>
    <mergeCell ref="STM66:STT66"/>
    <mergeCell ref="SQS66:SQZ66"/>
    <mergeCell ref="SRA66:SRH66"/>
    <mergeCell ref="SRI66:SRP66"/>
    <mergeCell ref="SRQ66:SRX66"/>
    <mergeCell ref="SRY66:SSF66"/>
    <mergeCell ref="SPE66:SPL66"/>
    <mergeCell ref="SPM66:SPT66"/>
    <mergeCell ref="SPU66:SQB66"/>
    <mergeCell ref="SQC66:SQJ66"/>
    <mergeCell ref="SQK66:SQR66"/>
    <mergeCell ref="SNQ66:SNX66"/>
    <mergeCell ref="SNY66:SOF66"/>
    <mergeCell ref="SOG66:SON66"/>
    <mergeCell ref="SOO66:SOV66"/>
    <mergeCell ref="SOW66:SPD66"/>
    <mergeCell ref="SMC66:SMJ66"/>
    <mergeCell ref="SMK66:SMR66"/>
    <mergeCell ref="SMS66:SMZ66"/>
    <mergeCell ref="SNA66:SNH66"/>
    <mergeCell ref="SNI66:SNP66"/>
    <mergeCell ref="SKO66:SKV66"/>
    <mergeCell ref="SKW66:SLD66"/>
    <mergeCell ref="SLE66:SLL66"/>
    <mergeCell ref="SLM66:SLT66"/>
    <mergeCell ref="SLU66:SMB66"/>
    <mergeCell ref="SJA66:SJH66"/>
    <mergeCell ref="SJI66:SJP66"/>
    <mergeCell ref="SJQ66:SJX66"/>
    <mergeCell ref="SJY66:SKF66"/>
    <mergeCell ref="SKG66:SKN66"/>
    <mergeCell ref="SHM66:SHT66"/>
    <mergeCell ref="SHU66:SIB66"/>
    <mergeCell ref="SIC66:SIJ66"/>
    <mergeCell ref="SIK66:SIR66"/>
    <mergeCell ref="SIS66:SIZ66"/>
    <mergeCell ref="SFY66:SGF66"/>
    <mergeCell ref="SGG66:SGN66"/>
    <mergeCell ref="SGO66:SGV66"/>
    <mergeCell ref="SGW66:SHD66"/>
    <mergeCell ref="SHE66:SHL66"/>
    <mergeCell ref="SEK66:SER66"/>
    <mergeCell ref="SES66:SEZ66"/>
    <mergeCell ref="SFA66:SFH66"/>
    <mergeCell ref="SFI66:SFP66"/>
    <mergeCell ref="SFQ66:SFX66"/>
    <mergeCell ref="SCW66:SDD66"/>
    <mergeCell ref="SDE66:SDL66"/>
    <mergeCell ref="SDM66:SDT66"/>
    <mergeCell ref="SDU66:SEB66"/>
    <mergeCell ref="SEC66:SEJ66"/>
    <mergeCell ref="SBI66:SBP66"/>
    <mergeCell ref="SBQ66:SBX66"/>
    <mergeCell ref="SBY66:SCF66"/>
    <mergeCell ref="SCG66:SCN66"/>
    <mergeCell ref="SCO66:SCV66"/>
    <mergeCell ref="RZU66:SAB66"/>
    <mergeCell ref="SAC66:SAJ66"/>
    <mergeCell ref="SAK66:SAR66"/>
    <mergeCell ref="SAS66:SAZ66"/>
    <mergeCell ref="SBA66:SBH66"/>
    <mergeCell ref="RYG66:RYN66"/>
    <mergeCell ref="RYO66:RYV66"/>
    <mergeCell ref="RYW66:RZD66"/>
    <mergeCell ref="RZE66:RZL66"/>
    <mergeCell ref="RZM66:RZT66"/>
    <mergeCell ref="RWS66:RWZ66"/>
    <mergeCell ref="RXA66:RXH66"/>
    <mergeCell ref="RXI66:RXP66"/>
    <mergeCell ref="RXQ66:RXX66"/>
    <mergeCell ref="RXY66:RYF66"/>
    <mergeCell ref="RVE66:RVL66"/>
    <mergeCell ref="RVM66:RVT66"/>
    <mergeCell ref="RVU66:RWB66"/>
    <mergeCell ref="RWC66:RWJ66"/>
    <mergeCell ref="RWK66:RWR66"/>
    <mergeCell ref="RTQ66:RTX66"/>
    <mergeCell ref="RTY66:RUF66"/>
    <mergeCell ref="RUG66:RUN66"/>
    <mergeCell ref="RUO66:RUV66"/>
    <mergeCell ref="RUW66:RVD66"/>
    <mergeCell ref="RSC66:RSJ66"/>
    <mergeCell ref="RSK66:RSR66"/>
    <mergeCell ref="RSS66:RSZ66"/>
    <mergeCell ref="RTA66:RTH66"/>
    <mergeCell ref="RTI66:RTP66"/>
    <mergeCell ref="RQO66:RQV66"/>
    <mergeCell ref="RQW66:RRD66"/>
    <mergeCell ref="RRE66:RRL66"/>
    <mergeCell ref="RRM66:RRT66"/>
    <mergeCell ref="RRU66:RSB66"/>
    <mergeCell ref="RPA66:RPH66"/>
    <mergeCell ref="RPI66:RPP66"/>
    <mergeCell ref="RPQ66:RPX66"/>
    <mergeCell ref="RPY66:RQF66"/>
    <mergeCell ref="RQG66:RQN66"/>
    <mergeCell ref="RNM66:RNT66"/>
    <mergeCell ref="RNU66:ROB66"/>
    <mergeCell ref="ROC66:ROJ66"/>
    <mergeCell ref="ROK66:ROR66"/>
    <mergeCell ref="ROS66:ROZ66"/>
    <mergeCell ref="RLY66:RMF66"/>
    <mergeCell ref="RMG66:RMN66"/>
    <mergeCell ref="RMO66:RMV66"/>
    <mergeCell ref="RMW66:RND66"/>
    <mergeCell ref="RNE66:RNL66"/>
    <mergeCell ref="RKK66:RKR66"/>
    <mergeCell ref="RKS66:RKZ66"/>
    <mergeCell ref="RLA66:RLH66"/>
    <mergeCell ref="RLI66:RLP66"/>
    <mergeCell ref="RLQ66:RLX66"/>
    <mergeCell ref="RIW66:RJD66"/>
    <mergeCell ref="RJE66:RJL66"/>
    <mergeCell ref="RJM66:RJT66"/>
    <mergeCell ref="RJU66:RKB66"/>
    <mergeCell ref="RKC66:RKJ66"/>
    <mergeCell ref="RHI66:RHP66"/>
    <mergeCell ref="RHQ66:RHX66"/>
    <mergeCell ref="RHY66:RIF66"/>
    <mergeCell ref="RIG66:RIN66"/>
    <mergeCell ref="RIO66:RIV66"/>
    <mergeCell ref="RFU66:RGB66"/>
    <mergeCell ref="RGC66:RGJ66"/>
    <mergeCell ref="RGK66:RGR66"/>
    <mergeCell ref="RGS66:RGZ66"/>
    <mergeCell ref="RHA66:RHH66"/>
    <mergeCell ref="REG66:REN66"/>
    <mergeCell ref="REO66:REV66"/>
    <mergeCell ref="REW66:RFD66"/>
    <mergeCell ref="RFE66:RFL66"/>
    <mergeCell ref="RFM66:RFT66"/>
    <mergeCell ref="RCS66:RCZ66"/>
    <mergeCell ref="RDA66:RDH66"/>
    <mergeCell ref="RDI66:RDP66"/>
    <mergeCell ref="RDQ66:RDX66"/>
    <mergeCell ref="RDY66:REF66"/>
    <mergeCell ref="RBE66:RBL66"/>
    <mergeCell ref="RBM66:RBT66"/>
    <mergeCell ref="RBU66:RCB66"/>
    <mergeCell ref="RCC66:RCJ66"/>
    <mergeCell ref="RCK66:RCR66"/>
    <mergeCell ref="QZQ66:QZX66"/>
    <mergeCell ref="QZY66:RAF66"/>
    <mergeCell ref="RAG66:RAN66"/>
    <mergeCell ref="RAO66:RAV66"/>
    <mergeCell ref="RAW66:RBD66"/>
    <mergeCell ref="QYC66:QYJ66"/>
    <mergeCell ref="QYK66:QYR66"/>
    <mergeCell ref="QYS66:QYZ66"/>
    <mergeCell ref="QZA66:QZH66"/>
    <mergeCell ref="QZI66:QZP66"/>
    <mergeCell ref="QWO66:QWV66"/>
    <mergeCell ref="QWW66:QXD66"/>
    <mergeCell ref="QXE66:QXL66"/>
    <mergeCell ref="QXM66:QXT66"/>
    <mergeCell ref="QXU66:QYB66"/>
    <mergeCell ref="QVA66:QVH66"/>
    <mergeCell ref="QVI66:QVP66"/>
    <mergeCell ref="QVQ66:QVX66"/>
    <mergeCell ref="QVY66:QWF66"/>
    <mergeCell ref="QWG66:QWN66"/>
    <mergeCell ref="QTM66:QTT66"/>
    <mergeCell ref="QTU66:QUB66"/>
    <mergeCell ref="QUC66:QUJ66"/>
    <mergeCell ref="QUK66:QUR66"/>
    <mergeCell ref="QUS66:QUZ66"/>
    <mergeCell ref="QRY66:QSF66"/>
    <mergeCell ref="QSG66:QSN66"/>
    <mergeCell ref="QSO66:QSV66"/>
    <mergeCell ref="QSW66:QTD66"/>
    <mergeCell ref="QTE66:QTL66"/>
    <mergeCell ref="QQK66:QQR66"/>
    <mergeCell ref="QQS66:QQZ66"/>
    <mergeCell ref="QRA66:QRH66"/>
    <mergeCell ref="QRI66:QRP66"/>
    <mergeCell ref="QRQ66:QRX66"/>
    <mergeCell ref="QOW66:QPD66"/>
    <mergeCell ref="QPE66:QPL66"/>
    <mergeCell ref="QPM66:QPT66"/>
    <mergeCell ref="QPU66:QQB66"/>
    <mergeCell ref="QQC66:QQJ66"/>
    <mergeCell ref="QNI66:QNP66"/>
    <mergeCell ref="QNQ66:QNX66"/>
    <mergeCell ref="QNY66:QOF66"/>
    <mergeCell ref="QOG66:QON66"/>
    <mergeCell ref="QOO66:QOV66"/>
    <mergeCell ref="QLU66:QMB66"/>
    <mergeCell ref="QMC66:QMJ66"/>
    <mergeCell ref="QMK66:QMR66"/>
    <mergeCell ref="QMS66:QMZ66"/>
    <mergeCell ref="QNA66:QNH66"/>
    <mergeCell ref="QKG66:QKN66"/>
    <mergeCell ref="QKO66:QKV66"/>
    <mergeCell ref="QKW66:QLD66"/>
    <mergeCell ref="QLE66:QLL66"/>
    <mergeCell ref="QLM66:QLT66"/>
    <mergeCell ref="QIS66:QIZ66"/>
    <mergeCell ref="QJA66:QJH66"/>
    <mergeCell ref="QJI66:QJP66"/>
    <mergeCell ref="QJQ66:QJX66"/>
    <mergeCell ref="QJY66:QKF66"/>
    <mergeCell ref="QHE66:QHL66"/>
    <mergeCell ref="QHM66:QHT66"/>
    <mergeCell ref="QHU66:QIB66"/>
    <mergeCell ref="QIC66:QIJ66"/>
    <mergeCell ref="QIK66:QIR66"/>
    <mergeCell ref="QFQ66:QFX66"/>
    <mergeCell ref="QFY66:QGF66"/>
    <mergeCell ref="QGG66:QGN66"/>
    <mergeCell ref="QGO66:QGV66"/>
    <mergeCell ref="QGW66:QHD66"/>
    <mergeCell ref="QEC66:QEJ66"/>
    <mergeCell ref="QEK66:QER66"/>
    <mergeCell ref="QES66:QEZ66"/>
    <mergeCell ref="QFA66:QFH66"/>
    <mergeCell ref="QFI66:QFP66"/>
    <mergeCell ref="QCO66:QCV66"/>
    <mergeCell ref="QCW66:QDD66"/>
    <mergeCell ref="QDE66:QDL66"/>
    <mergeCell ref="QDM66:QDT66"/>
    <mergeCell ref="QDU66:QEB66"/>
    <mergeCell ref="QBA66:QBH66"/>
    <mergeCell ref="QBI66:QBP66"/>
    <mergeCell ref="QBQ66:QBX66"/>
    <mergeCell ref="QBY66:QCF66"/>
    <mergeCell ref="QCG66:QCN66"/>
    <mergeCell ref="PZM66:PZT66"/>
    <mergeCell ref="PZU66:QAB66"/>
    <mergeCell ref="QAC66:QAJ66"/>
    <mergeCell ref="QAK66:QAR66"/>
    <mergeCell ref="QAS66:QAZ66"/>
    <mergeCell ref="PXY66:PYF66"/>
    <mergeCell ref="PYG66:PYN66"/>
    <mergeCell ref="PYO66:PYV66"/>
    <mergeCell ref="PYW66:PZD66"/>
    <mergeCell ref="PZE66:PZL66"/>
    <mergeCell ref="PWK66:PWR66"/>
    <mergeCell ref="PWS66:PWZ66"/>
    <mergeCell ref="PXA66:PXH66"/>
    <mergeCell ref="PXI66:PXP66"/>
    <mergeCell ref="PXQ66:PXX66"/>
    <mergeCell ref="PUW66:PVD66"/>
    <mergeCell ref="PVE66:PVL66"/>
    <mergeCell ref="PVM66:PVT66"/>
    <mergeCell ref="PVU66:PWB66"/>
    <mergeCell ref="PWC66:PWJ66"/>
    <mergeCell ref="PTI66:PTP66"/>
    <mergeCell ref="PTQ66:PTX66"/>
    <mergeCell ref="PTY66:PUF66"/>
    <mergeCell ref="PUG66:PUN66"/>
    <mergeCell ref="PUO66:PUV66"/>
    <mergeCell ref="PRU66:PSB66"/>
    <mergeCell ref="PSC66:PSJ66"/>
    <mergeCell ref="PSK66:PSR66"/>
    <mergeCell ref="PSS66:PSZ66"/>
    <mergeCell ref="PTA66:PTH66"/>
    <mergeCell ref="PQG66:PQN66"/>
    <mergeCell ref="PQO66:PQV66"/>
    <mergeCell ref="PQW66:PRD66"/>
    <mergeCell ref="PRE66:PRL66"/>
    <mergeCell ref="PRM66:PRT66"/>
    <mergeCell ref="POS66:POZ66"/>
    <mergeCell ref="PPA66:PPH66"/>
    <mergeCell ref="PPI66:PPP66"/>
    <mergeCell ref="PPQ66:PPX66"/>
    <mergeCell ref="PPY66:PQF66"/>
    <mergeCell ref="PNE66:PNL66"/>
    <mergeCell ref="PNM66:PNT66"/>
    <mergeCell ref="PNU66:POB66"/>
    <mergeCell ref="POC66:POJ66"/>
    <mergeCell ref="POK66:POR66"/>
    <mergeCell ref="PLQ66:PLX66"/>
    <mergeCell ref="PLY66:PMF66"/>
    <mergeCell ref="PMG66:PMN66"/>
    <mergeCell ref="PMO66:PMV66"/>
    <mergeCell ref="PMW66:PND66"/>
    <mergeCell ref="PKC66:PKJ66"/>
    <mergeCell ref="PKK66:PKR66"/>
    <mergeCell ref="PKS66:PKZ66"/>
    <mergeCell ref="PLA66:PLH66"/>
    <mergeCell ref="PLI66:PLP66"/>
    <mergeCell ref="PIO66:PIV66"/>
    <mergeCell ref="PIW66:PJD66"/>
    <mergeCell ref="PJE66:PJL66"/>
    <mergeCell ref="PJM66:PJT66"/>
    <mergeCell ref="PJU66:PKB66"/>
    <mergeCell ref="PHA66:PHH66"/>
    <mergeCell ref="PHI66:PHP66"/>
    <mergeCell ref="PHQ66:PHX66"/>
    <mergeCell ref="PHY66:PIF66"/>
    <mergeCell ref="PIG66:PIN66"/>
    <mergeCell ref="PFM66:PFT66"/>
    <mergeCell ref="PFU66:PGB66"/>
    <mergeCell ref="PGC66:PGJ66"/>
    <mergeCell ref="PGK66:PGR66"/>
    <mergeCell ref="PGS66:PGZ66"/>
    <mergeCell ref="PDY66:PEF66"/>
    <mergeCell ref="PEG66:PEN66"/>
    <mergeCell ref="PEO66:PEV66"/>
    <mergeCell ref="PEW66:PFD66"/>
    <mergeCell ref="PFE66:PFL66"/>
    <mergeCell ref="PCK66:PCR66"/>
    <mergeCell ref="PCS66:PCZ66"/>
    <mergeCell ref="PDA66:PDH66"/>
    <mergeCell ref="PDI66:PDP66"/>
    <mergeCell ref="PDQ66:PDX66"/>
    <mergeCell ref="PAW66:PBD66"/>
    <mergeCell ref="PBE66:PBL66"/>
    <mergeCell ref="PBM66:PBT66"/>
    <mergeCell ref="PBU66:PCB66"/>
    <mergeCell ref="PCC66:PCJ66"/>
    <mergeCell ref="OZI66:OZP66"/>
    <mergeCell ref="OZQ66:OZX66"/>
    <mergeCell ref="OZY66:PAF66"/>
    <mergeCell ref="PAG66:PAN66"/>
    <mergeCell ref="PAO66:PAV66"/>
    <mergeCell ref="OXU66:OYB66"/>
    <mergeCell ref="OYC66:OYJ66"/>
    <mergeCell ref="OYK66:OYR66"/>
    <mergeCell ref="OYS66:OYZ66"/>
    <mergeCell ref="OZA66:OZH66"/>
    <mergeCell ref="OWG66:OWN66"/>
    <mergeCell ref="OWO66:OWV66"/>
    <mergeCell ref="OWW66:OXD66"/>
    <mergeCell ref="OXE66:OXL66"/>
    <mergeCell ref="OXM66:OXT66"/>
    <mergeCell ref="OUS66:OUZ66"/>
    <mergeCell ref="OVA66:OVH66"/>
    <mergeCell ref="OVI66:OVP66"/>
    <mergeCell ref="OVQ66:OVX66"/>
    <mergeCell ref="OVY66:OWF66"/>
    <mergeCell ref="OTE66:OTL66"/>
    <mergeCell ref="OTM66:OTT66"/>
    <mergeCell ref="OTU66:OUB66"/>
    <mergeCell ref="OUC66:OUJ66"/>
    <mergeCell ref="OUK66:OUR66"/>
    <mergeCell ref="ORQ66:ORX66"/>
    <mergeCell ref="ORY66:OSF66"/>
    <mergeCell ref="OSG66:OSN66"/>
    <mergeCell ref="OSO66:OSV66"/>
    <mergeCell ref="OSW66:OTD66"/>
    <mergeCell ref="OQC66:OQJ66"/>
    <mergeCell ref="OQK66:OQR66"/>
    <mergeCell ref="OQS66:OQZ66"/>
    <mergeCell ref="ORA66:ORH66"/>
    <mergeCell ref="ORI66:ORP66"/>
    <mergeCell ref="OOO66:OOV66"/>
    <mergeCell ref="OOW66:OPD66"/>
    <mergeCell ref="OPE66:OPL66"/>
    <mergeCell ref="OPM66:OPT66"/>
    <mergeCell ref="OPU66:OQB66"/>
    <mergeCell ref="ONA66:ONH66"/>
    <mergeCell ref="ONI66:ONP66"/>
    <mergeCell ref="ONQ66:ONX66"/>
    <mergeCell ref="ONY66:OOF66"/>
    <mergeCell ref="OOG66:OON66"/>
    <mergeCell ref="OLM66:OLT66"/>
    <mergeCell ref="OLU66:OMB66"/>
    <mergeCell ref="OMC66:OMJ66"/>
    <mergeCell ref="OMK66:OMR66"/>
    <mergeCell ref="OMS66:OMZ66"/>
    <mergeCell ref="OJY66:OKF66"/>
    <mergeCell ref="OKG66:OKN66"/>
    <mergeCell ref="OKO66:OKV66"/>
    <mergeCell ref="OKW66:OLD66"/>
    <mergeCell ref="OLE66:OLL66"/>
    <mergeCell ref="OIK66:OIR66"/>
    <mergeCell ref="OIS66:OIZ66"/>
    <mergeCell ref="OJA66:OJH66"/>
    <mergeCell ref="OJI66:OJP66"/>
    <mergeCell ref="OJQ66:OJX66"/>
    <mergeCell ref="OGW66:OHD66"/>
    <mergeCell ref="OHE66:OHL66"/>
    <mergeCell ref="OHM66:OHT66"/>
    <mergeCell ref="OHU66:OIB66"/>
    <mergeCell ref="OIC66:OIJ66"/>
    <mergeCell ref="OFI66:OFP66"/>
    <mergeCell ref="OFQ66:OFX66"/>
    <mergeCell ref="OFY66:OGF66"/>
    <mergeCell ref="OGG66:OGN66"/>
    <mergeCell ref="OGO66:OGV66"/>
    <mergeCell ref="ODU66:OEB66"/>
    <mergeCell ref="OEC66:OEJ66"/>
    <mergeCell ref="OEK66:OER66"/>
    <mergeCell ref="OES66:OEZ66"/>
    <mergeCell ref="OFA66:OFH66"/>
    <mergeCell ref="OCG66:OCN66"/>
    <mergeCell ref="OCO66:OCV66"/>
    <mergeCell ref="OCW66:ODD66"/>
    <mergeCell ref="ODE66:ODL66"/>
    <mergeCell ref="ODM66:ODT66"/>
    <mergeCell ref="OAS66:OAZ66"/>
    <mergeCell ref="OBA66:OBH66"/>
    <mergeCell ref="OBI66:OBP66"/>
    <mergeCell ref="OBQ66:OBX66"/>
    <mergeCell ref="OBY66:OCF66"/>
    <mergeCell ref="NZE66:NZL66"/>
    <mergeCell ref="NZM66:NZT66"/>
    <mergeCell ref="NZU66:OAB66"/>
    <mergeCell ref="OAC66:OAJ66"/>
    <mergeCell ref="OAK66:OAR66"/>
    <mergeCell ref="NXQ66:NXX66"/>
    <mergeCell ref="NXY66:NYF66"/>
    <mergeCell ref="NYG66:NYN66"/>
    <mergeCell ref="NYO66:NYV66"/>
    <mergeCell ref="NYW66:NZD66"/>
    <mergeCell ref="NWC66:NWJ66"/>
    <mergeCell ref="NWK66:NWR66"/>
    <mergeCell ref="NWS66:NWZ66"/>
    <mergeCell ref="NXA66:NXH66"/>
    <mergeCell ref="NXI66:NXP66"/>
    <mergeCell ref="NUO66:NUV66"/>
    <mergeCell ref="NUW66:NVD66"/>
    <mergeCell ref="NVE66:NVL66"/>
    <mergeCell ref="NVM66:NVT66"/>
    <mergeCell ref="NVU66:NWB66"/>
    <mergeCell ref="NTA66:NTH66"/>
    <mergeCell ref="NTI66:NTP66"/>
    <mergeCell ref="NTQ66:NTX66"/>
    <mergeCell ref="NTY66:NUF66"/>
    <mergeCell ref="NUG66:NUN66"/>
    <mergeCell ref="NRM66:NRT66"/>
    <mergeCell ref="NRU66:NSB66"/>
    <mergeCell ref="NSC66:NSJ66"/>
    <mergeCell ref="NSK66:NSR66"/>
    <mergeCell ref="NSS66:NSZ66"/>
    <mergeCell ref="NPY66:NQF66"/>
    <mergeCell ref="NQG66:NQN66"/>
    <mergeCell ref="NQO66:NQV66"/>
    <mergeCell ref="NQW66:NRD66"/>
    <mergeCell ref="NRE66:NRL66"/>
    <mergeCell ref="NOK66:NOR66"/>
    <mergeCell ref="NOS66:NOZ66"/>
    <mergeCell ref="NPA66:NPH66"/>
    <mergeCell ref="NPI66:NPP66"/>
    <mergeCell ref="NPQ66:NPX66"/>
    <mergeCell ref="NMW66:NND66"/>
    <mergeCell ref="NNE66:NNL66"/>
    <mergeCell ref="NNM66:NNT66"/>
    <mergeCell ref="NNU66:NOB66"/>
    <mergeCell ref="NOC66:NOJ66"/>
    <mergeCell ref="NLI66:NLP66"/>
    <mergeCell ref="NLQ66:NLX66"/>
    <mergeCell ref="NLY66:NMF66"/>
    <mergeCell ref="NMG66:NMN66"/>
    <mergeCell ref="NMO66:NMV66"/>
    <mergeCell ref="NJU66:NKB66"/>
    <mergeCell ref="NKC66:NKJ66"/>
    <mergeCell ref="NKK66:NKR66"/>
    <mergeCell ref="NKS66:NKZ66"/>
    <mergeCell ref="NLA66:NLH66"/>
    <mergeCell ref="NIG66:NIN66"/>
    <mergeCell ref="NIO66:NIV66"/>
    <mergeCell ref="NIW66:NJD66"/>
    <mergeCell ref="NJE66:NJL66"/>
    <mergeCell ref="NJM66:NJT66"/>
    <mergeCell ref="NGS66:NGZ66"/>
    <mergeCell ref="NHA66:NHH66"/>
    <mergeCell ref="NHI66:NHP66"/>
    <mergeCell ref="NHQ66:NHX66"/>
    <mergeCell ref="NHY66:NIF66"/>
    <mergeCell ref="NFE66:NFL66"/>
    <mergeCell ref="NFM66:NFT66"/>
    <mergeCell ref="NFU66:NGB66"/>
    <mergeCell ref="NGC66:NGJ66"/>
    <mergeCell ref="NGK66:NGR66"/>
    <mergeCell ref="NDQ66:NDX66"/>
    <mergeCell ref="NDY66:NEF66"/>
    <mergeCell ref="NEG66:NEN66"/>
    <mergeCell ref="NEO66:NEV66"/>
    <mergeCell ref="NEW66:NFD66"/>
    <mergeCell ref="NCC66:NCJ66"/>
    <mergeCell ref="NCK66:NCR66"/>
    <mergeCell ref="NCS66:NCZ66"/>
    <mergeCell ref="NDA66:NDH66"/>
    <mergeCell ref="NDI66:NDP66"/>
    <mergeCell ref="NAO66:NAV66"/>
    <mergeCell ref="NAW66:NBD66"/>
    <mergeCell ref="NBE66:NBL66"/>
    <mergeCell ref="NBM66:NBT66"/>
    <mergeCell ref="NBU66:NCB66"/>
    <mergeCell ref="MZA66:MZH66"/>
    <mergeCell ref="MZI66:MZP66"/>
    <mergeCell ref="MZQ66:MZX66"/>
    <mergeCell ref="MZY66:NAF66"/>
    <mergeCell ref="NAG66:NAN66"/>
    <mergeCell ref="MXM66:MXT66"/>
    <mergeCell ref="MXU66:MYB66"/>
    <mergeCell ref="MYC66:MYJ66"/>
    <mergeCell ref="MYK66:MYR66"/>
    <mergeCell ref="MYS66:MYZ66"/>
    <mergeCell ref="MVY66:MWF66"/>
    <mergeCell ref="MWG66:MWN66"/>
    <mergeCell ref="MWO66:MWV66"/>
    <mergeCell ref="MWW66:MXD66"/>
    <mergeCell ref="MXE66:MXL66"/>
    <mergeCell ref="MUK66:MUR66"/>
    <mergeCell ref="MUS66:MUZ66"/>
    <mergeCell ref="MVA66:MVH66"/>
    <mergeCell ref="MVI66:MVP66"/>
    <mergeCell ref="MVQ66:MVX66"/>
    <mergeCell ref="MSW66:MTD66"/>
    <mergeCell ref="MTE66:MTL66"/>
    <mergeCell ref="MTM66:MTT66"/>
    <mergeCell ref="MTU66:MUB66"/>
    <mergeCell ref="MUC66:MUJ66"/>
    <mergeCell ref="MRI66:MRP66"/>
    <mergeCell ref="MRQ66:MRX66"/>
    <mergeCell ref="MRY66:MSF66"/>
    <mergeCell ref="MSG66:MSN66"/>
    <mergeCell ref="MSO66:MSV66"/>
    <mergeCell ref="MPU66:MQB66"/>
    <mergeCell ref="MQC66:MQJ66"/>
    <mergeCell ref="MQK66:MQR66"/>
    <mergeCell ref="MQS66:MQZ66"/>
    <mergeCell ref="MRA66:MRH66"/>
    <mergeCell ref="MOG66:MON66"/>
    <mergeCell ref="MOO66:MOV66"/>
    <mergeCell ref="MOW66:MPD66"/>
    <mergeCell ref="MPE66:MPL66"/>
    <mergeCell ref="MPM66:MPT66"/>
    <mergeCell ref="MMS66:MMZ66"/>
    <mergeCell ref="MNA66:MNH66"/>
    <mergeCell ref="MNI66:MNP66"/>
    <mergeCell ref="MNQ66:MNX66"/>
    <mergeCell ref="MNY66:MOF66"/>
    <mergeCell ref="MLE66:MLL66"/>
    <mergeCell ref="MLM66:MLT66"/>
    <mergeCell ref="MLU66:MMB66"/>
    <mergeCell ref="MMC66:MMJ66"/>
    <mergeCell ref="MMK66:MMR66"/>
    <mergeCell ref="MJQ66:MJX66"/>
    <mergeCell ref="MJY66:MKF66"/>
    <mergeCell ref="MKG66:MKN66"/>
    <mergeCell ref="MKO66:MKV66"/>
    <mergeCell ref="MKW66:MLD66"/>
    <mergeCell ref="MIC66:MIJ66"/>
    <mergeCell ref="MIK66:MIR66"/>
    <mergeCell ref="MIS66:MIZ66"/>
    <mergeCell ref="MJA66:MJH66"/>
    <mergeCell ref="MJI66:MJP66"/>
    <mergeCell ref="MGO66:MGV66"/>
    <mergeCell ref="MGW66:MHD66"/>
    <mergeCell ref="MHE66:MHL66"/>
    <mergeCell ref="MHM66:MHT66"/>
    <mergeCell ref="MHU66:MIB66"/>
    <mergeCell ref="MFA66:MFH66"/>
    <mergeCell ref="MFI66:MFP66"/>
    <mergeCell ref="MFQ66:MFX66"/>
    <mergeCell ref="MFY66:MGF66"/>
    <mergeCell ref="MGG66:MGN66"/>
    <mergeCell ref="MDM66:MDT66"/>
    <mergeCell ref="MDU66:MEB66"/>
    <mergeCell ref="MEC66:MEJ66"/>
    <mergeCell ref="MEK66:MER66"/>
    <mergeCell ref="MES66:MEZ66"/>
    <mergeCell ref="MBY66:MCF66"/>
    <mergeCell ref="MCG66:MCN66"/>
    <mergeCell ref="MCO66:MCV66"/>
    <mergeCell ref="MCW66:MDD66"/>
    <mergeCell ref="MDE66:MDL66"/>
    <mergeCell ref="MAK66:MAR66"/>
    <mergeCell ref="MAS66:MAZ66"/>
    <mergeCell ref="MBA66:MBH66"/>
    <mergeCell ref="MBI66:MBP66"/>
    <mergeCell ref="MBQ66:MBX66"/>
    <mergeCell ref="LYW66:LZD66"/>
    <mergeCell ref="LZE66:LZL66"/>
    <mergeCell ref="LZM66:LZT66"/>
    <mergeCell ref="LZU66:MAB66"/>
    <mergeCell ref="MAC66:MAJ66"/>
    <mergeCell ref="LXI66:LXP66"/>
    <mergeCell ref="LXQ66:LXX66"/>
    <mergeCell ref="LXY66:LYF66"/>
    <mergeCell ref="LYG66:LYN66"/>
    <mergeCell ref="LYO66:LYV66"/>
    <mergeCell ref="LVU66:LWB66"/>
    <mergeCell ref="LWC66:LWJ66"/>
    <mergeCell ref="LWK66:LWR66"/>
    <mergeCell ref="LWS66:LWZ66"/>
    <mergeCell ref="LXA66:LXH66"/>
    <mergeCell ref="LUG66:LUN66"/>
    <mergeCell ref="LUO66:LUV66"/>
    <mergeCell ref="LUW66:LVD66"/>
    <mergeCell ref="LVE66:LVL66"/>
    <mergeCell ref="LVM66:LVT66"/>
    <mergeCell ref="LSS66:LSZ66"/>
    <mergeCell ref="LTA66:LTH66"/>
    <mergeCell ref="LTI66:LTP66"/>
    <mergeCell ref="LTQ66:LTX66"/>
    <mergeCell ref="LTY66:LUF66"/>
    <mergeCell ref="LRE66:LRL66"/>
    <mergeCell ref="LRM66:LRT66"/>
    <mergeCell ref="LRU66:LSB66"/>
    <mergeCell ref="LSC66:LSJ66"/>
    <mergeCell ref="LSK66:LSR66"/>
    <mergeCell ref="LPQ66:LPX66"/>
    <mergeCell ref="LPY66:LQF66"/>
    <mergeCell ref="LQG66:LQN66"/>
    <mergeCell ref="LQO66:LQV66"/>
    <mergeCell ref="LQW66:LRD66"/>
    <mergeCell ref="LOC66:LOJ66"/>
    <mergeCell ref="LOK66:LOR66"/>
    <mergeCell ref="LOS66:LOZ66"/>
    <mergeCell ref="LPA66:LPH66"/>
    <mergeCell ref="LPI66:LPP66"/>
    <mergeCell ref="LMO66:LMV66"/>
    <mergeCell ref="LMW66:LND66"/>
    <mergeCell ref="LNE66:LNL66"/>
    <mergeCell ref="LNM66:LNT66"/>
    <mergeCell ref="LNU66:LOB66"/>
    <mergeCell ref="LLA66:LLH66"/>
    <mergeCell ref="LLI66:LLP66"/>
    <mergeCell ref="LLQ66:LLX66"/>
    <mergeCell ref="LLY66:LMF66"/>
    <mergeCell ref="LMG66:LMN66"/>
    <mergeCell ref="LJM66:LJT66"/>
    <mergeCell ref="LJU66:LKB66"/>
    <mergeCell ref="LKC66:LKJ66"/>
    <mergeCell ref="LKK66:LKR66"/>
    <mergeCell ref="LKS66:LKZ66"/>
    <mergeCell ref="LHY66:LIF66"/>
    <mergeCell ref="LIG66:LIN66"/>
    <mergeCell ref="LIO66:LIV66"/>
    <mergeCell ref="LIW66:LJD66"/>
    <mergeCell ref="LJE66:LJL66"/>
    <mergeCell ref="LGK66:LGR66"/>
    <mergeCell ref="LGS66:LGZ66"/>
    <mergeCell ref="LHA66:LHH66"/>
    <mergeCell ref="LHI66:LHP66"/>
    <mergeCell ref="LHQ66:LHX66"/>
    <mergeCell ref="LEW66:LFD66"/>
    <mergeCell ref="LFE66:LFL66"/>
    <mergeCell ref="LFM66:LFT66"/>
    <mergeCell ref="LFU66:LGB66"/>
    <mergeCell ref="LGC66:LGJ66"/>
    <mergeCell ref="LDI66:LDP66"/>
    <mergeCell ref="LDQ66:LDX66"/>
    <mergeCell ref="LDY66:LEF66"/>
    <mergeCell ref="LEG66:LEN66"/>
    <mergeCell ref="LEO66:LEV66"/>
    <mergeCell ref="LBU66:LCB66"/>
    <mergeCell ref="LCC66:LCJ66"/>
    <mergeCell ref="LCK66:LCR66"/>
    <mergeCell ref="LCS66:LCZ66"/>
    <mergeCell ref="LDA66:LDH66"/>
    <mergeCell ref="LAG66:LAN66"/>
    <mergeCell ref="LAO66:LAV66"/>
    <mergeCell ref="LAW66:LBD66"/>
    <mergeCell ref="LBE66:LBL66"/>
    <mergeCell ref="LBM66:LBT66"/>
    <mergeCell ref="KYS66:KYZ66"/>
    <mergeCell ref="KZA66:KZH66"/>
    <mergeCell ref="KZI66:KZP66"/>
    <mergeCell ref="KZQ66:KZX66"/>
    <mergeCell ref="KZY66:LAF66"/>
    <mergeCell ref="KXE66:KXL66"/>
    <mergeCell ref="KXM66:KXT66"/>
    <mergeCell ref="KXU66:KYB66"/>
    <mergeCell ref="KYC66:KYJ66"/>
    <mergeCell ref="KYK66:KYR66"/>
    <mergeCell ref="KVQ66:KVX66"/>
    <mergeCell ref="KVY66:KWF66"/>
    <mergeCell ref="KWG66:KWN66"/>
    <mergeCell ref="KWO66:KWV66"/>
    <mergeCell ref="KWW66:KXD66"/>
    <mergeCell ref="KUC66:KUJ66"/>
    <mergeCell ref="KUK66:KUR66"/>
    <mergeCell ref="KUS66:KUZ66"/>
    <mergeCell ref="KVA66:KVH66"/>
    <mergeCell ref="KVI66:KVP66"/>
    <mergeCell ref="KSO66:KSV66"/>
    <mergeCell ref="KSW66:KTD66"/>
    <mergeCell ref="KTE66:KTL66"/>
    <mergeCell ref="KTM66:KTT66"/>
    <mergeCell ref="KTU66:KUB66"/>
    <mergeCell ref="KRA66:KRH66"/>
    <mergeCell ref="KRI66:KRP66"/>
    <mergeCell ref="KRQ66:KRX66"/>
    <mergeCell ref="KRY66:KSF66"/>
    <mergeCell ref="KSG66:KSN66"/>
    <mergeCell ref="KPM66:KPT66"/>
    <mergeCell ref="KPU66:KQB66"/>
    <mergeCell ref="KQC66:KQJ66"/>
    <mergeCell ref="KQK66:KQR66"/>
    <mergeCell ref="KQS66:KQZ66"/>
    <mergeCell ref="KNY66:KOF66"/>
    <mergeCell ref="KOG66:KON66"/>
    <mergeCell ref="KOO66:KOV66"/>
    <mergeCell ref="KOW66:KPD66"/>
    <mergeCell ref="KPE66:KPL66"/>
    <mergeCell ref="KMK66:KMR66"/>
    <mergeCell ref="KMS66:KMZ66"/>
    <mergeCell ref="KNA66:KNH66"/>
    <mergeCell ref="KNI66:KNP66"/>
    <mergeCell ref="KNQ66:KNX66"/>
    <mergeCell ref="KKW66:KLD66"/>
    <mergeCell ref="KLE66:KLL66"/>
    <mergeCell ref="KLM66:KLT66"/>
    <mergeCell ref="KLU66:KMB66"/>
    <mergeCell ref="KMC66:KMJ66"/>
    <mergeCell ref="KJI66:KJP66"/>
    <mergeCell ref="KJQ66:KJX66"/>
    <mergeCell ref="KJY66:KKF66"/>
    <mergeCell ref="KKG66:KKN66"/>
    <mergeCell ref="KKO66:KKV66"/>
    <mergeCell ref="KHU66:KIB66"/>
    <mergeCell ref="KIC66:KIJ66"/>
    <mergeCell ref="KIK66:KIR66"/>
    <mergeCell ref="KIS66:KIZ66"/>
    <mergeCell ref="KJA66:KJH66"/>
    <mergeCell ref="KGG66:KGN66"/>
    <mergeCell ref="KGO66:KGV66"/>
    <mergeCell ref="KGW66:KHD66"/>
    <mergeCell ref="KHE66:KHL66"/>
    <mergeCell ref="KHM66:KHT66"/>
    <mergeCell ref="KES66:KEZ66"/>
    <mergeCell ref="KFA66:KFH66"/>
    <mergeCell ref="KFI66:KFP66"/>
    <mergeCell ref="KFQ66:KFX66"/>
    <mergeCell ref="KFY66:KGF66"/>
    <mergeCell ref="KDE66:KDL66"/>
    <mergeCell ref="KDM66:KDT66"/>
    <mergeCell ref="KDU66:KEB66"/>
    <mergeCell ref="KEC66:KEJ66"/>
    <mergeCell ref="KEK66:KER66"/>
    <mergeCell ref="KBQ66:KBX66"/>
    <mergeCell ref="KBY66:KCF66"/>
    <mergeCell ref="KCG66:KCN66"/>
    <mergeCell ref="KCO66:KCV66"/>
    <mergeCell ref="KCW66:KDD66"/>
    <mergeCell ref="KAC66:KAJ66"/>
    <mergeCell ref="KAK66:KAR66"/>
    <mergeCell ref="KAS66:KAZ66"/>
    <mergeCell ref="KBA66:KBH66"/>
    <mergeCell ref="KBI66:KBP66"/>
    <mergeCell ref="JYO66:JYV66"/>
    <mergeCell ref="JYW66:JZD66"/>
    <mergeCell ref="JZE66:JZL66"/>
    <mergeCell ref="JZM66:JZT66"/>
    <mergeCell ref="JZU66:KAB66"/>
    <mergeCell ref="JXA66:JXH66"/>
    <mergeCell ref="JXI66:JXP66"/>
    <mergeCell ref="JXQ66:JXX66"/>
    <mergeCell ref="JXY66:JYF66"/>
    <mergeCell ref="JYG66:JYN66"/>
    <mergeCell ref="JVM66:JVT66"/>
    <mergeCell ref="JVU66:JWB66"/>
    <mergeCell ref="JWC66:JWJ66"/>
    <mergeCell ref="JWK66:JWR66"/>
    <mergeCell ref="JWS66:JWZ66"/>
    <mergeCell ref="JTY66:JUF66"/>
    <mergeCell ref="JUG66:JUN66"/>
    <mergeCell ref="JUO66:JUV66"/>
    <mergeCell ref="JUW66:JVD66"/>
    <mergeCell ref="JVE66:JVL66"/>
    <mergeCell ref="JSK66:JSR66"/>
    <mergeCell ref="JSS66:JSZ66"/>
    <mergeCell ref="JTA66:JTH66"/>
    <mergeCell ref="JTI66:JTP66"/>
    <mergeCell ref="JTQ66:JTX66"/>
    <mergeCell ref="JQW66:JRD66"/>
    <mergeCell ref="JRE66:JRL66"/>
    <mergeCell ref="JRM66:JRT66"/>
    <mergeCell ref="JRU66:JSB66"/>
    <mergeCell ref="JSC66:JSJ66"/>
    <mergeCell ref="JPI66:JPP66"/>
    <mergeCell ref="JPQ66:JPX66"/>
    <mergeCell ref="JPY66:JQF66"/>
    <mergeCell ref="JQG66:JQN66"/>
    <mergeCell ref="JQO66:JQV66"/>
    <mergeCell ref="JNU66:JOB66"/>
    <mergeCell ref="JOC66:JOJ66"/>
    <mergeCell ref="JOK66:JOR66"/>
    <mergeCell ref="JOS66:JOZ66"/>
    <mergeCell ref="JPA66:JPH66"/>
    <mergeCell ref="JMG66:JMN66"/>
    <mergeCell ref="JMO66:JMV66"/>
    <mergeCell ref="JMW66:JND66"/>
    <mergeCell ref="JNE66:JNL66"/>
    <mergeCell ref="JNM66:JNT66"/>
    <mergeCell ref="JKS66:JKZ66"/>
    <mergeCell ref="JLA66:JLH66"/>
    <mergeCell ref="JLI66:JLP66"/>
    <mergeCell ref="JLQ66:JLX66"/>
    <mergeCell ref="JLY66:JMF66"/>
    <mergeCell ref="JJE66:JJL66"/>
    <mergeCell ref="JJM66:JJT66"/>
    <mergeCell ref="JJU66:JKB66"/>
    <mergeCell ref="JKC66:JKJ66"/>
    <mergeCell ref="JKK66:JKR66"/>
    <mergeCell ref="JHQ66:JHX66"/>
    <mergeCell ref="JHY66:JIF66"/>
    <mergeCell ref="JIG66:JIN66"/>
    <mergeCell ref="JIO66:JIV66"/>
    <mergeCell ref="JIW66:JJD66"/>
    <mergeCell ref="JGC66:JGJ66"/>
    <mergeCell ref="JGK66:JGR66"/>
    <mergeCell ref="JGS66:JGZ66"/>
    <mergeCell ref="JHA66:JHH66"/>
    <mergeCell ref="JHI66:JHP66"/>
    <mergeCell ref="JEO66:JEV66"/>
    <mergeCell ref="JEW66:JFD66"/>
    <mergeCell ref="JFE66:JFL66"/>
    <mergeCell ref="JFM66:JFT66"/>
    <mergeCell ref="JFU66:JGB66"/>
    <mergeCell ref="JDA66:JDH66"/>
    <mergeCell ref="JDI66:JDP66"/>
    <mergeCell ref="JDQ66:JDX66"/>
    <mergeCell ref="JDY66:JEF66"/>
    <mergeCell ref="JEG66:JEN66"/>
    <mergeCell ref="JBM66:JBT66"/>
    <mergeCell ref="JBU66:JCB66"/>
    <mergeCell ref="JCC66:JCJ66"/>
    <mergeCell ref="JCK66:JCR66"/>
    <mergeCell ref="JCS66:JCZ66"/>
    <mergeCell ref="IZY66:JAF66"/>
    <mergeCell ref="JAG66:JAN66"/>
    <mergeCell ref="JAO66:JAV66"/>
    <mergeCell ref="JAW66:JBD66"/>
    <mergeCell ref="JBE66:JBL66"/>
    <mergeCell ref="IYK66:IYR66"/>
    <mergeCell ref="IYS66:IYZ66"/>
    <mergeCell ref="IZA66:IZH66"/>
    <mergeCell ref="IZI66:IZP66"/>
    <mergeCell ref="IZQ66:IZX66"/>
    <mergeCell ref="IWW66:IXD66"/>
    <mergeCell ref="IXE66:IXL66"/>
    <mergeCell ref="IXM66:IXT66"/>
    <mergeCell ref="IXU66:IYB66"/>
    <mergeCell ref="IYC66:IYJ66"/>
    <mergeCell ref="IVI66:IVP66"/>
    <mergeCell ref="IVQ66:IVX66"/>
    <mergeCell ref="IVY66:IWF66"/>
    <mergeCell ref="IWG66:IWN66"/>
    <mergeCell ref="IWO66:IWV66"/>
    <mergeCell ref="ITU66:IUB66"/>
    <mergeCell ref="IUC66:IUJ66"/>
    <mergeCell ref="IUK66:IUR66"/>
    <mergeCell ref="IUS66:IUZ66"/>
    <mergeCell ref="IVA66:IVH66"/>
    <mergeCell ref="ISG66:ISN66"/>
    <mergeCell ref="ISO66:ISV66"/>
    <mergeCell ref="ISW66:ITD66"/>
    <mergeCell ref="ITE66:ITL66"/>
    <mergeCell ref="ITM66:ITT66"/>
    <mergeCell ref="IQS66:IQZ66"/>
    <mergeCell ref="IRA66:IRH66"/>
    <mergeCell ref="IRI66:IRP66"/>
    <mergeCell ref="IRQ66:IRX66"/>
    <mergeCell ref="IRY66:ISF66"/>
    <mergeCell ref="IPE66:IPL66"/>
    <mergeCell ref="IPM66:IPT66"/>
    <mergeCell ref="IPU66:IQB66"/>
    <mergeCell ref="IQC66:IQJ66"/>
    <mergeCell ref="IQK66:IQR66"/>
    <mergeCell ref="INQ66:INX66"/>
    <mergeCell ref="INY66:IOF66"/>
    <mergeCell ref="IOG66:ION66"/>
    <mergeCell ref="IOO66:IOV66"/>
    <mergeCell ref="IOW66:IPD66"/>
    <mergeCell ref="IMC66:IMJ66"/>
    <mergeCell ref="IMK66:IMR66"/>
    <mergeCell ref="IMS66:IMZ66"/>
    <mergeCell ref="INA66:INH66"/>
    <mergeCell ref="INI66:INP66"/>
    <mergeCell ref="IKO66:IKV66"/>
    <mergeCell ref="IKW66:ILD66"/>
    <mergeCell ref="ILE66:ILL66"/>
    <mergeCell ref="ILM66:ILT66"/>
    <mergeCell ref="ILU66:IMB66"/>
    <mergeCell ref="IJA66:IJH66"/>
    <mergeCell ref="IJI66:IJP66"/>
    <mergeCell ref="IJQ66:IJX66"/>
    <mergeCell ref="IJY66:IKF66"/>
    <mergeCell ref="IKG66:IKN66"/>
    <mergeCell ref="IHM66:IHT66"/>
    <mergeCell ref="IHU66:IIB66"/>
    <mergeCell ref="IIC66:IIJ66"/>
    <mergeCell ref="IIK66:IIR66"/>
    <mergeCell ref="IIS66:IIZ66"/>
    <mergeCell ref="IFY66:IGF66"/>
    <mergeCell ref="IGG66:IGN66"/>
    <mergeCell ref="IGO66:IGV66"/>
    <mergeCell ref="IGW66:IHD66"/>
    <mergeCell ref="IHE66:IHL66"/>
    <mergeCell ref="IEK66:IER66"/>
    <mergeCell ref="IES66:IEZ66"/>
    <mergeCell ref="IFA66:IFH66"/>
    <mergeCell ref="IFI66:IFP66"/>
    <mergeCell ref="IFQ66:IFX66"/>
    <mergeCell ref="ICW66:IDD66"/>
    <mergeCell ref="IDE66:IDL66"/>
    <mergeCell ref="IDM66:IDT66"/>
    <mergeCell ref="IDU66:IEB66"/>
    <mergeCell ref="IEC66:IEJ66"/>
    <mergeCell ref="IBI66:IBP66"/>
    <mergeCell ref="IBQ66:IBX66"/>
    <mergeCell ref="IBY66:ICF66"/>
    <mergeCell ref="ICG66:ICN66"/>
    <mergeCell ref="ICO66:ICV66"/>
    <mergeCell ref="HZU66:IAB66"/>
    <mergeCell ref="IAC66:IAJ66"/>
    <mergeCell ref="IAK66:IAR66"/>
    <mergeCell ref="IAS66:IAZ66"/>
    <mergeCell ref="IBA66:IBH66"/>
    <mergeCell ref="HYG66:HYN66"/>
    <mergeCell ref="HYO66:HYV66"/>
    <mergeCell ref="HYW66:HZD66"/>
    <mergeCell ref="HZE66:HZL66"/>
    <mergeCell ref="HZM66:HZT66"/>
    <mergeCell ref="HWS66:HWZ66"/>
    <mergeCell ref="HXA66:HXH66"/>
    <mergeCell ref="HXI66:HXP66"/>
    <mergeCell ref="HXQ66:HXX66"/>
    <mergeCell ref="HXY66:HYF66"/>
    <mergeCell ref="HVE66:HVL66"/>
    <mergeCell ref="HVM66:HVT66"/>
    <mergeCell ref="HVU66:HWB66"/>
    <mergeCell ref="HWC66:HWJ66"/>
    <mergeCell ref="HWK66:HWR66"/>
    <mergeCell ref="HTQ66:HTX66"/>
    <mergeCell ref="HTY66:HUF66"/>
    <mergeCell ref="HUG66:HUN66"/>
    <mergeCell ref="HUO66:HUV66"/>
    <mergeCell ref="HUW66:HVD66"/>
    <mergeCell ref="HSC66:HSJ66"/>
    <mergeCell ref="HSK66:HSR66"/>
    <mergeCell ref="HSS66:HSZ66"/>
    <mergeCell ref="HTA66:HTH66"/>
    <mergeCell ref="HTI66:HTP66"/>
    <mergeCell ref="HQO66:HQV66"/>
    <mergeCell ref="HQW66:HRD66"/>
    <mergeCell ref="HRE66:HRL66"/>
    <mergeCell ref="HRM66:HRT66"/>
    <mergeCell ref="HRU66:HSB66"/>
    <mergeCell ref="HPA66:HPH66"/>
    <mergeCell ref="HPI66:HPP66"/>
    <mergeCell ref="HPQ66:HPX66"/>
    <mergeCell ref="HPY66:HQF66"/>
    <mergeCell ref="HQG66:HQN66"/>
    <mergeCell ref="HNM66:HNT66"/>
    <mergeCell ref="HNU66:HOB66"/>
    <mergeCell ref="HOC66:HOJ66"/>
    <mergeCell ref="HOK66:HOR66"/>
    <mergeCell ref="HOS66:HOZ66"/>
    <mergeCell ref="HLY66:HMF66"/>
    <mergeCell ref="HMG66:HMN66"/>
    <mergeCell ref="HMO66:HMV66"/>
    <mergeCell ref="HMW66:HND66"/>
    <mergeCell ref="HNE66:HNL66"/>
    <mergeCell ref="HKK66:HKR66"/>
    <mergeCell ref="HKS66:HKZ66"/>
    <mergeCell ref="HLA66:HLH66"/>
    <mergeCell ref="HLI66:HLP66"/>
    <mergeCell ref="HLQ66:HLX66"/>
    <mergeCell ref="HIW66:HJD66"/>
    <mergeCell ref="HJE66:HJL66"/>
    <mergeCell ref="HJM66:HJT66"/>
    <mergeCell ref="HJU66:HKB66"/>
    <mergeCell ref="HKC66:HKJ66"/>
    <mergeCell ref="HHI66:HHP66"/>
    <mergeCell ref="HHQ66:HHX66"/>
    <mergeCell ref="HHY66:HIF66"/>
    <mergeCell ref="HIG66:HIN66"/>
    <mergeCell ref="HIO66:HIV66"/>
    <mergeCell ref="HFU66:HGB66"/>
    <mergeCell ref="HGC66:HGJ66"/>
    <mergeCell ref="HGK66:HGR66"/>
    <mergeCell ref="HGS66:HGZ66"/>
    <mergeCell ref="HHA66:HHH66"/>
    <mergeCell ref="HEG66:HEN66"/>
    <mergeCell ref="HEO66:HEV66"/>
    <mergeCell ref="HEW66:HFD66"/>
    <mergeCell ref="HFE66:HFL66"/>
    <mergeCell ref="HFM66:HFT66"/>
    <mergeCell ref="HCS66:HCZ66"/>
    <mergeCell ref="HDA66:HDH66"/>
    <mergeCell ref="HDI66:HDP66"/>
    <mergeCell ref="HDQ66:HDX66"/>
    <mergeCell ref="HDY66:HEF66"/>
    <mergeCell ref="HBE66:HBL66"/>
    <mergeCell ref="HBM66:HBT66"/>
    <mergeCell ref="HBU66:HCB66"/>
    <mergeCell ref="HCC66:HCJ66"/>
    <mergeCell ref="HCK66:HCR66"/>
    <mergeCell ref="GZQ66:GZX66"/>
    <mergeCell ref="GZY66:HAF66"/>
    <mergeCell ref="HAG66:HAN66"/>
    <mergeCell ref="HAO66:HAV66"/>
    <mergeCell ref="HAW66:HBD66"/>
    <mergeCell ref="GYC66:GYJ66"/>
    <mergeCell ref="GYK66:GYR66"/>
    <mergeCell ref="GYS66:GYZ66"/>
    <mergeCell ref="GZA66:GZH66"/>
    <mergeCell ref="GZI66:GZP66"/>
    <mergeCell ref="GWO66:GWV66"/>
    <mergeCell ref="GWW66:GXD66"/>
    <mergeCell ref="GXE66:GXL66"/>
    <mergeCell ref="GXM66:GXT66"/>
    <mergeCell ref="GXU66:GYB66"/>
    <mergeCell ref="GVA66:GVH66"/>
    <mergeCell ref="GVI66:GVP66"/>
    <mergeCell ref="GVQ66:GVX66"/>
    <mergeCell ref="GVY66:GWF66"/>
    <mergeCell ref="GWG66:GWN66"/>
    <mergeCell ref="GTM66:GTT66"/>
    <mergeCell ref="GTU66:GUB66"/>
    <mergeCell ref="GUC66:GUJ66"/>
    <mergeCell ref="GUK66:GUR66"/>
    <mergeCell ref="GUS66:GUZ66"/>
    <mergeCell ref="GRY66:GSF66"/>
    <mergeCell ref="GSG66:GSN66"/>
    <mergeCell ref="GSO66:GSV66"/>
    <mergeCell ref="GSW66:GTD66"/>
    <mergeCell ref="GTE66:GTL66"/>
    <mergeCell ref="GQK66:GQR66"/>
    <mergeCell ref="GQS66:GQZ66"/>
    <mergeCell ref="GRA66:GRH66"/>
    <mergeCell ref="GRI66:GRP66"/>
    <mergeCell ref="GRQ66:GRX66"/>
    <mergeCell ref="GOW66:GPD66"/>
    <mergeCell ref="GPE66:GPL66"/>
    <mergeCell ref="GPM66:GPT66"/>
    <mergeCell ref="GPU66:GQB66"/>
    <mergeCell ref="GQC66:GQJ66"/>
    <mergeCell ref="GNI66:GNP66"/>
    <mergeCell ref="GNQ66:GNX66"/>
    <mergeCell ref="GNY66:GOF66"/>
    <mergeCell ref="GOG66:GON66"/>
    <mergeCell ref="GOO66:GOV66"/>
    <mergeCell ref="GLU66:GMB66"/>
    <mergeCell ref="GMC66:GMJ66"/>
    <mergeCell ref="GMK66:GMR66"/>
    <mergeCell ref="GMS66:GMZ66"/>
    <mergeCell ref="GNA66:GNH66"/>
    <mergeCell ref="GKG66:GKN66"/>
    <mergeCell ref="GKO66:GKV66"/>
    <mergeCell ref="GKW66:GLD66"/>
    <mergeCell ref="GLE66:GLL66"/>
    <mergeCell ref="GLM66:GLT66"/>
    <mergeCell ref="GIS66:GIZ66"/>
    <mergeCell ref="GJA66:GJH66"/>
    <mergeCell ref="GJI66:GJP66"/>
    <mergeCell ref="GJQ66:GJX66"/>
    <mergeCell ref="GJY66:GKF66"/>
    <mergeCell ref="GHE66:GHL66"/>
    <mergeCell ref="GHM66:GHT66"/>
    <mergeCell ref="GHU66:GIB66"/>
    <mergeCell ref="GIC66:GIJ66"/>
    <mergeCell ref="GIK66:GIR66"/>
    <mergeCell ref="GFQ66:GFX66"/>
    <mergeCell ref="GFY66:GGF66"/>
    <mergeCell ref="GGG66:GGN66"/>
    <mergeCell ref="GGO66:GGV66"/>
    <mergeCell ref="GGW66:GHD66"/>
    <mergeCell ref="GEC66:GEJ66"/>
    <mergeCell ref="GEK66:GER66"/>
    <mergeCell ref="GES66:GEZ66"/>
    <mergeCell ref="GFA66:GFH66"/>
    <mergeCell ref="GFI66:GFP66"/>
    <mergeCell ref="GCO66:GCV66"/>
    <mergeCell ref="GCW66:GDD66"/>
    <mergeCell ref="GDE66:GDL66"/>
    <mergeCell ref="GDM66:GDT66"/>
    <mergeCell ref="GDU66:GEB66"/>
    <mergeCell ref="GBA66:GBH66"/>
    <mergeCell ref="GBI66:GBP66"/>
    <mergeCell ref="GBQ66:GBX66"/>
    <mergeCell ref="GBY66:GCF66"/>
    <mergeCell ref="GCG66:GCN66"/>
    <mergeCell ref="FZM66:FZT66"/>
    <mergeCell ref="FZU66:GAB66"/>
    <mergeCell ref="GAC66:GAJ66"/>
    <mergeCell ref="GAK66:GAR66"/>
    <mergeCell ref="GAS66:GAZ66"/>
    <mergeCell ref="FXY66:FYF66"/>
    <mergeCell ref="FYG66:FYN66"/>
    <mergeCell ref="FYO66:FYV66"/>
    <mergeCell ref="FYW66:FZD66"/>
    <mergeCell ref="FZE66:FZL66"/>
    <mergeCell ref="FWK66:FWR66"/>
    <mergeCell ref="FWS66:FWZ66"/>
    <mergeCell ref="FXA66:FXH66"/>
    <mergeCell ref="FXI66:FXP66"/>
    <mergeCell ref="FXQ66:FXX66"/>
    <mergeCell ref="FUW66:FVD66"/>
    <mergeCell ref="FVE66:FVL66"/>
    <mergeCell ref="FVM66:FVT66"/>
    <mergeCell ref="FVU66:FWB66"/>
    <mergeCell ref="FWC66:FWJ66"/>
    <mergeCell ref="FTI66:FTP66"/>
    <mergeCell ref="FTQ66:FTX66"/>
    <mergeCell ref="FTY66:FUF66"/>
    <mergeCell ref="FUG66:FUN66"/>
    <mergeCell ref="FUO66:FUV66"/>
    <mergeCell ref="FRU66:FSB66"/>
    <mergeCell ref="FSC66:FSJ66"/>
    <mergeCell ref="FSK66:FSR66"/>
    <mergeCell ref="FSS66:FSZ66"/>
    <mergeCell ref="FTA66:FTH66"/>
    <mergeCell ref="FQG66:FQN66"/>
    <mergeCell ref="FQO66:FQV66"/>
    <mergeCell ref="FQW66:FRD66"/>
    <mergeCell ref="FRE66:FRL66"/>
    <mergeCell ref="FRM66:FRT66"/>
    <mergeCell ref="FOS66:FOZ66"/>
    <mergeCell ref="FPA66:FPH66"/>
    <mergeCell ref="FPI66:FPP66"/>
    <mergeCell ref="FPQ66:FPX66"/>
    <mergeCell ref="FPY66:FQF66"/>
    <mergeCell ref="FNE66:FNL66"/>
    <mergeCell ref="FNM66:FNT66"/>
    <mergeCell ref="FNU66:FOB66"/>
    <mergeCell ref="FOC66:FOJ66"/>
    <mergeCell ref="FOK66:FOR66"/>
    <mergeCell ref="FLQ66:FLX66"/>
    <mergeCell ref="FLY66:FMF66"/>
    <mergeCell ref="FMG66:FMN66"/>
    <mergeCell ref="FMO66:FMV66"/>
    <mergeCell ref="FMW66:FND66"/>
    <mergeCell ref="FKC66:FKJ66"/>
    <mergeCell ref="FKK66:FKR66"/>
    <mergeCell ref="FKS66:FKZ66"/>
    <mergeCell ref="FLA66:FLH66"/>
    <mergeCell ref="FLI66:FLP66"/>
    <mergeCell ref="FIO66:FIV66"/>
    <mergeCell ref="FIW66:FJD66"/>
    <mergeCell ref="FJE66:FJL66"/>
    <mergeCell ref="FJM66:FJT66"/>
    <mergeCell ref="FJU66:FKB66"/>
    <mergeCell ref="FHA66:FHH66"/>
    <mergeCell ref="FHI66:FHP66"/>
    <mergeCell ref="FHQ66:FHX66"/>
    <mergeCell ref="FHY66:FIF66"/>
    <mergeCell ref="FIG66:FIN66"/>
    <mergeCell ref="FFM66:FFT66"/>
    <mergeCell ref="FFU66:FGB66"/>
    <mergeCell ref="FGC66:FGJ66"/>
    <mergeCell ref="FGK66:FGR66"/>
    <mergeCell ref="FGS66:FGZ66"/>
    <mergeCell ref="FDY66:FEF66"/>
    <mergeCell ref="FEG66:FEN66"/>
    <mergeCell ref="FEO66:FEV66"/>
    <mergeCell ref="FEW66:FFD66"/>
    <mergeCell ref="FFE66:FFL66"/>
    <mergeCell ref="FCK66:FCR66"/>
    <mergeCell ref="FCS66:FCZ66"/>
    <mergeCell ref="FDA66:FDH66"/>
    <mergeCell ref="FDI66:FDP66"/>
    <mergeCell ref="FDQ66:FDX66"/>
    <mergeCell ref="FAW66:FBD66"/>
    <mergeCell ref="FBE66:FBL66"/>
    <mergeCell ref="FBM66:FBT66"/>
    <mergeCell ref="FBU66:FCB66"/>
    <mergeCell ref="FCC66:FCJ66"/>
    <mergeCell ref="EZI66:EZP66"/>
    <mergeCell ref="EZQ66:EZX66"/>
    <mergeCell ref="EZY66:FAF66"/>
    <mergeCell ref="FAG66:FAN66"/>
    <mergeCell ref="FAO66:FAV66"/>
    <mergeCell ref="EXU66:EYB66"/>
    <mergeCell ref="EYC66:EYJ66"/>
    <mergeCell ref="EYK66:EYR66"/>
    <mergeCell ref="EYS66:EYZ66"/>
    <mergeCell ref="EZA66:EZH66"/>
    <mergeCell ref="EWG66:EWN66"/>
    <mergeCell ref="EWO66:EWV66"/>
    <mergeCell ref="EWW66:EXD66"/>
    <mergeCell ref="EXE66:EXL66"/>
    <mergeCell ref="EXM66:EXT66"/>
    <mergeCell ref="EUS66:EUZ66"/>
    <mergeCell ref="EVA66:EVH66"/>
    <mergeCell ref="EVI66:EVP66"/>
    <mergeCell ref="EVQ66:EVX66"/>
    <mergeCell ref="EVY66:EWF66"/>
    <mergeCell ref="ETE66:ETL66"/>
    <mergeCell ref="ETM66:ETT66"/>
    <mergeCell ref="ETU66:EUB66"/>
    <mergeCell ref="EUC66:EUJ66"/>
    <mergeCell ref="EUK66:EUR66"/>
    <mergeCell ref="ERQ66:ERX66"/>
    <mergeCell ref="ERY66:ESF66"/>
    <mergeCell ref="ESG66:ESN66"/>
    <mergeCell ref="ESO66:ESV66"/>
    <mergeCell ref="ESW66:ETD66"/>
    <mergeCell ref="EQC66:EQJ66"/>
    <mergeCell ref="EQK66:EQR66"/>
    <mergeCell ref="EQS66:EQZ66"/>
    <mergeCell ref="ERA66:ERH66"/>
    <mergeCell ref="ERI66:ERP66"/>
    <mergeCell ref="EOO66:EOV66"/>
    <mergeCell ref="EOW66:EPD66"/>
    <mergeCell ref="EPE66:EPL66"/>
    <mergeCell ref="EPM66:EPT66"/>
    <mergeCell ref="EPU66:EQB66"/>
    <mergeCell ref="ENA66:ENH66"/>
    <mergeCell ref="ENI66:ENP66"/>
    <mergeCell ref="ENQ66:ENX66"/>
    <mergeCell ref="ENY66:EOF66"/>
    <mergeCell ref="EOG66:EON66"/>
    <mergeCell ref="ELM66:ELT66"/>
    <mergeCell ref="ELU66:EMB66"/>
    <mergeCell ref="EMC66:EMJ66"/>
    <mergeCell ref="EMK66:EMR66"/>
    <mergeCell ref="EMS66:EMZ66"/>
    <mergeCell ref="EJY66:EKF66"/>
    <mergeCell ref="EKG66:EKN66"/>
    <mergeCell ref="EKO66:EKV66"/>
    <mergeCell ref="EKW66:ELD66"/>
    <mergeCell ref="ELE66:ELL66"/>
    <mergeCell ref="EIK66:EIR66"/>
    <mergeCell ref="EIS66:EIZ66"/>
    <mergeCell ref="EJA66:EJH66"/>
    <mergeCell ref="EJI66:EJP66"/>
    <mergeCell ref="EJQ66:EJX66"/>
    <mergeCell ref="EGW66:EHD66"/>
    <mergeCell ref="EHE66:EHL66"/>
    <mergeCell ref="EHM66:EHT66"/>
    <mergeCell ref="EHU66:EIB66"/>
    <mergeCell ref="EIC66:EIJ66"/>
    <mergeCell ref="EFI66:EFP66"/>
    <mergeCell ref="EFQ66:EFX66"/>
    <mergeCell ref="EFY66:EGF66"/>
    <mergeCell ref="EGG66:EGN66"/>
    <mergeCell ref="EGO66:EGV66"/>
    <mergeCell ref="EDU66:EEB66"/>
    <mergeCell ref="EEC66:EEJ66"/>
    <mergeCell ref="EEK66:EER66"/>
    <mergeCell ref="EES66:EEZ66"/>
    <mergeCell ref="EFA66:EFH66"/>
    <mergeCell ref="ECG66:ECN66"/>
    <mergeCell ref="ECO66:ECV66"/>
    <mergeCell ref="ECW66:EDD66"/>
    <mergeCell ref="EDE66:EDL66"/>
    <mergeCell ref="EDM66:EDT66"/>
    <mergeCell ref="EAS66:EAZ66"/>
    <mergeCell ref="EBA66:EBH66"/>
    <mergeCell ref="EBI66:EBP66"/>
    <mergeCell ref="EBQ66:EBX66"/>
    <mergeCell ref="EBY66:ECF66"/>
    <mergeCell ref="DZE66:DZL66"/>
    <mergeCell ref="DZM66:DZT66"/>
    <mergeCell ref="DZU66:EAB66"/>
    <mergeCell ref="EAC66:EAJ66"/>
    <mergeCell ref="EAK66:EAR66"/>
    <mergeCell ref="DXQ66:DXX66"/>
    <mergeCell ref="DXY66:DYF66"/>
    <mergeCell ref="DYG66:DYN66"/>
    <mergeCell ref="DYO66:DYV66"/>
    <mergeCell ref="DYW66:DZD66"/>
    <mergeCell ref="DWC66:DWJ66"/>
    <mergeCell ref="DWK66:DWR66"/>
    <mergeCell ref="DWS66:DWZ66"/>
    <mergeCell ref="DXA66:DXH66"/>
    <mergeCell ref="DXI66:DXP66"/>
    <mergeCell ref="DUO66:DUV66"/>
    <mergeCell ref="DUW66:DVD66"/>
    <mergeCell ref="DVE66:DVL66"/>
    <mergeCell ref="DVM66:DVT66"/>
    <mergeCell ref="DVU66:DWB66"/>
    <mergeCell ref="DTA66:DTH66"/>
    <mergeCell ref="DTI66:DTP66"/>
    <mergeCell ref="DTQ66:DTX66"/>
    <mergeCell ref="DTY66:DUF66"/>
    <mergeCell ref="DUG66:DUN66"/>
    <mergeCell ref="DRM66:DRT66"/>
    <mergeCell ref="DRU66:DSB66"/>
    <mergeCell ref="DSC66:DSJ66"/>
    <mergeCell ref="DSK66:DSR66"/>
    <mergeCell ref="DSS66:DSZ66"/>
    <mergeCell ref="DPY66:DQF66"/>
    <mergeCell ref="DQG66:DQN66"/>
    <mergeCell ref="DQO66:DQV66"/>
    <mergeCell ref="DQW66:DRD66"/>
    <mergeCell ref="DRE66:DRL66"/>
    <mergeCell ref="DOK66:DOR66"/>
    <mergeCell ref="DOS66:DOZ66"/>
    <mergeCell ref="DPA66:DPH66"/>
    <mergeCell ref="DPI66:DPP66"/>
    <mergeCell ref="DPQ66:DPX66"/>
    <mergeCell ref="DMW66:DND66"/>
    <mergeCell ref="DNE66:DNL66"/>
    <mergeCell ref="DNM66:DNT66"/>
    <mergeCell ref="DNU66:DOB66"/>
    <mergeCell ref="DOC66:DOJ66"/>
    <mergeCell ref="DLI66:DLP66"/>
    <mergeCell ref="DLQ66:DLX66"/>
    <mergeCell ref="DLY66:DMF66"/>
    <mergeCell ref="DMG66:DMN66"/>
    <mergeCell ref="DMO66:DMV66"/>
    <mergeCell ref="DJU66:DKB66"/>
    <mergeCell ref="DKC66:DKJ66"/>
    <mergeCell ref="DKK66:DKR66"/>
    <mergeCell ref="DKS66:DKZ66"/>
    <mergeCell ref="DLA66:DLH66"/>
    <mergeCell ref="DIG66:DIN66"/>
    <mergeCell ref="DIO66:DIV66"/>
    <mergeCell ref="DIW66:DJD66"/>
    <mergeCell ref="DJE66:DJL66"/>
    <mergeCell ref="DJM66:DJT66"/>
    <mergeCell ref="DGS66:DGZ66"/>
    <mergeCell ref="DHA66:DHH66"/>
    <mergeCell ref="DHI66:DHP66"/>
    <mergeCell ref="DHQ66:DHX66"/>
    <mergeCell ref="DHY66:DIF66"/>
    <mergeCell ref="DFE66:DFL66"/>
    <mergeCell ref="DFM66:DFT66"/>
    <mergeCell ref="DFU66:DGB66"/>
    <mergeCell ref="DGC66:DGJ66"/>
    <mergeCell ref="DGK66:DGR66"/>
    <mergeCell ref="DDQ66:DDX66"/>
    <mergeCell ref="DDY66:DEF66"/>
    <mergeCell ref="DEG66:DEN66"/>
    <mergeCell ref="DEO66:DEV66"/>
    <mergeCell ref="DEW66:DFD66"/>
    <mergeCell ref="DCC66:DCJ66"/>
    <mergeCell ref="DCK66:DCR66"/>
    <mergeCell ref="DCS66:DCZ66"/>
    <mergeCell ref="DDA66:DDH66"/>
    <mergeCell ref="DDI66:DDP66"/>
    <mergeCell ref="DAO66:DAV66"/>
    <mergeCell ref="DAW66:DBD66"/>
    <mergeCell ref="DBE66:DBL66"/>
    <mergeCell ref="DBM66:DBT66"/>
    <mergeCell ref="DBU66:DCB66"/>
    <mergeCell ref="CZA66:CZH66"/>
    <mergeCell ref="CZI66:CZP66"/>
    <mergeCell ref="CZQ66:CZX66"/>
    <mergeCell ref="CZY66:DAF66"/>
    <mergeCell ref="DAG66:DAN66"/>
    <mergeCell ref="CXM66:CXT66"/>
    <mergeCell ref="CXU66:CYB66"/>
    <mergeCell ref="CYC66:CYJ66"/>
    <mergeCell ref="CYK66:CYR66"/>
    <mergeCell ref="CYS66:CYZ66"/>
    <mergeCell ref="CVY66:CWF66"/>
    <mergeCell ref="CWG66:CWN66"/>
    <mergeCell ref="CWO66:CWV66"/>
    <mergeCell ref="CWW66:CXD66"/>
    <mergeCell ref="CXE66:CXL66"/>
    <mergeCell ref="CUK66:CUR66"/>
    <mergeCell ref="CUS66:CUZ66"/>
    <mergeCell ref="CVA66:CVH66"/>
    <mergeCell ref="CVI66:CVP66"/>
    <mergeCell ref="CVQ66:CVX66"/>
    <mergeCell ref="CSW66:CTD66"/>
    <mergeCell ref="CTE66:CTL66"/>
    <mergeCell ref="CTM66:CTT66"/>
    <mergeCell ref="CTU66:CUB66"/>
    <mergeCell ref="CUC66:CUJ66"/>
    <mergeCell ref="CRI66:CRP66"/>
    <mergeCell ref="CRQ66:CRX66"/>
    <mergeCell ref="CRY66:CSF66"/>
    <mergeCell ref="CSG66:CSN66"/>
    <mergeCell ref="CSO66:CSV66"/>
    <mergeCell ref="CPU66:CQB66"/>
    <mergeCell ref="CQC66:CQJ66"/>
    <mergeCell ref="CQK66:CQR66"/>
    <mergeCell ref="CQS66:CQZ66"/>
    <mergeCell ref="CRA66:CRH66"/>
    <mergeCell ref="COG66:CON66"/>
    <mergeCell ref="COO66:COV66"/>
    <mergeCell ref="COW66:CPD66"/>
    <mergeCell ref="CPE66:CPL66"/>
    <mergeCell ref="CPM66:CPT66"/>
    <mergeCell ref="CMS66:CMZ66"/>
    <mergeCell ref="CNA66:CNH66"/>
    <mergeCell ref="CNI66:CNP66"/>
    <mergeCell ref="CNQ66:CNX66"/>
    <mergeCell ref="CNY66:COF66"/>
    <mergeCell ref="CLE66:CLL66"/>
    <mergeCell ref="CLM66:CLT66"/>
    <mergeCell ref="CLU66:CMB66"/>
    <mergeCell ref="CMC66:CMJ66"/>
    <mergeCell ref="CMK66:CMR66"/>
    <mergeCell ref="CJQ66:CJX66"/>
    <mergeCell ref="CJY66:CKF66"/>
    <mergeCell ref="CKG66:CKN66"/>
    <mergeCell ref="CKO66:CKV66"/>
    <mergeCell ref="CKW66:CLD66"/>
    <mergeCell ref="CIC66:CIJ66"/>
    <mergeCell ref="CIK66:CIR66"/>
    <mergeCell ref="CIS66:CIZ66"/>
    <mergeCell ref="CJA66:CJH66"/>
    <mergeCell ref="CJI66:CJP66"/>
    <mergeCell ref="CGO66:CGV66"/>
    <mergeCell ref="CGW66:CHD66"/>
    <mergeCell ref="CHE66:CHL66"/>
    <mergeCell ref="CHM66:CHT66"/>
    <mergeCell ref="CHU66:CIB66"/>
    <mergeCell ref="CFA66:CFH66"/>
    <mergeCell ref="CFI66:CFP66"/>
    <mergeCell ref="CFQ66:CFX66"/>
    <mergeCell ref="CFY66:CGF66"/>
    <mergeCell ref="CGG66:CGN66"/>
    <mergeCell ref="CDM66:CDT66"/>
    <mergeCell ref="CDU66:CEB66"/>
    <mergeCell ref="CEC66:CEJ66"/>
    <mergeCell ref="CEK66:CER66"/>
    <mergeCell ref="CES66:CEZ66"/>
    <mergeCell ref="CBY66:CCF66"/>
    <mergeCell ref="CCG66:CCN66"/>
    <mergeCell ref="CCO66:CCV66"/>
    <mergeCell ref="CCW66:CDD66"/>
    <mergeCell ref="CDE66:CDL66"/>
    <mergeCell ref="CAK66:CAR66"/>
    <mergeCell ref="CAS66:CAZ66"/>
    <mergeCell ref="CBA66:CBH66"/>
    <mergeCell ref="CBI66:CBP66"/>
    <mergeCell ref="CBQ66:CBX66"/>
    <mergeCell ref="BYW66:BZD66"/>
    <mergeCell ref="BZE66:BZL66"/>
    <mergeCell ref="BZM66:BZT66"/>
    <mergeCell ref="BZU66:CAB66"/>
    <mergeCell ref="CAC66:CAJ66"/>
    <mergeCell ref="BXI66:BXP66"/>
    <mergeCell ref="BXQ66:BXX66"/>
    <mergeCell ref="BXY66:BYF66"/>
    <mergeCell ref="BYG66:BYN66"/>
    <mergeCell ref="BYO66:BYV66"/>
    <mergeCell ref="BVU66:BWB66"/>
    <mergeCell ref="BWC66:BWJ66"/>
    <mergeCell ref="BWK66:BWR66"/>
    <mergeCell ref="BWS66:BWZ66"/>
    <mergeCell ref="BXA66:BXH66"/>
    <mergeCell ref="BUG66:BUN66"/>
    <mergeCell ref="BUO66:BUV66"/>
    <mergeCell ref="BUW66:BVD66"/>
    <mergeCell ref="BVE66:BVL66"/>
    <mergeCell ref="BVM66:BVT66"/>
    <mergeCell ref="BSS66:BSZ66"/>
    <mergeCell ref="BTA66:BTH66"/>
    <mergeCell ref="BTI66:BTP66"/>
    <mergeCell ref="BTQ66:BTX66"/>
    <mergeCell ref="BTY66:BUF66"/>
    <mergeCell ref="BRE66:BRL66"/>
    <mergeCell ref="BRM66:BRT66"/>
    <mergeCell ref="BRU66:BSB66"/>
    <mergeCell ref="BSC66:BSJ66"/>
    <mergeCell ref="BSK66:BSR66"/>
    <mergeCell ref="BPQ66:BPX66"/>
    <mergeCell ref="BPY66:BQF66"/>
    <mergeCell ref="BQG66:BQN66"/>
    <mergeCell ref="BQO66:BQV66"/>
    <mergeCell ref="BQW66:BRD66"/>
    <mergeCell ref="BOC66:BOJ66"/>
    <mergeCell ref="BOK66:BOR66"/>
    <mergeCell ref="BOS66:BOZ66"/>
    <mergeCell ref="BPA66:BPH66"/>
    <mergeCell ref="BPI66:BPP66"/>
    <mergeCell ref="BMO66:BMV66"/>
    <mergeCell ref="BMW66:BND66"/>
    <mergeCell ref="BNE66:BNL66"/>
    <mergeCell ref="BNM66:BNT66"/>
    <mergeCell ref="BNU66:BOB66"/>
    <mergeCell ref="BLA66:BLH66"/>
    <mergeCell ref="BLI66:BLP66"/>
    <mergeCell ref="BLQ66:BLX66"/>
    <mergeCell ref="BLY66:BMF66"/>
    <mergeCell ref="BMG66:BMN66"/>
    <mergeCell ref="BJM66:BJT66"/>
    <mergeCell ref="BJU66:BKB66"/>
    <mergeCell ref="BKC66:BKJ66"/>
    <mergeCell ref="BKK66:BKR66"/>
    <mergeCell ref="BKS66:BKZ66"/>
    <mergeCell ref="BHY66:BIF66"/>
    <mergeCell ref="BIG66:BIN66"/>
    <mergeCell ref="BIO66:BIV66"/>
    <mergeCell ref="BIW66:BJD66"/>
    <mergeCell ref="BJE66:BJL66"/>
    <mergeCell ref="BGK66:BGR66"/>
    <mergeCell ref="BGS66:BGZ66"/>
    <mergeCell ref="BHA66:BHH66"/>
    <mergeCell ref="BHI66:BHP66"/>
    <mergeCell ref="BHQ66:BHX66"/>
    <mergeCell ref="BEW66:BFD66"/>
    <mergeCell ref="BFE66:BFL66"/>
    <mergeCell ref="BFM66:BFT66"/>
    <mergeCell ref="BFU66:BGB66"/>
    <mergeCell ref="BGC66:BGJ66"/>
    <mergeCell ref="BDI66:BDP66"/>
    <mergeCell ref="BDQ66:BDX66"/>
    <mergeCell ref="BDY66:BEF66"/>
    <mergeCell ref="BEG66:BEN66"/>
    <mergeCell ref="BEO66:BEV66"/>
    <mergeCell ref="BBU66:BCB66"/>
    <mergeCell ref="BCC66:BCJ66"/>
    <mergeCell ref="BCK66:BCR66"/>
    <mergeCell ref="BCS66:BCZ66"/>
    <mergeCell ref="BDA66:BDH66"/>
    <mergeCell ref="BAG66:BAN66"/>
    <mergeCell ref="BAO66:BAV66"/>
    <mergeCell ref="BAW66:BBD66"/>
    <mergeCell ref="BBE66:BBL66"/>
    <mergeCell ref="BBM66:BBT66"/>
    <mergeCell ref="AYS66:AYZ66"/>
    <mergeCell ref="AZA66:AZH66"/>
    <mergeCell ref="AZI66:AZP66"/>
    <mergeCell ref="AZQ66:AZX66"/>
    <mergeCell ref="AZY66:BAF66"/>
    <mergeCell ref="AXE66:AXL66"/>
    <mergeCell ref="AXM66:AXT66"/>
    <mergeCell ref="AXU66:AYB66"/>
    <mergeCell ref="AYC66:AYJ66"/>
    <mergeCell ref="AYK66:AYR66"/>
    <mergeCell ref="AVQ66:AVX66"/>
    <mergeCell ref="AVY66:AWF66"/>
    <mergeCell ref="AWG66:AWN66"/>
    <mergeCell ref="AWO66:AWV66"/>
    <mergeCell ref="AWW66:AXD66"/>
    <mergeCell ref="AUC66:AUJ66"/>
    <mergeCell ref="AUK66:AUR66"/>
    <mergeCell ref="AUS66:AUZ66"/>
    <mergeCell ref="AVA66:AVH66"/>
    <mergeCell ref="AVI66:AVP66"/>
    <mergeCell ref="ASO66:ASV66"/>
    <mergeCell ref="ASW66:ATD66"/>
    <mergeCell ref="ATE66:ATL66"/>
    <mergeCell ref="ATM66:ATT66"/>
    <mergeCell ref="ATU66:AUB66"/>
    <mergeCell ref="ARA66:ARH66"/>
    <mergeCell ref="ARI66:ARP66"/>
    <mergeCell ref="ARQ66:ARX66"/>
    <mergeCell ref="ARY66:ASF66"/>
    <mergeCell ref="ASG66:ASN66"/>
    <mergeCell ref="APM66:APT66"/>
    <mergeCell ref="APU66:AQB66"/>
    <mergeCell ref="AQC66:AQJ66"/>
    <mergeCell ref="AQK66:AQR66"/>
    <mergeCell ref="AQS66:AQZ66"/>
    <mergeCell ref="ANY66:AOF66"/>
    <mergeCell ref="AOG66:AON66"/>
    <mergeCell ref="AOO66:AOV66"/>
    <mergeCell ref="AOW66:APD66"/>
    <mergeCell ref="APE66:APL66"/>
    <mergeCell ref="AMK66:AMR66"/>
    <mergeCell ref="AMS66:AMZ66"/>
    <mergeCell ref="ANA66:ANH66"/>
    <mergeCell ref="ANI66:ANP66"/>
    <mergeCell ref="ANQ66:ANX66"/>
    <mergeCell ref="AKW66:ALD66"/>
    <mergeCell ref="ALE66:ALL66"/>
    <mergeCell ref="ALM66:ALT66"/>
    <mergeCell ref="ALU66:AMB66"/>
    <mergeCell ref="AMC66:AMJ66"/>
    <mergeCell ref="AJI66:AJP66"/>
    <mergeCell ref="AJQ66:AJX66"/>
    <mergeCell ref="AJY66:AKF66"/>
    <mergeCell ref="AKG66:AKN66"/>
    <mergeCell ref="AKO66:AKV66"/>
    <mergeCell ref="AHU66:AIB66"/>
    <mergeCell ref="AIC66:AIJ66"/>
    <mergeCell ref="AIK66:AIR66"/>
    <mergeCell ref="AIS66:AIZ66"/>
    <mergeCell ref="AJA66:AJH66"/>
    <mergeCell ref="AGG66:AGN66"/>
    <mergeCell ref="AGO66:AGV66"/>
    <mergeCell ref="AGW66:AHD66"/>
    <mergeCell ref="AHE66:AHL66"/>
    <mergeCell ref="AHM66:AHT66"/>
    <mergeCell ref="AES66:AEZ66"/>
    <mergeCell ref="AFA66:AFH66"/>
    <mergeCell ref="AFI66:AFP66"/>
    <mergeCell ref="AFQ66:AFX66"/>
    <mergeCell ref="AFY66:AGF66"/>
    <mergeCell ref="ADE66:ADL66"/>
    <mergeCell ref="ADM66:ADT66"/>
    <mergeCell ref="ADU66:AEB66"/>
    <mergeCell ref="AEC66:AEJ66"/>
    <mergeCell ref="AEK66:AER66"/>
    <mergeCell ref="ABQ66:ABX66"/>
    <mergeCell ref="ABY66:ACF66"/>
    <mergeCell ref="ACG66:ACN66"/>
    <mergeCell ref="ACO66:ACV66"/>
    <mergeCell ref="ACW66:ADD66"/>
    <mergeCell ref="AAC66:AAJ66"/>
    <mergeCell ref="AAK66:AAR66"/>
    <mergeCell ref="AAS66:AAZ66"/>
    <mergeCell ref="ABA66:ABH66"/>
    <mergeCell ref="ABI66:ABP66"/>
    <mergeCell ref="YO66:YV66"/>
    <mergeCell ref="YW66:ZD66"/>
    <mergeCell ref="ZE66:ZL66"/>
    <mergeCell ref="ZM66:ZT66"/>
    <mergeCell ref="ZU66:AAB66"/>
    <mergeCell ref="XA66:XH66"/>
    <mergeCell ref="XI66:XP66"/>
    <mergeCell ref="XQ66:XX66"/>
    <mergeCell ref="XY66:YF66"/>
    <mergeCell ref="YG66:YN66"/>
    <mergeCell ref="VM66:VT66"/>
    <mergeCell ref="VU66:WB66"/>
    <mergeCell ref="WC66:WJ66"/>
    <mergeCell ref="WK66:WR66"/>
    <mergeCell ref="WS66:WZ66"/>
    <mergeCell ref="TY66:UF66"/>
    <mergeCell ref="UG66:UN66"/>
    <mergeCell ref="UO66:UV66"/>
    <mergeCell ref="UW66:VD66"/>
    <mergeCell ref="VE66:VL66"/>
    <mergeCell ref="SK66:SR66"/>
    <mergeCell ref="SS66:SZ66"/>
    <mergeCell ref="TA66:TH66"/>
    <mergeCell ref="TI66:TP66"/>
    <mergeCell ref="TQ66:TX66"/>
    <mergeCell ref="QW66:RD66"/>
    <mergeCell ref="RE66:RL66"/>
    <mergeCell ref="RM66:RT66"/>
    <mergeCell ref="RU66:SB66"/>
    <mergeCell ref="SC66:SJ66"/>
    <mergeCell ref="PI66:PP66"/>
    <mergeCell ref="PQ66:PX66"/>
    <mergeCell ref="PY66:QF66"/>
    <mergeCell ref="QG66:QN66"/>
    <mergeCell ref="QO66:QV66"/>
    <mergeCell ref="NU66:OB66"/>
    <mergeCell ref="OC66:OJ66"/>
    <mergeCell ref="OK66:OR66"/>
    <mergeCell ref="OS66:OZ66"/>
    <mergeCell ref="PA66:PH66"/>
    <mergeCell ref="MG66:MN66"/>
    <mergeCell ref="MO66:MV66"/>
    <mergeCell ref="MW66:ND66"/>
    <mergeCell ref="NE66:NL66"/>
    <mergeCell ref="NM66:NT66"/>
    <mergeCell ref="KS66:KZ66"/>
    <mergeCell ref="LA66:LH66"/>
    <mergeCell ref="LI66:LP66"/>
    <mergeCell ref="LQ66:LX66"/>
    <mergeCell ref="LY66:MF66"/>
    <mergeCell ref="JE66:JL66"/>
    <mergeCell ref="JM66:JT66"/>
    <mergeCell ref="JU66:KB66"/>
    <mergeCell ref="KC66:KJ66"/>
    <mergeCell ref="KK66:KR66"/>
    <mergeCell ref="HQ66:HX66"/>
    <mergeCell ref="HY66:IF66"/>
    <mergeCell ref="IG66:IN66"/>
    <mergeCell ref="IO66:IV66"/>
    <mergeCell ref="IW66:JD66"/>
    <mergeCell ref="GC66:GJ66"/>
    <mergeCell ref="GK66:GR66"/>
    <mergeCell ref="GS66:GZ66"/>
    <mergeCell ref="HA66:HH66"/>
    <mergeCell ref="HI66:HP66"/>
    <mergeCell ref="EO66:EV66"/>
    <mergeCell ref="EW66:FD66"/>
    <mergeCell ref="FE66:FL66"/>
    <mergeCell ref="FM66:FT66"/>
    <mergeCell ref="FU66:GB66"/>
    <mergeCell ref="DA66:DH66"/>
    <mergeCell ref="DI66:DP66"/>
    <mergeCell ref="DQ66:DX66"/>
    <mergeCell ref="DY66:EF66"/>
    <mergeCell ref="EG66:EN66"/>
    <mergeCell ref="XEG65:XEN65"/>
    <mergeCell ref="XEO65:XEV65"/>
    <mergeCell ref="WZA65:WZH65"/>
    <mergeCell ref="WZI65:WZP65"/>
    <mergeCell ref="WWO65:WWV65"/>
    <mergeCell ref="WWW65:WXD65"/>
    <mergeCell ref="WXE65:WXL65"/>
    <mergeCell ref="WXM65:WXT65"/>
    <mergeCell ref="WXU65:WYB65"/>
    <mergeCell ref="WVA65:WVH65"/>
    <mergeCell ref="WVI65:WVP65"/>
    <mergeCell ref="WVQ65:WVX65"/>
    <mergeCell ref="WVY65:WWF65"/>
    <mergeCell ref="WWG65:WWN65"/>
    <mergeCell ref="WTM65:WTT65"/>
    <mergeCell ref="WTU65:WUB65"/>
    <mergeCell ref="WUC65:WUJ65"/>
    <mergeCell ref="XEW65:XFD65"/>
    <mergeCell ref="A66:H66"/>
    <mergeCell ref="I66:P66"/>
    <mergeCell ref="Q66:X66"/>
    <mergeCell ref="Y66:AF66"/>
    <mergeCell ref="AG66:AN66"/>
    <mergeCell ref="AO66:AV66"/>
    <mergeCell ref="AW66:BD66"/>
    <mergeCell ref="BE66:BL66"/>
    <mergeCell ref="BM66:BT66"/>
    <mergeCell ref="BU66:CB66"/>
    <mergeCell ref="CC66:CJ66"/>
    <mergeCell ref="CK66:CR66"/>
    <mergeCell ref="CS66:CZ66"/>
    <mergeCell ref="XCS65:XCZ65"/>
    <mergeCell ref="XDA65:XDH65"/>
    <mergeCell ref="XDI65:XDP65"/>
    <mergeCell ref="XDQ65:XDX65"/>
    <mergeCell ref="XDY65:XEF65"/>
    <mergeCell ref="XBE65:XBL65"/>
    <mergeCell ref="XBM65:XBT65"/>
    <mergeCell ref="XBU65:XCB65"/>
    <mergeCell ref="XCC65:XCJ65"/>
    <mergeCell ref="XCK65:XCR65"/>
    <mergeCell ref="WZQ65:WZX65"/>
    <mergeCell ref="WZY65:XAF65"/>
    <mergeCell ref="XAG65:XAN65"/>
    <mergeCell ref="XAO65:XAV65"/>
    <mergeCell ref="XAW65:XBD65"/>
    <mergeCell ref="WYC65:WYJ65"/>
    <mergeCell ref="WYK65:WYR65"/>
    <mergeCell ref="WYS65:WYZ65"/>
    <mergeCell ref="WUK65:WUR65"/>
    <mergeCell ref="WUS65:WUZ65"/>
    <mergeCell ref="WRY65:WSF65"/>
    <mergeCell ref="WSG65:WSN65"/>
    <mergeCell ref="WSO65:WSV65"/>
    <mergeCell ref="WSW65:WTD65"/>
    <mergeCell ref="WTE65:WTL65"/>
    <mergeCell ref="WQK65:WQR65"/>
    <mergeCell ref="WQS65:WQZ65"/>
    <mergeCell ref="WRA65:WRH65"/>
    <mergeCell ref="WRI65:WRP65"/>
    <mergeCell ref="WRQ65:WRX65"/>
    <mergeCell ref="WOW65:WPD65"/>
    <mergeCell ref="WPE65:WPL65"/>
    <mergeCell ref="WPM65:WPT65"/>
    <mergeCell ref="WPU65:WQB65"/>
    <mergeCell ref="WQC65:WQJ65"/>
    <mergeCell ref="WNI65:WNP65"/>
    <mergeCell ref="WNQ65:WNX65"/>
    <mergeCell ref="WNY65:WOF65"/>
    <mergeCell ref="WOG65:WON65"/>
    <mergeCell ref="WOO65:WOV65"/>
    <mergeCell ref="WLU65:WMB65"/>
    <mergeCell ref="WMC65:WMJ65"/>
    <mergeCell ref="WMK65:WMR65"/>
    <mergeCell ref="WMS65:WMZ65"/>
    <mergeCell ref="WNA65:WNH65"/>
    <mergeCell ref="WKG65:WKN65"/>
    <mergeCell ref="WKO65:WKV65"/>
    <mergeCell ref="WKW65:WLD65"/>
    <mergeCell ref="WLE65:WLL65"/>
    <mergeCell ref="WLM65:WLT65"/>
    <mergeCell ref="WIS65:WIZ65"/>
    <mergeCell ref="WJA65:WJH65"/>
    <mergeCell ref="WJI65:WJP65"/>
    <mergeCell ref="WJQ65:WJX65"/>
    <mergeCell ref="WJY65:WKF65"/>
    <mergeCell ref="WHE65:WHL65"/>
    <mergeCell ref="WHM65:WHT65"/>
    <mergeCell ref="WHU65:WIB65"/>
    <mergeCell ref="WIC65:WIJ65"/>
    <mergeCell ref="WIK65:WIR65"/>
    <mergeCell ref="WFQ65:WFX65"/>
    <mergeCell ref="WFY65:WGF65"/>
    <mergeCell ref="WGG65:WGN65"/>
    <mergeCell ref="WGO65:WGV65"/>
    <mergeCell ref="WGW65:WHD65"/>
    <mergeCell ref="WEC65:WEJ65"/>
    <mergeCell ref="WEK65:WER65"/>
    <mergeCell ref="WES65:WEZ65"/>
    <mergeCell ref="WFA65:WFH65"/>
    <mergeCell ref="WFI65:WFP65"/>
    <mergeCell ref="WCO65:WCV65"/>
    <mergeCell ref="WCW65:WDD65"/>
    <mergeCell ref="WDE65:WDL65"/>
    <mergeCell ref="WDM65:WDT65"/>
    <mergeCell ref="WDU65:WEB65"/>
    <mergeCell ref="WBA65:WBH65"/>
    <mergeCell ref="WBI65:WBP65"/>
    <mergeCell ref="WBQ65:WBX65"/>
    <mergeCell ref="WBY65:WCF65"/>
    <mergeCell ref="WCG65:WCN65"/>
    <mergeCell ref="VZM65:VZT65"/>
    <mergeCell ref="VZU65:WAB65"/>
    <mergeCell ref="WAC65:WAJ65"/>
    <mergeCell ref="WAK65:WAR65"/>
    <mergeCell ref="WAS65:WAZ65"/>
    <mergeCell ref="VXY65:VYF65"/>
    <mergeCell ref="VYG65:VYN65"/>
    <mergeCell ref="VYO65:VYV65"/>
    <mergeCell ref="VYW65:VZD65"/>
    <mergeCell ref="VZE65:VZL65"/>
    <mergeCell ref="VWK65:VWR65"/>
    <mergeCell ref="VWS65:VWZ65"/>
    <mergeCell ref="VXA65:VXH65"/>
    <mergeCell ref="VXI65:VXP65"/>
    <mergeCell ref="VXQ65:VXX65"/>
    <mergeCell ref="VUW65:VVD65"/>
    <mergeCell ref="VVE65:VVL65"/>
    <mergeCell ref="VVM65:VVT65"/>
    <mergeCell ref="VVU65:VWB65"/>
    <mergeCell ref="VWC65:VWJ65"/>
    <mergeCell ref="VTI65:VTP65"/>
    <mergeCell ref="VTQ65:VTX65"/>
    <mergeCell ref="VTY65:VUF65"/>
    <mergeCell ref="VUG65:VUN65"/>
    <mergeCell ref="VUO65:VUV65"/>
    <mergeCell ref="VRU65:VSB65"/>
    <mergeCell ref="VSC65:VSJ65"/>
    <mergeCell ref="VSK65:VSR65"/>
    <mergeCell ref="VSS65:VSZ65"/>
    <mergeCell ref="VTA65:VTH65"/>
    <mergeCell ref="VQG65:VQN65"/>
    <mergeCell ref="VQO65:VQV65"/>
    <mergeCell ref="VQW65:VRD65"/>
    <mergeCell ref="VRE65:VRL65"/>
    <mergeCell ref="VRM65:VRT65"/>
    <mergeCell ref="VOS65:VOZ65"/>
    <mergeCell ref="VPA65:VPH65"/>
    <mergeCell ref="VPI65:VPP65"/>
    <mergeCell ref="VPQ65:VPX65"/>
    <mergeCell ref="VPY65:VQF65"/>
    <mergeCell ref="VNE65:VNL65"/>
    <mergeCell ref="VNM65:VNT65"/>
    <mergeCell ref="VNU65:VOB65"/>
    <mergeCell ref="VOC65:VOJ65"/>
    <mergeCell ref="VOK65:VOR65"/>
    <mergeCell ref="VLQ65:VLX65"/>
    <mergeCell ref="VLY65:VMF65"/>
    <mergeCell ref="VMG65:VMN65"/>
    <mergeCell ref="VMO65:VMV65"/>
    <mergeCell ref="VMW65:VND65"/>
    <mergeCell ref="VKC65:VKJ65"/>
    <mergeCell ref="VKK65:VKR65"/>
    <mergeCell ref="VKS65:VKZ65"/>
    <mergeCell ref="VLA65:VLH65"/>
    <mergeCell ref="VLI65:VLP65"/>
    <mergeCell ref="VIO65:VIV65"/>
    <mergeCell ref="VIW65:VJD65"/>
    <mergeCell ref="VJE65:VJL65"/>
    <mergeCell ref="VJM65:VJT65"/>
    <mergeCell ref="VJU65:VKB65"/>
    <mergeCell ref="VHA65:VHH65"/>
    <mergeCell ref="VHI65:VHP65"/>
    <mergeCell ref="VHQ65:VHX65"/>
    <mergeCell ref="VHY65:VIF65"/>
    <mergeCell ref="VIG65:VIN65"/>
    <mergeCell ref="VFM65:VFT65"/>
    <mergeCell ref="VFU65:VGB65"/>
    <mergeCell ref="VGC65:VGJ65"/>
    <mergeCell ref="VGK65:VGR65"/>
    <mergeCell ref="VGS65:VGZ65"/>
    <mergeCell ref="VDY65:VEF65"/>
    <mergeCell ref="VEG65:VEN65"/>
    <mergeCell ref="VEO65:VEV65"/>
    <mergeCell ref="VEW65:VFD65"/>
    <mergeCell ref="VFE65:VFL65"/>
    <mergeCell ref="VCK65:VCR65"/>
    <mergeCell ref="VCS65:VCZ65"/>
    <mergeCell ref="VDA65:VDH65"/>
    <mergeCell ref="VDI65:VDP65"/>
    <mergeCell ref="VDQ65:VDX65"/>
    <mergeCell ref="VAW65:VBD65"/>
    <mergeCell ref="VBE65:VBL65"/>
    <mergeCell ref="VBM65:VBT65"/>
    <mergeCell ref="VBU65:VCB65"/>
    <mergeCell ref="VCC65:VCJ65"/>
    <mergeCell ref="UZI65:UZP65"/>
    <mergeCell ref="UZQ65:UZX65"/>
    <mergeCell ref="UZY65:VAF65"/>
    <mergeCell ref="VAG65:VAN65"/>
    <mergeCell ref="VAO65:VAV65"/>
    <mergeCell ref="UXU65:UYB65"/>
    <mergeCell ref="UYC65:UYJ65"/>
    <mergeCell ref="UYK65:UYR65"/>
    <mergeCell ref="UYS65:UYZ65"/>
    <mergeCell ref="UZA65:UZH65"/>
    <mergeCell ref="UWG65:UWN65"/>
    <mergeCell ref="UWO65:UWV65"/>
    <mergeCell ref="UWW65:UXD65"/>
    <mergeCell ref="UXE65:UXL65"/>
    <mergeCell ref="UXM65:UXT65"/>
    <mergeCell ref="UUS65:UUZ65"/>
    <mergeCell ref="UVA65:UVH65"/>
    <mergeCell ref="UVI65:UVP65"/>
    <mergeCell ref="UVQ65:UVX65"/>
    <mergeCell ref="UVY65:UWF65"/>
    <mergeCell ref="UTE65:UTL65"/>
    <mergeCell ref="UTM65:UTT65"/>
    <mergeCell ref="UTU65:UUB65"/>
    <mergeCell ref="UUC65:UUJ65"/>
    <mergeCell ref="UUK65:UUR65"/>
    <mergeCell ref="URQ65:URX65"/>
    <mergeCell ref="URY65:USF65"/>
    <mergeCell ref="USG65:USN65"/>
    <mergeCell ref="USO65:USV65"/>
    <mergeCell ref="USW65:UTD65"/>
    <mergeCell ref="UQC65:UQJ65"/>
    <mergeCell ref="UQK65:UQR65"/>
    <mergeCell ref="UQS65:UQZ65"/>
    <mergeCell ref="URA65:URH65"/>
    <mergeCell ref="URI65:URP65"/>
    <mergeCell ref="UOO65:UOV65"/>
    <mergeCell ref="UOW65:UPD65"/>
    <mergeCell ref="UPE65:UPL65"/>
    <mergeCell ref="UPM65:UPT65"/>
    <mergeCell ref="UPU65:UQB65"/>
    <mergeCell ref="UNA65:UNH65"/>
    <mergeCell ref="UNI65:UNP65"/>
    <mergeCell ref="UNQ65:UNX65"/>
    <mergeCell ref="UNY65:UOF65"/>
    <mergeCell ref="UOG65:UON65"/>
    <mergeCell ref="ULM65:ULT65"/>
    <mergeCell ref="ULU65:UMB65"/>
    <mergeCell ref="UMC65:UMJ65"/>
    <mergeCell ref="UMK65:UMR65"/>
    <mergeCell ref="UMS65:UMZ65"/>
    <mergeCell ref="UJY65:UKF65"/>
    <mergeCell ref="UKG65:UKN65"/>
    <mergeCell ref="UKO65:UKV65"/>
    <mergeCell ref="UKW65:ULD65"/>
    <mergeCell ref="ULE65:ULL65"/>
    <mergeCell ref="UIK65:UIR65"/>
    <mergeCell ref="UIS65:UIZ65"/>
    <mergeCell ref="UJA65:UJH65"/>
    <mergeCell ref="UJI65:UJP65"/>
    <mergeCell ref="UJQ65:UJX65"/>
    <mergeCell ref="UGW65:UHD65"/>
    <mergeCell ref="UHE65:UHL65"/>
    <mergeCell ref="UHM65:UHT65"/>
    <mergeCell ref="UHU65:UIB65"/>
    <mergeCell ref="UIC65:UIJ65"/>
    <mergeCell ref="UFI65:UFP65"/>
    <mergeCell ref="UFQ65:UFX65"/>
    <mergeCell ref="UFY65:UGF65"/>
    <mergeCell ref="UGG65:UGN65"/>
    <mergeCell ref="UGO65:UGV65"/>
    <mergeCell ref="UDU65:UEB65"/>
    <mergeCell ref="UEC65:UEJ65"/>
    <mergeCell ref="UEK65:UER65"/>
    <mergeCell ref="UES65:UEZ65"/>
    <mergeCell ref="UFA65:UFH65"/>
    <mergeCell ref="UCG65:UCN65"/>
    <mergeCell ref="UCO65:UCV65"/>
    <mergeCell ref="UCW65:UDD65"/>
    <mergeCell ref="UDE65:UDL65"/>
    <mergeCell ref="UDM65:UDT65"/>
    <mergeCell ref="UAS65:UAZ65"/>
    <mergeCell ref="UBA65:UBH65"/>
    <mergeCell ref="UBI65:UBP65"/>
    <mergeCell ref="UBQ65:UBX65"/>
    <mergeCell ref="UBY65:UCF65"/>
    <mergeCell ref="TZE65:TZL65"/>
    <mergeCell ref="TZM65:TZT65"/>
    <mergeCell ref="TZU65:UAB65"/>
    <mergeCell ref="UAC65:UAJ65"/>
    <mergeCell ref="UAK65:UAR65"/>
    <mergeCell ref="TXQ65:TXX65"/>
    <mergeCell ref="TXY65:TYF65"/>
    <mergeCell ref="TYG65:TYN65"/>
    <mergeCell ref="TYO65:TYV65"/>
    <mergeCell ref="TYW65:TZD65"/>
    <mergeCell ref="TWC65:TWJ65"/>
    <mergeCell ref="TWK65:TWR65"/>
    <mergeCell ref="TWS65:TWZ65"/>
    <mergeCell ref="TXA65:TXH65"/>
    <mergeCell ref="TXI65:TXP65"/>
    <mergeCell ref="TUO65:TUV65"/>
    <mergeCell ref="TUW65:TVD65"/>
    <mergeCell ref="TVE65:TVL65"/>
    <mergeCell ref="TVM65:TVT65"/>
    <mergeCell ref="TVU65:TWB65"/>
    <mergeCell ref="TTA65:TTH65"/>
    <mergeCell ref="TTI65:TTP65"/>
    <mergeCell ref="TTQ65:TTX65"/>
    <mergeCell ref="TTY65:TUF65"/>
    <mergeCell ref="TUG65:TUN65"/>
    <mergeCell ref="TRM65:TRT65"/>
    <mergeCell ref="TRU65:TSB65"/>
    <mergeCell ref="TSC65:TSJ65"/>
    <mergeCell ref="TSK65:TSR65"/>
    <mergeCell ref="TSS65:TSZ65"/>
    <mergeCell ref="TPY65:TQF65"/>
    <mergeCell ref="TQG65:TQN65"/>
    <mergeCell ref="TQO65:TQV65"/>
    <mergeCell ref="TQW65:TRD65"/>
    <mergeCell ref="TRE65:TRL65"/>
    <mergeCell ref="TOK65:TOR65"/>
    <mergeCell ref="TOS65:TOZ65"/>
    <mergeCell ref="TPA65:TPH65"/>
    <mergeCell ref="TPI65:TPP65"/>
    <mergeCell ref="TPQ65:TPX65"/>
    <mergeCell ref="TMW65:TND65"/>
    <mergeCell ref="TNE65:TNL65"/>
    <mergeCell ref="TNM65:TNT65"/>
    <mergeCell ref="TNU65:TOB65"/>
    <mergeCell ref="TOC65:TOJ65"/>
    <mergeCell ref="TLI65:TLP65"/>
    <mergeCell ref="TLQ65:TLX65"/>
    <mergeCell ref="TLY65:TMF65"/>
    <mergeCell ref="TMG65:TMN65"/>
    <mergeCell ref="TMO65:TMV65"/>
    <mergeCell ref="TJU65:TKB65"/>
    <mergeCell ref="TKC65:TKJ65"/>
    <mergeCell ref="TKK65:TKR65"/>
    <mergeCell ref="TKS65:TKZ65"/>
    <mergeCell ref="TLA65:TLH65"/>
    <mergeCell ref="TIG65:TIN65"/>
    <mergeCell ref="TIO65:TIV65"/>
    <mergeCell ref="TIW65:TJD65"/>
    <mergeCell ref="TJE65:TJL65"/>
    <mergeCell ref="TJM65:TJT65"/>
    <mergeCell ref="TGS65:TGZ65"/>
    <mergeCell ref="THA65:THH65"/>
    <mergeCell ref="THI65:THP65"/>
    <mergeCell ref="THQ65:THX65"/>
    <mergeCell ref="THY65:TIF65"/>
    <mergeCell ref="TFE65:TFL65"/>
    <mergeCell ref="TFM65:TFT65"/>
    <mergeCell ref="TFU65:TGB65"/>
    <mergeCell ref="TGC65:TGJ65"/>
    <mergeCell ref="TGK65:TGR65"/>
    <mergeCell ref="TDQ65:TDX65"/>
    <mergeCell ref="TDY65:TEF65"/>
    <mergeCell ref="TEG65:TEN65"/>
    <mergeCell ref="TEO65:TEV65"/>
    <mergeCell ref="TEW65:TFD65"/>
    <mergeCell ref="TCC65:TCJ65"/>
    <mergeCell ref="TCK65:TCR65"/>
    <mergeCell ref="TCS65:TCZ65"/>
    <mergeCell ref="TDA65:TDH65"/>
    <mergeCell ref="TDI65:TDP65"/>
    <mergeCell ref="TAO65:TAV65"/>
    <mergeCell ref="TAW65:TBD65"/>
    <mergeCell ref="TBE65:TBL65"/>
    <mergeCell ref="TBM65:TBT65"/>
    <mergeCell ref="TBU65:TCB65"/>
    <mergeCell ref="SZA65:SZH65"/>
    <mergeCell ref="SZI65:SZP65"/>
    <mergeCell ref="SZQ65:SZX65"/>
    <mergeCell ref="SZY65:TAF65"/>
    <mergeCell ref="TAG65:TAN65"/>
    <mergeCell ref="SXM65:SXT65"/>
    <mergeCell ref="SXU65:SYB65"/>
    <mergeCell ref="SYC65:SYJ65"/>
    <mergeCell ref="SYK65:SYR65"/>
    <mergeCell ref="SYS65:SYZ65"/>
    <mergeCell ref="SVY65:SWF65"/>
    <mergeCell ref="SWG65:SWN65"/>
    <mergeCell ref="SWO65:SWV65"/>
    <mergeCell ref="SWW65:SXD65"/>
    <mergeCell ref="SXE65:SXL65"/>
    <mergeCell ref="SUK65:SUR65"/>
    <mergeCell ref="SUS65:SUZ65"/>
    <mergeCell ref="SVA65:SVH65"/>
    <mergeCell ref="SVI65:SVP65"/>
    <mergeCell ref="SVQ65:SVX65"/>
    <mergeCell ref="SSW65:STD65"/>
    <mergeCell ref="STE65:STL65"/>
    <mergeCell ref="STM65:STT65"/>
    <mergeCell ref="STU65:SUB65"/>
    <mergeCell ref="SUC65:SUJ65"/>
    <mergeCell ref="SRI65:SRP65"/>
    <mergeCell ref="SRQ65:SRX65"/>
    <mergeCell ref="SRY65:SSF65"/>
    <mergeCell ref="SSG65:SSN65"/>
    <mergeCell ref="SSO65:SSV65"/>
    <mergeCell ref="SPU65:SQB65"/>
    <mergeCell ref="SQC65:SQJ65"/>
    <mergeCell ref="SQK65:SQR65"/>
    <mergeCell ref="SQS65:SQZ65"/>
    <mergeCell ref="SRA65:SRH65"/>
    <mergeCell ref="SOG65:SON65"/>
    <mergeCell ref="SOO65:SOV65"/>
    <mergeCell ref="SOW65:SPD65"/>
    <mergeCell ref="SPE65:SPL65"/>
    <mergeCell ref="SPM65:SPT65"/>
    <mergeCell ref="SMS65:SMZ65"/>
    <mergeCell ref="SNA65:SNH65"/>
    <mergeCell ref="SNI65:SNP65"/>
    <mergeCell ref="SNQ65:SNX65"/>
    <mergeCell ref="SNY65:SOF65"/>
    <mergeCell ref="SLE65:SLL65"/>
    <mergeCell ref="SLM65:SLT65"/>
    <mergeCell ref="SLU65:SMB65"/>
    <mergeCell ref="SMC65:SMJ65"/>
    <mergeCell ref="SMK65:SMR65"/>
    <mergeCell ref="SJQ65:SJX65"/>
    <mergeCell ref="SJY65:SKF65"/>
    <mergeCell ref="SKG65:SKN65"/>
    <mergeCell ref="SKO65:SKV65"/>
    <mergeCell ref="SKW65:SLD65"/>
    <mergeCell ref="SIC65:SIJ65"/>
    <mergeCell ref="SIK65:SIR65"/>
    <mergeCell ref="SIS65:SIZ65"/>
    <mergeCell ref="SJA65:SJH65"/>
    <mergeCell ref="SJI65:SJP65"/>
    <mergeCell ref="SGO65:SGV65"/>
    <mergeCell ref="SGW65:SHD65"/>
    <mergeCell ref="SHE65:SHL65"/>
    <mergeCell ref="SHM65:SHT65"/>
    <mergeCell ref="SHU65:SIB65"/>
    <mergeCell ref="SFA65:SFH65"/>
    <mergeCell ref="SFI65:SFP65"/>
    <mergeCell ref="SFQ65:SFX65"/>
    <mergeCell ref="SFY65:SGF65"/>
    <mergeCell ref="SGG65:SGN65"/>
    <mergeCell ref="SDM65:SDT65"/>
    <mergeCell ref="SDU65:SEB65"/>
    <mergeCell ref="SEC65:SEJ65"/>
    <mergeCell ref="SEK65:SER65"/>
    <mergeCell ref="SES65:SEZ65"/>
    <mergeCell ref="SBY65:SCF65"/>
    <mergeCell ref="SCG65:SCN65"/>
    <mergeCell ref="SCO65:SCV65"/>
    <mergeCell ref="SCW65:SDD65"/>
    <mergeCell ref="SDE65:SDL65"/>
    <mergeCell ref="SAK65:SAR65"/>
    <mergeCell ref="SAS65:SAZ65"/>
    <mergeCell ref="SBA65:SBH65"/>
    <mergeCell ref="SBI65:SBP65"/>
    <mergeCell ref="SBQ65:SBX65"/>
    <mergeCell ref="RYW65:RZD65"/>
    <mergeCell ref="RZE65:RZL65"/>
    <mergeCell ref="RZM65:RZT65"/>
    <mergeCell ref="RZU65:SAB65"/>
    <mergeCell ref="SAC65:SAJ65"/>
    <mergeCell ref="RXI65:RXP65"/>
    <mergeCell ref="RXQ65:RXX65"/>
    <mergeCell ref="RXY65:RYF65"/>
    <mergeCell ref="RYG65:RYN65"/>
    <mergeCell ref="RYO65:RYV65"/>
    <mergeCell ref="RVU65:RWB65"/>
    <mergeCell ref="RWC65:RWJ65"/>
    <mergeCell ref="RWK65:RWR65"/>
    <mergeCell ref="RWS65:RWZ65"/>
    <mergeCell ref="RXA65:RXH65"/>
    <mergeCell ref="RUG65:RUN65"/>
    <mergeCell ref="RUO65:RUV65"/>
    <mergeCell ref="RUW65:RVD65"/>
    <mergeCell ref="RVE65:RVL65"/>
    <mergeCell ref="RVM65:RVT65"/>
    <mergeCell ref="RSS65:RSZ65"/>
    <mergeCell ref="RTA65:RTH65"/>
    <mergeCell ref="RTI65:RTP65"/>
    <mergeCell ref="RTQ65:RTX65"/>
    <mergeCell ref="RTY65:RUF65"/>
    <mergeCell ref="RRE65:RRL65"/>
    <mergeCell ref="RRM65:RRT65"/>
    <mergeCell ref="RRU65:RSB65"/>
    <mergeCell ref="RSC65:RSJ65"/>
    <mergeCell ref="RSK65:RSR65"/>
    <mergeCell ref="RPQ65:RPX65"/>
    <mergeCell ref="RPY65:RQF65"/>
    <mergeCell ref="RQG65:RQN65"/>
    <mergeCell ref="RQO65:RQV65"/>
    <mergeCell ref="RQW65:RRD65"/>
    <mergeCell ref="ROC65:ROJ65"/>
    <mergeCell ref="ROK65:ROR65"/>
    <mergeCell ref="ROS65:ROZ65"/>
    <mergeCell ref="RPA65:RPH65"/>
    <mergeCell ref="RPI65:RPP65"/>
    <mergeCell ref="RMO65:RMV65"/>
    <mergeCell ref="RMW65:RND65"/>
    <mergeCell ref="RNE65:RNL65"/>
    <mergeCell ref="RNM65:RNT65"/>
    <mergeCell ref="RNU65:ROB65"/>
    <mergeCell ref="RLA65:RLH65"/>
    <mergeCell ref="RLI65:RLP65"/>
    <mergeCell ref="RLQ65:RLX65"/>
    <mergeCell ref="RLY65:RMF65"/>
    <mergeCell ref="RMG65:RMN65"/>
    <mergeCell ref="RJM65:RJT65"/>
    <mergeCell ref="RJU65:RKB65"/>
    <mergeCell ref="RKC65:RKJ65"/>
    <mergeCell ref="RKK65:RKR65"/>
    <mergeCell ref="RKS65:RKZ65"/>
    <mergeCell ref="RHY65:RIF65"/>
    <mergeCell ref="RIG65:RIN65"/>
    <mergeCell ref="RIO65:RIV65"/>
    <mergeCell ref="RIW65:RJD65"/>
    <mergeCell ref="RJE65:RJL65"/>
    <mergeCell ref="RGK65:RGR65"/>
    <mergeCell ref="RGS65:RGZ65"/>
    <mergeCell ref="RHA65:RHH65"/>
    <mergeCell ref="RHI65:RHP65"/>
    <mergeCell ref="RHQ65:RHX65"/>
    <mergeCell ref="REW65:RFD65"/>
    <mergeCell ref="RFE65:RFL65"/>
    <mergeCell ref="RFM65:RFT65"/>
    <mergeCell ref="RFU65:RGB65"/>
    <mergeCell ref="RGC65:RGJ65"/>
    <mergeCell ref="RDI65:RDP65"/>
    <mergeCell ref="RDQ65:RDX65"/>
    <mergeCell ref="RDY65:REF65"/>
    <mergeCell ref="REG65:REN65"/>
    <mergeCell ref="REO65:REV65"/>
    <mergeCell ref="RBU65:RCB65"/>
    <mergeCell ref="RCC65:RCJ65"/>
    <mergeCell ref="RCK65:RCR65"/>
    <mergeCell ref="RCS65:RCZ65"/>
    <mergeCell ref="RDA65:RDH65"/>
    <mergeCell ref="RAG65:RAN65"/>
    <mergeCell ref="RAO65:RAV65"/>
    <mergeCell ref="RAW65:RBD65"/>
    <mergeCell ref="RBE65:RBL65"/>
    <mergeCell ref="RBM65:RBT65"/>
    <mergeCell ref="QYS65:QYZ65"/>
    <mergeCell ref="QZA65:QZH65"/>
    <mergeCell ref="QZI65:QZP65"/>
    <mergeCell ref="QZQ65:QZX65"/>
    <mergeCell ref="QZY65:RAF65"/>
    <mergeCell ref="QXE65:QXL65"/>
    <mergeCell ref="QXM65:QXT65"/>
    <mergeCell ref="QXU65:QYB65"/>
    <mergeCell ref="QYC65:QYJ65"/>
    <mergeCell ref="QYK65:QYR65"/>
    <mergeCell ref="QVQ65:QVX65"/>
    <mergeCell ref="QVY65:QWF65"/>
    <mergeCell ref="QWG65:QWN65"/>
    <mergeCell ref="QWO65:QWV65"/>
    <mergeCell ref="QWW65:QXD65"/>
    <mergeCell ref="QUC65:QUJ65"/>
    <mergeCell ref="QUK65:QUR65"/>
    <mergeCell ref="QUS65:QUZ65"/>
    <mergeCell ref="QVA65:QVH65"/>
    <mergeCell ref="QVI65:QVP65"/>
    <mergeCell ref="QSO65:QSV65"/>
    <mergeCell ref="QSW65:QTD65"/>
    <mergeCell ref="QTE65:QTL65"/>
    <mergeCell ref="QTM65:QTT65"/>
    <mergeCell ref="QTU65:QUB65"/>
    <mergeCell ref="QRA65:QRH65"/>
    <mergeCell ref="QRI65:QRP65"/>
    <mergeCell ref="QRQ65:QRX65"/>
    <mergeCell ref="QRY65:QSF65"/>
    <mergeCell ref="QSG65:QSN65"/>
    <mergeCell ref="QPM65:QPT65"/>
    <mergeCell ref="QPU65:QQB65"/>
    <mergeCell ref="QQC65:QQJ65"/>
    <mergeCell ref="QQK65:QQR65"/>
    <mergeCell ref="QQS65:QQZ65"/>
    <mergeCell ref="QNY65:QOF65"/>
    <mergeCell ref="QOG65:QON65"/>
    <mergeCell ref="QOO65:QOV65"/>
    <mergeCell ref="QOW65:QPD65"/>
    <mergeCell ref="QPE65:QPL65"/>
    <mergeCell ref="QMK65:QMR65"/>
    <mergeCell ref="QMS65:QMZ65"/>
    <mergeCell ref="QNA65:QNH65"/>
    <mergeCell ref="QNI65:QNP65"/>
    <mergeCell ref="QNQ65:QNX65"/>
    <mergeCell ref="QKW65:QLD65"/>
    <mergeCell ref="QLE65:QLL65"/>
    <mergeCell ref="QLM65:QLT65"/>
    <mergeCell ref="QLU65:QMB65"/>
    <mergeCell ref="QMC65:QMJ65"/>
    <mergeCell ref="QJI65:QJP65"/>
    <mergeCell ref="QJQ65:QJX65"/>
    <mergeCell ref="QJY65:QKF65"/>
    <mergeCell ref="QKG65:QKN65"/>
    <mergeCell ref="QKO65:QKV65"/>
    <mergeCell ref="QHU65:QIB65"/>
    <mergeCell ref="QIC65:QIJ65"/>
    <mergeCell ref="QIK65:QIR65"/>
    <mergeCell ref="QIS65:QIZ65"/>
    <mergeCell ref="QJA65:QJH65"/>
    <mergeCell ref="QGG65:QGN65"/>
    <mergeCell ref="QGO65:QGV65"/>
    <mergeCell ref="QGW65:QHD65"/>
    <mergeCell ref="QHE65:QHL65"/>
    <mergeCell ref="QHM65:QHT65"/>
    <mergeCell ref="QES65:QEZ65"/>
    <mergeCell ref="QFA65:QFH65"/>
    <mergeCell ref="QFI65:QFP65"/>
    <mergeCell ref="QFQ65:QFX65"/>
    <mergeCell ref="QFY65:QGF65"/>
    <mergeCell ref="QDE65:QDL65"/>
    <mergeCell ref="QDM65:QDT65"/>
    <mergeCell ref="QDU65:QEB65"/>
    <mergeCell ref="QEC65:QEJ65"/>
    <mergeCell ref="QEK65:QER65"/>
    <mergeCell ref="QBQ65:QBX65"/>
    <mergeCell ref="QBY65:QCF65"/>
    <mergeCell ref="QCG65:QCN65"/>
    <mergeCell ref="QCO65:QCV65"/>
    <mergeCell ref="QCW65:QDD65"/>
    <mergeCell ref="QAC65:QAJ65"/>
    <mergeCell ref="QAK65:QAR65"/>
    <mergeCell ref="QAS65:QAZ65"/>
    <mergeCell ref="QBA65:QBH65"/>
    <mergeCell ref="QBI65:QBP65"/>
    <mergeCell ref="PYO65:PYV65"/>
    <mergeCell ref="PYW65:PZD65"/>
    <mergeCell ref="PZE65:PZL65"/>
    <mergeCell ref="PZM65:PZT65"/>
    <mergeCell ref="PZU65:QAB65"/>
    <mergeCell ref="PXA65:PXH65"/>
    <mergeCell ref="PXI65:PXP65"/>
    <mergeCell ref="PXQ65:PXX65"/>
    <mergeCell ref="PXY65:PYF65"/>
    <mergeCell ref="PYG65:PYN65"/>
    <mergeCell ref="PVM65:PVT65"/>
    <mergeCell ref="PVU65:PWB65"/>
    <mergeCell ref="PWC65:PWJ65"/>
    <mergeCell ref="PWK65:PWR65"/>
    <mergeCell ref="PWS65:PWZ65"/>
    <mergeCell ref="PTY65:PUF65"/>
    <mergeCell ref="PUG65:PUN65"/>
    <mergeCell ref="PUO65:PUV65"/>
    <mergeCell ref="PUW65:PVD65"/>
    <mergeCell ref="PVE65:PVL65"/>
    <mergeCell ref="PSK65:PSR65"/>
    <mergeCell ref="PSS65:PSZ65"/>
    <mergeCell ref="PTA65:PTH65"/>
    <mergeCell ref="PTI65:PTP65"/>
    <mergeCell ref="PTQ65:PTX65"/>
    <mergeCell ref="PQW65:PRD65"/>
    <mergeCell ref="PRE65:PRL65"/>
    <mergeCell ref="PRM65:PRT65"/>
    <mergeCell ref="PRU65:PSB65"/>
    <mergeCell ref="PSC65:PSJ65"/>
    <mergeCell ref="PPI65:PPP65"/>
    <mergeCell ref="PPQ65:PPX65"/>
    <mergeCell ref="PPY65:PQF65"/>
    <mergeCell ref="PQG65:PQN65"/>
    <mergeCell ref="PQO65:PQV65"/>
    <mergeCell ref="PNU65:POB65"/>
    <mergeCell ref="POC65:POJ65"/>
    <mergeCell ref="POK65:POR65"/>
    <mergeCell ref="POS65:POZ65"/>
    <mergeCell ref="PPA65:PPH65"/>
    <mergeCell ref="PMG65:PMN65"/>
    <mergeCell ref="PMO65:PMV65"/>
    <mergeCell ref="PMW65:PND65"/>
    <mergeCell ref="PNE65:PNL65"/>
    <mergeCell ref="PNM65:PNT65"/>
    <mergeCell ref="PKS65:PKZ65"/>
    <mergeCell ref="PLA65:PLH65"/>
    <mergeCell ref="PLI65:PLP65"/>
    <mergeCell ref="PLQ65:PLX65"/>
    <mergeCell ref="PLY65:PMF65"/>
    <mergeCell ref="PJE65:PJL65"/>
    <mergeCell ref="PJM65:PJT65"/>
    <mergeCell ref="PJU65:PKB65"/>
    <mergeCell ref="PKC65:PKJ65"/>
    <mergeCell ref="PKK65:PKR65"/>
    <mergeCell ref="PHQ65:PHX65"/>
    <mergeCell ref="PHY65:PIF65"/>
    <mergeCell ref="PIG65:PIN65"/>
    <mergeCell ref="PIO65:PIV65"/>
    <mergeCell ref="PIW65:PJD65"/>
    <mergeCell ref="PGC65:PGJ65"/>
    <mergeCell ref="PGK65:PGR65"/>
    <mergeCell ref="PGS65:PGZ65"/>
    <mergeCell ref="PHA65:PHH65"/>
    <mergeCell ref="PHI65:PHP65"/>
    <mergeCell ref="PEO65:PEV65"/>
    <mergeCell ref="PEW65:PFD65"/>
    <mergeCell ref="PFE65:PFL65"/>
    <mergeCell ref="PFM65:PFT65"/>
    <mergeCell ref="PFU65:PGB65"/>
    <mergeCell ref="PDA65:PDH65"/>
    <mergeCell ref="PDI65:PDP65"/>
    <mergeCell ref="PDQ65:PDX65"/>
    <mergeCell ref="PDY65:PEF65"/>
    <mergeCell ref="PEG65:PEN65"/>
    <mergeCell ref="PBM65:PBT65"/>
    <mergeCell ref="PBU65:PCB65"/>
    <mergeCell ref="PCC65:PCJ65"/>
    <mergeCell ref="PCK65:PCR65"/>
    <mergeCell ref="PCS65:PCZ65"/>
    <mergeCell ref="OZY65:PAF65"/>
    <mergeCell ref="PAG65:PAN65"/>
    <mergeCell ref="PAO65:PAV65"/>
    <mergeCell ref="PAW65:PBD65"/>
    <mergeCell ref="PBE65:PBL65"/>
    <mergeCell ref="OYK65:OYR65"/>
    <mergeCell ref="OYS65:OYZ65"/>
    <mergeCell ref="OZA65:OZH65"/>
    <mergeCell ref="OZI65:OZP65"/>
    <mergeCell ref="OZQ65:OZX65"/>
    <mergeCell ref="OWW65:OXD65"/>
    <mergeCell ref="OXE65:OXL65"/>
    <mergeCell ref="OXM65:OXT65"/>
    <mergeCell ref="OXU65:OYB65"/>
    <mergeCell ref="OYC65:OYJ65"/>
    <mergeCell ref="OVI65:OVP65"/>
    <mergeCell ref="OVQ65:OVX65"/>
    <mergeCell ref="OVY65:OWF65"/>
    <mergeCell ref="OWG65:OWN65"/>
    <mergeCell ref="OWO65:OWV65"/>
    <mergeCell ref="OTU65:OUB65"/>
    <mergeCell ref="OUC65:OUJ65"/>
    <mergeCell ref="OUK65:OUR65"/>
    <mergeCell ref="OUS65:OUZ65"/>
    <mergeCell ref="OVA65:OVH65"/>
    <mergeCell ref="OSG65:OSN65"/>
    <mergeCell ref="OSO65:OSV65"/>
    <mergeCell ref="OSW65:OTD65"/>
    <mergeCell ref="OTE65:OTL65"/>
    <mergeCell ref="OTM65:OTT65"/>
    <mergeCell ref="OQS65:OQZ65"/>
    <mergeCell ref="ORA65:ORH65"/>
    <mergeCell ref="ORI65:ORP65"/>
    <mergeCell ref="ORQ65:ORX65"/>
    <mergeCell ref="ORY65:OSF65"/>
    <mergeCell ref="OPE65:OPL65"/>
    <mergeCell ref="OPM65:OPT65"/>
    <mergeCell ref="OPU65:OQB65"/>
    <mergeCell ref="OQC65:OQJ65"/>
    <mergeCell ref="OQK65:OQR65"/>
    <mergeCell ref="ONQ65:ONX65"/>
    <mergeCell ref="ONY65:OOF65"/>
    <mergeCell ref="OOG65:OON65"/>
    <mergeCell ref="OOO65:OOV65"/>
    <mergeCell ref="OOW65:OPD65"/>
    <mergeCell ref="OMC65:OMJ65"/>
    <mergeCell ref="OMK65:OMR65"/>
    <mergeCell ref="OMS65:OMZ65"/>
    <mergeCell ref="ONA65:ONH65"/>
    <mergeCell ref="ONI65:ONP65"/>
    <mergeCell ref="OKO65:OKV65"/>
    <mergeCell ref="OKW65:OLD65"/>
    <mergeCell ref="OLE65:OLL65"/>
    <mergeCell ref="OLM65:OLT65"/>
    <mergeCell ref="OLU65:OMB65"/>
    <mergeCell ref="OJA65:OJH65"/>
    <mergeCell ref="OJI65:OJP65"/>
    <mergeCell ref="OJQ65:OJX65"/>
    <mergeCell ref="OJY65:OKF65"/>
    <mergeCell ref="OKG65:OKN65"/>
    <mergeCell ref="OHM65:OHT65"/>
    <mergeCell ref="OHU65:OIB65"/>
    <mergeCell ref="OIC65:OIJ65"/>
    <mergeCell ref="OIK65:OIR65"/>
    <mergeCell ref="OIS65:OIZ65"/>
    <mergeCell ref="OFY65:OGF65"/>
    <mergeCell ref="OGG65:OGN65"/>
    <mergeCell ref="OGO65:OGV65"/>
    <mergeCell ref="OGW65:OHD65"/>
    <mergeCell ref="OHE65:OHL65"/>
    <mergeCell ref="OEK65:OER65"/>
    <mergeCell ref="OES65:OEZ65"/>
    <mergeCell ref="OFA65:OFH65"/>
    <mergeCell ref="OFI65:OFP65"/>
    <mergeCell ref="OFQ65:OFX65"/>
    <mergeCell ref="OCW65:ODD65"/>
    <mergeCell ref="ODE65:ODL65"/>
    <mergeCell ref="ODM65:ODT65"/>
    <mergeCell ref="ODU65:OEB65"/>
    <mergeCell ref="OEC65:OEJ65"/>
    <mergeCell ref="OBI65:OBP65"/>
    <mergeCell ref="OBQ65:OBX65"/>
    <mergeCell ref="OBY65:OCF65"/>
    <mergeCell ref="OCG65:OCN65"/>
    <mergeCell ref="OCO65:OCV65"/>
    <mergeCell ref="NZU65:OAB65"/>
    <mergeCell ref="OAC65:OAJ65"/>
    <mergeCell ref="OAK65:OAR65"/>
    <mergeCell ref="OAS65:OAZ65"/>
    <mergeCell ref="OBA65:OBH65"/>
    <mergeCell ref="NYG65:NYN65"/>
    <mergeCell ref="NYO65:NYV65"/>
    <mergeCell ref="NYW65:NZD65"/>
    <mergeCell ref="NZE65:NZL65"/>
    <mergeCell ref="NZM65:NZT65"/>
    <mergeCell ref="NWS65:NWZ65"/>
    <mergeCell ref="NXA65:NXH65"/>
    <mergeCell ref="NXI65:NXP65"/>
    <mergeCell ref="NXQ65:NXX65"/>
    <mergeCell ref="NXY65:NYF65"/>
    <mergeCell ref="NVE65:NVL65"/>
    <mergeCell ref="NVM65:NVT65"/>
    <mergeCell ref="NVU65:NWB65"/>
    <mergeCell ref="NWC65:NWJ65"/>
    <mergeCell ref="NWK65:NWR65"/>
    <mergeCell ref="NTQ65:NTX65"/>
    <mergeCell ref="NTY65:NUF65"/>
    <mergeCell ref="NUG65:NUN65"/>
    <mergeCell ref="NUO65:NUV65"/>
    <mergeCell ref="NUW65:NVD65"/>
    <mergeCell ref="NSC65:NSJ65"/>
    <mergeCell ref="NSK65:NSR65"/>
    <mergeCell ref="NSS65:NSZ65"/>
    <mergeCell ref="NTA65:NTH65"/>
    <mergeCell ref="NTI65:NTP65"/>
    <mergeCell ref="NQO65:NQV65"/>
    <mergeCell ref="NQW65:NRD65"/>
    <mergeCell ref="NRE65:NRL65"/>
    <mergeCell ref="NRM65:NRT65"/>
    <mergeCell ref="NRU65:NSB65"/>
    <mergeCell ref="NPA65:NPH65"/>
    <mergeCell ref="NPI65:NPP65"/>
    <mergeCell ref="NPQ65:NPX65"/>
    <mergeCell ref="NPY65:NQF65"/>
    <mergeCell ref="NQG65:NQN65"/>
    <mergeCell ref="NNM65:NNT65"/>
    <mergeCell ref="NNU65:NOB65"/>
    <mergeCell ref="NOC65:NOJ65"/>
    <mergeCell ref="NOK65:NOR65"/>
    <mergeCell ref="NOS65:NOZ65"/>
    <mergeCell ref="NLY65:NMF65"/>
    <mergeCell ref="NMG65:NMN65"/>
    <mergeCell ref="NMO65:NMV65"/>
    <mergeCell ref="NMW65:NND65"/>
    <mergeCell ref="NNE65:NNL65"/>
    <mergeCell ref="NKK65:NKR65"/>
    <mergeCell ref="NKS65:NKZ65"/>
    <mergeCell ref="NLA65:NLH65"/>
    <mergeCell ref="NLI65:NLP65"/>
    <mergeCell ref="NLQ65:NLX65"/>
    <mergeCell ref="NIW65:NJD65"/>
    <mergeCell ref="NJE65:NJL65"/>
    <mergeCell ref="NJM65:NJT65"/>
    <mergeCell ref="NJU65:NKB65"/>
    <mergeCell ref="NKC65:NKJ65"/>
    <mergeCell ref="NHI65:NHP65"/>
    <mergeCell ref="NHQ65:NHX65"/>
    <mergeCell ref="NHY65:NIF65"/>
    <mergeCell ref="NIG65:NIN65"/>
    <mergeCell ref="NIO65:NIV65"/>
    <mergeCell ref="NFU65:NGB65"/>
    <mergeCell ref="NGC65:NGJ65"/>
    <mergeCell ref="NGK65:NGR65"/>
    <mergeCell ref="NGS65:NGZ65"/>
    <mergeCell ref="NHA65:NHH65"/>
    <mergeCell ref="NEG65:NEN65"/>
    <mergeCell ref="NEO65:NEV65"/>
    <mergeCell ref="NEW65:NFD65"/>
    <mergeCell ref="NFE65:NFL65"/>
    <mergeCell ref="NFM65:NFT65"/>
    <mergeCell ref="NCS65:NCZ65"/>
    <mergeCell ref="NDA65:NDH65"/>
    <mergeCell ref="NDI65:NDP65"/>
    <mergeCell ref="NDQ65:NDX65"/>
    <mergeCell ref="NDY65:NEF65"/>
    <mergeCell ref="NBE65:NBL65"/>
    <mergeCell ref="NBM65:NBT65"/>
    <mergeCell ref="NBU65:NCB65"/>
    <mergeCell ref="NCC65:NCJ65"/>
    <mergeCell ref="NCK65:NCR65"/>
    <mergeCell ref="MZQ65:MZX65"/>
    <mergeCell ref="MZY65:NAF65"/>
    <mergeCell ref="NAG65:NAN65"/>
    <mergeCell ref="NAO65:NAV65"/>
    <mergeCell ref="NAW65:NBD65"/>
    <mergeCell ref="MYC65:MYJ65"/>
    <mergeCell ref="MYK65:MYR65"/>
    <mergeCell ref="MYS65:MYZ65"/>
    <mergeCell ref="MZA65:MZH65"/>
    <mergeCell ref="MZI65:MZP65"/>
    <mergeCell ref="MWO65:MWV65"/>
    <mergeCell ref="MWW65:MXD65"/>
    <mergeCell ref="MXE65:MXL65"/>
    <mergeCell ref="MXM65:MXT65"/>
    <mergeCell ref="MXU65:MYB65"/>
    <mergeCell ref="MVA65:MVH65"/>
    <mergeCell ref="MVI65:MVP65"/>
    <mergeCell ref="MVQ65:MVX65"/>
    <mergeCell ref="MVY65:MWF65"/>
    <mergeCell ref="MWG65:MWN65"/>
    <mergeCell ref="MTM65:MTT65"/>
    <mergeCell ref="MTU65:MUB65"/>
    <mergeCell ref="MUC65:MUJ65"/>
    <mergeCell ref="MUK65:MUR65"/>
    <mergeCell ref="MUS65:MUZ65"/>
    <mergeCell ref="MRY65:MSF65"/>
    <mergeCell ref="MSG65:MSN65"/>
    <mergeCell ref="MSO65:MSV65"/>
    <mergeCell ref="MSW65:MTD65"/>
    <mergeCell ref="MTE65:MTL65"/>
    <mergeCell ref="MQK65:MQR65"/>
    <mergeCell ref="MQS65:MQZ65"/>
    <mergeCell ref="MRA65:MRH65"/>
    <mergeCell ref="MRI65:MRP65"/>
    <mergeCell ref="MRQ65:MRX65"/>
    <mergeCell ref="MOW65:MPD65"/>
    <mergeCell ref="MPE65:MPL65"/>
    <mergeCell ref="MPM65:MPT65"/>
    <mergeCell ref="MPU65:MQB65"/>
    <mergeCell ref="MQC65:MQJ65"/>
    <mergeCell ref="MNI65:MNP65"/>
    <mergeCell ref="MNQ65:MNX65"/>
    <mergeCell ref="MNY65:MOF65"/>
    <mergeCell ref="MOG65:MON65"/>
    <mergeCell ref="MOO65:MOV65"/>
    <mergeCell ref="MLU65:MMB65"/>
    <mergeCell ref="MMC65:MMJ65"/>
    <mergeCell ref="MMK65:MMR65"/>
    <mergeCell ref="MMS65:MMZ65"/>
    <mergeCell ref="MNA65:MNH65"/>
    <mergeCell ref="MKG65:MKN65"/>
    <mergeCell ref="MKO65:MKV65"/>
    <mergeCell ref="MKW65:MLD65"/>
    <mergeCell ref="MLE65:MLL65"/>
    <mergeCell ref="MLM65:MLT65"/>
    <mergeCell ref="MIS65:MIZ65"/>
    <mergeCell ref="MJA65:MJH65"/>
    <mergeCell ref="MJI65:MJP65"/>
    <mergeCell ref="MJQ65:MJX65"/>
    <mergeCell ref="MJY65:MKF65"/>
    <mergeCell ref="MHE65:MHL65"/>
    <mergeCell ref="MHM65:MHT65"/>
    <mergeCell ref="MHU65:MIB65"/>
    <mergeCell ref="MIC65:MIJ65"/>
    <mergeCell ref="MIK65:MIR65"/>
    <mergeCell ref="MFQ65:MFX65"/>
    <mergeCell ref="MFY65:MGF65"/>
    <mergeCell ref="MGG65:MGN65"/>
    <mergeCell ref="MGO65:MGV65"/>
    <mergeCell ref="MGW65:MHD65"/>
    <mergeCell ref="MEC65:MEJ65"/>
    <mergeCell ref="MEK65:MER65"/>
    <mergeCell ref="MES65:MEZ65"/>
    <mergeCell ref="MFA65:MFH65"/>
    <mergeCell ref="MFI65:MFP65"/>
    <mergeCell ref="MCO65:MCV65"/>
    <mergeCell ref="MCW65:MDD65"/>
    <mergeCell ref="MDE65:MDL65"/>
    <mergeCell ref="MDM65:MDT65"/>
    <mergeCell ref="MDU65:MEB65"/>
    <mergeCell ref="MBA65:MBH65"/>
    <mergeCell ref="MBI65:MBP65"/>
    <mergeCell ref="MBQ65:MBX65"/>
    <mergeCell ref="MBY65:MCF65"/>
    <mergeCell ref="MCG65:MCN65"/>
    <mergeCell ref="LZM65:LZT65"/>
    <mergeCell ref="LZU65:MAB65"/>
    <mergeCell ref="MAC65:MAJ65"/>
    <mergeCell ref="MAK65:MAR65"/>
    <mergeCell ref="MAS65:MAZ65"/>
    <mergeCell ref="LXY65:LYF65"/>
    <mergeCell ref="LYG65:LYN65"/>
    <mergeCell ref="LYO65:LYV65"/>
    <mergeCell ref="LYW65:LZD65"/>
    <mergeCell ref="LZE65:LZL65"/>
    <mergeCell ref="LWK65:LWR65"/>
    <mergeCell ref="LWS65:LWZ65"/>
    <mergeCell ref="LXA65:LXH65"/>
    <mergeCell ref="LXI65:LXP65"/>
    <mergeCell ref="LXQ65:LXX65"/>
    <mergeCell ref="LUW65:LVD65"/>
    <mergeCell ref="LVE65:LVL65"/>
    <mergeCell ref="LVM65:LVT65"/>
    <mergeCell ref="LVU65:LWB65"/>
    <mergeCell ref="LWC65:LWJ65"/>
    <mergeCell ref="LTI65:LTP65"/>
    <mergeCell ref="LTQ65:LTX65"/>
    <mergeCell ref="LTY65:LUF65"/>
    <mergeCell ref="LUG65:LUN65"/>
    <mergeCell ref="LUO65:LUV65"/>
    <mergeCell ref="LRU65:LSB65"/>
    <mergeCell ref="LSC65:LSJ65"/>
    <mergeCell ref="LSK65:LSR65"/>
    <mergeCell ref="LSS65:LSZ65"/>
    <mergeCell ref="LTA65:LTH65"/>
    <mergeCell ref="LQG65:LQN65"/>
    <mergeCell ref="LQO65:LQV65"/>
    <mergeCell ref="LQW65:LRD65"/>
    <mergeCell ref="LRE65:LRL65"/>
    <mergeCell ref="LRM65:LRT65"/>
    <mergeCell ref="LOS65:LOZ65"/>
    <mergeCell ref="LPA65:LPH65"/>
    <mergeCell ref="LPI65:LPP65"/>
    <mergeCell ref="LPQ65:LPX65"/>
    <mergeCell ref="LPY65:LQF65"/>
    <mergeCell ref="LNE65:LNL65"/>
    <mergeCell ref="LNM65:LNT65"/>
    <mergeCell ref="LNU65:LOB65"/>
    <mergeCell ref="LOC65:LOJ65"/>
    <mergeCell ref="LOK65:LOR65"/>
    <mergeCell ref="LLQ65:LLX65"/>
    <mergeCell ref="LLY65:LMF65"/>
    <mergeCell ref="LMG65:LMN65"/>
    <mergeCell ref="LMO65:LMV65"/>
    <mergeCell ref="LMW65:LND65"/>
    <mergeCell ref="LKC65:LKJ65"/>
    <mergeCell ref="LKK65:LKR65"/>
    <mergeCell ref="LKS65:LKZ65"/>
    <mergeCell ref="LLA65:LLH65"/>
    <mergeCell ref="LLI65:LLP65"/>
    <mergeCell ref="LIO65:LIV65"/>
    <mergeCell ref="LIW65:LJD65"/>
    <mergeCell ref="LJE65:LJL65"/>
    <mergeCell ref="LJM65:LJT65"/>
    <mergeCell ref="LJU65:LKB65"/>
    <mergeCell ref="LHA65:LHH65"/>
    <mergeCell ref="LHI65:LHP65"/>
    <mergeCell ref="LHQ65:LHX65"/>
    <mergeCell ref="LHY65:LIF65"/>
    <mergeCell ref="LIG65:LIN65"/>
    <mergeCell ref="LFM65:LFT65"/>
    <mergeCell ref="LFU65:LGB65"/>
    <mergeCell ref="LGC65:LGJ65"/>
    <mergeCell ref="LGK65:LGR65"/>
    <mergeCell ref="LGS65:LGZ65"/>
    <mergeCell ref="LDY65:LEF65"/>
    <mergeCell ref="LEG65:LEN65"/>
    <mergeCell ref="LEO65:LEV65"/>
    <mergeCell ref="LEW65:LFD65"/>
    <mergeCell ref="LFE65:LFL65"/>
    <mergeCell ref="LCK65:LCR65"/>
    <mergeCell ref="LCS65:LCZ65"/>
    <mergeCell ref="LDA65:LDH65"/>
    <mergeCell ref="LDI65:LDP65"/>
    <mergeCell ref="LDQ65:LDX65"/>
    <mergeCell ref="LAW65:LBD65"/>
    <mergeCell ref="LBE65:LBL65"/>
    <mergeCell ref="LBM65:LBT65"/>
    <mergeCell ref="LBU65:LCB65"/>
    <mergeCell ref="LCC65:LCJ65"/>
    <mergeCell ref="KZI65:KZP65"/>
    <mergeCell ref="KZQ65:KZX65"/>
    <mergeCell ref="KZY65:LAF65"/>
    <mergeCell ref="LAG65:LAN65"/>
    <mergeCell ref="LAO65:LAV65"/>
    <mergeCell ref="KXU65:KYB65"/>
    <mergeCell ref="KYC65:KYJ65"/>
    <mergeCell ref="KYK65:KYR65"/>
    <mergeCell ref="KYS65:KYZ65"/>
    <mergeCell ref="KZA65:KZH65"/>
    <mergeCell ref="KWG65:KWN65"/>
    <mergeCell ref="KWO65:KWV65"/>
    <mergeCell ref="KWW65:KXD65"/>
    <mergeCell ref="KXE65:KXL65"/>
    <mergeCell ref="KXM65:KXT65"/>
    <mergeCell ref="KUS65:KUZ65"/>
    <mergeCell ref="KVA65:KVH65"/>
    <mergeCell ref="KVI65:KVP65"/>
    <mergeCell ref="KVQ65:KVX65"/>
    <mergeCell ref="KVY65:KWF65"/>
    <mergeCell ref="KTE65:KTL65"/>
    <mergeCell ref="KTM65:KTT65"/>
    <mergeCell ref="KTU65:KUB65"/>
    <mergeCell ref="KUC65:KUJ65"/>
    <mergeCell ref="KUK65:KUR65"/>
    <mergeCell ref="KRQ65:KRX65"/>
    <mergeCell ref="KRY65:KSF65"/>
    <mergeCell ref="KSG65:KSN65"/>
    <mergeCell ref="KSO65:KSV65"/>
    <mergeCell ref="KSW65:KTD65"/>
    <mergeCell ref="KQC65:KQJ65"/>
    <mergeCell ref="KQK65:KQR65"/>
    <mergeCell ref="KQS65:KQZ65"/>
    <mergeCell ref="KRA65:KRH65"/>
    <mergeCell ref="KRI65:KRP65"/>
    <mergeCell ref="KOO65:KOV65"/>
    <mergeCell ref="KOW65:KPD65"/>
    <mergeCell ref="KPE65:KPL65"/>
    <mergeCell ref="KPM65:KPT65"/>
    <mergeCell ref="KPU65:KQB65"/>
    <mergeCell ref="KNA65:KNH65"/>
    <mergeCell ref="KNI65:KNP65"/>
    <mergeCell ref="KNQ65:KNX65"/>
    <mergeCell ref="KNY65:KOF65"/>
    <mergeCell ref="KOG65:KON65"/>
    <mergeCell ref="KLM65:KLT65"/>
    <mergeCell ref="KLU65:KMB65"/>
    <mergeCell ref="KMC65:KMJ65"/>
    <mergeCell ref="KMK65:KMR65"/>
    <mergeCell ref="KMS65:KMZ65"/>
    <mergeCell ref="KJY65:KKF65"/>
    <mergeCell ref="KKG65:KKN65"/>
    <mergeCell ref="KKO65:KKV65"/>
    <mergeCell ref="KKW65:KLD65"/>
    <mergeCell ref="KLE65:KLL65"/>
    <mergeCell ref="KIK65:KIR65"/>
    <mergeCell ref="KIS65:KIZ65"/>
    <mergeCell ref="KJA65:KJH65"/>
    <mergeCell ref="KJI65:KJP65"/>
    <mergeCell ref="KJQ65:KJX65"/>
    <mergeCell ref="KGW65:KHD65"/>
    <mergeCell ref="KHE65:KHL65"/>
    <mergeCell ref="KHM65:KHT65"/>
    <mergeCell ref="KHU65:KIB65"/>
    <mergeCell ref="KIC65:KIJ65"/>
    <mergeCell ref="KFI65:KFP65"/>
    <mergeCell ref="KFQ65:KFX65"/>
    <mergeCell ref="KFY65:KGF65"/>
    <mergeCell ref="KGG65:KGN65"/>
    <mergeCell ref="KGO65:KGV65"/>
    <mergeCell ref="KDU65:KEB65"/>
    <mergeCell ref="KEC65:KEJ65"/>
    <mergeCell ref="KEK65:KER65"/>
    <mergeCell ref="KES65:KEZ65"/>
    <mergeCell ref="KFA65:KFH65"/>
    <mergeCell ref="KCG65:KCN65"/>
    <mergeCell ref="KCO65:KCV65"/>
    <mergeCell ref="KCW65:KDD65"/>
    <mergeCell ref="KDE65:KDL65"/>
    <mergeCell ref="KDM65:KDT65"/>
    <mergeCell ref="KAS65:KAZ65"/>
    <mergeCell ref="KBA65:KBH65"/>
    <mergeCell ref="KBI65:KBP65"/>
    <mergeCell ref="KBQ65:KBX65"/>
    <mergeCell ref="KBY65:KCF65"/>
    <mergeCell ref="JZE65:JZL65"/>
    <mergeCell ref="JZM65:JZT65"/>
    <mergeCell ref="JZU65:KAB65"/>
    <mergeCell ref="KAC65:KAJ65"/>
    <mergeCell ref="KAK65:KAR65"/>
    <mergeCell ref="JXQ65:JXX65"/>
    <mergeCell ref="JXY65:JYF65"/>
    <mergeCell ref="JYG65:JYN65"/>
    <mergeCell ref="JYO65:JYV65"/>
    <mergeCell ref="JYW65:JZD65"/>
    <mergeCell ref="JWC65:JWJ65"/>
    <mergeCell ref="JWK65:JWR65"/>
    <mergeCell ref="JWS65:JWZ65"/>
    <mergeCell ref="JXA65:JXH65"/>
    <mergeCell ref="JXI65:JXP65"/>
    <mergeCell ref="JUO65:JUV65"/>
    <mergeCell ref="JUW65:JVD65"/>
    <mergeCell ref="JVE65:JVL65"/>
    <mergeCell ref="JVM65:JVT65"/>
    <mergeCell ref="JVU65:JWB65"/>
    <mergeCell ref="JTA65:JTH65"/>
    <mergeCell ref="JTI65:JTP65"/>
    <mergeCell ref="JTQ65:JTX65"/>
    <mergeCell ref="JTY65:JUF65"/>
    <mergeCell ref="JUG65:JUN65"/>
    <mergeCell ref="JRM65:JRT65"/>
    <mergeCell ref="JRU65:JSB65"/>
    <mergeCell ref="JSC65:JSJ65"/>
    <mergeCell ref="JSK65:JSR65"/>
    <mergeCell ref="JSS65:JSZ65"/>
    <mergeCell ref="JPY65:JQF65"/>
    <mergeCell ref="JQG65:JQN65"/>
    <mergeCell ref="JQO65:JQV65"/>
    <mergeCell ref="JQW65:JRD65"/>
    <mergeCell ref="JRE65:JRL65"/>
    <mergeCell ref="JOK65:JOR65"/>
    <mergeCell ref="JOS65:JOZ65"/>
    <mergeCell ref="JPA65:JPH65"/>
    <mergeCell ref="JPI65:JPP65"/>
    <mergeCell ref="JPQ65:JPX65"/>
    <mergeCell ref="JMW65:JND65"/>
    <mergeCell ref="JNE65:JNL65"/>
    <mergeCell ref="JNM65:JNT65"/>
    <mergeCell ref="JNU65:JOB65"/>
    <mergeCell ref="JOC65:JOJ65"/>
    <mergeCell ref="JLI65:JLP65"/>
    <mergeCell ref="JLQ65:JLX65"/>
    <mergeCell ref="JLY65:JMF65"/>
    <mergeCell ref="JMG65:JMN65"/>
    <mergeCell ref="JMO65:JMV65"/>
    <mergeCell ref="JJU65:JKB65"/>
    <mergeCell ref="JKC65:JKJ65"/>
    <mergeCell ref="JKK65:JKR65"/>
    <mergeCell ref="JKS65:JKZ65"/>
    <mergeCell ref="JLA65:JLH65"/>
    <mergeCell ref="JIG65:JIN65"/>
    <mergeCell ref="JIO65:JIV65"/>
    <mergeCell ref="JIW65:JJD65"/>
    <mergeCell ref="JJE65:JJL65"/>
    <mergeCell ref="JJM65:JJT65"/>
    <mergeCell ref="JGS65:JGZ65"/>
    <mergeCell ref="JHA65:JHH65"/>
    <mergeCell ref="JHI65:JHP65"/>
    <mergeCell ref="JHQ65:JHX65"/>
    <mergeCell ref="JHY65:JIF65"/>
    <mergeCell ref="JFE65:JFL65"/>
    <mergeCell ref="JFM65:JFT65"/>
    <mergeCell ref="JFU65:JGB65"/>
    <mergeCell ref="JGC65:JGJ65"/>
    <mergeCell ref="JGK65:JGR65"/>
    <mergeCell ref="JDQ65:JDX65"/>
    <mergeCell ref="JDY65:JEF65"/>
    <mergeCell ref="JEG65:JEN65"/>
    <mergeCell ref="JEO65:JEV65"/>
    <mergeCell ref="JEW65:JFD65"/>
    <mergeCell ref="JCC65:JCJ65"/>
    <mergeCell ref="JCK65:JCR65"/>
    <mergeCell ref="JCS65:JCZ65"/>
    <mergeCell ref="JDA65:JDH65"/>
    <mergeCell ref="JDI65:JDP65"/>
    <mergeCell ref="JAO65:JAV65"/>
    <mergeCell ref="JAW65:JBD65"/>
    <mergeCell ref="JBE65:JBL65"/>
    <mergeCell ref="JBM65:JBT65"/>
    <mergeCell ref="JBU65:JCB65"/>
    <mergeCell ref="IZA65:IZH65"/>
    <mergeCell ref="IZI65:IZP65"/>
    <mergeCell ref="IZQ65:IZX65"/>
    <mergeCell ref="IZY65:JAF65"/>
    <mergeCell ref="JAG65:JAN65"/>
    <mergeCell ref="IXM65:IXT65"/>
    <mergeCell ref="IXU65:IYB65"/>
    <mergeCell ref="IYC65:IYJ65"/>
    <mergeCell ref="IYK65:IYR65"/>
    <mergeCell ref="IYS65:IYZ65"/>
    <mergeCell ref="IVY65:IWF65"/>
    <mergeCell ref="IWG65:IWN65"/>
    <mergeCell ref="IWO65:IWV65"/>
    <mergeCell ref="IWW65:IXD65"/>
    <mergeCell ref="IXE65:IXL65"/>
    <mergeCell ref="IUK65:IUR65"/>
    <mergeCell ref="IUS65:IUZ65"/>
    <mergeCell ref="IVA65:IVH65"/>
    <mergeCell ref="IVI65:IVP65"/>
    <mergeCell ref="IVQ65:IVX65"/>
    <mergeCell ref="ISW65:ITD65"/>
    <mergeCell ref="ITE65:ITL65"/>
    <mergeCell ref="ITM65:ITT65"/>
    <mergeCell ref="ITU65:IUB65"/>
    <mergeCell ref="IUC65:IUJ65"/>
    <mergeCell ref="IRI65:IRP65"/>
    <mergeCell ref="IRQ65:IRX65"/>
    <mergeCell ref="IRY65:ISF65"/>
    <mergeCell ref="ISG65:ISN65"/>
    <mergeCell ref="ISO65:ISV65"/>
    <mergeCell ref="IPU65:IQB65"/>
    <mergeCell ref="IQC65:IQJ65"/>
    <mergeCell ref="IQK65:IQR65"/>
    <mergeCell ref="IQS65:IQZ65"/>
    <mergeCell ref="IRA65:IRH65"/>
    <mergeCell ref="IOG65:ION65"/>
    <mergeCell ref="IOO65:IOV65"/>
    <mergeCell ref="IOW65:IPD65"/>
    <mergeCell ref="IPE65:IPL65"/>
    <mergeCell ref="IPM65:IPT65"/>
    <mergeCell ref="IMS65:IMZ65"/>
    <mergeCell ref="INA65:INH65"/>
    <mergeCell ref="INI65:INP65"/>
    <mergeCell ref="INQ65:INX65"/>
    <mergeCell ref="INY65:IOF65"/>
    <mergeCell ref="ILE65:ILL65"/>
    <mergeCell ref="ILM65:ILT65"/>
    <mergeCell ref="ILU65:IMB65"/>
    <mergeCell ref="IMC65:IMJ65"/>
    <mergeCell ref="IMK65:IMR65"/>
    <mergeCell ref="IJQ65:IJX65"/>
    <mergeCell ref="IJY65:IKF65"/>
    <mergeCell ref="IKG65:IKN65"/>
    <mergeCell ref="IKO65:IKV65"/>
    <mergeCell ref="IKW65:ILD65"/>
    <mergeCell ref="IIC65:IIJ65"/>
    <mergeCell ref="IIK65:IIR65"/>
    <mergeCell ref="IIS65:IIZ65"/>
    <mergeCell ref="IJA65:IJH65"/>
    <mergeCell ref="IJI65:IJP65"/>
    <mergeCell ref="IGO65:IGV65"/>
    <mergeCell ref="IGW65:IHD65"/>
    <mergeCell ref="IHE65:IHL65"/>
    <mergeCell ref="IHM65:IHT65"/>
    <mergeCell ref="IHU65:IIB65"/>
    <mergeCell ref="IFA65:IFH65"/>
    <mergeCell ref="IFI65:IFP65"/>
    <mergeCell ref="IFQ65:IFX65"/>
    <mergeCell ref="IFY65:IGF65"/>
    <mergeCell ref="IGG65:IGN65"/>
    <mergeCell ref="IDM65:IDT65"/>
    <mergeCell ref="IDU65:IEB65"/>
    <mergeCell ref="IEC65:IEJ65"/>
    <mergeCell ref="IEK65:IER65"/>
    <mergeCell ref="IES65:IEZ65"/>
    <mergeCell ref="IBY65:ICF65"/>
    <mergeCell ref="ICG65:ICN65"/>
    <mergeCell ref="ICO65:ICV65"/>
    <mergeCell ref="ICW65:IDD65"/>
    <mergeCell ref="IDE65:IDL65"/>
    <mergeCell ref="IAK65:IAR65"/>
    <mergeCell ref="IAS65:IAZ65"/>
    <mergeCell ref="IBA65:IBH65"/>
    <mergeCell ref="IBI65:IBP65"/>
    <mergeCell ref="IBQ65:IBX65"/>
    <mergeCell ref="HYW65:HZD65"/>
    <mergeCell ref="HZE65:HZL65"/>
    <mergeCell ref="HZM65:HZT65"/>
    <mergeCell ref="HZU65:IAB65"/>
    <mergeCell ref="IAC65:IAJ65"/>
    <mergeCell ref="HXI65:HXP65"/>
    <mergeCell ref="HXQ65:HXX65"/>
    <mergeCell ref="HXY65:HYF65"/>
    <mergeCell ref="HYG65:HYN65"/>
    <mergeCell ref="HYO65:HYV65"/>
    <mergeCell ref="HVU65:HWB65"/>
    <mergeCell ref="HWC65:HWJ65"/>
    <mergeCell ref="HWK65:HWR65"/>
    <mergeCell ref="HWS65:HWZ65"/>
    <mergeCell ref="HXA65:HXH65"/>
    <mergeCell ref="HUG65:HUN65"/>
    <mergeCell ref="HUO65:HUV65"/>
    <mergeCell ref="HUW65:HVD65"/>
    <mergeCell ref="HVE65:HVL65"/>
    <mergeCell ref="HVM65:HVT65"/>
    <mergeCell ref="HSS65:HSZ65"/>
    <mergeCell ref="HTA65:HTH65"/>
    <mergeCell ref="HTI65:HTP65"/>
    <mergeCell ref="HTQ65:HTX65"/>
    <mergeCell ref="HTY65:HUF65"/>
    <mergeCell ref="HRE65:HRL65"/>
    <mergeCell ref="HRM65:HRT65"/>
    <mergeCell ref="HRU65:HSB65"/>
    <mergeCell ref="HSC65:HSJ65"/>
    <mergeCell ref="HSK65:HSR65"/>
    <mergeCell ref="HPQ65:HPX65"/>
    <mergeCell ref="HPY65:HQF65"/>
    <mergeCell ref="HQG65:HQN65"/>
    <mergeCell ref="HQO65:HQV65"/>
    <mergeCell ref="HQW65:HRD65"/>
    <mergeCell ref="HOC65:HOJ65"/>
    <mergeCell ref="HOK65:HOR65"/>
    <mergeCell ref="HOS65:HOZ65"/>
    <mergeCell ref="HPA65:HPH65"/>
    <mergeCell ref="HPI65:HPP65"/>
    <mergeCell ref="HMO65:HMV65"/>
    <mergeCell ref="HMW65:HND65"/>
    <mergeCell ref="HNE65:HNL65"/>
    <mergeCell ref="HNM65:HNT65"/>
    <mergeCell ref="HNU65:HOB65"/>
    <mergeCell ref="HLA65:HLH65"/>
    <mergeCell ref="HLI65:HLP65"/>
    <mergeCell ref="HLQ65:HLX65"/>
    <mergeCell ref="HLY65:HMF65"/>
    <mergeCell ref="HMG65:HMN65"/>
    <mergeCell ref="HJM65:HJT65"/>
    <mergeCell ref="HJU65:HKB65"/>
    <mergeCell ref="HKC65:HKJ65"/>
    <mergeCell ref="HKK65:HKR65"/>
    <mergeCell ref="HKS65:HKZ65"/>
    <mergeCell ref="HHY65:HIF65"/>
    <mergeCell ref="HIG65:HIN65"/>
    <mergeCell ref="HIO65:HIV65"/>
    <mergeCell ref="HIW65:HJD65"/>
    <mergeCell ref="HJE65:HJL65"/>
    <mergeCell ref="HGK65:HGR65"/>
    <mergeCell ref="HGS65:HGZ65"/>
    <mergeCell ref="HHA65:HHH65"/>
    <mergeCell ref="HHI65:HHP65"/>
    <mergeCell ref="HHQ65:HHX65"/>
    <mergeCell ref="HEW65:HFD65"/>
    <mergeCell ref="HFE65:HFL65"/>
    <mergeCell ref="HFM65:HFT65"/>
    <mergeCell ref="HFU65:HGB65"/>
    <mergeCell ref="HGC65:HGJ65"/>
    <mergeCell ref="HDI65:HDP65"/>
    <mergeCell ref="HDQ65:HDX65"/>
    <mergeCell ref="HDY65:HEF65"/>
    <mergeCell ref="HEG65:HEN65"/>
    <mergeCell ref="HEO65:HEV65"/>
    <mergeCell ref="HBU65:HCB65"/>
    <mergeCell ref="HCC65:HCJ65"/>
    <mergeCell ref="HCK65:HCR65"/>
    <mergeCell ref="HCS65:HCZ65"/>
    <mergeCell ref="HDA65:HDH65"/>
    <mergeCell ref="HAG65:HAN65"/>
    <mergeCell ref="HAO65:HAV65"/>
    <mergeCell ref="HAW65:HBD65"/>
    <mergeCell ref="HBE65:HBL65"/>
    <mergeCell ref="HBM65:HBT65"/>
    <mergeCell ref="GYS65:GYZ65"/>
    <mergeCell ref="GZA65:GZH65"/>
    <mergeCell ref="GZI65:GZP65"/>
    <mergeCell ref="GZQ65:GZX65"/>
    <mergeCell ref="GZY65:HAF65"/>
    <mergeCell ref="GXE65:GXL65"/>
    <mergeCell ref="GXM65:GXT65"/>
    <mergeCell ref="GXU65:GYB65"/>
    <mergeCell ref="GYC65:GYJ65"/>
    <mergeCell ref="GYK65:GYR65"/>
    <mergeCell ref="GVQ65:GVX65"/>
    <mergeCell ref="GVY65:GWF65"/>
    <mergeCell ref="GWG65:GWN65"/>
    <mergeCell ref="GWO65:GWV65"/>
    <mergeCell ref="GWW65:GXD65"/>
    <mergeCell ref="GUC65:GUJ65"/>
    <mergeCell ref="GUK65:GUR65"/>
    <mergeCell ref="GUS65:GUZ65"/>
    <mergeCell ref="GVA65:GVH65"/>
    <mergeCell ref="GVI65:GVP65"/>
    <mergeCell ref="GSO65:GSV65"/>
    <mergeCell ref="GSW65:GTD65"/>
    <mergeCell ref="GTE65:GTL65"/>
    <mergeCell ref="GTM65:GTT65"/>
    <mergeCell ref="GTU65:GUB65"/>
    <mergeCell ref="GRA65:GRH65"/>
    <mergeCell ref="GRI65:GRP65"/>
    <mergeCell ref="GRQ65:GRX65"/>
    <mergeCell ref="GRY65:GSF65"/>
    <mergeCell ref="GSG65:GSN65"/>
    <mergeCell ref="GPM65:GPT65"/>
    <mergeCell ref="GPU65:GQB65"/>
    <mergeCell ref="GQC65:GQJ65"/>
    <mergeCell ref="GQK65:GQR65"/>
    <mergeCell ref="GQS65:GQZ65"/>
    <mergeCell ref="GNY65:GOF65"/>
    <mergeCell ref="GOG65:GON65"/>
    <mergeCell ref="GOO65:GOV65"/>
    <mergeCell ref="GOW65:GPD65"/>
    <mergeCell ref="GPE65:GPL65"/>
    <mergeCell ref="GMK65:GMR65"/>
    <mergeCell ref="GMS65:GMZ65"/>
    <mergeCell ref="GNA65:GNH65"/>
    <mergeCell ref="GNI65:GNP65"/>
    <mergeCell ref="GNQ65:GNX65"/>
    <mergeCell ref="GKW65:GLD65"/>
    <mergeCell ref="GLE65:GLL65"/>
    <mergeCell ref="GLM65:GLT65"/>
    <mergeCell ref="GLU65:GMB65"/>
    <mergeCell ref="GMC65:GMJ65"/>
    <mergeCell ref="GJI65:GJP65"/>
    <mergeCell ref="GJQ65:GJX65"/>
    <mergeCell ref="GJY65:GKF65"/>
    <mergeCell ref="GKG65:GKN65"/>
    <mergeCell ref="GKO65:GKV65"/>
    <mergeCell ref="GHU65:GIB65"/>
    <mergeCell ref="GIC65:GIJ65"/>
    <mergeCell ref="GIK65:GIR65"/>
    <mergeCell ref="GIS65:GIZ65"/>
    <mergeCell ref="GJA65:GJH65"/>
    <mergeCell ref="GGG65:GGN65"/>
    <mergeCell ref="GGO65:GGV65"/>
    <mergeCell ref="GGW65:GHD65"/>
    <mergeCell ref="GHE65:GHL65"/>
    <mergeCell ref="GHM65:GHT65"/>
    <mergeCell ref="GES65:GEZ65"/>
    <mergeCell ref="GFA65:GFH65"/>
    <mergeCell ref="GFI65:GFP65"/>
    <mergeCell ref="GFQ65:GFX65"/>
    <mergeCell ref="GFY65:GGF65"/>
    <mergeCell ref="GDE65:GDL65"/>
    <mergeCell ref="GDM65:GDT65"/>
    <mergeCell ref="GDU65:GEB65"/>
    <mergeCell ref="GEC65:GEJ65"/>
    <mergeCell ref="GEK65:GER65"/>
    <mergeCell ref="GBQ65:GBX65"/>
    <mergeCell ref="GBY65:GCF65"/>
    <mergeCell ref="GCG65:GCN65"/>
    <mergeCell ref="GCO65:GCV65"/>
    <mergeCell ref="GCW65:GDD65"/>
    <mergeCell ref="GAC65:GAJ65"/>
    <mergeCell ref="GAK65:GAR65"/>
    <mergeCell ref="GAS65:GAZ65"/>
    <mergeCell ref="GBA65:GBH65"/>
    <mergeCell ref="GBI65:GBP65"/>
    <mergeCell ref="FYO65:FYV65"/>
    <mergeCell ref="FYW65:FZD65"/>
    <mergeCell ref="FZE65:FZL65"/>
    <mergeCell ref="FZM65:FZT65"/>
    <mergeCell ref="FZU65:GAB65"/>
    <mergeCell ref="FXA65:FXH65"/>
    <mergeCell ref="FXI65:FXP65"/>
    <mergeCell ref="FXQ65:FXX65"/>
    <mergeCell ref="FXY65:FYF65"/>
    <mergeCell ref="FYG65:FYN65"/>
    <mergeCell ref="FVM65:FVT65"/>
    <mergeCell ref="FVU65:FWB65"/>
    <mergeCell ref="FWC65:FWJ65"/>
    <mergeCell ref="FWK65:FWR65"/>
    <mergeCell ref="FWS65:FWZ65"/>
    <mergeCell ref="FTY65:FUF65"/>
    <mergeCell ref="FUG65:FUN65"/>
    <mergeCell ref="FUO65:FUV65"/>
    <mergeCell ref="FUW65:FVD65"/>
    <mergeCell ref="FVE65:FVL65"/>
    <mergeCell ref="FSK65:FSR65"/>
    <mergeCell ref="FSS65:FSZ65"/>
    <mergeCell ref="FTA65:FTH65"/>
    <mergeCell ref="FTI65:FTP65"/>
    <mergeCell ref="FTQ65:FTX65"/>
    <mergeCell ref="FQW65:FRD65"/>
    <mergeCell ref="FRE65:FRL65"/>
    <mergeCell ref="FRM65:FRT65"/>
    <mergeCell ref="FRU65:FSB65"/>
    <mergeCell ref="FSC65:FSJ65"/>
    <mergeCell ref="FPI65:FPP65"/>
    <mergeCell ref="FPQ65:FPX65"/>
    <mergeCell ref="FPY65:FQF65"/>
    <mergeCell ref="FQG65:FQN65"/>
    <mergeCell ref="FQO65:FQV65"/>
    <mergeCell ref="FNU65:FOB65"/>
    <mergeCell ref="FOC65:FOJ65"/>
    <mergeCell ref="FOK65:FOR65"/>
    <mergeCell ref="FOS65:FOZ65"/>
    <mergeCell ref="FPA65:FPH65"/>
    <mergeCell ref="FMG65:FMN65"/>
    <mergeCell ref="FMO65:FMV65"/>
    <mergeCell ref="FMW65:FND65"/>
    <mergeCell ref="FNE65:FNL65"/>
    <mergeCell ref="FNM65:FNT65"/>
    <mergeCell ref="FKS65:FKZ65"/>
    <mergeCell ref="FLA65:FLH65"/>
    <mergeCell ref="FLI65:FLP65"/>
    <mergeCell ref="FLQ65:FLX65"/>
    <mergeCell ref="FLY65:FMF65"/>
    <mergeCell ref="FJE65:FJL65"/>
    <mergeCell ref="FJM65:FJT65"/>
    <mergeCell ref="FJU65:FKB65"/>
    <mergeCell ref="FKC65:FKJ65"/>
    <mergeCell ref="FKK65:FKR65"/>
    <mergeCell ref="FHQ65:FHX65"/>
    <mergeCell ref="FHY65:FIF65"/>
    <mergeCell ref="FIG65:FIN65"/>
    <mergeCell ref="FIO65:FIV65"/>
    <mergeCell ref="FIW65:FJD65"/>
    <mergeCell ref="FGC65:FGJ65"/>
    <mergeCell ref="FGK65:FGR65"/>
    <mergeCell ref="FGS65:FGZ65"/>
    <mergeCell ref="FHA65:FHH65"/>
    <mergeCell ref="FHI65:FHP65"/>
    <mergeCell ref="FEO65:FEV65"/>
    <mergeCell ref="FEW65:FFD65"/>
    <mergeCell ref="FFE65:FFL65"/>
    <mergeCell ref="FFM65:FFT65"/>
    <mergeCell ref="FFU65:FGB65"/>
    <mergeCell ref="FDA65:FDH65"/>
    <mergeCell ref="FDI65:FDP65"/>
    <mergeCell ref="FDQ65:FDX65"/>
    <mergeCell ref="FDY65:FEF65"/>
    <mergeCell ref="FEG65:FEN65"/>
    <mergeCell ref="FBM65:FBT65"/>
    <mergeCell ref="FBU65:FCB65"/>
    <mergeCell ref="FCC65:FCJ65"/>
    <mergeCell ref="FCK65:FCR65"/>
    <mergeCell ref="FCS65:FCZ65"/>
    <mergeCell ref="EZY65:FAF65"/>
    <mergeCell ref="FAG65:FAN65"/>
    <mergeCell ref="FAO65:FAV65"/>
    <mergeCell ref="FAW65:FBD65"/>
    <mergeCell ref="FBE65:FBL65"/>
    <mergeCell ref="EYK65:EYR65"/>
    <mergeCell ref="EYS65:EYZ65"/>
    <mergeCell ref="EZA65:EZH65"/>
    <mergeCell ref="EZI65:EZP65"/>
    <mergeCell ref="EZQ65:EZX65"/>
    <mergeCell ref="EWW65:EXD65"/>
    <mergeCell ref="EXE65:EXL65"/>
    <mergeCell ref="EXM65:EXT65"/>
    <mergeCell ref="EXU65:EYB65"/>
    <mergeCell ref="EYC65:EYJ65"/>
    <mergeCell ref="EVI65:EVP65"/>
    <mergeCell ref="EVQ65:EVX65"/>
    <mergeCell ref="EVY65:EWF65"/>
    <mergeCell ref="EWG65:EWN65"/>
    <mergeCell ref="EWO65:EWV65"/>
    <mergeCell ref="ETU65:EUB65"/>
    <mergeCell ref="EUC65:EUJ65"/>
    <mergeCell ref="EUK65:EUR65"/>
    <mergeCell ref="EUS65:EUZ65"/>
    <mergeCell ref="EVA65:EVH65"/>
    <mergeCell ref="ESG65:ESN65"/>
    <mergeCell ref="ESO65:ESV65"/>
    <mergeCell ref="ESW65:ETD65"/>
    <mergeCell ref="ETE65:ETL65"/>
    <mergeCell ref="ETM65:ETT65"/>
    <mergeCell ref="EQS65:EQZ65"/>
    <mergeCell ref="ERA65:ERH65"/>
    <mergeCell ref="ERI65:ERP65"/>
    <mergeCell ref="ERQ65:ERX65"/>
    <mergeCell ref="ERY65:ESF65"/>
    <mergeCell ref="EPE65:EPL65"/>
    <mergeCell ref="EPM65:EPT65"/>
    <mergeCell ref="EPU65:EQB65"/>
    <mergeCell ref="EQC65:EQJ65"/>
    <mergeCell ref="EQK65:EQR65"/>
    <mergeCell ref="ENQ65:ENX65"/>
    <mergeCell ref="ENY65:EOF65"/>
    <mergeCell ref="EOG65:EON65"/>
    <mergeCell ref="EOO65:EOV65"/>
    <mergeCell ref="EOW65:EPD65"/>
    <mergeCell ref="EMC65:EMJ65"/>
    <mergeCell ref="EMK65:EMR65"/>
    <mergeCell ref="EMS65:EMZ65"/>
    <mergeCell ref="ENA65:ENH65"/>
    <mergeCell ref="ENI65:ENP65"/>
    <mergeCell ref="EKO65:EKV65"/>
    <mergeCell ref="EKW65:ELD65"/>
    <mergeCell ref="ELE65:ELL65"/>
    <mergeCell ref="ELM65:ELT65"/>
    <mergeCell ref="ELU65:EMB65"/>
    <mergeCell ref="EJA65:EJH65"/>
    <mergeCell ref="EJI65:EJP65"/>
    <mergeCell ref="EJQ65:EJX65"/>
    <mergeCell ref="EJY65:EKF65"/>
    <mergeCell ref="EKG65:EKN65"/>
    <mergeCell ref="EHM65:EHT65"/>
    <mergeCell ref="EHU65:EIB65"/>
    <mergeCell ref="EIC65:EIJ65"/>
    <mergeCell ref="EIK65:EIR65"/>
    <mergeCell ref="EIS65:EIZ65"/>
    <mergeCell ref="EFY65:EGF65"/>
    <mergeCell ref="EGG65:EGN65"/>
    <mergeCell ref="EGO65:EGV65"/>
    <mergeCell ref="EGW65:EHD65"/>
    <mergeCell ref="EHE65:EHL65"/>
    <mergeCell ref="EEK65:EER65"/>
    <mergeCell ref="EES65:EEZ65"/>
    <mergeCell ref="EFA65:EFH65"/>
    <mergeCell ref="EFI65:EFP65"/>
    <mergeCell ref="EFQ65:EFX65"/>
    <mergeCell ref="ECW65:EDD65"/>
    <mergeCell ref="EDE65:EDL65"/>
    <mergeCell ref="EDM65:EDT65"/>
    <mergeCell ref="EDU65:EEB65"/>
    <mergeCell ref="EEC65:EEJ65"/>
    <mergeCell ref="EBI65:EBP65"/>
    <mergeCell ref="EBQ65:EBX65"/>
    <mergeCell ref="EBY65:ECF65"/>
    <mergeCell ref="ECG65:ECN65"/>
    <mergeCell ref="ECO65:ECV65"/>
    <mergeCell ref="DZU65:EAB65"/>
    <mergeCell ref="EAC65:EAJ65"/>
    <mergeCell ref="EAK65:EAR65"/>
    <mergeCell ref="EAS65:EAZ65"/>
    <mergeCell ref="EBA65:EBH65"/>
    <mergeCell ref="DYG65:DYN65"/>
    <mergeCell ref="DYO65:DYV65"/>
    <mergeCell ref="DYW65:DZD65"/>
    <mergeCell ref="DZE65:DZL65"/>
    <mergeCell ref="DZM65:DZT65"/>
    <mergeCell ref="DWS65:DWZ65"/>
    <mergeCell ref="DXA65:DXH65"/>
    <mergeCell ref="DXI65:DXP65"/>
    <mergeCell ref="DXQ65:DXX65"/>
    <mergeCell ref="DXY65:DYF65"/>
    <mergeCell ref="DVE65:DVL65"/>
    <mergeCell ref="DVM65:DVT65"/>
    <mergeCell ref="DVU65:DWB65"/>
    <mergeCell ref="DWC65:DWJ65"/>
    <mergeCell ref="DWK65:DWR65"/>
    <mergeCell ref="DTQ65:DTX65"/>
    <mergeCell ref="DTY65:DUF65"/>
    <mergeCell ref="DUG65:DUN65"/>
    <mergeCell ref="DUO65:DUV65"/>
    <mergeCell ref="DUW65:DVD65"/>
    <mergeCell ref="DSC65:DSJ65"/>
    <mergeCell ref="DSK65:DSR65"/>
    <mergeCell ref="DSS65:DSZ65"/>
    <mergeCell ref="DTA65:DTH65"/>
    <mergeCell ref="DTI65:DTP65"/>
    <mergeCell ref="DQO65:DQV65"/>
    <mergeCell ref="DQW65:DRD65"/>
    <mergeCell ref="DRE65:DRL65"/>
    <mergeCell ref="DRM65:DRT65"/>
    <mergeCell ref="DRU65:DSB65"/>
    <mergeCell ref="DPA65:DPH65"/>
    <mergeCell ref="DPI65:DPP65"/>
    <mergeCell ref="DPQ65:DPX65"/>
    <mergeCell ref="DPY65:DQF65"/>
    <mergeCell ref="DQG65:DQN65"/>
    <mergeCell ref="DNM65:DNT65"/>
    <mergeCell ref="DNU65:DOB65"/>
    <mergeCell ref="DOC65:DOJ65"/>
    <mergeCell ref="DOK65:DOR65"/>
    <mergeCell ref="DOS65:DOZ65"/>
    <mergeCell ref="DLY65:DMF65"/>
    <mergeCell ref="DMG65:DMN65"/>
    <mergeCell ref="DMO65:DMV65"/>
    <mergeCell ref="DMW65:DND65"/>
    <mergeCell ref="DNE65:DNL65"/>
    <mergeCell ref="DKK65:DKR65"/>
    <mergeCell ref="DKS65:DKZ65"/>
    <mergeCell ref="DLA65:DLH65"/>
    <mergeCell ref="DLI65:DLP65"/>
    <mergeCell ref="DLQ65:DLX65"/>
    <mergeCell ref="DIW65:DJD65"/>
    <mergeCell ref="DJE65:DJL65"/>
    <mergeCell ref="DJM65:DJT65"/>
    <mergeCell ref="DJU65:DKB65"/>
    <mergeCell ref="DKC65:DKJ65"/>
    <mergeCell ref="DHI65:DHP65"/>
    <mergeCell ref="DHQ65:DHX65"/>
    <mergeCell ref="DHY65:DIF65"/>
    <mergeCell ref="DIG65:DIN65"/>
    <mergeCell ref="DIO65:DIV65"/>
    <mergeCell ref="DFU65:DGB65"/>
    <mergeCell ref="DGC65:DGJ65"/>
    <mergeCell ref="DGK65:DGR65"/>
    <mergeCell ref="DGS65:DGZ65"/>
    <mergeCell ref="DHA65:DHH65"/>
    <mergeCell ref="DEG65:DEN65"/>
    <mergeCell ref="DEO65:DEV65"/>
    <mergeCell ref="DEW65:DFD65"/>
    <mergeCell ref="DFE65:DFL65"/>
    <mergeCell ref="DFM65:DFT65"/>
    <mergeCell ref="DCS65:DCZ65"/>
    <mergeCell ref="DDA65:DDH65"/>
    <mergeCell ref="DDI65:DDP65"/>
    <mergeCell ref="DDQ65:DDX65"/>
    <mergeCell ref="DDY65:DEF65"/>
    <mergeCell ref="DBE65:DBL65"/>
    <mergeCell ref="DBM65:DBT65"/>
    <mergeCell ref="DBU65:DCB65"/>
    <mergeCell ref="DCC65:DCJ65"/>
    <mergeCell ref="DCK65:DCR65"/>
    <mergeCell ref="CZQ65:CZX65"/>
    <mergeCell ref="CZY65:DAF65"/>
    <mergeCell ref="DAG65:DAN65"/>
    <mergeCell ref="DAO65:DAV65"/>
    <mergeCell ref="DAW65:DBD65"/>
    <mergeCell ref="CYC65:CYJ65"/>
    <mergeCell ref="CYK65:CYR65"/>
    <mergeCell ref="CYS65:CYZ65"/>
    <mergeCell ref="CZA65:CZH65"/>
    <mergeCell ref="CZI65:CZP65"/>
    <mergeCell ref="CWO65:CWV65"/>
    <mergeCell ref="CWW65:CXD65"/>
    <mergeCell ref="CXE65:CXL65"/>
    <mergeCell ref="CXM65:CXT65"/>
    <mergeCell ref="CXU65:CYB65"/>
    <mergeCell ref="CVA65:CVH65"/>
    <mergeCell ref="CVI65:CVP65"/>
    <mergeCell ref="CVQ65:CVX65"/>
    <mergeCell ref="CVY65:CWF65"/>
    <mergeCell ref="CWG65:CWN65"/>
    <mergeCell ref="CTM65:CTT65"/>
    <mergeCell ref="CTU65:CUB65"/>
    <mergeCell ref="CUC65:CUJ65"/>
    <mergeCell ref="CUK65:CUR65"/>
    <mergeCell ref="CUS65:CUZ65"/>
    <mergeCell ref="CRY65:CSF65"/>
    <mergeCell ref="CSG65:CSN65"/>
    <mergeCell ref="CSO65:CSV65"/>
    <mergeCell ref="CSW65:CTD65"/>
    <mergeCell ref="CTE65:CTL65"/>
    <mergeCell ref="CQK65:CQR65"/>
    <mergeCell ref="CQS65:CQZ65"/>
    <mergeCell ref="CRA65:CRH65"/>
    <mergeCell ref="CRI65:CRP65"/>
    <mergeCell ref="CRQ65:CRX65"/>
    <mergeCell ref="COW65:CPD65"/>
    <mergeCell ref="CPE65:CPL65"/>
    <mergeCell ref="CPM65:CPT65"/>
    <mergeCell ref="CPU65:CQB65"/>
    <mergeCell ref="CQC65:CQJ65"/>
    <mergeCell ref="CNI65:CNP65"/>
    <mergeCell ref="CNQ65:CNX65"/>
    <mergeCell ref="CNY65:COF65"/>
    <mergeCell ref="COG65:CON65"/>
    <mergeCell ref="COO65:COV65"/>
    <mergeCell ref="CLU65:CMB65"/>
    <mergeCell ref="CMC65:CMJ65"/>
    <mergeCell ref="CMK65:CMR65"/>
    <mergeCell ref="CMS65:CMZ65"/>
    <mergeCell ref="CNA65:CNH65"/>
    <mergeCell ref="CKG65:CKN65"/>
    <mergeCell ref="CKO65:CKV65"/>
    <mergeCell ref="CKW65:CLD65"/>
    <mergeCell ref="CLE65:CLL65"/>
    <mergeCell ref="CLM65:CLT65"/>
    <mergeCell ref="CIS65:CIZ65"/>
    <mergeCell ref="CJA65:CJH65"/>
    <mergeCell ref="CJI65:CJP65"/>
    <mergeCell ref="CJQ65:CJX65"/>
    <mergeCell ref="CJY65:CKF65"/>
    <mergeCell ref="CHE65:CHL65"/>
    <mergeCell ref="CHM65:CHT65"/>
    <mergeCell ref="CHU65:CIB65"/>
    <mergeCell ref="CIC65:CIJ65"/>
    <mergeCell ref="CIK65:CIR65"/>
    <mergeCell ref="CFQ65:CFX65"/>
    <mergeCell ref="CFY65:CGF65"/>
    <mergeCell ref="CGG65:CGN65"/>
    <mergeCell ref="CGO65:CGV65"/>
    <mergeCell ref="CGW65:CHD65"/>
    <mergeCell ref="CEC65:CEJ65"/>
    <mergeCell ref="CEK65:CER65"/>
    <mergeCell ref="CES65:CEZ65"/>
    <mergeCell ref="CFA65:CFH65"/>
    <mergeCell ref="CFI65:CFP65"/>
    <mergeCell ref="CCO65:CCV65"/>
    <mergeCell ref="CCW65:CDD65"/>
    <mergeCell ref="CDE65:CDL65"/>
    <mergeCell ref="CDM65:CDT65"/>
    <mergeCell ref="CDU65:CEB65"/>
    <mergeCell ref="CBA65:CBH65"/>
    <mergeCell ref="CBI65:CBP65"/>
    <mergeCell ref="CBQ65:CBX65"/>
    <mergeCell ref="CBY65:CCF65"/>
    <mergeCell ref="CCG65:CCN65"/>
    <mergeCell ref="BZM65:BZT65"/>
    <mergeCell ref="BZU65:CAB65"/>
    <mergeCell ref="CAC65:CAJ65"/>
    <mergeCell ref="CAK65:CAR65"/>
    <mergeCell ref="CAS65:CAZ65"/>
    <mergeCell ref="BXY65:BYF65"/>
    <mergeCell ref="BYG65:BYN65"/>
    <mergeCell ref="BYO65:BYV65"/>
    <mergeCell ref="BYW65:BZD65"/>
    <mergeCell ref="BZE65:BZL65"/>
    <mergeCell ref="BWK65:BWR65"/>
    <mergeCell ref="BWS65:BWZ65"/>
    <mergeCell ref="BXA65:BXH65"/>
    <mergeCell ref="BXI65:BXP65"/>
    <mergeCell ref="BXQ65:BXX65"/>
    <mergeCell ref="BUW65:BVD65"/>
    <mergeCell ref="BVE65:BVL65"/>
    <mergeCell ref="BVM65:BVT65"/>
    <mergeCell ref="BVU65:BWB65"/>
    <mergeCell ref="BWC65:BWJ65"/>
    <mergeCell ref="BTI65:BTP65"/>
    <mergeCell ref="BTQ65:BTX65"/>
    <mergeCell ref="BTY65:BUF65"/>
    <mergeCell ref="BUG65:BUN65"/>
    <mergeCell ref="BUO65:BUV65"/>
    <mergeCell ref="BRU65:BSB65"/>
    <mergeCell ref="BSC65:BSJ65"/>
    <mergeCell ref="BSK65:BSR65"/>
    <mergeCell ref="BSS65:BSZ65"/>
    <mergeCell ref="BTA65:BTH65"/>
    <mergeCell ref="BQG65:BQN65"/>
    <mergeCell ref="BQO65:BQV65"/>
    <mergeCell ref="BQW65:BRD65"/>
    <mergeCell ref="BRE65:BRL65"/>
    <mergeCell ref="BRM65:BRT65"/>
    <mergeCell ref="BOS65:BOZ65"/>
    <mergeCell ref="BPA65:BPH65"/>
    <mergeCell ref="BPI65:BPP65"/>
    <mergeCell ref="BPQ65:BPX65"/>
    <mergeCell ref="BPY65:BQF65"/>
    <mergeCell ref="BNE65:BNL65"/>
    <mergeCell ref="BNM65:BNT65"/>
    <mergeCell ref="BNU65:BOB65"/>
    <mergeCell ref="BOC65:BOJ65"/>
    <mergeCell ref="BOK65:BOR65"/>
    <mergeCell ref="BLQ65:BLX65"/>
    <mergeCell ref="BLY65:BMF65"/>
    <mergeCell ref="BMG65:BMN65"/>
    <mergeCell ref="BMO65:BMV65"/>
    <mergeCell ref="BMW65:BND65"/>
    <mergeCell ref="BKC65:BKJ65"/>
    <mergeCell ref="BKK65:BKR65"/>
    <mergeCell ref="BKS65:BKZ65"/>
    <mergeCell ref="BLA65:BLH65"/>
    <mergeCell ref="BLI65:BLP65"/>
    <mergeCell ref="BIO65:BIV65"/>
    <mergeCell ref="BIW65:BJD65"/>
    <mergeCell ref="BJE65:BJL65"/>
    <mergeCell ref="BJM65:BJT65"/>
    <mergeCell ref="BJU65:BKB65"/>
    <mergeCell ref="BHA65:BHH65"/>
    <mergeCell ref="BHI65:BHP65"/>
    <mergeCell ref="BHQ65:BHX65"/>
    <mergeCell ref="BHY65:BIF65"/>
    <mergeCell ref="BIG65:BIN65"/>
    <mergeCell ref="BFM65:BFT65"/>
    <mergeCell ref="BFU65:BGB65"/>
    <mergeCell ref="BGC65:BGJ65"/>
    <mergeCell ref="BGK65:BGR65"/>
    <mergeCell ref="BGS65:BGZ65"/>
    <mergeCell ref="BDY65:BEF65"/>
    <mergeCell ref="BEG65:BEN65"/>
    <mergeCell ref="BEO65:BEV65"/>
    <mergeCell ref="BEW65:BFD65"/>
    <mergeCell ref="BFE65:BFL65"/>
    <mergeCell ref="BCK65:BCR65"/>
    <mergeCell ref="BCS65:BCZ65"/>
    <mergeCell ref="BDA65:BDH65"/>
    <mergeCell ref="BDI65:BDP65"/>
    <mergeCell ref="BDQ65:BDX65"/>
    <mergeCell ref="BAW65:BBD65"/>
    <mergeCell ref="BBE65:BBL65"/>
    <mergeCell ref="BBM65:BBT65"/>
    <mergeCell ref="BBU65:BCB65"/>
    <mergeCell ref="BCC65:BCJ65"/>
    <mergeCell ref="AZI65:AZP65"/>
    <mergeCell ref="AZQ65:AZX65"/>
    <mergeCell ref="AZY65:BAF65"/>
    <mergeCell ref="BAG65:BAN65"/>
    <mergeCell ref="BAO65:BAV65"/>
    <mergeCell ref="AXU65:AYB65"/>
    <mergeCell ref="AYC65:AYJ65"/>
    <mergeCell ref="AYK65:AYR65"/>
    <mergeCell ref="AYS65:AYZ65"/>
    <mergeCell ref="AZA65:AZH65"/>
    <mergeCell ref="AWG65:AWN65"/>
    <mergeCell ref="AWO65:AWV65"/>
    <mergeCell ref="AWW65:AXD65"/>
    <mergeCell ref="AXE65:AXL65"/>
    <mergeCell ref="AXM65:AXT65"/>
    <mergeCell ref="AUS65:AUZ65"/>
    <mergeCell ref="AVA65:AVH65"/>
    <mergeCell ref="AVI65:AVP65"/>
    <mergeCell ref="AVQ65:AVX65"/>
    <mergeCell ref="AVY65:AWF65"/>
    <mergeCell ref="ATE65:ATL65"/>
    <mergeCell ref="ATM65:ATT65"/>
    <mergeCell ref="ATU65:AUB65"/>
    <mergeCell ref="AUC65:AUJ65"/>
    <mergeCell ref="AUK65:AUR65"/>
    <mergeCell ref="ARQ65:ARX65"/>
    <mergeCell ref="ARY65:ASF65"/>
    <mergeCell ref="ASG65:ASN65"/>
    <mergeCell ref="ASO65:ASV65"/>
    <mergeCell ref="ASW65:ATD65"/>
    <mergeCell ref="AQC65:AQJ65"/>
    <mergeCell ref="AQK65:AQR65"/>
    <mergeCell ref="AQS65:AQZ65"/>
    <mergeCell ref="ARA65:ARH65"/>
    <mergeCell ref="ARI65:ARP65"/>
    <mergeCell ref="AOO65:AOV65"/>
    <mergeCell ref="AOW65:APD65"/>
    <mergeCell ref="APE65:APL65"/>
    <mergeCell ref="APM65:APT65"/>
    <mergeCell ref="APU65:AQB65"/>
    <mergeCell ref="ANA65:ANH65"/>
    <mergeCell ref="ANI65:ANP65"/>
    <mergeCell ref="ANQ65:ANX65"/>
    <mergeCell ref="ANY65:AOF65"/>
    <mergeCell ref="AOG65:AON65"/>
    <mergeCell ref="ALM65:ALT65"/>
    <mergeCell ref="ALU65:AMB65"/>
    <mergeCell ref="AMC65:AMJ65"/>
    <mergeCell ref="AMK65:AMR65"/>
    <mergeCell ref="AMS65:AMZ65"/>
    <mergeCell ref="AJY65:AKF65"/>
    <mergeCell ref="AKG65:AKN65"/>
    <mergeCell ref="AKO65:AKV65"/>
    <mergeCell ref="AKW65:ALD65"/>
    <mergeCell ref="ALE65:ALL65"/>
    <mergeCell ref="AIK65:AIR65"/>
    <mergeCell ref="AIS65:AIZ65"/>
    <mergeCell ref="AJA65:AJH65"/>
    <mergeCell ref="AJI65:AJP65"/>
    <mergeCell ref="AJQ65:AJX65"/>
    <mergeCell ref="AGW65:AHD65"/>
    <mergeCell ref="AHE65:AHL65"/>
    <mergeCell ref="AHM65:AHT65"/>
    <mergeCell ref="AHU65:AIB65"/>
    <mergeCell ref="AIC65:AIJ65"/>
    <mergeCell ref="AFI65:AFP65"/>
    <mergeCell ref="AFQ65:AFX65"/>
    <mergeCell ref="AFY65:AGF65"/>
    <mergeCell ref="AGG65:AGN65"/>
    <mergeCell ref="AGO65:AGV65"/>
    <mergeCell ref="ADU65:AEB65"/>
    <mergeCell ref="AEC65:AEJ65"/>
    <mergeCell ref="AEK65:AER65"/>
    <mergeCell ref="AES65:AEZ65"/>
    <mergeCell ref="AFA65:AFH65"/>
    <mergeCell ref="ACG65:ACN65"/>
    <mergeCell ref="ACO65:ACV65"/>
    <mergeCell ref="ACW65:ADD65"/>
    <mergeCell ref="ADE65:ADL65"/>
    <mergeCell ref="ADM65:ADT65"/>
    <mergeCell ref="AAS65:AAZ65"/>
    <mergeCell ref="ABA65:ABH65"/>
    <mergeCell ref="ABI65:ABP65"/>
    <mergeCell ref="ABQ65:ABX65"/>
    <mergeCell ref="ABY65:ACF65"/>
    <mergeCell ref="ZE65:ZL65"/>
    <mergeCell ref="ZM65:ZT65"/>
    <mergeCell ref="ZU65:AAB65"/>
    <mergeCell ref="AAC65:AAJ65"/>
    <mergeCell ref="AAK65:AAR65"/>
    <mergeCell ref="XQ65:XX65"/>
    <mergeCell ref="XY65:YF65"/>
    <mergeCell ref="YG65:YN65"/>
    <mergeCell ref="YO65:YV65"/>
    <mergeCell ref="YW65:ZD65"/>
    <mergeCell ref="WC65:WJ65"/>
    <mergeCell ref="WK65:WR65"/>
    <mergeCell ref="WS65:WZ65"/>
    <mergeCell ref="XA65:XH65"/>
    <mergeCell ref="XI65:XP65"/>
    <mergeCell ref="UO65:UV65"/>
    <mergeCell ref="UW65:VD65"/>
    <mergeCell ref="VE65:VL65"/>
    <mergeCell ref="VM65:VT65"/>
    <mergeCell ref="VU65:WB65"/>
    <mergeCell ref="TA65:TH65"/>
    <mergeCell ref="TI65:TP65"/>
    <mergeCell ref="TQ65:TX65"/>
    <mergeCell ref="TY65:UF65"/>
    <mergeCell ref="UG65:UN65"/>
    <mergeCell ref="RM65:RT65"/>
    <mergeCell ref="RU65:SB65"/>
    <mergeCell ref="SC65:SJ65"/>
    <mergeCell ref="SK65:SR65"/>
    <mergeCell ref="SS65:SZ65"/>
    <mergeCell ref="PY65:QF65"/>
    <mergeCell ref="QG65:QN65"/>
    <mergeCell ref="QO65:QV65"/>
    <mergeCell ref="QW65:RD65"/>
    <mergeCell ref="RE65:RL65"/>
    <mergeCell ref="OK65:OR65"/>
    <mergeCell ref="OS65:OZ65"/>
    <mergeCell ref="PA65:PH65"/>
    <mergeCell ref="PI65:PP65"/>
    <mergeCell ref="PQ65:PX65"/>
    <mergeCell ref="MW65:ND65"/>
    <mergeCell ref="NE65:NL65"/>
    <mergeCell ref="NM65:NT65"/>
    <mergeCell ref="NU65:OB65"/>
    <mergeCell ref="OC65:OJ65"/>
    <mergeCell ref="LI65:LP65"/>
    <mergeCell ref="LQ65:LX65"/>
    <mergeCell ref="LY65:MF65"/>
    <mergeCell ref="MG65:MN65"/>
    <mergeCell ref="MO65:MV65"/>
    <mergeCell ref="JU65:KB65"/>
    <mergeCell ref="KC65:KJ65"/>
    <mergeCell ref="KK65:KR65"/>
    <mergeCell ref="KS65:KZ65"/>
    <mergeCell ref="LA65:LH65"/>
    <mergeCell ref="IG65:IN65"/>
    <mergeCell ref="IO65:IV65"/>
    <mergeCell ref="IW65:JD65"/>
    <mergeCell ref="JE65:JL65"/>
    <mergeCell ref="JM65:JT65"/>
    <mergeCell ref="GS65:GZ65"/>
    <mergeCell ref="HA65:HH65"/>
    <mergeCell ref="HI65:HP65"/>
    <mergeCell ref="HQ65:HX65"/>
    <mergeCell ref="HY65:IF65"/>
    <mergeCell ref="FE65:FL65"/>
    <mergeCell ref="FM65:FT65"/>
    <mergeCell ref="FU65:GB65"/>
    <mergeCell ref="GC65:GJ65"/>
    <mergeCell ref="GK65:GR65"/>
    <mergeCell ref="DQ65:DX65"/>
    <mergeCell ref="DY65:EF65"/>
    <mergeCell ref="EG65:EN65"/>
    <mergeCell ref="EO65:EV65"/>
    <mergeCell ref="EW65:FD65"/>
    <mergeCell ref="XEW64:XFD64"/>
    <mergeCell ref="A65:H65"/>
    <mergeCell ref="I65:P65"/>
    <mergeCell ref="Q65:X65"/>
    <mergeCell ref="Y65:AF65"/>
    <mergeCell ref="AG65:AN65"/>
    <mergeCell ref="AO65:AV65"/>
    <mergeCell ref="AW65:BD65"/>
    <mergeCell ref="BE65:BL65"/>
    <mergeCell ref="BM65:BT65"/>
    <mergeCell ref="BU65:CB65"/>
    <mergeCell ref="CC65:CJ65"/>
    <mergeCell ref="CK65:CR65"/>
    <mergeCell ref="CS65:CZ65"/>
    <mergeCell ref="DA65:DH65"/>
    <mergeCell ref="DI65:DP65"/>
    <mergeCell ref="XDI64:XDP64"/>
    <mergeCell ref="XDQ64:XDX64"/>
    <mergeCell ref="XDY64:XEF64"/>
    <mergeCell ref="XEG64:XEN64"/>
    <mergeCell ref="XEO64:XEV64"/>
    <mergeCell ref="XBU64:XCB64"/>
    <mergeCell ref="XCC64:XCJ64"/>
    <mergeCell ref="XCK64:XCR64"/>
    <mergeCell ref="XCS64:XCZ64"/>
    <mergeCell ref="XDA64:XDH64"/>
    <mergeCell ref="XAG64:XAN64"/>
    <mergeCell ref="XAO64:XAV64"/>
    <mergeCell ref="XAW64:XBD64"/>
    <mergeCell ref="XBE64:XBL64"/>
    <mergeCell ref="XBM64:XBT64"/>
    <mergeCell ref="WYS64:WYZ64"/>
    <mergeCell ref="WZA64:WZH64"/>
    <mergeCell ref="WZI64:WZP64"/>
    <mergeCell ref="WZQ64:WZX64"/>
    <mergeCell ref="WZY64:XAF64"/>
    <mergeCell ref="WXE64:WXL64"/>
    <mergeCell ref="WXM64:WXT64"/>
    <mergeCell ref="WXU64:WYB64"/>
    <mergeCell ref="WYC64:WYJ64"/>
    <mergeCell ref="WYK64:WYR64"/>
    <mergeCell ref="WVQ64:WVX64"/>
    <mergeCell ref="WVY64:WWF64"/>
    <mergeCell ref="WWG64:WWN64"/>
    <mergeCell ref="WWO64:WWV64"/>
    <mergeCell ref="WWW64:WXD64"/>
    <mergeCell ref="WUC64:WUJ64"/>
    <mergeCell ref="WUK64:WUR64"/>
    <mergeCell ref="WUS64:WUZ64"/>
    <mergeCell ref="WVA64:WVH64"/>
    <mergeCell ref="WVI64:WVP64"/>
    <mergeCell ref="WSO64:WSV64"/>
    <mergeCell ref="WSW64:WTD64"/>
    <mergeCell ref="WTE64:WTL64"/>
    <mergeCell ref="WTM64:WTT64"/>
    <mergeCell ref="WTU64:WUB64"/>
    <mergeCell ref="WRA64:WRH64"/>
    <mergeCell ref="WRI64:WRP64"/>
    <mergeCell ref="WRQ64:WRX64"/>
    <mergeCell ref="WRY64:WSF64"/>
    <mergeCell ref="WSG64:WSN64"/>
    <mergeCell ref="WPM64:WPT64"/>
    <mergeCell ref="WPU64:WQB64"/>
    <mergeCell ref="WQC64:WQJ64"/>
    <mergeCell ref="WQK64:WQR64"/>
    <mergeCell ref="WQS64:WQZ64"/>
    <mergeCell ref="WNY64:WOF64"/>
    <mergeCell ref="WOG64:WON64"/>
    <mergeCell ref="WOO64:WOV64"/>
    <mergeCell ref="WOW64:WPD64"/>
    <mergeCell ref="WPE64:WPL64"/>
    <mergeCell ref="WMK64:WMR64"/>
    <mergeCell ref="WMS64:WMZ64"/>
    <mergeCell ref="WNA64:WNH64"/>
    <mergeCell ref="WNI64:WNP64"/>
    <mergeCell ref="WNQ64:WNX64"/>
    <mergeCell ref="WKW64:WLD64"/>
    <mergeCell ref="WLE64:WLL64"/>
    <mergeCell ref="WLM64:WLT64"/>
    <mergeCell ref="WLU64:WMB64"/>
    <mergeCell ref="WMC64:WMJ64"/>
    <mergeCell ref="WJI64:WJP64"/>
    <mergeCell ref="WJQ64:WJX64"/>
    <mergeCell ref="WJY64:WKF64"/>
    <mergeCell ref="WKG64:WKN64"/>
    <mergeCell ref="WKO64:WKV64"/>
    <mergeCell ref="WHU64:WIB64"/>
    <mergeCell ref="WIC64:WIJ64"/>
    <mergeCell ref="WIK64:WIR64"/>
    <mergeCell ref="WIS64:WIZ64"/>
    <mergeCell ref="WJA64:WJH64"/>
    <mergeCell ref="WGG64:WGN64"/>
    <mergeCell ref="WGO64:WGV64"/>
    <mergeCell ref="WGW64:WHD64"/>
    <mergeCell ref="WHE64:WHL64"/>
    <mergeCell ref="WHM64:WHT64"/>
    <mergeCell ref="WES64:WEZ64"/>
    <mergeCell ref="WFA64:WFH64"/>
    <mergeCell ref="WFI64:WFP64"/>
    <mergeCell ref="WFQ64:WFX64"/>
    <mergeCell ref="WFY64:WGF64"/>
    <mergeCell ref="WDE64:WDL64"/>
    <mergeCell ref="WDM64:WDT64"/>
    <mergeCell ref="WDU64:WEB64"/>
    <mergeCell ref="WEC64:WEJ64"/>
    <mergeCell ref="WEK64:WER64"/>
    <mergeCell ref="WBQ64:WBX64"/>
    <mergeCell ref="WBY64:WCF64"/>
    <mergeCell ref="WCG64:WCN64"/>
    <mergeCell ref="WCO64:WCV64"/>
    <mergeCell ref="WCW64:WDD64"/>
    <mergeCell ref="WAC64:WAJ64"/>
    <mergeCell ref="WAK64:WAR64"/>
    <mergeCell ref="WAS64:WAZ64"/>
    <mergeCell ref="WBA64:WBH64"/>
    <mergeCell ref="WBI64:WBP64"/>
    <mergeCell ref="VYO64:VYV64"/>
    <mergeCell ref="VYW64:VZD64"/>
    <mergeCell ref="VZE64:VZL64"/>
    <mergeCell ref="VZM64:VZT64"/>
    <mergeCell ref="VZU64:WAB64"/>
    <mergeCell ref="VXA64:VXH64"/>
    <mergeCell ref="VXI64:VXP64"/>
    <mergeCell ref="VXQ64:VXX64"/>
    <mergeCell ref="VXY64:VYF64"/>
    <mergeCell ref="VYG64:VYN64"/>
    <mergeCell ref="VVM64:VVT64"/>
    <mergeCell ref="VVU64:VWB64"/>
    <mergeCell ref="VWC64:VWJ64"/>
    <mergeCell ref="VWK64:VWR64"/>
    <mergeCell ref="VWS64:VWZ64"/>
    <mergeCell ref="VTY64:VUF64"/>
    <mergeCell ref="VUG64:VUN64"/>
    <mergeCell ref="VUO64:VUV64"/>
    <mergeCell ref="VUW64:VVD64"/>
    <mergeCell ref="VVE64:VVL64"/>
    <mergeCell ref="VSK64:VSR64"/>
    <mergeCell ref="VSS64:VSZ64"/>
    <mergeCell ref="VTA64:VTH64"/>
    <mergeCell ref="VTI64:VTP64"/>
    <mergeCell ref="VTQ64:VTX64"/>
    <mergeCell ref="VQW64:VRD64"/>
    <mergeCell ref="VRE64:VRL64"/>
    <mergeCell ref="VRM64:VRT64"/>
    <mergeCell ref="VRU64:VSB64"/>
    <mergeCell ref="VSC64:VSJ64"/>
    <mergeCell ref="VPI64:VPP64"/>
    <mergeCell ref="VPQ64:VPX64"/>
    <mergeCell ref="VPY64:VQF64"/>
    <mergeCell ref="VQG64:VQN64"/>
    <mergeCell ref="VQO64:VQV64"/>
    <mergeCell ref="VNU64:VOB64"/>
    <mergeCell ref="VOC64:VOJ64"/>
    <mergeCell ref="VOK64:VOR64"/>
    <mergeCell ref="VOS64:VOZ64"/>
    <mergeCell ref="VPA64:VPH64"/>
    <mergeCell ref="VMG64:VMN64"/>
    <mergeCell ref="VMO64:VMV64"/>
    <mergeCell ref="VMW64:VND64"/>
    <mergeCell ref="VNE64:VNL64"/>
    <mergeCell ref="VNM64:VNT64"/>
    <mergeCell ref="VKS64:VKZ64"/>
    <mergeCell ref="VLA64:VLH64"/>
    <mergeCell ref="VLI64:VLP64"/>
    <mergeCell ref="VLQ64:VLX64"/>
    <mergeCell ref="VLY64:VMF64"/>
    <mergeCell ref="VJE64:VJL64"/>
    <mergeCell ref="VJM64:VJT64"/>
    <mergeCell ref="VJU64:VKB64"/>
    <mergeCell ref="VKC64:VKJ64"/>
    <mergeCell ref="VKK64:VKR64"/>
    <mergeCell ref="VHQ64:VHX64"/>
    <mergeCell ref="VHY64:VIF64"/>
    <mergeCell ref="VIG64:VIN64"/>
    <mergeCell ref="VIO64:VIV64"/>
    <mergeCell ref="VIW64:VJD64"/>
    <mergeCell ref="VGC64:VGJ64"/>
    <mergeCell ref="VGK64:VGR64"/>
    <mergeCell ref="VGS64:VGZ64"/>
    <mergeCell ref="VHA64:VHH64"/>
    <mergeCell ref="VHI64:VHP64"/>
    <mergeCell ref="VEO64:VEV64"/>
    <mergeCell ref="VEW64:VFD64"/>
    <mergeCell ref="VFE64:VFL64"/>
    <mergeCell ref="VFM64:VFT64"/>
    <mergeCell ref="VFU64:VGB64"/>
    <mergeCell ref="VDA64:VDH64"/>
    <mergeCell ref="VDI64:VDP64"/>
    <mergeCell ref="VDQ64:VDX64"/>
    <mergeCell ref="VDY64:VEF64"/>
    <mergeCell ref="VEG64:VEN64"/>
    <mergeCell ref="VBM64:VBT64"/>
    <mergeCell ref="VBU64:VCB64"/>
    <mergeCell ref="VCC64:VCJ64"/>
    <mergeCell ref="VCK64:VCR64"/>
    <mergeCell ref="VCS64:VCZ64"/>
    <mergeCell ref="UZY64:VAF64"/>
    <mergeCell ref="VAG64:VAN64"/>
    <mergeCell ref="VAO64:VAV64"/>
    <mergeCell ref="VAW64:VBD64"/>
    <mergeCell ref="VBE64:VBL64"/>
    <mergeCell ref="UYK64:UYR64"/>
    <mergeCell ref="UYS64:UYZ64"/>
    <mergeCell ref="UZA64:UZH64"/>
    <mergeCell ref="UZI64:UZP64"/>
    <mergeCell ref="UZQ64:UZX64"/>
    <mergeCell ref="UWW64:UXD64"/>
    <mergeCell ref="UXE64:UXL64"/>
    <mergeCell ref="UXM64:UXT64"/>
    <mergeCell ref="UXU64:UYB64"/>
    <mergeCell ref="UYC64:UYJ64"/>
    <mergeCell ref="UVI64:UVP64"/>
    <mergeCell ref="UVQ64:UVX64"/>
    <mergeCell ref="UVY64:UWF64"/>
    <mergeCell ref="UWG64:UWN64"/>
    <mergeCell ref="UWO64:UWV64"/>
    <mergeCell ref="UTU64:UUB64"/>
    <mergeCell ref="UUC64:UUJ64"/>
    <mergeCell ref="UUK64:UUR64"/>
    <mergeCell ref="UUS64:UUZ64"/>
    <mergeCell ref="UVA64:UVH64"/>
    <mergeCell ref="USG64:USN64"/>
    <mergeCell ref="USO64:USV64"/>
    <mergeCell ref="USW64:UTD64"/>
    <mergeCell ref="UTE64:UTL64"/>
    <mergeCell ref="UTM64:UTT64"/>
    <mergeCell ref="UQS64:UQZ64"/>
    <mergeCell ref="URA64:URH64"/>
    <mergeCell ref="URI64:URP64"/>
    <mergeCell ref="URQ64:URX64"/>
    <mergeCell ref="URY64:USF64"/>
    <mergeCell ref="UPE64:UPL64"/>
    <mergeCell ref="UPM64:UPT64"/>
    <mergeCell ref="UPU64:UQB64"/>
    <mergeCell ref="UQC64:UQJ64"/>
    <mergeCell ref="UQK64:UQR64"/>
    <mergeCell ref="UNQ64:UNX64"/>
    <mergeCell ref="UNY64:UOF64"/>
    <mergeCell ref="UOG64:UON64"/>
    <mergeCell ref="UOO64:UOV64"/>
    <mergeCell ref="UOW64:UPD64"/>
    <mergeCell ref="UMC64:UMJ64"/>
    <mergeCell ref="UMK64:UMR64"/>
    <mergeCell ref="UMS64:UMZ64"/>
    <mergeCell ref="UNA64:UNH64"/>
    <mergeCell ref="UNI64:UNP64"/>
    <mergeCell ref="UKO64:UKV64"/>
    <mergeCell ref="UKW64:ULD64"/>
    <mergeCell ref="ULE64:ULL64"/>
    <mergeCell ref="ULM64:ULT64"/>
    <mergeCell ref="ULU64:UMB64"/>
    <mergeCell ref="UJA64:UJH64"/>
    <mergeCell ref="UJI64:UJP64"/>
    <mergeCell ref="UJQ64:UJX64"/>
    <mergeCell ref="UJY64:UKF64"/>
    <mergeCell ref="UKG64:UKN64"/>
    <mergeCell ref="UHM64:UHT64"/>
    <mergeCell ref="UHU64:UIB64"/>
    <mergeCell ref="UIC64:UIJ64"/>
    <mergeCell ref="UIK64:UIR64"/>
    <mergeCell ref="UIS64:UIZ64"/>
    <mergeCell ref="UFY64:UGF64"/>
    <mergeCell ref="UGG64:UGN64"/>
    <mergeCell ref="UGO64:UGV64"/>
    <mergeCell ref="UGW64:UHD64"/>
    <mergeCell ref="UHE64:UHL64"/>
    <mergeCell ref="UEK64:UER64"/>
    <mergeCell ref="UES64:UEZ64"/>
    <mergeCell ref="UFA64:UFH64"/>
    <mergeCell ref="UFI64:UFP64"/>
    <mergeCell ref="UFQ64:UFX64"/>
    <mergeCell ref="UCW64:UDD64"/>
    <mergeCell ref="UDE64:UDL64"/>
    <mergeCell ref="UDM64:UDT64"/>
    <mergeCell ref="UDU64:UEB64"/>
    <mergeCell ref="UEC64:UEJ64"/>
    <mergeCell ref="UBI64:UBP64"/>
    <mergeCell ref="UBQ64:UBX64"/>
    <mergeCell ref="UBY64:UCF64"/>
    <mergeCell ref="UCG64:UCN64"/>
    <mergeCell ref="UCO64:UCV64"/>
    <mergeCell ref="TZU64:UAB64"/>
    <mergeCell ref="UAC64:UAJ64"/>
    <mergeCell ref="UAK64:UAR64"/>
    <mergeCell ref="UAS64:UAZ64"/>
    <mergeCell ref="UBA64:UBH64"/>
    <mergeCell ref="TYG64:TYN64"/>
    <mergeCell ref="TYO64:TYV64"/>
    <mergeCell ref="TYW64:TZD64"/>
    <mergeCell ref="TZE64:TZL64"/>
    <mergeCell ref="TZM64:TZT64"/>
    <mergeCell ref="TWS64:TWZ64"/>
    <mergeCell ref="TXA64:TXH64"/>
    <mergeCell ref="TXI64:TXP64"/>
    <mergeCell ref="TXQ64:TXX64"/>
    <mergeCell ref="TXY64:TYF64"/>
    <mergeCell ref="TVE64:TVL64"/>
    <mergeCell ref="TVM64:TVT64"/>
    <mergeCell ref="TVU64:TWB64"/>
    <mergeCell ref="TWC64:TWJ64"/>
    <mergeCell ref="TWK64:TWR64"/>
    <mergeCell ref="TTQ64:TTX64"/>
    <mergeCell ref="TTY64:TUF64"/>
    <mergeCell ref="TUG64:TUN64"/>
    <mergeCell ref="TUO64:TUV64"/>
    <mergeCell ref="TUW64:TVD64"/>
    <mergeCell ref="TSC64:TSJ64"/>
    <mergeCell ref="TSK64:TSR64"/>
    <mergeCell ref="TSS64:TSZ64"/>
    <mergeCell ref="TTA64:TTH64"/>
    <mergeCell ref="TTI64:TTP64"/>
    <mergeCell ref="TQO64:TQV64"/>
    <mergeCell ref="TQW64:TRD64"/>
    <mergeCell ref="TRE64:TRL64"/>
    <mergeCell ref="TRM64:TRT64"/>
    <mergeCell ref="TRU64:TSB64"/>
    <mergeCell ref="TPA64:TPH64"/>
    <mergeCell ref="TPI64:TPP64"/>
    <mergeCell ref="TPQ64:TPX64"/>
    <mergeCell ref="TPY64:TQF64"/>
    <mergeCell ref="TQG64:TQN64"/>
    <mergeCell ref="TNM64:TNT64"/>
    <mergeCell ref="TNU64:TOB64"/>
    <mergeCell ref="TOC64:TOJ64"/>
    <mergeCell ref="TOK64:TOR64"/>
    <mergeCell ref="TOS64:TOZ64"/>
    <mergeCell ref="TLY64:TMF64"/>
    <mergeCell ref="TMG64:TMN64"/>
    <mergeCell ref="TMO64:TMV64"/>
    <mergeCell ref="TMW64:TND64"/>
    <mergeCell ref="TNE64:TNL64"/>
    <mergeCell ref="TKK64:TKR64"/>
    <mergeCell ref="TKS64:TKZ64"/>
    <mergeCell ref="TLA64:TLH64"/>
    <mergeCell ref="TLI64:TLP64"/>
    <mergeCell ref="TLQ64:TLX64"/>
    <mergeCell ref="TIW64:TJD64"/>
    <mergeCell ref="TJE64:TJL64"/>
    <mergeCell ref="TJM64:TJT64"/>
    <mergeCell ref="TJU64:TKB64"/>
    <mergeCell ref="TKC64:TKJ64"/>
    <mergeCell ref="THI64:THP64"/>
    <mergeCell ref="THQ64:THX64"/>
    <mergeCell ref="THY64:TIF64"/>
    <mergeCell ref="TIG64:TIN64"/>
    <mergeCell ref="TIO64:TIV64"/>
    <mergeCell ref="TFU64:TGB64"/>
    <mergeCell ref="TGC64:TGJ64"/>
    <mergeCell ref="TGK64:TGR64"/>
    <mergeCell ref="TGS64:TGZ64"/>
    <mergeCell ref="THA64:THH64"/>
    <mergeCell ref="TEG64:TEN64"/>
    <mergeCell ref="TEO64:TEV64"/>
    <mergeCell ref="TEW64:TFD64"/>
    <mergeCell ref="TFE64:TFL64"/>
    <mergeCell ref="TFM64:TFT64"/>
    <mergeCell ref="TCS64:TCZ64"/>
    <mergeCell ref="TDA64:TDH64"/>
    <mergeCell ref="TDI64:TDP64"/>
    <mergeCell ref="TDQ64:TDX64"/>
    <mergeCell ref="TDY64:TEF64"/>
    <mergeCell ref="TBE64:TBL64"/>
    <mergeCell ref="TBM64:TBT64"/>
    <mergeCell ref="TBU64:TCB64"/>
    <mergeCell ref="TCC64:TCJ64"/>
    <mergeCell ref="TCK64:TCR64"/>
    <mergeCell ref="SZQ64:SZX64"/>
    <mergeCell ref="SZY64:TAF64"/>
    <mergeCell ref="TAG64:TAN64"/>
    <mergeCell ref="TAO64:TAV64"/>
    <mergeCell ref="TAW64:TBD64"/>
    <mergeCell ref="SYC64:SYJ64"/>
    <mergeCell ref="SYK64:SYR64"/>
    <mergeCell ref="SYS64:SYZ64"/>
    <mergeCell ref="SZA64:SZH64"/>
    <mergeCell ref="SZI64:SZP64"/>
    <mergeCell ref="SWO64:SWV64"/>
    <mergeCell ref="SWW64:SXD64"/>
    <mergeCell ref="SXE64:SXL64"/>
    <mergeCell ref="SXM64:SXT64"/>
    <mergeCell ref="SXU64:SYB64"/>
    <mergeCell ref="SVA64:SVH64"/>
    <mergeCell ref="SVI64:SVP64"/>
    <mergeCell ref="SVQ64:SVX64"/>
    <mergeCell ref="SVY64:SWF64"/>
    <mergeCell ref="SWG64:SWN64"/>
    <mergeCell ref="STM64:STT64"/>
    <mergeCell ref="STU64:SUB64"/>
    <mergeCell ref="SUC64:SUJ64"/>
    <mergeCell ref="SUK64:SUR64"/>
    <mergeCell ref="SUS64:SUZ64"/>
    <mergeCell ref="SRY64:SSF64"/>
    <mergeCell ref="SSG64:SSN64"/>
    <mergeCell ref="SSO64:SSV64"/>
    <mergeCell ref="SSW64:STD64"/>
    <mergeCell ref="STE64:STL64"/>
    <mergeCell ref="SQK64:SQR64"/>
    <mergeCell ref="SQS64:SQZ64"/>
    <mergeCell ref="SRA64:SRH64"/>
    <mergeCell ref="SRI64:SRP64"/>
    <mergeCell ref="SRQ64:SRX64"/>
    <mergeCell ref="SOW64:SPD64"/>
    <mergeCell ref="SPE64:SPL64"/>
    <mergeCell ref="SPM64:SPT64"/>
    <mergeCell ref="SPU64:SQB64"/>
    <mergeCell ref="SQC64:SQJ64"/>
    <mergeCell ref="SNI64:SNP64"/>
    <mergeCell ref="SNQ64:SNX64"/>
    <mergeCell ref="SNY64:SOF64"/>
    <mergeCell ref="SOG64:SON64"/>
    <mergeCell ref="SOO64:SOV64"/>
    <mergeCell ref="SLU64:SMB64"/>
    <mergeCell ref="SMC64:SMJ64"/>
    <mergeCell ref="SMK64:SMR64"/>
    <mergeCell ref="SMS64:SMZ64"/>
    <mergeCell ref="SNA64:SNH64"/>
    <mergeCell ref="SKG64:SKN64"/>
    <mergeCell ref="SKO64:SKV64"/>
    <mergeCell ref="SKW64:SLD64"/>
    <mergeCell ref="SLE64:SLL64"/>
    <mergeCell ref="SLM64:SLT64"/>
    <mergeCell ref="SIS64:SIZ64"/>
    <mergeCell ref="SJA64:SJH64"/>
    <mergeCell ref="SJI64:SJP64"/>
    <mergeCell ref="SJQ64:SJX64"/>
    <mergeCell ref="SJY64:SKF64"/>
    <mergeCell ref="SHE64:SHL64"/>
    <mergeCell ref="SHM64:SHT64"/>
    <mergeCell ref="SHU64:SIB64"/>
    <mergeCell ref="SIC64:SIJ64"/>
    <mergeCell ref="SIK64:SIR64"/>
    <mergeCell ref="SFQ64:SFX64"/>
    <mergeCell ref="SFY64:SGF64"/>
    <mergeCell ref="SGG64:SGN64"/>
    <mergeCell ref="SGO64:SGV64"/>
    <mergeCell ref="SGW64:SHD64"/>
    <mergeCell ref="SEC64:SEJ64"/>
    <mergeCell ref="SEK64:SER64"/>
    <mergeCell ref="SES64:SEZ64"/>
    <mergeCell ref="SFA64:SFH64"/>
    <mergeCell ref="SFI64:SFP64"/>
    <mergeCell ref="SCO64:SCV64"/>
    <mergeCell ref="SCW64:SDD64"/>
    <mergeCell ref="SDE64:SDL64"/>
    <mergeCell ref="SDM64:SDT64"/>
    <mergeCell ref="SDU64:SEB64"/>
    <mergeCell ref="SBA64:SBH64"/>
    <mergeCell ref="SBI64:SBP64"/>
    <mergeCell ref="SBQ64:SBX64"/>
    <mergeCell ref="SBY64:SCF64"/>
    <mergeCell ref="SCG64:SCN64"/>
    <mergeCell ref="RZM64:RZT64"/>
    <mergeCell ref="RZU64:SAB64"/>
    <mergeCell ref="SAC64:SAJ64"/>
    <mergeCell ref="SAK64:SAR64"/>
    <mergeCell ref="SAS64:SAZ64"/>
    <mergeCell ref="RXY64:RYF64"/>
    <mergeCell ref="RYG64:RYN64"/>
    <mergeCell ref="RYO64:RYV64"/>
    <mergeCell ref="RYW64:RZD64"/>
    <mergeCell ref="RZE64:RZL64"/>
    <mergeCell ref="RWK64:RWR64"/>
    <mergeCell ref="RWS64:RWZ64"/>
    <mergeCell ref="RXA64:RXH64"/>
    <mergeCell ref="RXI64:RXP64"/>
    <mergeCell ref="RXQ64:RXX64"/>
    <mergeCell ref="RUW64:RVD64"/>
    <mergeCell ref="RVE64:RVL64"/>
    <mergeCell ref="RVM64:RVT64"/>
    <mergeCell ref="RVU64:RWB64"/>
    <mergeCell ref="RWC64:RWJ64"/>
    <mergeCell ref="RTI64:RTP64"/>
    <mergeCell ref="RTQ64:RTX64"/>
    <mergeCell ref="RTY64:RUF64"/>
    <mergeCell ref="RUG64:RUN64"/>
    <mergeCell ref="RUO64:RUV64"/>
    <mergeCell ref="RRU64:RSB64"/>
    <mergeCell ref="RSC64:RSJ64"/>
    <mergeCell ref="RSK64:RSR64"/>
    <mergeCell ref="RSS64:RSZ64"/>
    <mergeCell ref="RTA64:RTH64"/>
    <mergeCell ref="RQG64:RQN64"/>
    <mergeCell ref="RQO64:RQV64"/>
    <mergeCell ref="RQW64:RRD64"/>
    <mergeCell ref="RRE64:RRL64"/>
    <mergeCell ref="RRM64:RRT64"/>
    <mergeCell ref="ROS64:ROZ64"/>
    <mergeCell ref="RPA64:RPH64"/>
    <mergeCell ref="RPI64:RPP64"/>
    <mergeCell ref="RPQ64:RPX64"/>
    <mergeCell ref="RPY64:RQF64"/>
    <mergeCell ref="RNE64:RNL64"/>
    <mergeCell ref="RNM64:RNT64"/>
    <mergeCell ref="RNU64:ROB64"/>
    <mergeCell ref="ROC64:ROJ64"/>
    <mergeCell ref="ROK64:ROR64"/>
    <mergeCell ref="RLQ64:RLX64"/>
    <mergeCell ref="RLY64:RMF64"/>
    <mergeCell ref="RMG64:RMN64"/>
    <mergeCell ref="RMO64:RMV64"/>
    <mergeCell ref="RMW64:RND64"/>
    <mergeCell ref="RKC64:RKJ64"/>
    <mergeCell ref="RKK64:RKR64"/>
    <mergeCell ref="RKS64:RKZ64"/>
    <mergeCell ref="RLA64:RLH64"/>
    <mergeCell ref="RLI64:RLP64"/>
    <mergeCell ref="RIO64:RIV64"/>
    <mergeCell ref="RIW64:RJD64"/>
    <mergeCell ref="RJE64:RJL64"/>
    <mergeCell ref="RJM64:RJT64"/>
    <mergeCell ref="RJU64:RKB64"/>
    <mergeCell ref="RHA64:RHH64"/>
    <mergeCell ref="RHI64:RHP64"/>
    <mergeCell ref="RHQ64:RHX64"/>
    <mergeCell ref="RHY64:RIF64"/>
    <mergeCell ref="RIG64:RIN64"/>
    <mergeCell ref="RFM64:RFT64"/>
    <mergeCell ref="RFU64:RGB64"/>
    <mergeCell ref="RGC64:RGJ64"/>
    <mergeCell ref="RGK64:RGR64"/>
    <mergeCell ref="RGS64:RGZ64"/>
    <mergeCell ref="RDY64:REF64"/>
    <mergeCell ref="REG64:REN64"/>
    <mergeCell ref="REO64:REV64"/>
    <mergeCell ref="REW64:RFD64"/>
    <mergeCell ref="RFE64:RFL64"/>
    <mergeCell ref="RCK64:RCR64"/>
    <mergeCell ref="RCS64:RCZ64"/>
    <mergeCell ref="RDA64:RDH64"/>
    <mergeCell ref="RDI64:RDP64"/>
    <mergeCell ref="RDQ64:RDX64"/>
    <mergeCell ref="RAW64:RBD64"/>
    <mergeCell ref="RBE64:RBL64"/>
    <mergeCell ref="RBM64:RBT64"/>
    <mergeCell ref="RBU64:RCB64"/>
    <mergeCell ref="RCC64:RCJ64"/>
    <mergeCell ref="QZI64:QZP64"/>
    <mergeCell ref="QZQ64:QZX64"/>
    <mergeCell ref="QZY64:RAF64"/>
    <mergeCell ref="RAG64:RAN64"/>
    <mergeCell ref="RAO64:RAV64"/>
    <mergeCell ref="QXU64:QYB64"/>
    <mergeCell ref="QYC64:QYJ64"/>
    <mergeCell ref="QYK64:QYR64"/>
    <mergeCell ref="QYS64:QYZ64"/>
    <mergeCell ref="QZA64:QZH64"/>
    <mergeCell ref="QWG64:QWN64"/>
    <mergeCell ref="QWO64:QWV64"/>
    <mergeCell ref="QWW64:QXD64"/>
    <mergeCell ref="QXE64:QXL64"/>
    <mergeCell ref="QXM64:QXT64"/>
    <mergeCell ref="QUS64:QUZ64"/>
    <mergeCell ref="QVA64:QVH64"/>
    <mergeCell ref="QVI64:QVP64"/>
    <mergeCell ref="QVQ64:QVX64"/>
    <mergeCell ref="QVY64:QWF64"/>
    <mergeCell ref="QTE64:QTL64"/>
    <mergeCell ref="QTM64:QTT64"/>
    <mergeCell ref="QTU64:QUB64"/>
    <mergeCell ref="QUC64:QUJ64"/>
    <mergeCell ref="QUK64:QUR64"/>
    <mergeCell ref="QRQ64:QRX64"/>
    <mergeCell ref="QRY64:QSF64"/>
    <mergeCell ref="QSG64:QSN64"/>
    <mergeCell ref="QSO64:QSV64"/>
    <mergeCell ref="QSW64:QTD64"/>
    <mergeCell ref="QQC64:QQJ64"/>
    <mergeCell ref="QQK64:QQR64"/>
    <mergeCell ref="QQS64:QQZ64"/>
    <mergeCell ref="QRA64:QRH64"/>
    <mergeCell ref="QRI64:QRP64"/>
    <mergeCell ref="QOO64:QOV64"/>
    <mergeCell ref="QOW64:QPD64"/>
    <mergeCell ref="QPE64:QPL64"/>
    <mergeCell ref="QPM64:QPT64"/>
    <mergeCell ref="QPU64:QQB64"/>
    <mergeCell ref="QNA64:QNH64"/>
    <mergeCell ref="QNI64:QNP64"/>
    <mergeCell ref="QNQ64:QNX64"/>
    <mergeCell ref="QNY64:QOF64"/>
    <mergeCell ref="QOG64:QON64"/>
    <mergeCell ref="QLM64:QLT64"/>
    <mergeCell ref="QLU64:QMB64"/>
    <mergeCell ref="QMC64:QMJ64"/>
    <mergeCell ref="QMK64:QMR64"/>
    <mergeCell ref="QMS64:QMZ64"/>
    <mergeCell ref="QJY64:QKF64"/>
    <mergeCell ref="QKG64:QKN64"/>
    <mergeCell ref="QKO64:QKV64"/>
    <mergeCell ref="QKW64:QLD64"/>
    <mergeCell ref="QLE64:QLL64"/>
    <mergeCell ref="QIK64:QIR64"/>
    <mergeCell ref="QIS64:QIZ64"/>
    <mergeCell ref="QJA64:QJH64"/>
    <mergeCell ref="QJI64:QJP64"/>
    <mergeCell ref="QJQ64:QJX64"/>
    <mergeCell ref="QGW64:QHD64"/>
    <mergeCell ref="QHE64:QHL64"/>
    <mergeCell ref="QHM64:QHT64"/>
    <mergeCell ref="QHU64:QIB64"/>
    <mergeCell ref="QIC64:QIJ64"/>
    <mergeCell ref="QFI64:QFP64"/>
    <mergeCell ref="QFQ64:QFX64"/>
    <mergeCell ref="QFY64:QGF64"/>
    <mergeCell ref="QGG64:QGN64"/>
    <mergeCell ref="QGO64:QGV64"/>
    <mergeCell ref="QDU64:QEB64"/>
    <mergeCell ref="QEC64:QEJ64"/>
    <mergeCell ref="QEK64:QER64"/>
    <mergeCell ref="QES64:QEZ64"/>
    <mergeCell ref="QFA64:QFH64"/>
    <mergeCell ref="QCG64:QCN64"/>
    <mergeCell ref="QCO64:QCV64"/>
    <mergeCell ref="QCW64:QDD64"/>
    <mergeCell ref="QDE64:QDL64"/>
    <mergeCell ref="QDM64:QDT64"/>
    <mergeCell ref="QAS64:QAZ64"/>
    <mergeCell ref="QBA64:QBH64"/>
    <mergeCell ref="QBI64:QBP64"/>
    <mergeCell ref="QBQ64:QBX64"/>
    <mergeCell ref="QBY64:QCF64"/>
    <mergeCell ref="PZE64:PZL64"/>
    <mergeCell ref="PZM64:PZT64"/>
    <mergeCell ref="PZU64:QAB64"/>
    <mergeCell ref="QAC64:QAJ64"/>
    <mergeCell ref="QAK64:QAR64"/>
    <mergeCell ref="PXQ64:PXX64"/>
    <mergeCell ref="PXY64:PYF64"/>
    <mergeCell ref="PYG64:PYN64"/>
    <mergeCell ref="PYO64:PYV64"/>
    <mergeCell ref="PYW64:PZD64"/>
    <mergeCell ref="PWC64:PWJ64"/>
    <mergeCell ref="PWK64:PWR64"/>
    <mergeCell ref="PWS64:PWZ64"/>
    <mergeCell ref="PXA64:PXH64"/>
    <mergeCell ref="PXI64:PXP64"/>
    <mergeCell ref="PUO64:PUV64"/>
    <mergeCell ref="PUW64:PVD64"/>
    <mergeCell ref="PVE64:PVL64"/>
    <mergeCell ref="PVM64:PVT64"/>
    <mergeCell ref="PVU64:PWB64"/>
    <mergeCell ref="PTA64:PTH64"/>
    <mergeCell ref="PTI64:PTP64"/>
    <mergeCell ref="PTQ64:PTX64"/>
    <mergeCell ref="PTY64:PUF64"/>
    <mergeCell ref="PUG64:PUN64"/>
    <mergeCell ref="PRM64:PRT64"/>
    <mergeCell ref="PRU64:PSB64"/>
    <mergeCell ref="PSC64:PSJ64"/>
    <mergeCell ref="PSK64:PSR64"/>
    <mergeCell ref="PSS64:PSZ64"/>
    <mergeCell ref="PPY64:PQF64"/>
    <mergeCell ref="PQG64:PQN64"/>
    <mergeCell ref="PQO64:PQV64"/>
    <mergeCell ref="PQW64:PRD64"/>
    <mergeCell ref="PRE64:PRL64"/>
    <mergeCell ref="POK64:POR64"/>
    <mergeCell ref="POS64:POZ64"/>
    <mergeCell ref="PPA64:PPH64"/>
    <mergeCell ref="PPI64:PPP64"/>
    <mergeCell ref="PPQ64:PPX64"/>
    <mergeCell ref="PMW64:PND64"/>
    <mergeCell ref="PNE64:PNL64"/>
    <mergeCell ref="PNM64:PNT64"/>
    <mergeCell ref="PNU64:POB64"/>
    <mergeCell ref="POC64:POJ64"/>
    <mergeCell ref="PLI64:PLP64"/>
    <mergeCell ref="PLQ64:PLX64"/>
    <mergeCell ref="PLY64:PMF64"/>
    <mergeCell ref="PMG64:PMN64"/>
    <mergeCell ref="PMO64:PMV64"/>
    <mergeCell ref="PJU64:PKB64"/>
    <mergeCell ref="PKC64:PKJ64"/>
    <mergeCell ref="PKK64:PKR64"/>
    <mergeCell ref="PKS64:PKZ64"/>
    <mergeCell ref="PLA64:PLH64"/>
    <mergeCell ref="PIG64:PIN64"/>
    <mergeCell ref="PIO64:PIV64"/>
    <mergeCell ref="PIW64:PJD64"/>
    <mergeCell ref="PJE64:PJL64"/>
    <mergeCell ref="PJM64:PJT64"/>
    <mergeCell ref="PGS64:PGZ64"/>
    <mergeCell ref="PHA64:PHH64"/>
    <mergeCell ref="PHI64:PHP64"/>
    <mergeCell ref="PHQ64:PHX64"/>
    <mergeCell ref="PHY64:PIF64"/>
    <mergeCell ref="PFE64:PFL64"/>
    <mergeCell ref="PFM64:PFT64"/>
    <mergeCell ref="PFU64:PGB64"/>
    <mergeCell ref="PGC64:PGJ64"/>
    <mergeCell ref="PGK64:PGR64"/>
    <mergeCell ref="PDQ64:PDX64"/>
    <mergeCell ref="PDY64:PEF64"/>
    <mergeCell ref="PEG64:PEN64"/>
    <mergeCell ref="PEO64:PEV64"/>
    <mergeCell ref="PEW64:PFD64"/>
    <mergeCell ref="PCC64:PCJ64"/>
    <mergeCell ref="PCK64:PCR64"/>
    <mergeCell ref="PCS64:PCZ64"/>
    <mergeCell ref="PDA64:PDH64"/>
    <mergeCell ref="PDI64:PDP64"/>
    <mergeCell ref="PAO64:PAV64"/>
    <mergeCell ref="PAW64:PBD64"/>
    <mergeCell ref="PBE64:PBL64"/>
    <mergeCell ref="PBM64:PBT64"/>
    <mergeCell ref="PBU64:PCB64"/>
    <mergeCell ref="OZA64:OZH64"/>
    <mergeCell ref="OZI64:OZP64"/>
    <mergeCell ref="OZQ64:OZX64"/>
    <mergeCell ref="OZY64:PAF64"/>
    <mergeCell ref="PAG64:PAN64"/>
    <mergeCell ref="OXM64:OXT64"/>
    <mergeCell ref="OXU64:OYB64"/>
    <mergeCell ref="OYC64:OYJ64"/>
    <mergeCell ref="OYK64:OYR64"/>
    <mergeCell ref="OYS64:OYZ64"/>
    <mergeCell ref="OVY64:OWF64"/>
    <mergeCell ref="OWG64:OWN64"/>
    <mergeCell ref="OWO64:OWV64"/>
    <mergeCell ref="OWW64:OXD64"/>
    <mergeCell ref="OXE64:OXL64"/>
    <mergeCell ref="OUK64:OUR64"/>
    <mergeCell ref="OUS64:OUZ64"/>
    <mergeCell ref="OVA64:OVH64"/>
    <mergeCell ref="OVI64:OVP64"/>
    <mergeCell ref="OVQ64:OVX64"/>
    <mergeCell ref="OSW64:OTD64"/>
    <mergeCell ref="OTE64:OTL64"/>
    <mergeCell ref="OTM64:OTT64"/>
    <mergeCell ref="OTU64:OUB64"/>
    <mergeCell ref="OUC64:OUJ64"/>
    <mergeCell ref="ORI64:ORP64"/>
    <mergeCell ref="ORQ64:ORX64"/>
    <mergeCell ref="ORY64:OSF64"/>
    <mergeCell ref="OSG64:OSN64"/>
    <mergeCell ref="OSO64:OSV64"/>
    <mergeCell ref="OPU64:OQB64"/>
    <mergeCell ref="OQC64:OQJ64"/>
    <mergeCell ref="OQK64:OQR64"/>
    <mergeCell ref="OQS64:OQZ64"/>
    <mergeCell ref="ORA64:ORH64"/>
    <mergeCell ref="OOG64:OON64"/>
    <mergeCell ref="OOO64:OOV64"/>
    <mergeCell ref="OOW64:OPD64"/>
    <mergeCell ref="OPE64:OPL64"/>
    <mergeCell ref="OPM64:OPT64"/>
    <mergeCell ref="OMS64:OMZ64"/>
    <mergeCell ref="ONA64:ONH64"/>
    <mergeCell ref="ONI64:ONP64"/>
    <mergeCell ref="ONQ64:ONX64"/>
    <mergeCell ref="ONY64:OOF64"/>
    <mergeCell ref="OLE64:OLL64"/>
    <mergeCell ref="OLM64:OLT64"/>
    <mergeCell ref="OLU64:OMB64"/>
    <mergeCell ref="OMC64:OMJ64"/>
    <mergeCell ref="OMK64:OMR64"/>
    <mergeCell ref="OJQ64:OJX64"/>
    <mergeCell ref="OJY64:OKF64"/>
    <mergeCell ref="OKG64:OKN64"/>
    <mergeCell ref="OKO64:OKV64"/>
    <mergeCell ref="OKW64:OLD64"/>
    <mergeCell ref="OIC64:OIJ64"/>
    <mergeCell ref="OIK64:OIR64"/>
    <mergeCell ref="OIS64:OIZ64"/>
    <mergeCell ref="OJA64:OJH64"/>
    <mergeCell ref="OJI64:OJP64"/>
    <mergeCell ref="OGO64:OGV64"/>
    <mergeCell ref="OGW64:OHD64"/>
    <mergeCell ref="OHE64:OHL64"/>
    <mergeCell ref="OHM64:OHT64"/>
    <mergeCell ref="OHU64:OIB64"/>
    <mergeCell ref="OFA64:OFH64"/>
    <mergeCell ref="OFI64:OFP64"/>
    <mergeCell ref="OFQ64:OFX64"/>
    <mergeCell ref="OFY64:OGF64"/>
    <mergeCell ref="OGG64:OGN64"/>
    <mergeCell ref="ODM64:ODT64"/>
    <mergeCell ref="ODU64:OEB64"/>
    <mergeCell ref="OEC64:OEJ64"/>
    <mergeCell ref="OEK64:OER64"/>
    <mergeCell ref="OES64:OEZ64"/>
    <mergeCell ref="OBY64:OCF64"/>
    <mergeCell ref="OCG64:OCN64"/>
    <mergeCell ref="OCO64:OCV64"/>
    <mergeCell ref="OCW64:ODD64"/>
    <mergeCell ref="ODE64:ODL64"/>
    <mergeCell ref="OAK64:OAR64"/>
    <mergeCell ref="OAS64:OAZ64"/>
    <mergeCell ref="OBA64:OBH64"/>
    <mergeCell ref="OBI64:OBP64"/>
    <mergeCell ref="OBQ64:OBX64"/>
    <mergeCell ref="NYW64:NZD64"/>
    <mergeCell ref="NZE64:NZL64"/>
    <mergeCell ref="NZM64:NZT64"/>
    <mergeCell ref="NZU64:OAB64"/>
    <mergeCell ref="OAC64:OAJ64"/>
    <mergeCell ref="NXI64:NXP64"/>
    <mergeCell ref="NXQ64:NXX64"/>
    <mergeCell ref="NXY64:NYF64"/>
    <mergeCell ref="NYG64:NYN64"/>
    <mergeCell ref="NYO64:NYV64"/>
    <mergeCell ref="NVU64:NWB64"/>
    <mergeCell ref="NWC64:NWJ64"/>
    <mergeCell ref="NWK64:NWR64"/>
    <mergeCell ref="NWS64:NWZ64"/>
    <mergeCell ref="NXA64:NXH64"/>
    <mergeCell ref="NUG64:NUN64"/>
    <mergeCell ref="NUO64:NUV64"/>
    <mergeCell ref="NUW64:NVD64"/>
    <mergeCell ref="NVE64:NVL64"/>
    <mergeCell ref="NVM64:NVT64"/>
    <mergeCell ref="NSS64:NSZ64"/>
    <mergeCell ref="NTA64:NTH64"/>
    <mergeCell ref="NTI64:NTP64"/>
    <mergeCell ref="NTQ64:NTX64"/>
    <mergeCell ref="NTY64:NUF64"/>
    <mergeCell ref="NRE64:NRL64"/>
    <mergeCell ref="NRM64:NRT64"/>
    <mergeCell ref="NRU64:NSB64"/>
    <mergeCell ref="NSC64:NSJ64"/>
    <mergeCell ref="NSK64:NSR64"/>
    <mergeCell ref="NPQ64:NPX64"/>
    <mergeCell ref="NPY64:NQF64"/>
    <mergeCell ref="NQG64:NQN64"/>
    <mergeCell ref="NQO64:NQV64"/>
    <mergeCell ref="NQW64:NRD64"/>
    <mergeCell ref="NOC64:NOJ64"/>
    <mergeCell ref="NOK64:NOR64"/>
    <mergeCell ref="NOS64:NOZ64"/>
    <mergeCell ref="NPA64:NPH64"/>
    <mergeCell ref="NPI64:NPP64"/>
    <mergeCell ref="NMO64:NMV64"/>
    <mergeCell ref="NMW64:NND64"/>
    <mergeCell ref="NNE64:NNL64"/>
    <mergeCell ref="NNM64:NNT64"/>
    <mergeCell ref="NNU64:NOB64"/>
    <mergeCell ref="NLA64:NLH64"/>
    <mergeCell ref="NLI64:NLP64"/>
    <mergeCell ref="NLQ64:NLX64"/>
    <mergeCell ref="NLY64:NMF64"/>
    <mergeCell ref="NMG64:NMN64"/>
    <mergeCell ref="NJM64:NJT64"/>
    <mergeCell ref="NJU64:NKB64"/>
    <mergeCell ref="NKC64:NKJ64"/>
    <mergeCell ref="NKK64:NKR64"/>
    <mergeCell ref="NKS64:NKZ64"/>
    <mergeCell ref="NHY64:NIF64"/>
    <mergeCell ref="NIG64:NIN64"/>
    <mergeCell ref="NIO64:NIV64"/>
    <mergeCell ref="NIW64:NJD64"/>
    <mergeCell ref="NJE64:NJL64"/>
    <mergeCell ref="NGK64:NGR64"/>
    <mergeCell ref="NGS64:NGZ64"/>
    <mergeCell ref="NHA64:NHH64"/>
    <mergeCell ref="NHI64:NHP64"/>
    <mergeCell ref="NHQ64:NHX64"/>
    <mergeCell ref="NEW64:NFD64"/>
    <mergeCell ref="NFE64:NFL64"/>
    <mergeCell ref="NFM64:NFT64"/>
    <mergeCell ref="NFU64:NGB64"/>
    <mergeCell ref="NGC64:NGJ64"/>
    <mergeCell ref="NDI64:NDP64"/>
    <mergeCell ref="NDQ64:NDX64"/>
    <mergeCell ref="NDY64:NEF64"/>
    <mergeCell ref="NEG64:NEN64"/>
    <mergeCell ref="NEO64:NEV64"/>
    <mergeCell ref="NBU64:NCB64"/>
    <mergeCell ref="NCC64:NCJ64"/>
    <mergeCell ref="NCK64:NCR64"/>
    <mergeCell ref="NCS64:NCZ64"/>
    <mergeCell ref="NDA64:NDH64"/>
    <mergeCell ref="NAG64:NAN64"/>
    <mergeCell ref="NAO64:NAV64"/>
    <mergeCell ref="NAW64:NBD64"/>
    <mergeCell ref="NBE64:NBL64"/>
    <mergeCell ref="NBM64:NBT64"/>
    <mergeCell ref="MYS64:MYZ64"/>
    <mergeCell ref="MZA64:MZH64"/>
    <mergeCell ref="MZI64:MZP64"/>
    <mergeCell ref="MZQ64:MZX64"/>
    <mergeCell ref="MZY64:NAF64"/>
    <mergeCell ref="MXE64:MXL64"/>
    <mergeCell ref="MXM64:MXT64"/>
    <mergeCell ref="MXU64:MYB64"/>
    <mergeCell ref="MYC64:MYJ64"/>
    <mergeCell ref="MYK64:MYR64"/>
    <mergeCell ref="MVQ64:MVX64"/>
    <mergeCell ref="MVY64:MWF64"/>
    <mergeCell ref="MWG64:MWN64"/>
    <mergeCell ref="MWO64:MWV64"/>
    <mergeCell ref="MWW64:MXD64"/>
    <mergeCell ref="MUC64:MUJ64"/>
    <mergeCell ref="MUK64:MUR64"/>
    <mergeCell ref="MUS64:MUZ64"/>
    <mergeCell ref="MVA64:MVH64"/>
    <mergeCell ref="MVI64:MVP64"/>
    <mergeCell ref="MSO64:MSV64"/>
    <mergeCell ref="MSW64:MTD64"/>
    <mergeCell ref="MTE64:MTL64"/>
    <mergeCell ref="MTM64:MTT64"/>
    <mergeCell ref="MTU64:MUB64"/>
    <mergeCell ref="MRA64:MRH64"/>
    <mergeCell ref="MRI64:MRP64"/>
    <mergeCell ref="MRQ64:MRX64"/>
    <mergeCell ref="MRY64:MSF64"/>
    <mergeCell ref="MSG64:MSN64"/>
    <mergeCell ref="MPM64:MPT64"/>
    <mergeCell ref="MPU64:MQB64"/>
    <mergeCell ref="MQC64:MQJ64"/>
    <mergeCell ref="MQK64:MQR64"/>
    <mergeCell ref="MQS64:MQZ64"/>
    <mergeCell ref="MNY64:MOF64"/>
    <mergeCell ref="MOG64:MON64"/>
    <mergeCell ref="MOO64:MOV64"/>
    <mergeCell ref="MOW64:MPD64"/>
    <mergeCell ref="MPE64:MPL64"/>
    <mergeCell ref="MMK64:MMR64"/>
    <mergeCell ref="MMS64:MMZ64"/>
    <mergeCell ref="MNA64:MNH64"/>
    <mergeCell ref="MNI64:MNP64"/>
    <mergeCell ref="MNQ64:MNX64"/>
    <mergeCell ref="MKW64:MLD64"/>
    <mergeCell ref="MLE64:MLL64"/>
    <mergeCell ref="MLM64:MLT64"/>
    <mergeCell ref="MLU64:MMB64"/>
    <mergeCell ref="MMC64:MMJ64"/>
    <mergeCell ref="MJI64:MJP64"/>
    <mergeCell ref="MJQ64:MJX64"/>
    <mergeCell ref="MJY64:MKF64"/>
    <mergeCell ref="MKG64:MKN64"/>
    <mergeCell ref="MKO64:MKV64"/>
    <mergeCell ref="MHU64:MIB64"/>
    <mergeCell ref="MIC64:MIJ64"/>
    <mergeCell ref="MIK64:MIR64"/>
    <mergeCell ref="MIS64:MIZ64"/>
    <mergeCell ref="MJA64:MJH64"/>
    <mergeCell ref="MGG64:MGN64"/>
    <mergeCell ref="MGO64:MGV64"/>
    <mergeCell ref="MGW64:MHD64"/>
    <mergeCell ref="MHE64:MHL64"/>
    <mergeCell ref="MHM64:MHT64"/>
    <mergeCell ref="MES64:MEZ64"/>
    <mergeCell ref="MFA64:MFH64"/>
    <mergeCell ref="MFI64:MFP64"/>
    <mergeCell ref="MFQ64:MFX64"/>
    <mergeCell ref="MFY64:MGF64"/>
    <mergeCell ref="MDE64:MDL64"/>
    <mergeCell ref="MDM64:MDT64"/>
    <mergeCell ref="MDU64:MEB64"/>
    <mergeCell ref="MEC64:MEJ64"/>
    <mergeCell ref="MEK64:MER64"/>
    <mergeCell ref="MBQ64:MBX64"/>
    <mergeCell ref="MBY64:MCF64"/>
    <mergeCell ref="MCG64:MCN64"/>
    <mergeCell ref="MCO64:MCV64"/>
    <mergeCell ref="MCW64:MDD64"/>
    <mergeCell ref="MAC64:MAJ64"/>
    <mergeCell ref="MAK64:MAR64"/>
    <mergeCell ref="MAS64:MAZ64"/>
    <mergeCell ref="MBA64:MBH64"/>
    <mergeCell ref="MBI64:MBP64"/>
    <mergeCell ref="LYO64:LYV64"/>
    <mergeCell ref="LYW64:LZD64"/>
    <mergeCell ref="LZE64:LZL64"/>
    <mergeCell ref="LZM64:LZT64"/>
    <mergeCell ref="LZU64:MAB64"/>
    <mergeCell ref="LXA64:LXH64"/>
    <mergeCell ref="LXI64:LXP64"/>
    <mergeCell ref="LXQ64:LXX64"/>
    <mergeCell ref="LXY64:LYF64"/>
    <mergeCell ref="LYG64:LYN64"/>
    <mergeCell ref="LVM64:LVT64"/>
    <mergeCell ref="LVU64:LWB64"/>
    <mergeCell ref="LWC64:LWJ64"/>
    <mergeCell ref="LWK64:LWR64"/>
    <mergeCell ref="LWS64:LWZ64"/>
    <mergeCell ref="LTY64:LUF64"/>
    <mergeCell ref="LUG64:LUN64"/>
    <mergeCell ref="LUO64:LUV64"/>
    <mergeCell ref="LUW64:LVD64"/>
    <mergeCell ref="LVE64:LVL64"/>
    <mergeCell ref="LSK64:LSR64"/>
    <mergeCell ref="LSS64:LSZ64"/>
    <mergeCell ref="LTA64:LTH64"/>
    <mergeCell ref="LTI64:LTP64"/>
    <mergeCell ref="LTQ64:LTX64"/>
    <mergeCell ref="LQW64:LRD64"/>
    <mergeCell ref="LRE64:LRL64"/>
    <mergeCell ref="LRM64:LRT64"/>
    <mergeCell ref="LRU64:LSB64"/>
    <mergeCell ref="LSC64:LSJ64"/>
    <mergeCell ref="LPI64:LPP64"/>
    <mergeCell ref="LPQ64:LPX64"/>
    <mergeCell ref="LPY64:LQF64"/>
    <mergeCell ref="LQG64:LQN64"/>
    <mergeCell ref="LQO64:LQV64"/>
    <mergeCell ref="LNU64:LOB64"/>
    <mergeCell ref="LOC64:LOJ64"/>
    <mergeCell ref="LOK64:LOR64"/>
    <mergeCell ref="LOS64:LOZ64"/>
    <mergeCell ref="LPA64:LPH64"/>
    <mergeCell ref="LMG64:LMN64"/>
    <mergeCell ref="LMO64:LMV64"/>
    <mergeCell ref="LMW64:LND64"/>
    <mergeCell ref="LNE64:LNL64"/>
    <mergeCell ref="LNM64:LNT64"/>
    <mergeCell ref="LKS64:LKZ64"/>
    <mergeCell ref="LLA64:LLH64"/>
    <mergeCell ref="LLI64:LLP64"/>
    <mergeCell ref="LLQ64:LLX64"/>
    <mergeCell ref="LLY64:LMF64"/>
    <mergeCell ref="LJE64:LJL64"/>
    <mergeCell ref="LJM64:LJT64"/>
    <mergeCell ref="LJU64:LKB64"/>
    <mergeCell ref="LKC64:LKJ64"/>
    <mergeCell ref="LKK64:LKR64"/>
    <mergeCell ref="LHQ64:LHX64"/>
    <mergeCell ref="LHY64:LIF64"/>
    <mergeCell ref="LIG64:LIN64"/>
    <mergeCell ref="LIO64:LIV64"/>
    <mergeCell ref="LIW64:LJD64"/>
    <mergeCell ref="LGC64:LGJ64"/>
    <mergeCell ref="LGK64:LGR64"/>
    <mergeCell ref="LGS64:LGZ64"/>
    <mergeCell ref="LHA64:LHH64"/>
    <mergeCell ref="LHI64:LHP64"/>
    <mergeCell ref="LEO64:LEV64"/>
    <mergeCell ref="LEW64:LFD64"/>
    <mergeCell ref="LFE64:LFL64"/>
    <mergeCell ref="LFM64:LFT64"/>
    <mergeCell ref="LFU64:LGB64"/>
    <mergeCell ref="LDA64:LDH64"/>
    <mergeCell ref="LDI64:LDP64"/>
    <mergeCell ref="LDQ64:LDX64"/>
    <mergeCell ref="LDY64:LEF64"/>
    <mergeCell ref="LEG64:LEN64"/>
    <mergeCell ref="LBM64:LBT64"/>
    <mergeCell ref="LBU64:LCB64"/>
    <mergeCell ref="LCC64:LCJ64"/>
    <mergeCell ref="LCK64:LCR64"/>
    <mergeCell ref="LCS64:LCZ64"/>
    <mergeCell ref="KZY64:LAF64"/>
    <mergeCell ref="LAG64:LAN64"/>
    <mergeCell ref="LAO64:LAV64"/>
    <mergeCell ref="LAW64:LBD64"/>
    <mergeCell ref="LBE64:LBL64"/>
    <mergeCell ref="KYK64:KYR64"/>
    <mergeCell ref="KYS64:KYZ64"/>
    <mergeCell ref="KZA64:KZH64"/>
    <mergeCell ref="KZI64:KZP64"/>
    <mergeCell ref="KZQ64:KZX64"/>
    <mergeCell ref="KWW64:KXD64"/>
    <mergeCell ref="KXE64:KXL64"/>
    <mergeCell ref="KXM64:KXT64"/>
    <mergeCell ref="KXU64:KYB64"/>
    <mergeCell ref="KYC64:KYJ64"/>
    <mergeCell ref="KVI64:KVP64"/>
    <mergeCell ref="KVQ64:KVX64"/>
    <mergeCell ref="KVY64:KWF64"/>
    <mergeCell ref="KWG64:KWN64"/>
    <mergeCell ref="KWO64:KWV64"/>
    <mergeCell ref="KTU64:KUB64"/>
    <mergeCell ref="KUC64:KUJ64"/>
    <mergeCell ref="KUK64:KUR64"/>
    <mergeCell ref="KUS64:KUZ64"/>
    <mergeCell ref="KVA64:KVH64"/>
    <mergeCell ref="KSG64:KSN64"/>
    <mergeCell ref="KSO64:KSV64"/>
    <mergeCell ref="KSW64:KTD64"/>
    <mergeCell ref="KTE64:KTL64"/>
    <mergeCell ref="KTM64:KTT64"/>
    <mergeCell ref="KQS64:KQZ64"/>
    <mergeCell ref="KRA64:KRH64"/>
    <mergeCell ref="KRI64:KRP64"/>
    <mergeCell ref="KRQ64:KRX64"/>
    <mergeCell ref="KRY64:KSF64"/>
    <mergeCell ref="KPE64:KPL64"/>
    <mergeCell ref="KPM64:KPT64"/>
    <mergeCell ref="KPU64:KQB64"/>
    <mergeCell ref="KQC64:KQJ64"/>
    <mergeCell ref="KQK64:KQR64"/>
    <mergeCell ref="KNQ64:KNX64"/>
    <mergeCell ref="KNY64:KOF64"/>
    <mergeCell ref="KOG64:KON64"/>
    <mergeCell ref="KOO64:KOV64"/>
    <mergeCell ref="KOW64:KPD64"/>
    <mergeCell ref="KMC64:KMJ64"/>
    <mergeCell ref="KMK64:KMR64"/>
    <mergeCell ref="KMS64:KMZ64"/>
    <mergeCell ref="KNA64:KNH64"/>
    <mergeCell ref="KNI64:KNP64"/>
    <mergeCell ref="KKO64:KKV64"/>
    <mergeCell ref="KKW64:KLD64"/>
    <mergeCell ref="KLE64:KLL64"/>
    <mergeCell ref="KLM64:KLT64"/>
    <mergeCell ref="KLU64:KMB64"/>
    <mergeCell ref="KJA64:KJH64"/>
    <mergeCell ref="KJI64:KJP64"/>
    <mergeCell ref="KJQ64:KJX64"/>
    <mergeCell ref="KJY64:KKF64"/>
    <mergeCell ref="KKG64:KKN64"/>
    <mergeCell ref="KHM64:KHT64"/>
    <mergeCell ref="KHU64:KIB64"/>
    <mergeCell ref="KIC64:KIJ64"/>
    <mergeCell ref="KIK64:KIR64"/>
    <mergeCell ref="KIS64:KIZ64"/>
    <mergeCell ref="KFY64:KGF64"/>
    <mergeCell ref="KGG64:KGN64"/>
    <mergeCell ref="KGO64:KGV64"/>
    <mergeCell ref="KGW64:KHD64"/>
    <mergeCell ref="KHE64:KHL64"/>
    <mergeCell ref="KEK64:KER64"/>
    <mergeCell ref="KES64:KEZ64"/>
    <mergeCell ref="KFA64:KFH64"/>
    <mergeCell ref="KFI64:KFP64"/>
    <mergeCell ref="KFQ64:KFX64"/>
    <mergeCell ref="KCW64:KDD64"/>
    <mergeCell ref="KDE64:KDL64"/>
    <mergeCell ref="KDM64:KDT64"/>
    <mergeCell ref="KDU64:KEB64"/>
    <mergeCell ref="KEC64:KEJ64"/>
    <mergeCell ref="KBI64:KBP64"/>
    <mergeCell ref="KBQ64:KBX64"/>
    <mergeCell ref="KBY64:KCF64"/>
    <mergeCell ref="KCG64:KCN64"/>
    <mergeCell ref="KCO64:KCV64"/>
    <mergeCell ref="JZU64:KAB64"/>
    <mergeCell ref="KAC64:KAJ64"/>
    <mergeCell ref="KAK64:KAR64"/>
    <mergeCell ref="KAS64:KAZ64"/>
    <mergeCell ref="KBA64:KBH64"/>
    <mergeCell ref="JYG64:JYN64"/>
    <mergeCell ref="JYO64:JYV64"/>
    <mergeCell ref="JYW64:JZD64"/>
    <mergeCell ref="JZE64:JZL64"/>
    <mergeCell ref="JZM64:JZT64"/>
    <mergeCell ref="JWS64:JWZ64"/>
    <mergeCell ref="JXA64:JXH64"/>
    <mergeCell ref="JXI64:JXP64"/>
    <mergeCell ref="JXQ64:JXX64"/>
    <mergeCell ref="JXY64:JYF64"/>
    <mergeCell ref="JVE64:JVL64"/>
    <mergeCell ref="JVM64:JVT64"/>
    <mergeCell ref="JVU64:JWB64"/>
    <mergeCell ref="JWC64:JWJ64"/>
    <mergeCell ref="JWK64:JWR64"/>
    <mergeCell ref="JTQ64:JTX64"/>
    <mergeCell ref="JTY64:JUF64"/>
    <mergeCell ref="JUG64:JUN64"/>
    <mergeCell ref="JUO64:JUV64"/>
    <mergeCell ref="JUW64:JVD64"/>
    <mergeCell ref="JSC64:JSJ64"/>
    <mergeCell ref="JSK64:JSR64"/>
    <mergeCell ref="JSS64:JSZ64"/>
    <mergeCell ref="JTA64:JTH64"/>
    <mergeCell ref="JTI64:JTP64"/>
    <mergeCell ref="JQO64:JQV64"/>
    <mergeCell ref="JQW64:JRD64"/>
    <mergeCell ref="JRE64:JRL64"/>
    <mergeCell ref="JRM64:JRT64"/>
    <mergeCell ref="JRU64:JSB64"/>
    <mergeCell ref="JPA64:JPH64"/>
    <mergeCell ref="JPI64:JPP64"/>
    <mergeCell ref="JPQ64:JPX64"/>
    <mergeCell ref="JPY64:JQF64"/>
    <mergeCell ref="JQG64:JQN64"/>
    <mergeCell ref="JNM64:JNT64"/>
    <mergeCell ref="JNU64:JOB64"/>
    <mergeCell ref="JOC64:JOJ64"/>
    <mergeCell ref="JOK64:JOR64"/>
    <mergeCell ref="JOS64:JOZ64"/>
    <mergeCell ref="JLY64:JMF64"/>
    <mergeCell ref="JMG64:JMN64"/>
    <mergeCell ref="JMO64:JMV64"/>
    <mergeCell ref="JMW64:JND64"/>
    <mergeCell ref="JNE64:JNL64"/>
    <mergeCell ref="JKK64:JKR64"/>
    <mergeCell ref="JKS64:JKZ64"/>
    <mergeCell ref="JLA64:JLH64"/>
    <mergeCell ref="JLI64:JLP64"/>
    <mergeCell ref="JLQ64:JLX64"/>
    <mergeCell ref="JIW64:JJD64"/>
    <mergeCell ref="JJE64:JJL64"/>
    <mergeCell ref="JJM64:JJT64"/>
    <mergeCell ref="JJU64:JKB64"/>
    <mergeCell ref="JKC64:JKJ64"/>
    <mergeCell ref="JHI64:JHP64"/>
    <mergeCell ref="JHQ64:JHX64"/>
    <mergeCell ref="JHY64:JIF64"/>
    <mergeCell ref="JIG64:JIN64"/>
    <mergeCell ref="JIO64:JIV64"/>
    <mergeCell ref="JFU64:JGB64"/>
    <mergeCell ref="JGC64:JGJ64"/>
    <mergeCell ref="JGK64:JGR64"/>
    <mergeCell ref="JGS64:JGZ64"/>
    <mergeCell ref="JHA64:JHH64"/>
    <mergeCell ref="JEG64:JEN64"/>
    <mergeCell ref="JEO64:JEV64"/>
    <mergeCell ref="JEW64:JFD64"/>
    <mergeCell ref="JFE64:JFL64"/>
    <mergeCell ref="JFM64:JFT64"/>
    <mergeCell ref="JCS64:JCZ64"/>
    <mergeCell ref="JDA64:JDH64"/>
    <mergeCell ref="JDI64:JDP64"/>
    <mergeCell ref="JDQ64:JDX64"/>
    <mergeCell ref="JDY64:JEF64"/>
    <mergeCell ref="JBE64:JBL64"/>
    <mergeCell ref="JBM64:JBT64"/>
    <mergeCell ref="JBU64:JCB64"/>
    <mergeCell ref="JCC64:JCJ64"/>
    <mergeCell ref="JCK64:JCR64"/>
    <mergeCell ref="IZQ64:IZX64"/>
    <mergeCell ref="IZY64:JAF64"/>
    <mergeCell ref="JAG64:JAN64"/>
    <mergeCell ref="JAO64:JAV64"/>
    <mergeCell ref="JAW64:JBD64"/>
    <mergeCell ref="IYC64:IYJ64"/>
    <mergeCell ref="IYK64:IYR64"/>
    <mergeCell ref="IYS64:IYZ64"/>
    <mergeCell ref="IZA64:IZH64"/>
    <mergeCell ref="IZI64:IZP64"/>
    <mergeCell ref="IWO64:IWV64"/>
    <mergeCell ref="IWW64:IXD64"/>
    <mergeCell ref="IXE64:IXL64"/>
    <mergeCell ref="IXM64:IXT64"/>
    <mergeCell ref="IXU64:IYB64"/>
    <mergeCell ref="IVA64:IVH64"/>
    <mergeCell ref="IVI64:IVP64"/>
    <mergeCell ref="IVQ64:IVX64"/>
    <mergeCell ref="IVY64:IWF64"/>
    <mergeCell ref="IWG64:IWN64"/>
    <mergeCell ref="ITM64:ITT64"/>
    <mergeCell ref="ITU64:IUB64"/>
    <mergeCell ref="IUC64:IUJ64"/>
    <mergeCell ref="IUK64:IUR64"/>
    <mergeCell ref="IUS64:IUZ64"/>
    <mergeCell ref="IRY64:ISF64"/>
    <mergeCell ref="ISG64:ISN64"/>
    <mergeCell ref="ISO64:ISV64"/>
    <mergeCell ref="ISW64:ITD64"/>
    <mergeCell ref="ITE64:ITL64"/>
    <mergeCell ref="IQK64:IQR64"/>
    <mergeCell ref="IQS64:IQZ64"/>
    <mergeCell ref="IRA64:IRH64"/>
    <mergeCell ref="IRI64:IRP64"/>
    <mergeCell ref="IRQ64:IRX64"/>
    <mergeCell ref="IOW64:IPD64"/>
    <mergeCell ref="IPE64:IPL64"/>
    <mergeCell ref="IPM64:IPT64"/>
    <mergeCell ref="IPU64:IQB64"/>
    <mergeCell ref="IQC64:IQJ64"/>
    <mergeCell ref="INI64:INP64"/>
    <mergeCell ref="INQ64:INX64"/>
    <mergeCell ref="INY64:IOF64"/>
    <mergeCell ref="IOG64:ION64"/>
    <mergeCell ref="IOO64:IOV64"/>
    <mergeCell ref="ILU64:IMB64"/>
    <mergeCell ref="IMC64:IMJ64"/>
    <mergeCell ref="IMK64:IMR64"/>
    <mergeCell ref="IMS64:IMZ64"/>
    <mergeCell ref="INA64:INH64"/>
    <mergeCell ref="IKG64:IKN64"/>
    <mergeCell ref="IKO64:IKV64"/>
    <mergeCell ref="IKW64:ILD64"/>
    <mergeCell ref="ILE64:ILL64"/>
    <mergeCell ref="ILM64:ILT64"/>
    <mergeCell ref="IIS64:IIZ64"/>
    <mergeCell ref="IJA64:IJH64"/>
    <mergeCell ref="IJI64:IJP64"/>
    <mergeCell ref="IJQ64:IJX64"/>
    <mergeCell ref="IJY64:IKF64"/>
    <mergeCell ref="IHE64:IHL64"/>
    <mergeCell ref="IHM64:IHT64"/>
    <mergeCell ref="IHU64:IIB64"/>
    <mergeCell ref="IIC64:IIJ64"/>
    <mergeCell ref="IIK64:IIR64"/>
    <mergeCell ref="IFQ64:IFX64"/>
    <mergeCell ref="IFY64:IGF64"/>
    <mergeCell ref="IGG64:IGN64"/>
    <mergeCell ref="IGO64:IGV64"/>
    <mergeCell ref="IGW64:IHD64"/>
    <mergeCell ref="IEC64:IEJ64"/>
    <mergeCell ref="IEK64:IER64"/>
    <mergeCell ref="IES64:IEZ64"/>
    <mergeCell ref="IFA64:IFH64"/>
    <mergeCell ref="IFI64:IFP64"/>
    <mergeCell ref="ICO64:ICV64"/>
    <mergeCell ref="ICW64:IDD64"/>
    <mergeCell ref="IDE64:IDL64"/>
    <mergeCell ref="IDM64:IDT64"/>
    <mergeCell ref="IDU64:IEB64"/>
    <mergeCell ref="IBA64:IBH64"/>
    <mergeCell ref="IBI64:IBP64"/>
    <mergeCell ref="IBQ64:IBX64"/>
    <mergeCell ref="IBY64:ICF64"/>
    <mergeCell ref="ICG64:ICN64"/>
    <mergeCell ref="HZM64:HZT64"/>
    <mergeCell ref="HZU64:IAB64"/>
    <mergeCell ref="IAC64:IAJ64"/>
    <mergeCell ref="IAK64:IAR64"/>
    <mergeCell ref="IAS64:IAZ64"/>
    <mergeCell ref="HXY64:HYF64"/>
    <mergeCell ref="HYG64:HYN64"/>
    <mergeCell ref="HYO64:HYV64"/>
    <mergeCell ref="HYW64:HZD64"/>
    <mergeCell ref="HZE64:HZL64"/>
    <mergeCell ref="HWK64:HWR64"/>
    <mergeCell ref="HWS64:HWZ64"/>
    <mergeCell ref="HXA64:HXH64"/>
    <mergeCell ref="HXI64:HXP64"/>
    <mergeCell ref="HXQ64:HXX64"/>
    <mergeCell ref="HUW64:HVD64"/>
    <mergeCell ref="HVE64:HVL64"/>
    <mergeCell ref="HVM64:HVT64"/>
    <mergeCell ref="HVU64:HWB64"/>
    <mergeCell ref="HWC64:HWJ64"/>
    <mergeCell ref="HTI64:HTP64"/>
    <mergeCell ref="HTQ64:HTX64"/>
    <mergeCell ref="HTY64:HUF64"/>
    <mergeCell ref="HUG64:HUN64"/>
    <mergeCell ref="HUO64:HUV64"/>
    <mergeCell ref="HRU64:HSB64"/>
    <mergeCell ref="HSC64:HSJ64"/>
    <mergeCell ref="HSK64:HSR64"/>
    <mergeCell ref="HSS64:HSZ64"/>
    <mergeCell ref="HTA64:HTH64"/>
    <mergeCell ref="HQG64:HQN64"/>
    <mergeCell ref="HQO64:HQV64"/>
    <mergeCell ref="HQW64:HRD64"/>
    <mergeCell ref="HRE64:HRL64"/>
    <mergeCell ref="HRM64:HRT64"/>
    <mergeCell ref="HOS64:HOZ64"/>
    <mergeCell ref="HPA64:HPH64"/>
    <mergeCell ref="HPI64:HPP64"/>
    <mergeCell ref="HPQ64:HPX64"/>
    <mergeCell ref="HPY64:HQF64"/>
    <mergeCell ref="HNE64:HNL64"/>
    <mergeCell ref="HNM64:HNT64"/>
    <mergeCell ref="HNU64:HOB64"/>
    <mergeCell ref="HOC64:HOJ64"/>
    <mergeCell ref="HOK64:HOR64"/>
    <mergeCell ref="HLQ64:HLX64"/>
    <mergeCell ref="HLY64:HMF64"/>
    <mergeCell ref="HMG64:HMN64"/>
    <mergeCell ref="HMO64:HMV64"/>
    <mergeCell ref="HMW64:HND64"/>
    <mergeCell ref="HKC64:HKJ64"/>
    <mergeCell ref="HKK64:HKR64"/>
    <mergeCell ref="HKS64:HKZ64"/>
    <mergeCell ref="HLA64:HLH64"/>
    <mergeCell ref="HLI64:HLP64"/>
    <mergeCell ref="HIO64:HIV64"/>
    <mergeCell ref="HIW64:HJD64"/>
    <mergeCell ref="HJE64:HJL64"/>
    <mergeCell ref="HJM64:HJT64"/>
    <mergeCell ref="HJU64:HKB64"/>
    <mergeCell ref="HHA64:HHH64"/>
    <mergeCell ref="HHI64:HHP64"/>
    <mergeCell ref="HHQ64:HHX64"/>
    <mergeCell ref="HHY64:HIF64"/>
    <mergeCell ref="HIG64:HIN64"/>
    <mergeCell ref="HFM64:HFT64"/>
    <mergeCell ref="HFU64:HGB64"/>
    <mergeCell ref="HGC64:HGJ64"/>
    <mergeCell ref="HGK64:HGR64"/>
    <mergeCell ref="HGS64:HGZ64"/>
    <mergeCell ref="HDY64:HEF64"/>
    <mergeCell ref="HEG64:HEN64"/>
    <mergeCell ref="HEO64:HEV64"/>
    <mergeCell ref="HEW64:HFD64"/>
    <mergeCell ref="HFE64:HFL64"/>
    <mergeCell ref="HCK64:HCR64"/>
    <mergeCell ref="HCS64:HCZ64"/>
    <mergeCell ref="HDA64:HDH64"/>
    <mergeCell ref="HDI64:HDP64"/>
    <mergeCell ref="HDQ64:HDX64"/>
    <mergeCell ref="HAW64:HBD64"/>
    <mergeCell ref="HBE64:HBL64"/>
    <mergeCell ref="HBM64:HBT64"/>
    <mergeCell ref="HBU64:HCB64"/>
    <mergeCell ref="HCC64:HCJ64"/>
    <mergeCell ref="GZI64:GZP64"/>
    <mergeCell ref="GZQ64:GZX64"/>
    <mergeCell ref="GZY64:HAF64"/>
    <mergeCell ref="HAG64:HAN64"/>
    <mergeCell ref="HAO64:HAV64"/>
    <mergeCell ref="GXU64:GYB64"/>
    <mergeCell ref="GYC64:GYJ64"/>
    <mergeCell ref="GYK64:GYR64"/>
    <mergeCell ref="GYS64:GYZ64"/>
    <mergeCell ref="GZA64:GZH64"/>
    <mergeCell ref="GWG64:GWN64"/>
    <mergeCell ref="GWO64:GWV64"/>
    <mergeCell ref="GWW64:GXD64"/>
    <mergeCell ref="GXE64:GXL64"/>
    <mergeCell ref="GXM64:GXT64"/>
    <mergeCell ref="GUS64:GUZ64"/>
    <mergeCell ref="GVA64:GVH64"/>
    <mergeCell ref="GVI64:GVP64"/>
    <mergeCell ref="GVQ64:GVX64"/>
    <mergeCell ref="GVY64:GWF64"/>
    <mergeCell ref="GTE64:GTL64"/>
    <mergeCell ref="GTM64:GTT64"/>
    <mergeCell ref="GTU64:GUB64"/>
    <mergeCell ref="GUC64:GUJ64"/>
    <mergeCell ref="GUK64:GUR64"/>
    <mergeCell ref="GRQ64:GRX64"/>
    <mergeCell ref="GRY64:GSF64"/>
    <mergeCell ref="GSG64:GSN64"/>
    <mergeCell ref="GSO64:GSV64"/>
    <mergeCell ref="GSW64:GTD64"/>
    <mergeCell ref="GQC64:GQJ64"/>
    <mergeCell ref="GQK64:GQR64"/>
    <mergeCell ref="GQS64:GQZ64"/>
    <mergeCell ref="GRA64:GRH64"/>
    <mergeCell ref="GRI64:GRP64"/>
    <mergeCell ref="GOO64:GOV64"/>
    <mergeCell ref="GOW64:GPD64"/>
    <mergeCell ref="GPE64:GPL64"/>
    <mergeCell ref="GPM64:GPT64"/>
    <mergeCell ref="GPU64:GQB64"/>
    <mergeCell ref="GNA64:GNH64"/>
    <mergeCell ref="GNI64:GNP64"/>
    <mergeCell ref="GNQ64:GNX64"/>
    <mergeCell ref="GNY64:GOF64"/>
    <mergeCell ref="GOG64:GON64"/>
    <mergeCell ref="GLM64:GLT64"/>
    <mergeCell ref="GLU64:GMB64"/>
    <mergeCell ref="GMC64:GMJ64"/>
    <mergeCell ref="GMK64:GMR64"/>
    <mergeCell ref="GMS64:GMZ64"/>
    <mergeCell ref="GJY64:GKF64"/>
    <mergeCell ref="GKG64:GKN64"/>
    <mergeCell ref="GKO64:GKV64"/>
    <mergeCell ref="GKW64:GLD64"/>
    <mergeCell ref="GLE64:GLL64"/>
    <mergeCell ref="GIK64:GIR64"/>
    <mergeCell ref="GIS64:GIZ64"/>
    <mergeCell ref="GJA64:GJH64"/>
    <mergeCell ref="GJI64:GJP64"/>
    <mergeCell ref="GJQ64:GJX64"/>
    <mergeCell ref="GGW64:GHD64"/>
    <mergeCell ref="GHE64:GHL64"/>
    <mergeCell ref="GHM64:GHT64"/>
    <mergeCell ref="GHU64:GIB64"/>
    <mergeCell ref="GIC64:GIJ64"/>
    <mergeCell ref="GFI64:GFP64"/>
    <mergeCell ref="GFQ64:GFX64"/>
    <mergeCell ref="GFY64:GGF64"/>
    <mergeCell ref="GGG64:GGN64"/>
    <mergeCell ref="GGO64:GGV64"/>
    <mergeCell ref="GDU64:GEB64"/>
    <mergeCell ref="GEC64:GEJ64"/>
    <mergeCell ref="GEK64:GER64"/>
    <mergeCell ref="GES64:GEZ64"/>
    <mergeCell ref="GFA64:GFH64"/>
    <mergeCell ref="GCG64:GCN64"/>
    <mergeCell ref="GCO64:GCV64"/>
    <mergeCell ref="GCW64:GDD64"/>
    <mergeCell ref="GDE64:GDL64"/>
    <mergeCell ref="GDM64:GDT64"/>
    <mergeCell ref="GAS64:GAZ64"/>
    <mergeCell ref="GBA64:GBH64"/>
    <mergeCell ref="GBI64:GBP64"/>
    <mergeCell ref="GBQ64:GBX64"/>
    <mergeCell ref="GBY64:GCF64"/>
    <mergeCell ref="FZE64:FZL64"/>
    <mergeCell ref="FZM64:FZT64"/>
    <mergeCell ref="FZU64:GAB64"/>
    <mergeCell ref="GAC64:GAJ64"/>
    <mergeCell ref="GAK64:GAR64"/>
    <mergeCell ref="FXQ64:FXX64"/>
    <mergeCell ref="FXY64:FYF64"/>
    <mergeCell ref="FYG64:FYN64"/>
    <mergeCell ref="FYO64:FYV64"/>
    <mergeCell ref="FYW64:FZD64"/>
    <mergeCell ref="FWC64:FWJ64"/>
    <mergeCell ref="FWK64:FWR64"/>
    <mergeCell ref="FWS64:FWZ64"/>
    <mergeCell ref="FXA64:FXH64"/>
    <mergeCell ref="FXI64:FXP64"/>
    <mergeCell ref="FUO64:FUV64"/>
    <mergeCell ref="FUW64:FVD64"/>
    <mergeCell ref="FVE64:FVL64"/>
    <mergeCell ref="FVM64:FVT64"/>
    <mergeCell ref="FVU64:FWB64"/>
    <mergeCell ref="FTA64:FTH64"/>
    <mergeCell ref="FTI64:FTP64"/>
    <mergeCell ref="FTQ64:FTX64"/>
    <mergeCell ref="FTY64:FUF64"/>
    <mergeCell ref="FUG64:FUN64"/>
    <mergeCell ref="FRM64:FRT64"/>
    <mergeCell ref="FRU64:FSB64"/>
    <mergeCell ref="FSC64:FSJ64"/>
    <mergeCell ref="FSK64:FSR64"/>
    <mergeCell ref="FSS64:FSZ64"/>
    <mergeCell ref="FPY64:FQF64"/>
    <mergeCell ref="FQG64:FQN64"/>
    <mergeCell ref="FQO64:FQV64"/>
    <mergeCell ref="FQW64:FRD64"/>
    <mergeCell ref="FRE64:FRL64"/>
    <mergeCell ref="FOK64:FOR64"/>
    <mergeCell ref="FOS64:FOZ64"/>
    <mergeCell ref="FPA64:FPH64"/>
    <mergeCell ref="FPI64:FPP64"/>
    <mergeCell ref="FPQ64:FPX64"/>
    <mergeCell ref="FMW64:FND64"/>
    <mergeCell ref="FNE64:FNL64"/>
    <mergeCell ref="FNM64:FNT64"/>
    <mergeCell ref="FNU64:FOB64"/>
    <mergeCell ref="FOC64:FOJ64"/>
    <mergeCell ref="FLI64:FLP64"/>
    <mergeCell ref="FLQ64:FLX64"/>
    <mergeCell ref="FLY64:FMF64"/>
    <mergeCell ref="FMG64:FMN64"/>
    <mergeCell ref="FMO64:FMV64"/>
    <mergeCell ref="FJU64:FKB64"/>
    <mergeCell ref="FKC64:FKJ64"/>
    <mergeCell ref="FKK64:FKR64"/>
    <mergeCell ref="FKS64:FKZ64"/>
    <mergeCell ref="FLA64:FLH64"/>
    <mergeCell ref="FIG64:FIN64"/>
    <mergeCell ref="FIO64:FIV64"/>
    <mergeCell ref="FIW64:FJD64"/>
    <mergeCell ref="FJE64:FJL64"/>
    <mergeCell ref="FJM64:FJT64"/>
    <mergeCell ref="FGS64:FGZ64"/>
    <mergeCell ref="FHA64:FHH64"/>
    <mergeCell ref="FHI64:FHP64"/>
    <mergeCell ref="FHQ64:FHX64"/>
    <mergeCell ref="FHY64:FIF64"/>
    <mergeCell ref="FFE64:FFL64"/>
    <mergeCell ref="FFM64:FFT64"/>
    <mergeCell ref="FFU64:FGB64"/>
    <mergeCell ref="FGC64:FGJ64"/>
    <mergeCell ref="FGK64:FGR64"/>
    <mergeCell ref="FDQ64:FDX64"/>
    <mergeCell ref="FDY64:FEF64"/>
    <mergeCell ref="FEG64:FEN64"/>
    <mergeCell ref="FEO64:FEV64"/>
    <mergeCell ref="FEW64:FFD64"/>
    <mergeCell ref="FCC64:FCJ64"/>
    <mergeCell ref="FCK64:FCR64"/>
    <mergeCell ref="FCS64:FCZ64"/>
    <mergeCell ref="FDA64:FDH64"/>
    <mergeCell ref="FDI64:FDP64"/>
    <mergeCell ref="FAO64:FAV64"/>
    <mergeCell ref="FAW64:FBD64"/>
    <mergeCell ref="FBE64:FBL64"/>
    <mergeCell ref="FBM64:FBT64"/>
    <mergeCell ref="FBU64:FCB64"/>
    <mergeCell ref="EZA64:EZH64"/>
    <mergeCell ref="EZI64:EZP64"/>
    <mergeCell ref="EZQ64:EZX64"/>
    <mergeCell ref="EZY64:FAF64"/>
    <mergeCell ref="FAG64:FAN64"/>
    <mergeCell ref="EXM64:EXT64"/>
    <mergeCell ref="EXU64:EYB64"/>
    <mergeCell ref="EYC64:EYJ64"/>
    <mergeCell ref="EYK64:EYR64"/>
    <mergeCell ref="EYS64:EYZ64"/>
    <mergeCell ref="EVY64:EWF64"/>
    <mergeCell ref="EWG64:EWN64"/>
    <mergeCell ref="EWO64:EWV64"/>
    <mergeCell ref="EWW64:EXD64"/>
    <mergeCell ref="EXE64:EXL64"/>
    <mergeCell ref="EUK64:EUR64"/>
    <mergeCell ref="EUS64:EUZ64"/>
    <mergeCell ref="EVA64:EVH64"/>
    <mergeCell ref="EVI64:EVP64"/>
    <mergeCell ref="EVQ64:EVX64"/>
    <mergeCell ref="ESW64:ETD64"/>
    <mergeCell ref="ETE64:ETL64"/>
    <mergeCell ref="ETM64:ETT64"/>
    <mergeCell ref="ETU64:EUB64"/>
    <mergeCell ref="EUC64:EUJ64"/>
    <mergeCell ref="ERI64:ERP64"/>
    <mergeCell ref="ERQ64:ERX64"/>
    <mergeCell ref="ERY64:ESF64"/>
    <mergeCell ref="ESG64:ESN64"/>
    <mergeCell ref="ESO64:ESV64"/>
    <mergeCell ref="EPU64:EQB64"/>
    <mergeCell ref="EQC64:EQJ64"/>
    <mergeCell ref="EQK64:EQR64"/>
    <mergeCell ref="EQS64:EQZ64"/>
    <mergeCell ref="ERA64:ERH64"/>
    <mergeCell ref="EOG64:EON64"/>
    <mergeCell ref="EOO64:EOV64"/>
    <mergeCell ref="EOW64:EPD64"/>
    <mergeCell ref="EPE64:EPL64"/>
    <mergeCell ref="EPM64:EPT64"/>
    <mergeCell ref="EMS64:EMZ64"/>
    <mergeCell ref="ENA64:ENH64"/>
    <mergeCell ref="ENI64:ENP64"/>
    <mergeCell ref="ENQ64:ENX64"/>
    <mergeCell ref="ENY64:EOF64"/>
    <mergeCell ref="ELE64:ELL64"/>
    <mergeCell ref="ELM64:ELT64"/>
    <mergeCell ref="ELU64:EMB64"/>
    <mergeCell ref="EMC64:EMJ64"/>
    <mergeCell ref="EMK64:EMR64"/>
    <mergeCell ref="EJQ64:EJX64"/>
    <mergeCell ref="EJY64:EKF64"/>
    <mergeCell ref="EKG64:EKN64"/>
    <mergeCell ref="EKO64:EKV64"/>
    <mergeCell ref="EKW64:ELD64"/>
    <mergeCell ref="EIC64:EIJ64"/>
    <mergeCell ref="EIK64:EIR64"/>
    <mergeCell ref="EIS64:EIZ64"/>
    <mergeCell ref="EJA64:EJH64"/>
    <mergeCell ref="EJI64:EJP64"/>
    <mergeCell ref="EGO64:EGV64"/>
    <mergeCell ref="EGW64:EHD64"/>
    <mergeCell ref="EHE64:EHL64"/>
    <mergeCell ref="EHM64:EHT64"/>
    <mergeCell ref="EHU64:EIB64"/>
    <mergeCell ref="EFA64:EFH64"/>
    <mergeCell ref="EFI64:EFP64"/>
    <mergeCell ref="EFQ64:EFX64"/>
    <mergeCell ref="EFY64:EGF64"/>
    <mergeCell ref="EGG64:EGN64"/>
    <mergeCell ref="EDM64:EDT64"/>
    <mergeCell ref="EDU64:EEB64"/>
    <mergeCell ref="EEC64:EEJ64"/>
    <mergeCell ref="EEK64:EER64"/>
    <mergeCell ref="EES64:EEZ64"/>
    <mergeCell ref="EBY64:ECF64"/>
    <mergeCell ref="ECG64:ECN64"/>
    <mergeCell ref="ECO64:ECV64"/>
    <mergeCell ref="ECW64:EDD64"/>
    <mergeCell ref="EDE64:EDL64"/>
    <mergeCell ref="EAK64:EAR64"/>
    <mergeCell ref="EAS64:EAZ64"/>
    <mergeCell ref="EBA64:EBH64"/>
    <mergeCell ref="EBI64:EBP64"/>
    <mergeCell ref="EBQ64:EBX64"/>
    <mergeCell ref="DYW64:DZD64"/>
    <mergeCell ref="DZE64:DZL64"/>
    <mergeCell ref="DZM64:DZT64"/>
    <mergeCell ref="DZU64:EAB64"/>
    <mergeCell ref="EAC64:EAJ64"/>
    <mergeCell ref="DXI64:DXP64"/>
    <mergeCell ref="DXQ64:DXX64"/>
    <mergeCell ref="DXY64:DYF64"/>
    <mergeCell ref="DYG64:DYN64"/>
    <mergeCell ref="DYO64:DYV64"/>
    <mergeCell ref="DVU64:DWB64"/>
    <mergeCell ref="DWC64:DWJ64"/>
    <mergeCell ref="DWK64:DWR64"/>
    <mergeCell ref="DWS64:DWZ64"/>
    <mergeCell ref="DXA64:DXH64"/>
    <mergeCell ref="DUG64:DUN64"/>
    <mergeCell ref="DUO64:DUV64"/>
    <mergeCell ref="DUW64:DVD64"/>
    <mergeCell ref="DVE64:DVL64"/>
    <mergeCell ref="DVM64:DVT64"/>
    <mergeCell ref="DSS64:DSZ64"/>
    <mergeCell ref="DTA64:DTH64"/>
    <mergeCell ref="DTI64:DTP64"/>
    <mergeCell ref="DTQ64:DTX64"/>
    <mergeCell ref="DTY64:DUF64"/>
    <mergeCell ref="DRE64:DRL64"/>
    <mergeCell ref="DRM64:DRT64"/>
    <mergeCell ref="DRU64:DSB64"/>
    <mergeCell ref="DSC64:DSJ64"/>
    <mergeCell ref="DSK64:DSR64"/>
    <mergeCell ref="DPQ64:DPX64"/>
    <mergeCell ref="DPY64:DQF64"/>
    <mergeCell ref="DQG64:DQN64"/>
    <mergeCell ref="DQO64:DQV64"/>
    <mergeCell ref="DQW64:DRD64"/>
    <mergeCell ref="DOC64:DOJ64"/>
    <mergeCell ref="DOK64:DOR64"/>
    <mergeCell ref="DOS64:DOZ64"/>
    <mergeCell ref="DPA64:DPH64"/>
    <mergeCell ref="DPI64:DPP64"/>
    <mergeCell ref="DMO64:DMV64"/>
    <mergeCell ref="DMW64:DND64"/>
    <mergeCell ref="DNE64:DNL64"/>
    <mergeCell ref="DNM64:DNT64"/>
    <mergeCell ref="DNU64:DOB64"/>
    <mergeCell ref="DLA64:DLH64"/>
    <mergeCell ref="DLI64:DLP64"/>
    <mergeCell ref="DLQ64:DLX64"/>
    <mergeCell ref="DLY64:DMF64"/>
    <mergeCell ref="DMG64:DMN64"/>
    <mergeCell ref="DJM64:DJT64"/>
    <mergeCell ref="DJU64:DKB64"/>
    <mergeCell ref="DKC64:DKJ64"/>
    <mergeCell ref="DKK64:DKR64"/>
    <mergeCell ref="DKS64:DKZ64"/>
    <mergeCell ref="DHY64:DIF64"/>
    <mergeCell ref="DIG64:DIN64"/>
    <mergeCell ref="DIO64:DIV64"/>
    <mergeCell ref="DIW64:DJD64"/>
    <mergeCell ref="DJE64:DJL64"/>
    <mergeCell ref="DGK64:DGR64"/>
    <mergeCell ref="DGS64:DGZ64"/>
    <mergeCell ref="DHA64:DHH64"/>
    <mergeCell ref="DHI64:DHP64"/>
    <mergeCell ref="DHQ64:DHX64"/>
    <mergeCell ref="DEW64:DFD64"/>
    <mergeCell ref="DFE64:DFL64"/>
    <mergeCell ref="DFM64:DFT64"/>
    <mergeCell ref="DFU64:DGB64"/>
    <mergeCell ref="DGC64:DGJ64"/>
    <mergeCell ref="DDI64:DDP64"/>
    <mergeCell ref="DDQ64:DDX64"/>
    <mergeCell ref="DDY64:DEF64"/>
    <mergeCell ref="DEG64:DEN64"/>
    <mergeCell ref="DEO64:DEV64"/>
    <mergeCell ref="DBU64:DCB64"/>
    <mergeCell ref="DCC64:DCJ64"/>
    <mergeCell ref="DCK64:DCR64"/>
    <mergeCell ref="DCS64:DCZ64"/>
    <mergeCell ref="DDA64:DDH64"/>
    <mergeCell ref="DAG64:DAN64"/>
    <mergeCell ref="DAO64:DAV64"/>
    <mergeCell ref="DAW64:DBD64"/>
    <mergeCell ref="DBE64:DBL64"/>
    <mergeCell ref="DBM64:DBT64"/>
    <mergeCell ref="CYS64:CYZ64"/>
    <mergeCell ref="CZA64:CZH64"/>
    <mergeCell ref="CZI64:CZP64"/>
    <mergeCell ref="CZQ64:CZX64"/>
    <mergeCell ref="CZY64:DAF64"/>
    <mergeCell ref="CXE64:CXL64"/>
    <mergeCell ref="CXM64:CXT64"/>
    <mergeCell ref="CXU64:CYB64"/>
    <mergeCell ref="CYC64:CYJ64"/>
    <mergeCell ref="CYK64:CYR64"/>
    <mergeCell ref="CVQ64:CVX64"/>
    <mergeCell ref="CVY64:CWF64"/>
    <mergeCell ref="CWG64:CWN64"/>
    <mergeCell ref="CWO64:CWV64"/>
    <mergeCell ref="CWW64:CXD64"/>
    <mergeCell ref="CUC64:CUJ64"/>
    <mergeCell ref="CUK64:CUR64"/>
    <mergeCell ref="CUS64:CUZ64"/>
    <mergeCell ref="CVA64:CVH64"/>
    <mergeCell ref="CVI64:CVP64"/>
    <mergeCell ref="CSO64:CSV64"/>
    <mergeCell ref="CSW64:CTD64"/>
    <mergeCell ref="CTE64:CTL64"/>
    <mergeCell ref="CTM64:CTT64"/>
    <mergeCell ref="CTU64:CUB64"/>
    <mergeCell ref="CRA64:CRH64"/>
    <mergeCell ref="CRI64:CRP64"/>
    <mergeCell ref="CRQ64:CRX64"/>
    <mergeCell ref="CRY64:CSF64"/>
    <mergeCell ref="CSG64:CSN64"/>
    <mergeCell ref="CPM64:CPT64"/>
    <mergeCell ref="CPU64:CQB64"/>
    <mergeCell ref="CQC64:CQJ64"/>
    <mergeCell ref="CQK64:CQR64"/>
    <mergeCell ref="CQS64:CQZ64"/>
    <mergeCell ref="CNY64:COF64"/>
    <mergeCell ref="COG64:CON64"/>
    <mergeCell ref="COO64:COV64"/>
    <mergeCell ref="COW64:CPD64"/>
    <mergeCell ref="CPE64:CPL64"/>
    <mergeCell ref="CMK64:CMR64"/>
    <mergeCell ref="CMS64:CMZ64"/>
    <mergeCell ref="CNA64:CNH64"/>
    <mergeCell ref="CNI64:CNP64"/>
    <mergeCell ref="CNQ64:CNX64"/>
    <mergeCell ref="CKW64:CLD64"/>
    <mergeCell ref="CLE64:CLL64"/>
    <mergeCell ref="CLM64:CLT64"/>
    <mergeCell ref="CLU64:CMB64"/>
    <mergeCell ref="CMC64:CMJ64"/>
    <mergeCell ref="CJI64:CJP64"/>
    <mergeCell ref="CJQ64:CJX64"/>
    <mergeCell ref="CJY64:CKF64"/>
    <mergeCell ref="CKG64:CKN64"/>
    <mergeCell ref="CKO64:CKV64"/>
    <mergeCell ref="CHU64:CIB64"/>
    <mergeCell ref="CIC64:CIJ64"/>
    <mergeCell ref="CIK64:CIR64"/>
    <mergeCell ref="CIS64:CIZ64"/>
    <mergeCell ref="CJA64:CJH64"/>
    <mergeCell ref="CGG64:CGN64"/>
    <mergeCell ref="CGO64:CGV64"/>
    <mergeCell ref="CGW64:CHD64"/>
    <mergeCell ref="CHE64:CHL64"/>
    <mergeCell ref="CHM64:CHT64"/>
    <mergeCell ref="CES64:CEZ64"/>
    <mergeCell ref="CFA64:CFH64"/>
    <mergeCell ref="CFI64:CFP64"/>
    <mergeCell ref="CFQ64:CFX64"/>
    <mergeCell ref="CFY64:CGF64"/>
    <mergeCell ref="CDE64:CDL64"/>
    <mergeCell ref="CDM64:CDT64"/>
    <mergeCell ref="CDU64:CEB64"/>
    <mergeCell ref="CEC64:CEJ64"/>
    <mergeCell ref="CEK64:CER64"/>
    <mergeCell ref="CBQ64:CBX64"/>
    <mergeCell ref="CBY64:CCF64"/>
    <mergeCell ref="CCG64:CCN64"/>
    <mergeCell ref="CCO64:CCV64"/>
    <mergeCell ref="CCW64:CDD64"/>
    <mergeCell ref="CAC64:CAJ64"/>
    <mergeCell ref="CAK64:CAR64"/>
    <mergeCell ref="CAS64:CAZ64"/>
    <mergeCell ref="CBA64:CBH64"/>
    <mergeCell ref="CBI64:CBP64"/>
    <mergeCell ref="BYO64:BYV64"/>
    <mergeCell ref="BYW64:BZD64"/>
    <mergeCell ref="BZE64:BZL64"/>
    <mergeCell ref="BZM64:BZT64"/>
    <mergeCell ref="BZU64:CAB64"/>
    <mergeCell ref="BXA64:BXH64"/>
    <mergeCell ref="BXI64:BXP64"/>
    <mergeCell ref="BXQ64:BXX64"/>
    <mergeCell ref="BXY64:BYF64"/>
    <mergeCell ref="BYG64:BYN64"/>
    <mergeCell ref="BVM64:BVT64"/>
    <mergeCell ref="BVU64:BWB64"/>
    <mergeCell ref="BWC64:BWJ64"/>
    <mergeCell ref="BWK64:BWR64"/>
    <mergeCell ref="BWS64:BWZ64"/>
    <mergeCell ref="BTY64:BUF64"/>
    <mergeCell ref="BUG64:BUN64"/>
    <mergeCell ref="BUO64:BUV64"/>
    <mergeCell ref="BUW64:BVD64"/>
    <mergeCell ref="BVE64:BVL64"/>
    <mergeCell ref="BSK64:BSR64"/>
    <mergeCell ref="BSS64:BSZ64"/>
    <mergeCell ref="BTA64:BTH64"/>
    <mergeCell ref="BTI64:BTP64"/>
    <mergeCell ref="BTQ64:BTX64"/>
    <mergeCell ref="BQW64:BRD64"/>
    <mergeCell ref="BRE64:BRL64"/>
    <mergeCell ref="BRM64:BRT64"/>
    <mergeCell ref="BRU64:BSB64"/>
    <mergeCell ref="BSC64:BSJ64"/>
    <mergeCell ref="BPI64:BPP64"/>
    <mergeCell ref="BPQ64:BPX64"/>
    <mergeCell ref="BPY64:BQF64"/>
    <mergeCell ref="BQG64:BQN64"/>
    <mergeCell ref="BQO64:BQV64"/>
    <mergeCell ref="BNU64:BOB64"/>
    <mergeCell ref="BOC64:BOJ64"/>
    <mergeCell ref="BOK64:BOR64"/>
    <mergeCell ref="BOS64:BOZ64"/>
    <mergeCell ref="BPA64:BPH64"/>
    <mergeCell ref="BMG64:BMN64"/>
    <mergeCell ref="BMO64:BMV64"/>
    <mergeCell ref="BMW64:BND64"/>
    <mergeCell ref="BNE64:BNL64"/>
    <mergeCell ref="BNM64:BNT64"/>
    <mergeCell ref="BKS64:BKZ64"/>
    <mergeCell ref="BLA64:BLH64"/>
    <mergeCell ref="BLI64:BLP64"/>
    <mergeCell ref="BLQ64:BLX64"/>
    <mergeCell ref="BLY64:BMF64"/>
    <mergeCell ref="BJE64:BJL64"/>
    <mergeCell ref="BJM64:BJT64"/>
    <mergeCell ref="BJU64:BKB64"/>
    <mergeCell ref="BKC64:BKJ64"/>
    <mergeCell ref="BKK64:BKR64"/>
    <mergeCell ref="BHQ64:BHX64"/>
    <mergeCell ref="BHY64:BIF64"/>
    <mergeCell ref="BIG64:BIN64"/>
    <mergeCell ref="BIO64:BIV64"/>
    <mergeCell ref="BIW64:BJD64"/>
    <mergeCell ref="BGC64:BGJ64"/>
    <mergeCell ref="BGK64:BGR64"/>
    <mergeCell ref="BGS64:BGZ64"/>
    <mergeCell ref="BHA64:BHH64"/>
    <mergeCell ref="BHI64:BHP64"/>
    <mergeCell ref="BEO64:BEV64"/>
    <mergeCell ref="BEW64:BFD64"/>
    <mergeCell ref="BFE64:BFL64"/>
    <mergeCell ref="BFM64:BFT64"/>
    <mergeCell ref="BFU64:BGB64"/>
    <mergeCell ref="BDA64:BDH64"/>
    <mergeCell ref="BDI64:BDP64"/>
    <mergeCell ref="BDQ64:BDX64"/>
    <mergeCell ref="BDY64:BEF64"/>
    <mergeCell ref="BEG64:BEN64"/>
    <mergeCell ref="BBM64:BBT64"/>
    <mergeCell ref="BBU64:BCB64"/>
    <mergeCell ref="BCC64:BCJ64"/>
    <mergeCell ref="BCK64:BCR64"/>
    <mergeCell ref="BCS64:BCZ64"/>
    <mergeCell ref="AZY64:BAF64"/>
    <mergeCell ref="BAG64:BAN64"/>
    <mergeCell ref="BAO64:BAV64"/>
    <mergeCell ref="BAW64:BBD64"/>
    <mergeCell ref="BBE64:BBL64"/>
    <mergeCell ref="AYK64:AYR64"/>
    <mergeCell ref="AYS64:AYZ64"/>
    <mergeCell ref="AZA64:AZH64"/>
    <mergeCell ref="AZI64:AZP64"/>
    <mergeCell ref="AZQ64:AZX64"/>
    <mergeCell ref="AWW64:AXD64"/>
    <mergeCell ref="AXE64:AXL64"/>
    <mergeCell ref="AXM64:AXT64"/>
    <mergeCell ref="AXU64:AYB64"/>
    <mergeCell ref="AYC64:AYJ64"/>
    <mergeCell ref="AVI64:AVP64"/>
    <mergeCell ref="AVQ64:AVX64"/>
    <mergeCell ref="AVY64:AWF64"/>
    <mergeCell ref="AWG64:AWN64"/>
    <mergeCell ref="AWO64:AWV64"/>
    <mergeCell ref="ATU64:AUB64"/>
    <mergeCell ref="AUC64:AUJ64"/>
    <mergeCell ref="AUK64:AUR64"/>
    <mergeCell ref="AUS64:AUZ64"/>
    <mergeCell ref="AVA64:AVH64"/>
    <mergeCell ref="ASG64:ASN64"/>
    <mergeCell ref="ASO64:ASV64"/>
    <mergeCell ref="ASW64:ATD64"/>
    <mergeCell ref="ATE64:ATL64"/>
    <mergeCell ref="ATM64:ATT64"/>
    <mergeCell ref="AQS64:AQZ64"/>
    <mergeCell ref="ARA64:ARH64"/>
    <mergeCell ref="ARI64:ARP64"/>
    <mergeCell ref="ARQ64:ARX64"/>
    <mergeCell ref="ARY64:ASF64"/>
    <mergeCell ref="APE64:APL64"/>
    <mergeCell ref="APM64:APT64"/>
    <mergeCell ref="APU64:AQB64"/>
    <mergeCell ref="AQC64:AQJ64"/>
    <mergeCell ref="AQK64:AQR64"/>
    <mergeCell ref="ANQ64:ANX64"/>
    <mergeCell ref="ANY64:AOF64"/>
    <mergeCell ref="AOG64:AON64"/>
    <mergeCell ref="AOO64:AOV64"/>
    <mergeCell ref="AOW64:APD64"/>
    <mergeCell ref="AMC64:AMJ64"/>
    <mergeCell ref="AMK64:AMR64"/>
    <mergeCell ref="AMS64:AMZ64"/>
    <mergeCell ref="ANA64:ANH64"/>
    <mergeCell ref="ANI64:ANP64"/>
    <mergeCell ref="AKO64:AKV64"/>
    <mergeCell ref="AKW64:ALD64"/>
    <mergeCell ref="ALE64:ALL64"/>
    <mergeCell ref="ALM64:ALT64"/>
    <mergeCell ref="ALU64:AMB64"/>
    <mergeCell ref="AJA64:AJH64"/>
    <mergeCell ref="AJI64:AJP64"/>
    <mergeCell ref="AJQ64:AJX64"/>
    <mergeCell ref="AJY64:AKF64"/>
    <mergeCell ref="AKG64:AKN64"/>
    <mergeCell ref="AHM64:AHT64"/>
    <mergeCell ref="AHU64:AIB64"/>
    <mergeCell ref="AIC64:AIJ64"/>
    <mergeCell ref="AIK64:AIR64"/>
    <mergeCell ref="AIS64:AIZ64"/>
    <mergeCell ref="AFY64:AGF64"/>
    <mergeCell ref="AGG64:AGN64"/>
    <mergeCell ref="AGO64:AGV64"/>
    <mergeCell ref="AGW64:AHD64"/>
    <mergeCell ref="AHE64:AHL64"/>
    <mergeCell ref="AEK64:AER64"/>
    <mergeCell ref="AES64:AEZ64"/>
    <mergeCell ref="AFA64:AFH64"/>
    <mergeCell ref="AFI64:AFP64"/>
    <mergeCell ref="AFQ64:AFX64"/>
    <mergeCell ref="ACW64:ADD64"/>
    <mergeCell ref="ADE64:ADL64"/>
    <mergeCell ref="ADM64:ADT64"/>
    <mergeCell ref="ADU64:AEB64"/>
    <mergeCell ref="AEC64:AEJ64"/>
    <mergeCell ref="ABI64:ABP64"/>
    <mergeCell ref="ABQ64:ABX64"/>
    <mergeCell ref="ABY64:ACF64"/>
    <mergeCell ref="ACG64:ACN64"/>
    <mergeCell ref="ACO64:ACV64"/>
    <mergeCell ref="ZU64:AAB64"/>
    <mergeCell ref="AAC64:AAJ64"/>
    <mergeCell ref="AAK64:AAR64"/>
    <mergeCell ref="AAS64:AAZ64"/>
    <mergeCell ref="ABA64:ABH64"/>
    <mergeCell ref="YG64:YN64"/>
    <mergeCell ref="YO64:YV64"/>
    <mergeCell ref="YW64:ZD64"/>
    <mergeCell ref="ZE64:ZL64"/>
    <mergeCell ref="ZM64:ZT64"/>
    <mergeCell ref="WS64:WZ64"/>
    <mergeCell ref="XA64:XH64"/>
    <mergeCell ref="XI64:XP64"/>
    <mergeCell ref="XQ64:XX64"/>
    <mergeCell ref="XY64:YF64"/>
    <mergeCell ref="VE64:VL64"/>
    <mergeCell ref="VM64:VT64"/>
    <mergeCell ref="VU64:WB64"/>
    <mergeCell ref="WC64:WJ64"/>
    <mergeCell ref="WK64:WR64"/>
    <mergeCell ref="TQ64:TX64"/>
    <mergeCell ref="TY64:UF64"/>
    <mergeCell ref="UG64:UN64"/>
    <mergeCell ref="UO64:UV64"/>
    <mergeCell ref="UW64:VD64"/>
    <mergeCell ref="SC64:SJ64"/>
    <mergeCell ref="SK64:SR64"/>
    <mergeCell ref="SS64:SZ64"/>
    <mergeCell ref="TA64:TH64"/>
    <mergeCell ref="TI64:TP64"/>
    <mergeCell ref="QO64:QV64"/>
    <mergeCell ref="QW64:RD64"/>
    <mergeCell ref="RE64:RL64"/>
    <mergeCell ref="RM64:RT64"/>
    <mergeCell ref="RU64:SB64"/>
    <mergeCell ref="PA64:PH64"/>
    <mergeCell ref="PI64:PP64"/>
    <mergeCell ref="PQ64:PX64"/>
    <mergeCell ref="PY64:QF64"/>
    <mergeCell ref="QG64:QN64"/>
    <mergeCell ref="NM64:NT64"/>
    <mergeCell ref="NU64:OB64"/>
    <mergeCell ref="OC64:OJ64"/>
    <mergeCell ref="OK64:OR64"/>
    <mergeCell ref="OS64:OZ64"/>
    <mergeCell ref="LY64:MF64"/>
    <mergeCell ref="MG64:MN64"/>
    <mergeCell ref="MO64:MV64"/>
    <mergeCell ref="MW64:ND64"/>
    <mergeCell ref="NE64:NL64"/>
    <mergeCell ref="KK64:KR64"/>
    <mergeCell ref="KS64:KZ64"/>
    <mergeCell ref="LA64:LH64"/>
    <mergeCell ref="LI64:LP64"/>
    <mergeCell ref="LQ64:LX64"/>
    <mergeCell ref="IW64:JD64"/>
    <mergeCell ref="JE64:JL64"/>
    <mergeCell ref="JM64:JT64"/>
    <mergeCell ref="JU64:KB64"/>
    <mergeCell ref="KC64:KJ64"/>
    <mergeCell ref="HY64:IF64"/>
    <mergeCell ref="IG64:IN64"/>
    <mergeCell ref="IO64:IV64"/>
    <mergeCell ref="FU64:GB64"/>
    <mergeCell ref="GC64:GJ64"/>
    <mergeCell ref="GK64:GR64"/>
    <mergeCell ref="GS64:GZ64"/>
    <mergeCell ref="HA64:HH64"/>
    <mergeCell ref="EG64:EN64"/>
    <mergeCell ref="EO64:EV64"/>
    <mergeCell ref="EW64:FD64"/>
    <mergeCell ref="FE64:FL64"/>
    <mergeCell ref="FM64:FT64"/>
    <mergeCell ref="CS64:CZ64"/>
    <mergeCell ref="DA64:DH64"/>
    <mergeCell ref="DI64:DP64"/>
    <mergeCell ref="DQ64:DX64"/>
    <mergeCell ref="DY64:EF64"/>
    <mergeCell ref="BE64:BL64"/>
    <mergeCell ref="BM64:BT64"/>
    <mergeCell ref="BU64:CB64"/>
    <mergeCell ref="CC64:CJ64"/>
    <mergeCell ref="CK64:CR64"/>
    <mergeCell ref="Q64:X64"/>
    <mergeCell ref="Y64:AF64"/>
    <mergeCell ref="AG64:AN64"/>
    <mergeCell ref="AO64:AV64"/>
    <mergeCell ref="AW64:BD64"/>
    <mergeCell ref="A1:H1"/>
    <mergeCell ref="A2:H2"/>
    <mergeCell ref="A3:H3"/>
    <mergeCell ref="A64:H64"/>
    <mergeCell ref="I64:P64"/>
    <mergeCell ref="HI64:HP64"/>
    <mergeCell ref="HQ64:HX64"/>
  </mergeCells>
  <pageMargins left="0.7" right="0.7" top="0.75" bottom="0.75" header="0.3" footer="0.3"/>
  <pageSetup scale="79" orientation="portrait" r:id="rId1"/>
  <rowBreaks count="2" manualBreakCount="2">
    <brk id="62" max="7" man="1"/>
    <brk id="115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1600-C197-401F-863E-343A4096F416}">
  <sheetPr>
    <pageSetUpPr fitToPage="1"/>
  </sheetPr>
  <dimension ref="A1:M132"/>
  <sheetViews>
    <sheetView topLeftCell="A110" zoomScaleNormal="100" workbookViewId="0">
      <selection activeCell="M51" sqref="M51"/>
    </sheetView>
  </sheetViews>
  <sheetFormatPr defaultRowHeight="15" x14ac:dyDescent="0.25"/>
  <cols>
    <col min="1" max="1" width="10.28515625" customWidth="1"/>
    <col min="2" max="2" width="5.42578125" customWidth="1"/>
    <col min="3" max="3" width="36.5703125" customWidth="1"/>
    <col min="4" max="4" width="2" customWidth="1"/>
    <col min="5" max="5" width="16.5703125" customWidth="1"/>
    <col min="6" max="6" width="1.7109375" customWidth="1"/>
    <col min="7" max="7" width="16" customWidth="1"/>
    <col min="8" max="8" width="1.85546875" customWidth="1"/>
    <col min="9" max="9" width="16.5703125" customWidth="1"/>
    <col min="10" max="10" width="2" customWidth="1"/>
    <col min="11" max="11" width="15" customWidth="1"/>
    <col min="12" max="12" width="1.85546875" customWidth="1"/>
    <col min="13" max="13" width="16" customWidth="1"/>
  </cols>
  <sheetData>
    <row r="1" spans="1:13" ht="31.5" x14ac:dyDescent="0.5">
      <c r="A1" s="148" t="s">
        <v>1223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 ht="26.25" x14ac:dyDescent="0.4">
      <c r="A2" s="149" t="s">
        <v>1232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</row>
    <row r="3" spans="1:13" x14ac:dyDescent="0.25">
      <c r="A3" s="147">
        <f>DATEVALUE(TB!$A$3&amp;"/"&amp;TB!$A$4)</f>
        <v>46023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5" spans="1:13" x14ac:dyDescent="0.25">
      <c r="A5" s="47" t="s">
        <v>1000</v>
      </c>
      <c r="B5" s="47" t="s">
        <v>6</v>
      </c>
      <c r="C5" s="47" t="s">
        <v>1196</v>
      </c>
      <c r="D5" s="47"/>
      <c r="E5" s="47" t="s">
        <v>1197</v>
      </c>
      <c r="F5" s="47"/>
      <c r="G5" s="47" t="s">
        <v>1198</v>
      </c>
      <c r="H5" s="47"/>
      <c r="I5" s="47" t="s">
        <v>1199</v>
      </c>
      <c r="J5" s="47"/>
      <c r="K5" s="47" t="s">
        <v>1200</v>
      </c>
      <c r="L5" s="47"/>
      <c r="M5" s="47" t="s">
        <v>1201</v>
      </c>
    </row>
    <row r="7" spans="1:13" x14ac:dyDescent="0.25">
      <c r="A7" s="4" t="s">
        <v>7</v>
      </c>
      <c r="B7" s="1" t="s">
        <v>9</v>
      </c>
      <c r="C7" s="1" t="s">
        <v>8</v>
      </c>
      <c r="D7" s="67"/>
      <c r="E7" s="11">
        <f>VLOOKUP(A7,TB!TB2_,3,FALSE)</f>
        <v>3176709.92</v>
      </c>
      <c r="G7" s="11">
        <f>VLOOKUP(A7,TB!TB2_,4,FALSE)</f>
        <v>-491755.12</v>
      </c>
      <c r="I7" s="11">
        <f>VLOOKUP(A7,TB!TB2_,4,FALSE)</f>
        <v>-491755.12</v>
      </c>
      <c r="K7" s="40">
        <f>I7+G7</f>
        <v>-983510.24</v>
      </c>
      <c r="M7" s="11">
        <f>VLOOKUP(A7,TB!TB,4,FALSE)</f>
        <v>5676709.9199999999</v>
      </c>
    </row>
    <row r="8" spans="1:13" x14ac:dyDescent="0.25">
      <c r="A8" s="4" t="s">
        <v>10</v>
      </c>
      <c r="B8" s="1" t="s">
        <v>9</v>
      </c>
      <c r="C8" s="1" t="s">
        <v>11</v>
      </c>
      <c r="D8" s="67"/>
      <c r="E8" s="11">
        <f>VLOOKUP(A8,TB!TB2_,3,FALSE)</f>
        <v>2173623.08</v>
      </c>
      <c r="G8" s="11">
        <f>VLOOKUP(A8,TB!TB2_,4,FALSE)</f>
        <v>761514.13</v>
      </c>
      <c r="I8" s="11">
        <f>VLOOKUP(A8,TB!TB2_,4,FALSE)</f>
        <v>761514.13</v>
      </c>
      <c r="K8" s="40">
        <f t="shared" ref="K8:K17" si="0">I8+G8</f>
        <v>1523028.26</v>
      </c>
      <c r="M8" s="11">
        <f>VLOOKUP(A8,TB!TB,4,FALSE)</f>
        <v>1134287.8600000001</v>
      </c>
    </row>
    <row r="9" spans="1:13" x14ac:dyDescent="0.25">
      <c r="A9" s="4" t="s">
        <v>12</v>
      </c>
      <c r="B9" s="1" t="s">
        <v>9</v>
      </c>
      <c r="C9" s="24" t="s">
        <v>13</v>
      </c>
      <c r="D9" s="67"/>
      <c r="E9" s="11">
        <f>VLOOKUP(A9,TB!TB2_,3,FALSE)</f>
        <v>0</v>
      </c>
      <c r="G9" s="11">
        <f>VLOOKUP(A9,TB!TB2_,4,FALSE)</f>
        <v>0</v>
      </c>
      <c r="I9" s="11">
        <f>VLOOKUP(A9,TB!TB2_,4,FALSE)</f>
        <v>0</v>
      </c>
      <c r="K9" s="40">
        <f t="shared" si="0"/>
        <v>0</v>
      </c>
      <c r="M9" s="11">
        <f>VLOOKUP(A9,TB!TB,4,FALSE)</f>
        <v>0</v>
      </c>
    </row>
    <row r="10" spans="1:13" x14ac:dyDescent="0.25">
      <c r="A10" s="44" t="s">
        <v>1226</v>
      </c>
      <c r="B10" s="1" t="s">
        <v>9</v>
      </c>
      <c r="C10" s="1" t="s">
        <v>1227</v>
      </c>
      <c r="D10" s="67"/>
      <c r="E10" s="11">
        <f>VLOOKUP(A10,TB!TB2_,3,FALSE)</f>
        <v>0</v>
      </c>
      <c r="G10" s="11">
        <f>VLOOKUP(A10,TB!TB2_,4,FALSE)</f>
        <v>0</v>
      </c>
      <c r="I10" s="11">
        <f>VLOOKUP(A10,TB!TB2_,4,FALSE)</f>
        <v>0</v>
      </c>
      <c r="K10" s="40">
        <f t="shared" si="0"/>
        <v>0</v>
      </c>
      <c r="M10" s="11">
        <f>VLOOKUP(A10,TB!TB,4,FALSE)</f>
        <v>0</v>
      </c>
    </row>
    <row r="11" spans="1:13" x14ac:dyDescent="0.25">
      <c r="A11" s="44" t="s">
        <v>1228</v>
      </c>
      <c r="B11" s="1" t="s">
        <v>9</v>
      </c>
      <c r="C11" s="10" t="s">
        <v>1229</v>
      </c>
      <c r="D11" s="67"/>
      <c r="E11" s="11">
        <f>VLOOKUP(A11,TB!TB2_,3,FALSE)</f>
        <v>0</v>
      </c>
      <c r="G11" s="11">
        <f>VLOOKUP(A11,TB!TB2_,4,FALSE)</f>
        <v>0</v>
      </c>
      <c r="I11" s="11">
        <f>VLOOKUP(A11,TB!TB2_,4,FALSE)</f>
        <v>0</v>
      </c>
      <c r="K11" s="40">
        <f t="shared" si="0"/>
        <v>0</v>
      </c>
      <c r="M11" s="11">
        <f>VLOOKUP(A11,TB!TB,4,FALSE)</f>
        <v>0</v>
      </c>
    </row>
    <row r="12" spans="1:13" x14ac:dyDescent="0.25">
      <c r="A12" s="107" t="s">
        <v>1230</v>
      </c>
      <c r="B12" s="65" t="s">
        <v>9</v>
      </c>
      <c r="C12" s="1" t="s">
        <v>1231</v>
      </c>
      <c r="E12" s="11">
        <f>VLOOKUP(A12,TB!TB2_,3,FALSE)</f>
        <v>0</v>
      </c>
      <c r="G12" s="11">
        <f>VLOOKUP(A12,TB!TB2_,4,FALSE)</f>
        <v>0</v>
      </c>
      <c r="I12" s="11">
        <f>VLOOKUP(A12,TB!TB2_,4,FALSE)</f>
        <v>0</v>
      </c>
      <c r="K12" s="40">
        <f t="shared" si="0"/>
        <v>0</v>
      </c>
      <c r="M12" s="11">
        <f>VLOOKUP(A12,TB!TB,4,FALSE)</f>
        <v>0</v>
      </c>
    </row>
    <row r="13" spans="1:13" x14ac:dyDescent="0.25">
      <c r="A13" s="4" t="s">
        <v>14</v>
      </c>
      <c r="B13" s="1" t="s">
        <v>9</v>
      </c>
      <c r="C13" s="108" t="s">
        <v>15</v>
      </c>
      <c r="D13" s="67"/>
      <c r="E13" s="11">
        <f>VLOOKUP(A13,TB!TB2_,3,FALSE)</f>
        <v>2463860.13</v>
      </c>
      <c r="G13" s="11">
        <f>VLOOKUP(A13,TB!TB2_,4,FALSE)</f>
        <v>-729029.03</v>
      </c>
      <c r="I13" s="11">
        <f>VLOOKUP(A13,TB!TB2_,4,FALSE)</f>
        <v>-729029.03</v>
      </c>
      <c r="K13" s="40">
        <f t="shared" si="0"/>
        <v>-1458058.06</v>
      </c>
      <c r="M13" s="11">
        <f>VLOOKUP(A13,TB!TB,4,FALSE)</f>
        <v>1385493.18</v>
      </c>
    </row>
    <row r="14" spans="1:13" x14ac:dyDescent="0.25">
      <c r="A14" s="4" t="s">
        <v>16</v>
      </c>
      <c r="B14" s="1" t="s">
        <v>9</v>
      </c>
      <c r="C14" s="1" t="s">
        <v>17</v>
      </c>
      <c r="D14" s="67"/>
      <c r="E14" s="11">
        <f>VLOOKUP(A14,TB!TB2_,3,FALSE)</f>
        <v>-2000.11</v>
      </c>
      <c r="G14" s="11">
        <f>VLOOKUP(A14,TB!TB2_,4,FALSE)</f>
        <v>-81.680000000000007</v>
      </c>
      <c r="I14" s="11">
        <f>VLOOKUP(A14,TB!TB2_,4,FALSE)</f>
        <v>-81.680000000000007</v>
      </c>
      <c r="K14" s="40">
        <f t="shared" si="0"/>
        <v>-163.36000000000001</v>
      </c>
      <c r="M14" s="11">
        <f>VLOOKUP(A14,TB!TB,4,FALSE)</f>
        <v>-2000.11</v>
      </c>
    </row>
    <row r="15" spans="1:13" x14ac:dyDescent="0.25">
      <c r="A15" s="4" t="s">
        <v>1228</v>
      </c>
      <c r="B15" s="1" t="s">
        <v>9</v>
      </c>
      <c r="C15" s="1" t="s">
        <v>1229</v>
      </c>
      <c r="D15" s="67"/>
      <c r="E15" s="11">
        <f>VLOOKUP(A15,TB!TB2_,3,FALSE)</f>
        <v>0</v>
      </c>
      <c r="G15" s="11">
        <f>VLOOKUP(A15,TB!TB2_,4,FALSE)</f>
        <v>0</v>
      </c>
      <c r="I15" s="11">
        <f>VLOOKUP(A15,TB!TB2_,4,FALSE)</f>
        <v>0</v>
      </c>
      <c r="K15" s="40">
        <f t="shared" si="0"/>
        <v>0</v>
      </c>
      <c r="M15" s="11">
        <f>VLOOKUP(A15,TB!TB,4,FALSE)</f>
        <v>0</v>
      </c>
    </row>
    <row r="16" spans="1:13" x14ac:dyDescent="0.25">
      <c r="A16" s="4" t="s">
        <v>1230</v>
      </c>
      <c r="B16" s="1" t="s">
        <v>9</v>
      </c>
      <c r="C16" s="1" t="s">
        <v>1231</v>
      </c>
      <c r="D16" s="67"/>
      <c r="E16" s="11">
        <f>VLOOKUP(A16,TB!TB2_,3,FALSE)</f>
        <v>0</v>
      </c>
      <c r="G16" s="11">
        <f>VLOOKUP(A16,TB!TB2_,4,FALSE)</f>
        <v>0</v>
      </c>
      <c r="I16" s="11">
        <f>VLOOKUP(A16,TB!TB2_,4,FALSE)</f>
        <v>0</v>
      </c>
      <c r="K16" s="40">
        <f t="shared" si="0"/>
        <v>0</v>
      </c>
      <c r="M16" s="11">
        <f>VLOOKUP(A16,TB!TB,4,FALSE)</f>
        <v>0</v>
      </c>
    </row>
    <row r="17" spans="1:13" x14ac:dyDescent="0.25">
      <c r="A17" s="4" t="s">
        <v>18</v>
      </c>
      <c r="B17" s="1" t="s">
        <v>9</v>
      </c>
      <c r="C17" s="1" t="s">
        <v>19</v>
      </c>
      <c r="D17" s="67"/>
      <c r="E17" s="11">
        <f>VLOOKUP(A17,TB!TB2_,3,FALSE)</f>
        <v>1942008.16</v>
      </c>
      <c r="G17" s="11">
        <f>VLOOKUP(A17,TB!TB2_,4,FALSE)</f>
        <v>586927.23</v>
      </c>
      <c r="I17" s="11">
        <f>VLOOKUP(A17,TB!TB2_,4,FALSE)</f>
        <v>586927.23</v>
      </c>
      <c r="K17" s="40">
        <f t="shared" si="0"/>
        <v>1173854.46</v>
      </c>
      <c r="M17" s="11">
        <f>VLOOKUP(A17,TB!TB,4,FALSE)</f>
        <v>1550239.25</v>
      </c>
    </row>
    <row r="18" spans="1:13" x14ac:dyDescent="0.25">
      <c r="A18" s="4" t="s">
        <v>20</v>
      </c>
      <c r="B18" s="1" t="s">
        <v>9</v>
      </c>
      <c r="C18" s="1" t="s">
        <v>21</v>
      </c>
      <c r="D18" s="67"/>
      <c r="E18" s="11">
        <f>VLOOKUP(A18,TB!TB2_,3,FALSE)</f>
        <v>539605.88</v>
      </c>
      <c r="G18" s="11">
        <f>VLOOKUP(A18,TB!TB2_,4,FALSE)</f>
        <v>1000</v>
      </c>
      <c r="I18" s="11">
        <f>VLOOKUP(A18,TB!TB2_,4,FALSE)</f>
        <v>1000</v>
      </c>
      <c r="K18" s="40">
        <f t="shared" ref="K18:K33" si="1">I18+G18</f>
        <v>2000</v>
      </c>
      <c r="M18" s="11">
        <f>VLOOKUP(A18,TB!TB,4,FALSE)</f>
        <v>622576.07999999996</v>
      </c>
    </row>
    <row r="19" spans="1:13" x14ac:dyDescent="0.25">
      <c r="A19" s="44" t="s">
        <v>1234</v>
      </c>
      <c r="B19" s="1" t="s">
        <v>9</v>
      </c>
      <c r="C19" s="1" t="s">
        <v>1318</v>
      </c>
      <c r="D19" s="67"/>
      <c r="E19" s="11">
        <f>VLOOKUP(A19,TB!TB2_,3,FALSE)</f>
        <v>93678.27</v>
      </c>
      <c r="G19" s="11">
        <f>VLOOKUP(A19,TB!TB2_,4,FALSE)</f>
        <v>900.66</v>
      </c>
      <c r="I19" s="11">
        <f>VLOOKUP(A19,TB!TB2_,4,FALSE)</f>
        <v>900.66</v>
      </c>
      <c r="K19" s="40">
        <f t="shared" si="1"/>
        <v>1801.32</v>
      </c>
      <c r="M19" s="11">
        <f>VLOOKUP(A19,TB!TB,4,FALSE)</f>
        <v>75346.38</v>
      </c>
    </row>
    <row r="20" spans="1:13" x14ac:dyDescent="0.25">
      <c r="A20" s="4" t="s">
        <v>22</v>
      </c>
      <c r="B20" s="1" t="s">
        <v>9</v>
      </c>
      <c r="C20" s="1" t="s">
        <v>23</v>
      </c>
      <c r="D20" s="67"/>
      <c r="E20" s="11">
        <f>VLOOKUP(A20,TB!TB2_,3,FALSE)</f>
        <v>101544.21</v>
      </c>
      <c r="G20" s="11">
        <f>VLOOKUP(A20,TB!TB2_,4,FALSE)</f>
        <v>-240169.03</v>
      </c>
      <c r="I20" s="11">
        <f>VLOOKUP(A20,TB!TB2_,4,FALSE)</f>
        <v>-240169.03</v>
      </c>
      <c r="K20" s="40">
        <f t="shared" si="1"/>
        <v>-480338.06</v>
      </c>
      <c r="M20" s="11">
        <f>VLOOKUP(A20,TB!TB,4,FALSE)</f>
        <v>329107.42</v>
      </c>
    </row>
    <row r="21" spans="1:13" x14ac:dyDescent="0.25">
      <c r="A21" s="4" t="s">
        <v>24</v>
      </c>
      <c r="B21" s="1" t="s">
        <v>9</v>
      </c>
      <c r="C21" s="1" t="s">
        <v>25</v>
      </c>
      <c r="D21" s="67"/>
      <c r="E21" s="11">
        <f>VLOOKUP(A21,TB!TB2_,3,FALSE)</f>
        <v>506494.79</v>
      </c>
      <c r="G21" s="11">
        <f>VLOOKUP(A21,TB!TB2_,4,FALSE)</f>
        <v>17410.77</v>
      </c>
      <c r="I21" s="11">
        <f>VLOOKUP(A21,TB!TB2_,4,FALSE)</f>
        <v>17410.77</v>
      </c>
      <c r="K21" s="40">
        <f t="shared" si="1"/>
        <v>34821.54</v>
      </c>
      <c r="M21" s="11">
        <f>VLOOKUP(A21,TB!TB,4,FALSE)</f>
        <v>765025.01</v>
      </c>
    </row>
    <row r="22" spans="1:13" x14ac:dyDescent="0.25">
      <c r="A22" s="4" t="s">
        <v>26</v>
      </c>
      <c r="B22" s="1" t="s">
        <v>9</v>
      </c>
      <c r="C22" s="1" t="s">
        <v>27</v>
      </c>
      <c r="D22" s="67"/>
      <c r="E22" s="11">
        <f>VLOOKUP(A22,TB!TB2_,3,FALSE)</f>
        <v>51322.15</v>
      </c>
      <c r="G22" s="11">
        <f>VLOOKUP(A22,TB!TB2_,4,FALSE)</f>
        <v>-37749.660000000003</v>
      </c>
      <c r="I22" s="11">
        <f>VLOOKUP(A22,TB!TB2_,4,FALSE)</f>
        <v>-37749.660000000003</v>
      </c>
      <c r="K22" s="40">
        <f t="shared" si="1"/>
        <v>-75499.320000000007</v>
      </c>
      <c r="M22" s="11">
        <f>VLOOKUP(A22,TB!TB,4,FALSE)</f>
        <v>107823.53</v>
      </c>
    </row>
    <row r="23" spans="1:13" x14ac:dyDescent="0.25">
      <c r="A23" s="4" t="s">
        <v>28</v>
      </c>
      <c r="B23" s="1" t="s">
        <v>9</v>
      </c>
      <c r="C23" s="1" t="s">
        <v>29</v>
      </c>
      <c r="D23" s="67"/>
      <c r="E23" s="11">
        <f>VLOOKUP(A23,TB!TB2_,3,FALSE)</f>
        <v>225.75</v>
      </c>
      <c r="G23" s="11">
        <f>VLOOKUP(A23,TB!TB2_,4,FALSE)</f>
        <v>-2934.75</v>
      </c>
      <c r="I23" s="11">
        <f>VLOOKUP(A23,TB!TB2_,4,FALSE)</f>
        <v>-2934.75</v>
      </c>
      <c r="K23" s="40">
        <f t="shared" si="1"/>
        <v>-5869.5</v>
      </c>
      <c r="M23" s="11">
        <f>VLOOKUP(A23,TB!TB,4,FALSE)</f>
        <v>225.75</v>
      </c>
    </row>
    <row r="24" spans="1:13" x14ac:dyDescent="0.25">
      <c r="A24" s="4" t="s">
        <v>30</v>
      </c>
      <c r="B24" s="1" t="s">
        <v>9</v>
      </c>
      <c r="C24" s="1" t="s">
        <v>31</v>
      </c>
      <c r="D24" s="67"/>
      <c r="E24" s="11">
        <f>VLOOKUP(A24,TB!TB2_,3,FALSE)</f>
        <v>0</v>
      </c>
      <c r="G24" s="11">
        <f>VLOOKUP(A24,TB!TB2_,4,FALSE)</f>
        <v>0</v>
      </c>
      <c r="I24" s="11">
        <f>VLOOKUP(A24,TB!TB2_,4,FALSE)</f>
        <v>0</v>
      </c>
      <c r="K24" s="40">
        <f t="shared" si="1"/>
        <v>0</v>
      </c>
      <c r="M24" s="11">
        <f>VLOOKUP(A24,TB!TB,4,FALSE)</f>
        <v>0</v>
      </c>
    </row>
    <row r="25" spans="1:13" x14ac:dyDescent="0.25">
      <c r="A25" s="4" t="s">
        <v>32</v>
      </c>
      <c r="B25" s="1" t="s">
        <v>9</v>
      </c>
      <c r="C25" s="1" t="s">
        <v>33</v>
      </c>
      <c r="D25" s="67"/>
      <c r="E25" s="11">
        <f>VLOOKUP(A25,TB!TB2_,3,FALSE)</f>
        <v>0</v>
      </c>
      <c r="G25" s="11">
        <f>VLOOKUP(A25,TB!TB2_,4,FALSE)</f>
        <v>0</v>
      </c>
      <c r="I25" s="11">
        <f>VLOOKUP(A25,TB!TB2_,4,FALSE)</f>
        <v>0</v>
      </c>
      <c r="K25" s="40">
        <f t="shared" si="1"/>
        <v>0</v>
      </c>
      <c r="M25" s="11">
        <f>VLOOKUP(A25,TB!TB,4,FALSE)</f>
        <v>0</v>
      </c>
    </row>
    <row r="26" spans="1:13" x14ac:dyDescent="0.25">
      <c r="A26" s="4" t="s">
        <v>34</v>
      </c>
      <c r="B26" s="1" t="s">
        <v>9</v>
      </c>
      <c r="C26" s="1" t="s">
        <v>35</v>
      </c>
      <c r="D26" s="67"/>
      <c r="E26" s="11">
        <f>VLOOKUP(A26,TB!TB2_,3,FALSE)</f>
        <v>70257.94</v>
      </c>
      <c r="G26" s="11">
        <f>VLOOKUP(A26,TB!TB2_,4,FALSE)</f>
        <v>0</v>
      </c>
      <c r="I26" s="11">
        <f>VLOOKUP(A26,TB!TB2_,4,FALSE)</f>
        <v>0</v>
      </c>
      <c r="K26" s="40">
        <f t="shared" si="1"/>
        <v>0</v>
      </c>
      <c r="M26" s="11">
        <f>VLOOKUP(A26,TB!TB,4,FALSE)</f>
        <v>70257.94</v>
      </c>
    </row>
    <row r="27" spans="1:13" x14ac:dyDescent="0.25">
      <c r="A27" s="4" t="s">
        <v>36</v>
      </c>
      <c r="B27" s="1" t="s">
        <v>9</v>
      </c>
      <c r="C27" s="1" t="s">
        <v>37</v>
      </c>
      <c r="D27" s="67"/>
      <c r="E27" s="11">
        <f>VLOOKUP(A27,TB!TB2_,3,FALSE)</f>
        <v>330121.90999999997</v>
      </c>
      <c r="G27" s="11">
        <f>VLOOKUP(A27,TB!TB2_,4,FALSE)</f>
        <v>0</v>
      </c>
      <c r="I27" s="11">
        <f>VLOOKUP(A27,TB!TB2_,4,FALSE)</f>
        <v>0</v>
      </c>
      <c r="K27" s="40">
        <f t="shared" si="1"/>
        <v>0</v>
      </c>
      <c r="M27" s="11">
        <f>VLOOKUP(A27,TB!TB,4,FALSE)</f>
        <v>330121.90999999997</v>
      </c>
    </row>
    <row r="28" spans="1:13" x14ac:dyDescent="0.25">
      <c r="A28" s="4" t="s">
        <v>38</v>
      </c>
      <c r="B28" s="1" t="s">
        <v>9</v>
      </c>
      <c r="C28" s="1" t="s">
        <v>39</v>
      </c>
      <c r="D28" s="67"/>
      <c r="E28" s="11">
        <f>VLOOKUP(A28,TB!TB2_,3,FALSE)</f>
        <v>63994.71</v>
      </c>
      <c r="G28" s="11">
        <f>VLOOKUP(A28,TB!TB2_,4,FALSE)</f>
        <v>0</v>
      </c>
      <c r="I28" s="11">
        <f>VLOOKUP(A28,TB!TB2_,4,FALSE)</f>
        <v>0</v>
      </c>
      <c r="K28" s="40">
        <f t="shared" si="1"/>
        <v>0</v>
      </c>
      <c r="M28" s="11">
        <f>VLOOKUP(A28,TB!TB,4,FALSE)</f>
        <v>63994.71</v>
      </c>
    </row>
    <row r="29" spans="1:13" x14ac:dyDescent="0.25">
      <c r="A29" s="4" t="s">
        <v>40</v>
      </c>
      <c r="B29" s="1" t="s">
        <v>9</v>
      </c>
      <c r="C29" s="1" t="s">
        <v>1244</v>
      </c>
      <c r="D29" s="67"/>
      <c r="E29" s="11">
        <f>VLOOKUP(A29,TB!TB2_,3,FALSE)</f>
        <v>1979268.07</v>
      </c>
      <c r="G29" s="11">
        <f>VLOOKUP(A29,TB!TB2_,4,FALSE)</f>
        <v>0</v>
      </c>
      <c r="I29" s="11">
        <f>VLOOKUP(A29,TB!TB2_,4,FALSE)</f>
        <v>0</v>
      </c>
      <c r="K29" s="40">
        <f t="shared" si="1"/>
        <v>0</v>
      </c>
      <c r="M29" s="11">
        <f>VLOOKUP(A29,TB!TB,4,FALSE)</f>
        <v>1979268.07</v>
      </c>
    </row>
    <row r="30" spans="1:13" x14ac:dyDescent="0.25">
      <c r="A30" s="4" t="s">
        <v>1379</v>
      </c>
      <c r="B30" s="1" t="s">
        <v>9</v>
      </c>
      <c r="C30" s="1" t="s">
        <v>1380</v>
      </c>
      <c r="D30" s="67"/>
      <c r="E30" s="11">
        <f>VLOOKUP(A30,TB!TB2_,3,FALSE)</f>
        <v>780294.56</v>
      </c>
      <c r="G30" s="11">
        <f>VLOOKUP(A30,TB!TB2_,4,FALSE)</f>
        <v>0</v>
      </c>
      <c r="I30" s="11">
        <f>VLOOKUP(A30,TB!TB2_,4,FALSE)</f>
        <v>0</v>
      </c>
      <c r="K30" s="40">
        <f t="shared" si="1"/>
        <v>0</v>
      </c>
      <c r="M30" s="11">
        <f>VLOOKUP(A30,TB!TB,4,FALSE)</f>
        <v>744383.56</v>
      </c>
    </row>
    <row r="31" spans="1:13" x14ac:dyDescent="0.25">
      <c r="A31" s="4" t="s">
        <v>41</v>
      </c>
      <c r="B31" s="1" t="s">
        <v>9</v>
      </c>
      <c r="C31" s="1" t="s">
        <v>42</v>
      </c>
      <c r="D31" s="67"/>
      <c r="E31" s="11">
        <f>VLOOKUP(A31,TB!TB2_,3,FALSE)</f>
        <v>4734966.1500000004</v>
      </c>
      <c r="G31" s="11">
        <f>VLOOKUP(A31,TB!TB2_,4,FALSE)</f>
        <v>60199.07</v>
      </c>
      <c r="I31" s="11">
        <f>VLOOKUP(A31,TB!TB2_,4,FALSE)</f>
        <v>60199.07</v>
      </c>
      <c r="K31" s="40">
        <f t="shared" si="1"/>
        <v>120398.14</v>
      </c>
      <c r="M31" s="11">
        <f>VLOOKUP(A31,TB!TB,4,FALSE)</f>
        <v>4777540.4000000004</v>
      </c>
    </row>
    <row r="32" spans="1:13" x14ac:dyDescent="0.25">
      <c r="A32" s="4" t="s">
        <v>43</v>
      </c>
      <c r="B32" s="1" t="s">
        <v>9</v>
      </c>
      <c r="C32" s="1" t="s">
        <v>1297</v>
      </c>
      <c r="D32" s="67"/>
      <c r="E32" s="11">
        <f>VLOOKUP(A32,TB!TB2_,3,FALSE)</f>
        <v>21335647.52</v>
      </c>
      <c r="G32" s="11">
        <f>VLOOKUP(A32,TB!TB2_,4,FALSE)</f>
        <v>-376013.37</v>
      </c>
      <c r="I32" s="11">
        <f>VLOOKUP(A32,TB!TB2_,4,FALSE)</f>
        <v>-376013.37</v>
      </c>
      <c r="K32" s="40">
        <f t="shared" si="1"/>
        <v>-752026.74</v>
      </c>
      <c r="M32" s="11">
        <f>VLOOKUP(A32,TB!TB,4,FALSE)</f>
        <v>21288661.440000001</v>
      </c>
    </row>
    <row r="33" spans="1:13" x14ac:dyDescent="0.25">
      <c r="A33" s="4" t="s">
        <v>1183</v>
      </c>
      <c r="B33" s="1" t="s">
        <v>9</v>
      </c>
      <c r="C33" s="1" t="s">
        <v>1319</v>
      </c>
      <c r="D33" s="67"/>
      <c r="E33" s="11">
        <f>VLOOKUP(A33,TB!TB2_,3,FALSE)</f>
        <v>0</v>
      </c>
      <c r="G33" s="11">
        <f>VLOOKUP(A33,TB!TB2_,4,FALSE)</f>
        <v>0</v>
      </c>
      <c r="I33" s="11">
        <f>VLOOKUP(A33,TB!TB2_,4,FALSE)</f>
        <v>0</v>
      </c>
      <c r="K33" s="40">
        <f t="shared" si="1"/>
        <v>0</v>
      </c>
      <c r="M33" s="11">
        <f>VLOOKUP(A33,TB!TB,4,FALSE)</f>
        <v>0</v>
      </c>
    </row>
    <row r="34" spans="1:13" x14ac:dyDescent="0.25">
      <c r="A34" s="4" t="s">
        <v>44</v>
      </c>
      <c r="B34" s="1" t="s">
        <v>9</v>
      </c>
      <c r="C34" s="1" t="s">
        <v>1320</v>
      </c>
      <c r="D34" s="67"/>
      <c r="E34" s="11">
        <f>VLOOKUP(A34,TB!TB2_,3,FALSE)</f>
        <v>1335535.73</v>
      </c>
      <c r="G34" s="11">
        <f>VLOOKUP(A34,TB!TB2_,4,FALSE)</f>
        <v>0</v>
      </c>
      <c r="I34" s="11">
        <f>VLOOKUP(A34,TB!TB2_,4,FALSE)</f>
        <v>0</v>
      </c>
      <c r="K34" s="40">
        <f>I34+G34</f>
        <v>0</v>
      </c>
      <c r="M34" s="11">
        <f>VLOOKUP(A34,TB!TB,4,FALSE)</f>
        <v>1335535.73</v>
      </c>
    </row>
    <row r="35" spans="1:13" x14ac:dyDescent="0.25">
      <c r="A35" s="4" t="s">
        <v>49</v>
      </c>
      <c r="B35" s="1" t="s">
        <v>9</v>
      </c>
      <c r="C35" s="1" t="s">
        <v>50</v>
      </c>
      <c r="D35" s="67"/>
      <c r="E35" s="11">
        <f>VLOOKUP(A35,TB!TB2_,3,FALSE)</f>
        <v>34894.660000000003</v>
      </c>
      <c r="G35" s="11">
        <f>VLOOKUP(A35,TB!TB2_,4,FALSE)</f>
        <v>0</v>
      </c>
      <c r="I35" s="11">
        <f>VLOOKUP(A35,TB!TB2_,4,FALSE)</f>
        <v>0</v>
      </c>
      <c r="K35" s="40">
        <f t="shared" ref="K35:K56" si="2">I35+G35</f>
        <v>0</v>
      </c>
      <c r="M35" s="11">
        <f>VLOOKUP(A35,TB!TB,4,FALSE)</f>
        <v>34894.660000000003</v>
      </c>
    </row>
    <row r="36" spans="1:13" x14ac:dyDescent="0.25">
      <c r="A36" s="4" t="s">
        <v>51</v>
      </c>
      <c r="B36" s="1" t="s">
        <v>9</v>
      </c>
      <c r="C36" s="1" t="s">
        <v>52</v>
      </c>
      <c r="D36" s="67"/>
      <c r="E36" s="11">
        <f>VLOOKUP(A36,TB!TB2_,3,FALSE)</f>
        <v>-1155</v>
      </c>
      <c r="G36" s="11">
        <f>VLOOKUP(A36,TB!TB2_,4,FALSE)</f>
        <v>-577.5</v>
      </c>
      <c r="I36" s="11">
        <f>VLOOKUP(A36,TB!TB2_,4,FALSE)</f>
        <v>-577.5</v>
      </c>
      <c r="K36" s="40">
        <f t="shared" si="2"/>
        <v>-1155</v>
      </c>
      <c r="M36" s="11">
        <f>VLOOKUP(A36,TB!TB,4,FALSE)</f>
        <v>-1155</v>
      </c>
    </row>
    <row r="37" spans="1:13" x14ac:dyDescent="0.25">
      <c r="A37" s="4" t="s">
        <v>53</v>
      </c>
      <c r="B37" s="1" t="s">
        <v>9</v>
      </c>
      <c r="C37" s="1" t="s">
        <v>54</v>
      </c>
      <c r="D37" s="67"/>
      <c r="E37" s="11">
        <f>VLOOKUP(A37,TB!TB2_,3,FALSE)</f>
        <v>-67793.38</v>
      </c>
      <c r="G37" s="11">
        <f>VLOOKUP(A37,TB!TB2_,4,FALSE)</f>
        <v>-111.94</v>
      </c>
      <c r="I37" s="11">
        <f>VLOOKUP(A37,TB!TB2_,4,FALSE)</f>
        <v>-111.94</v>
      </c>
      <c r="K37" s="40">
        <f t="shared" si="2"/>
        <v>-223.88</v>
      </c>
      <c r="M37" s="11">
        <f>VLOOKUP(A37,TB!TB,4,FALSE)</f>
        <v>-67905.31</v>
      </c>
    </row>
    <row r="38" spans="1:13" x14ac:dyDescent="0.25">
      <c r="A38" s="4" t="s">
        <v>55</v>
      </c>
      <c r="B38" s="1" t="s">
        <v>9</v>
      </c>
      <c r="C38" s="1" t="s">
        <v>56</v>
      </c>
      <c r="D38" s="67"/>
      <c r="E38" s="11">
        <f>VLOOKUP(A38,TB!TB2_,3,FALSE)</f>
        <v>-302707.15999999997</v>
      </c>
      <c r="G38" s="11">
        <f>VLOOKUP(A38,TB!TB2_,4,FALSE)</f>
        <v>-2045.34</v>
      </c>
      <c r="I38" s="11">
        <f>VLOOKUP(A38,TB!TB2_,4,FALSE)</f>
        <v>-2045.34</v>
      </c>
      <c r="K38" s="40">
        <f t="shared" si="2"/>
        <v>-4090.68</v>
      </c>
      <c r="M38" s="11">
        <f>VLOOKUP(A38,TB!TB,4,FALSE)</f>
        <v>-304567.86</v>
      </c>
    </row>
    <row r="39" spans="1:13" x14ac:dyDescent="0.25">
      <c r="A39" s="4" t="s">
        <v>57</v>
      </c>
      <c r="B39" s="1" t="s">
        <v>9</v>
      </c>
      <c r="C39" s="1" t="s">
        <v>58</v>
      </c>
      <c r="D39" s="67"/>
      <c r="E39" s="11">
        <f>VLOOKUP(A39,TB!TB2_,3,FALSE)</f>
        <v>-63994.71</v>
      </c>
      <c r="G39" s="11">
        <f>VLOOKUP(A39,TB!TB2_,4,FALSE)</f>
        <v>0</v>
      </c>
      <c r="I39" s="11">
        <f>VLOOKUP(A39,TB!TB2_,4,FALSE)</f>
        <v>0</v>
      </c>
      <c r="K39" s="40">
        <f t="shared" si="2"/>
        <v>0</v>
      </c>
      <c r="M39" s="11">
        <f>VLOOKUP(A39,TB!TB,4,FALSE)</f>
        <v>-63994.71</v>
      </c>
    </row>
    <row r="40" spans="1:13" x14ac:dyDescent="0.25">
      <c r="A40" s="4" t="s">
        <v>59</v>
      </c>
      <c r="B40" s="1" t="s">
        <v>9</v>
      </c>
      <c r="C40" s="1" t="s">
        <v>60</v>
      </c>
      <c r="D40" s="67"/>
      <c r="E40" s="11">
        <f>VLOOKUP(A40,TB!TB2_,3,FALSE)</f>
        <v>-1307383.72</v>
      </c>
      <c r="G40" s="11">
        <f>VLOOKUP(A40,TB!TB2_,4,FALSE)</f>
        <v>-25984.67</v>
      </c>
      <c r="I40" s="11">
        <f>VLOOKUP(A40,TB!TB2_,4,FALSE)</f>
        <v>-25984.67</v>
      </c>
      <c r="K40" s="40">
        <f t="shared" si="2"/>
        <v>-51969.34</v>
      </c>
      <c r="M40" s="11">
        <f>VLOOKUP(A40,TB!TB,4,FALSE)</f>
        <v>-1333368.44</v>
      </c>
    </row>
    <row r="41" spans="1:13" x14ac:dyDescent="0.25">
      <c r="A41" s="4" t="s">
        <v>61</v>
      </c>
      <c r="B41" s="1" t="s">
        <v>9</v>
      </c>
      <c r="C41" s="1" t="s">
        <v>62</v>
      </c>
      <c r="D41" s="67"/>
      <c r="E41" s="11">
        <f>VLOOKUP(A41,TB!TB2_,3,FALSE)</f>
        <v>-2729700.13</v>
      </c>
      <c r="G41" s="11">
        <f>VLOOKUP(A41,TB!TB2_,4,FALSE)</f>
        <v>-116926.43</v>
      </c>
      <c r="I41" s="11">
        <f>VLOOKUP(A41,TB!TB2_,4,FALSE)</f>
        <v>-116926.43</v>
      </c>
      <c r="K41" s="40">
        <f t="shared" si="2"/>
        <v>-233852.86</v>
      </c>
      <c r="M41" s="11">
        <f>VLOOKUP(A41,TB!TB,4,FALSE)</f>
        <v>-2841346.01</v>
      </c>
    </row>
    <row r="42" spans="1:13" x14ac:dyDescent="0.25">
      <c r="A42" s="4" t="s">
        <v>63</v>
      </c>
      <c r="B42" s="1" t="s">
        <v>9</v>
      </c>
      <c r="C42" s="1" t="s">
        <v>1321</v>
      </c>
      <c r="D42" s="67"/>
      <c r="E42" s="11">
        <f>VLOOKUP(A42,TB!TB2_,3,FALSE)</f>
        <v>-7407272.7800000003</v>
      </c>
      <c r="G42" s="11">
        <f>VLOOKUP(A42,TB!TB2_,4,FALSE)</f>
        <v>113322.72</v>
      </c>
      <c r="I42" s="11">
        <f>VLOOKUP(A42,TB!TB2_,4,FALSE)</f>
        <v>113322.72</v>
      </c>
      <c r="K42" s="40">
        <f t="shared" si="2"/>
        <v>226645.44</v>
      </c>
      <c r="M42" s="11">
        <f>VLOOKUP(A42,TB!TB,4,FALSE)</f>
        <v>-7456736.0899999999</v>
      </c>
    </row>
    <row r="43" spans="1:13" x14ac:dyDescent="0.25">
      <c r="A43" s="4" t="s">
        <v>64</v>
      </c>
      <c r="B43" s="1" t="s">
        <v>9</v>
      </c>
      <c r="C43" s="1" t="s">
        <v>1322</v>
      </c>
      <c r="D43" s="67"/>
      <c r="E43" s="11">
        <f>VLOOKUP(A43,TB!TB2_,3,FALSE)</f>
        <v>-568145.81000000006</v>
      </c>
      <c r="G43" s="11">
        <f>VLOOKUP(A43,TB!TB2_,4,FALSE)</f>
        <v>-24637.93</v>
      </c>
      <c r="I43" s="11">
        <f>VLOOKUP(A43,TB!TB2_,4,FALSE)</f>
        <v>-24637.93</v>
      </c>
      <c r="K43" s="40">
        <f t="shared" si="2"/>
        <v>-49275.86</v>
      </c>
      <c r="M43" s="11">
        <f>VLOOKUP(A43,TB!TB,4,FALSE)</f>
        <v>-587830.64</v>
      </c>
    </row>
    <row r="44" spans="1:13" x14ac:dyDescent="0.25">
      <c r="A44" s="4" t="s">
        <v>65</v>
      </c>
      <c r="B44" s="1" t="s">
        <v>9</v>
      </c>
      <c r="C44" s="1" t="s">
        <v>66</v>
      </c>
      <c r="D44" s="67"/>
      <c r="E44" s="11">
        <f>VLOOKUP(A44,TB!TB2_,3,FALSE)</f>
        <v>0</v>
      </c>
      <c r="G44" s="11">
        <f>VLOOKUP(A44,TB!TB2_,4,FALSE)</f>
        <v>0</v>
      </c>
      <c r="I44" s="11">
        <f>VLOOKUP(A44,TB!TB2_,4,FALSE)</f>
        <v>0</v>
      </c>
      <c r="K44" s="40">
        <f t="shared" si="2"/>
        <v>0</v>
      </c>
      <c r="M44" s="11">
        <f>VLOOKUP(A44,TB!TB,4,FALSE)</f>
        <v>0</v>
      </c>
    </row>
    <row r="45" spans="1:13" x14ac:dyDescent="0.25">
      <c r="A45" s="4" t="s">
        <v>67</v>
      </c>
      <c r="B45" s="1" t="s">
        <v>9</v>
      </c>
      <c r="C45" s="1" t="s">
        <v>68</v>
      </c>
      <c r="D45" s="67"/>
      <c r="E45" s="11">
        <f>VLOOKUP(A45,TB!TB2_,3,FALSE)</f>
        <v>-31802.03</v>
      </c>
      <c r="G45" s="11">
        <f>VLOOKUP(A45,TB!TB2_,4,FALSE)</f>
        <v>-162.77000000000001</v>
      </c>
      <c r="I45" s="11">
        <f>VLOOKUP(A45,TB!TB2_,4,FALSE)</f>
        <v>-162.77000000000001</v>
      </c>
      <c r="K45" s="40">
        <f t="shared" si="2"/>
        <v>-325.54000000000002</v>
      </c>
      <c r="M45" s="11">
        <f>VLOOKUP(A45,TB!TB,4,FALSE)</f>
        <v>-31964.79</v>
      </c>
    </row>
    <row r="46" spans="1:13" x14ac:dyDescent="0.25">
      <c r="A46" s="4" t="s">
        <v>69</v>
      </c>
      <c r="B46" s="1" t="s">
        <v>9</v>
      </c>
      <c r="C46" s="1" t="s">
        <v>70</v>
      </c>
      <c r="D46" s="67"/>
      <c r="E46" s="11">
        <f>VLOOKUP(A46,TB!TB2_,3,FALSE)</f>
        <v>172.26</v>
      </c>
      <c r="G46" s="11">
        <f>VLOOKUP(A46,TB!TB2_,4,FALSE)</f>
        <v>115.64</v>
      </c>
      <c r="I46" s="11">
        <f>VLOOKUP(A46,TB!TB2_,4,FALSE)</f>
        <v>115.64</v>
      </c>
      <c r="K46" s="40">
        <f t="shared" si="2"/>
        <v>231.28</v>
      </c>
      <c r="M46" s="11">
        <f>VLOOKUP(A46,TB!TB,4,FALSE)</f>
        <v>172.26</v>
      </c>
    </row>
    <row r="47" spans="1:13" x14ac:dyDescent="0.25">
      <c r="A47" s="4" t="s">
        <v>71</v>
      </c>
      <c r="B47" s="1" t="s">
        <v>73</v>
      </c>
      <c r="C47" s="1" t="s">
        <v>72</v>
      </c>
      <c r="D47" s="67"/>
      <c r="E47" s="11">
        <f>VLOOKUP(A47,TB!TB2_,3,FALSE)</f>
        <v>0</v>
      </c>
      <c r="G47" s="11">
        <f>VLOOKUP(A47,TB!TB2_,4,FALSE)</f>
        <v>0</v>
      </c>
      <c r="I47" s="11">
        <f>VLOOKUP(A47,TB!TB2_,4,FALSE)</f>
        <v>0</v>
      </c>
      <c r="K47" s="40">
        <f t="shared" si="2"/>
        <v>0</v>
      </c>
      <c r="M47" s="11">
        <f>VLOOKUP(A47,TB!TB,4,FALSE)</f>
        <v>0</v>
      </c>
    </row>
    <row r="48" spans="1:13" x14ac:dyDescent="0.25">
      <c r="A48" s="44" t="s">
        <v>1257</v>
      </c>
      <c r="B48" s="1" t="s">
        <v>73</v>
      </c>
      <c r="C48" s="1" t="s">
        <v>1263</v>
      </c>
      <c r="D48" s="67"/>
      <c r="E48" s="11">
        <f>VLOOKUP(A48,TB!TB2_,3,FALSE)</f>
        <v>-966924.52</v>
      </c>
      <c r="G48" s="11">
        <f>VLOOKUP(A48,TB!TB2_,4,FALSE)</f>
        <v>137720.28</v>
      </c>
      <c r="I48" s="11">
        <f>VLOOKUP(A48,TB!TB2_,4,FALSE)</f>
        <v>137720.28</v>
      </c>
      <c r="K48" s="40">
        <f t="shared" si="2"/>
        <v>275440.56</v>
      </c>
      <c r="M48" s="11">
        <f>VLOOKUP(A48,TB!TB,4,FALSE)</f>
        <v>-966924.52</v>
      </c>
    </row>
    <row r="49" spans="1:13" x14ac:dyDescent="0.25">
      <c r="A49" s="4" t="s">
        <v>74</v>
      </c>
      <c r="B49" s="1" t="s">
        <v>73</v>
      </c>
      <c r="C49" s="1" t="s">
        <v>75</v>
      </c>
      <c r="D49" s="67"/>
      <c r="E49" s="11">
        <f>VLOOKUP(A49,TB!TB2_,3,FALSE)</f>
        <v>0</v>
      </c>
      <c r="G49" s="11">
        <f>VLOOKUP(A49,TB!TB2_,4,FALSE)</f>
        <v>0</v>
      </c>
      <c r="I49" s="11">
        <f>VLOOKUP(A49,TB!TB2_,4,FALSE)</f>
        <v>0</v>
      </c>
      <c r="K49" s="40">
        <f t="shared" si="2"/>
        <v>0</v>
      </c>
      <c r="M49" s="11">
        <f>VLOOKUP(A49,TB!TB,4,FALSE)</f>
        <v>0</v>
      </c>
    </row>
    <row r="50" spans="1:13" x14ac:dyDescent="0.25">
      <c r="A50" s="44" t="s">
        <v>2060</v>
      </c>
      <c r="B50" s="1" t="s">
        <v>73</v>
      </c>
      <c r="C50" s="1" t="s">
        <v>2062</v>
      </c>
      <c r="D50" s="67"/>
      <c r="E50" s="11">
        <v>0</v>
      </c>
      <c r="G50" s="11">
        <v>0</v>
      </c>
      <c r="I50" s="11">
        <v>0</v>
      </c>
      <c r="K50" s="40">
        <v>0</v>
      </c>
      <c r="M50" s="11">
        <v>0</v>
      </c>
    </row>
    <row r="51" spans="1:13" x14ac:dyDescent="0.25">
      <c r="A51" s="44" t="s">
        <v>1208</v>
      </c>
      <c r="B51" s="1" t="s">
        <v>73</v>
      </c>
      <c r="C51" s="1" t="s">
        <v>1209</v>
      </c>
      <c r="D51" s="67"/>
      <c r="E51" s="11">
        <f>VLOOKUP(A51,TB!TB2_,3,FALSE)</f>
        <v>0</v>
      </c>
      <c r="G51" s="11">
        <f>VLOOKUP(A51,TB!TB2_,4,FALSE)</f>
        <v>0</v>
      </c>
      <c r="I51" s="11">
        <f>VLOOKUP(A51,TB!TB2_,4,FALSE)</f>
        <v>0</v>
      </c>
      <c r="K51" s="40">
        <f t="shared" si="2"/>
        <v>0</v>
      </c>
      <c r="M51" s="11">
        <f>VLOOKUP(A51,TB!TB,4,FALSE)</f>
        <v>0</v>
      </c>
    </row>
    <row r="52" spans="1:13" x14ac:dyDescent="0.25">
      <c r="A52" s="4" t="s">
        <v>76</v>
      </c>
      <c r="B52" s="1" t="s">
        <v>73</v>
      </c>
      <c r="C52" s="1" t="s">
        <v>77</v>
      </c>
      <c r="D52" s="67"/>
      <c r="E52" s="11">
        <f>VLOOKUP(A52,TB!TB2_,3,FALSE)</f>
        <v>0</v>
      </c>
      <c r="G52" s="11">
        <f>VLOOKUP(A52,TB!TB2_,4,FALSE)</f>
        <v>0</v>
      </c>
      <c r="I52" s="11">
        <f>VLOOKUP(A52,TB!TB2_,4,FALSE)</f>
        <v>0</v>
      </c>
      <c r="K52" s="40">
        <f t="shared" si="2"/>
        <v>0</v>
      </c>
      <c r="M52" s="11">
        <f>VLOOKUP(A52,TB!TB,4,FALSE)</f>
        <v>0</v>
      </c>
    </row>
    <row r="53" spans="1:13" x14ac:dyDescent="0.25">
      <c r="A53" s="4" t="s">
        <v>78</v>
      </c>
      <c r="B53" s="1" t="s">
        <v>73</v>
      </c>
      <c r="C53" s="1" t="s">
        <v>79</v>
      </c>
      <c r="D53" s="67"/>
      <c r="E53" s="11">
        <f>VLOOKUP(A53,TB!TB2_,3,FALSE)</f>
        <v>0</v>
      </c>
      <c r="G53" s="11">
        <f>VLOOKUP(A53,TB!TB2_,4,FALSE)</f>
        <v>0</v>
      </c>
      <c r="I53" s="11">
        <f>VLOOKUP(A53,TB!TB2_,4,FALSE)</f>
        <v>0</v>
      </c>
      <c r="K53" s="40">
        <f t="shared" si="2"/>
        <v>0</v>
      </c>
      <c r="M53" s="11">
        <f>VLOOKUP(A53,TB!TB,4,FALSE)</f>
        <v>0</v>
      </c>
    </row>
    <row r="54" spans="1:13" x14ac:dyDescent="0.25">
      <c r="A54" s="44" t="s">
        <v>1259</v>
      </c>
      <c r="B54" s="1" t="s">
        <v>73</v>
      </c>
      <c r="C54" s="1" t="s">
        <v>1260</v>
      </c>
      <c r="D54" s="67"/>
      <c r="E54" s="11">
        <f>VLOOKUP(A54,TB!TB2_,3,FALSE)</f>
        <v>-408353.3</v>
      </c>
      <c r="G54" s="11">
        <f>VLOOKUP(A54,TB!TB2_,4,FALSE)</f>
        <v>0</v>
      </c>
      <c r="I54" s="11">
        <f>VLOOKUP(A54,TB!TB2_,4,FALSE)</f>
        <v>0</v>
      </c>
      <c r="K54" s="40">
        <f t="shared" si="2"/>
        <v>0</v>
      </c>
      <c r="M54" s="11">
        <f>VLOOKUP(A54,TB!TB,4,FALSE)</f>
        <v>-408353.3</v>
      </c>
    </row>
    <row r="55" spans="1:13" x14ac:dyDescent="0.25">
      <c r="A55" s="4" t="s">
        <v>80</v>
      </c>
      <c r="B55" s="1" t="s">
        <v>73</v>
      </c>
      <c r="C55" s="1" t="s">
        <v>81</v>
      </c>
      <c r="D55" s="67"/>
      <c r="E55" s="11">
        <f>VLOOKUP(A55,TB!TB2_,3,FALSE)</f>
        <v>365.91</v>
      </c>
      <c r="G55" s="11">
        <f>VLOOKUP(A55,TB!TB2_,4,FALSE)</f>
        <v>0</v>
      </c>
      <c r="I55" s="11">
        <f>VLOOKUP(A55,TB!TB2_,4,FALSE)</f>
        <v>0</v>
      </c>
      <c r="K55" s="40">
        <f t="shared" si="2"/>
        <v>0</v>
      </c>
      <c r="M55" s="11">
        <f>VLOOKUP(A55,TB!TB,4,FALSE)</f>
        <v>365.91</v>
      </c>
    </row>
    <row r="56" spans="1:13" x14ac:dyDescent="0.25">
      <c r="A56" s="4" t="s">
        <v>82</v>
      </c>
      <c r="B56" s="1" t="s">
        <v>73</v>
      </c>
      <c r="C56" s="1" t="s">
        <v>83</v>
      </c>
      <c r="D56" s="67"/>
      <c r="E56" s="11">
        <f>VLOOKUP(A56,TB!TB2_,3,FALSE)</f>
        <v>0</v>
      </c>
      <c r="G56" s="11">
        <f>VLOOKUP(A56,TB!TB2_,4,FALSE)</f>
        <v>0</v>
      </c>
      <c r="I56" s="11">
        <f>VLOOKUP(A56,TB!TB2_,4,FALSE)</f>
        <v>0</v>
      </c>
      <c r="K56" s="40">
        <f t="shared" si="2"/>
        <v>0</v>
      </c>
      <c r="M56" s="11">
        <f>VLOOKUP(A56,TB!TB,4,FALSE)</f>
        <v>0</v>
      </c>
    </row>
    <row r="57" spans="1:13" x14ac:dyDescent="0.25">
      <c r="A57" s="4" t="s">
        <v>84</v>
      </c>
      <c r="B57" s="1" t="s">
        <v>73</v>
      </c>
      <c r="C57" s="1" t="s">
        <v>85</v>
      </c>
      <c r="D57" s="67"/>
      <c r="E57" s="11">
        <f>VLOOKUP(A57,TB!TB2_,3,FALSE)</f>
        <v>-1846587.68</v>
      </c>
      <c r="G57" s="11">
        <f>VLOOKUP(A57,TB!TB2_,4,FALSE)</f>
        <v>556061.5</v>
      </c>
      <c r="I57" s="11">
        <f>VLOOKUP(A57,TB!TB2_,4,FALSE)</f>
        <v>556061.5</v>
      </c>
      <c r="K57" s="40">
        <f>I57+G57</f>
        <v>1112123</v>
      </c>
      <c r="M57" s="11">
        <f>VLOOKUP(A57,TB!TB,4,FALSE)</f>
        <v>-2146398.2799999998</v>
      </c>
    </row>
    <row r="58" spans="1:13" x14ac:dyDescent="0.25">
      <c r="A58" s="4" t="s">
        <v>1184</v>
      </c>
      <c r="B58" s="1" t="s">
        <v>73</v>
      </c>
      <c r="C58" s="1" t="s">
        <v>1187</v>
      </c>
      <c r="D58" s="67"/>
      <c r="E58" s="11">
        <f>VLOOKUP(A58,TB!TB2_,3,FALSE)</f>
        <v>0</v>
      </c>
      <c r="G58" s="11">
        <f>VLOOKUP(A58,TB!TB2_,4,FALSE)</f>
        <v>0</v>
      </c>
      <c r="I58" s="11">
        <f>VLOOKUP(A58,TB!TB2_,4,FALSE)</f>
        <v>0</v>
      </c>
      <c r="K58" s="40">
        <f t="shared" ref="K58:K81" si="3">I58+G58</f>
        <v>0</v>
      </c>
      <c r="M58" s="11">
        <f>VLOOKUP(A58,TB!TB,4,FALSE)</f>
        <v>0</v>
      </c>
    </row>
    <row r="59" spans="1:13" x14ac:dyDescent="0.25">
      <c r="A59" s="4" t="s">
        <v>86</v>
      </c>
      <c r="B59" s="1" t="s">
        <v>73</v>
      </c>
      <c r="C59" s="1" t="s">
        <v>87</v>
      </c>
      <c r="D59" s="67"/>
      <c r="E59" s="11">
        <f>VLOOKUP(A59,TB!TB2_,3,FALSE)</f>
        <v>0</v>
      </c>
      <c r="G59" s="11">
        <f>VLOOKUP(A59,TB!TB2_,4,FALSE)</f>
        <v>0</v>
      </c>
      <c r="I59" s="11">
        <f>VLOOKUP(A59,TB!TB2_,4,FALSE)</f>
        <v>0</v>
      </c>
      <c r="K59" s="40">
        <f t="shared" si="3"/>
        <v>0</v>
      </c>
      <c r="M59" s="11">
        <f>VLOOKUP(A59,TB!TB,4,FALSE)</f>
        <v>0</v>
      </c>
    </row>
    <row r="60" spans="1:13" x14ac:dyDescent="0.25">
      <c r="A60" s="4" t="s">
        <v>88</v>
      </c>
      <c r="B60" s="1" t="s">
        <v>73</v>
      </c>
      <c r="C60" s="1" t="s">
        <v>89</v>
      </c>
      <c r="D60" s="67"/>
      <c r="E60" s="11">
        <f>VLOOKUP(A60,TB!TB2_,3,FALSE)</f>
        <v>-12017.73</v>
      </c>
      <c r="G60" s="11">
        <f>VLOOKUP(A60,TB!TB2_,4,FALSE)</f>
        <v>0</v>
      </c>
      <c r="I60" s="11">
        <f>VLOOKUP(A60,TB!TB2_,4,FALSE)</f>
        <v>0</v>
      </c>
      <c r="K60" s="40">
        <f t="shared" si="3"/>
        <v>0</v>
      </c>
      <c r="M60" s="11">
        <f>VLOOKUP(A60,TB!TB,4,FALSE)</f>
        <v>-12017.73</v>
      </c>
    </row>
    <row r="61" spans="1:13" x14ac:dyDescent="0.25">
      <c r="A61" s="4" t="s">
        <v>90</v>
      </c>
      <c r="B61" s="1" t="s">
        <v>73</v>
      </c>
      <c r="C61" s="1" t="s">
        <v>91</v>
      </c>
      <c r="D61" s="67"/>
      <c r="E61" s="11">
        <f>VLOOKUP(A61,TB!TB2_,3,FALSE)</f>
        <v>0</v>
      </c>
      <c r="G61" s="11">
        <f>VLOOKUP(A61,TB!TB2_,4,FALSE)</f>
        <v>0</v>
      </c>
      <c r="I61" s="11">
        <f>VLOOKUP(A61,TB!TB2_,4,FALSE)</f>
        <v>0</v>
      </c>
      <c r="K61" s="40">
        <f t="shared" si="3"/>
        <v>0</v>
      </c>
      <c r="M61" s="11">
        <f>VLOOKUP(A61,TB!TB,4,FALSE)</f>
        <v>0</v>
      </c>
    </row>
    <row r="62" spans="1:13" x14ac:dyDescent="0.25">
      <c r="A62" s="4" t="s">
        <v>92</v>
      </c>
      <c r="B62" s="1" t="s">
        <v>73</v>
      </c>
      <c r="C62" s="1" t="s">
        <v>93</v>
      </c>
      <c r="D62" s="67"/>
      <c r="E62" s="11">
        <f>VLOOKUP(A62,TB!TB2_,3,FALSE)</f>
        <v>0</v>
      </c>
      <c r="G62" s="11">
        <f>VLOOKUP(A62,TB!TB2_,4,FALSE)</f>
        <v>0</v>
      </c>
      <c r="I62" s="11">
        <f>VLOOKUP(A62,TB!TB2_,4,FALSE)</f>
        <v>0</v>
      </c>
      <c r="K62" s="40">
        <f t="shared" si="3"/>
        <v>0</v>
      </c>
      <c r="M62" s="11">
        <f>VLOOKUP(A62,TB!TB,4,FALSE)</f>
        <v>0</v>
      </c>
    </row>
    <row r="63" spans="1:13" x14ac:dyDescent="0.25">
      <c r="A63" s="4" t="s">
        <v>94</v>
      </c>
      <c r="B63" s="1" t="s">
        <v>73</v>
      </c>
      <c r="C63" s="1" t="s">
        <v>95</v>
      </c>
      <c r="D63" s="67"/>
      <c r="E63" s="11">
        <f>VLOOKUP(A63,TB!TB2_,3,FALSE)</f>
        <v>0</v>
      </c>
      <c r="G63" s="11">
        <f>VLOOKUP(A63,TB!TB2_,4,FALSE)</f>
        <v>0</v>
      </c>
      <c r="I63" s="11">
        <f>VLOOKUP(A63,TB!TB2_,4,FALSE)</f>
        <v>0</v>
      </c>
      <c r="K63" s="40">
        <f t="shared" si="3"/>
        <v>0</v>
      </c>
      <c r="M63" s="11">
        <f>VLOOKUP(A63,TB!TB,4,FALSE)</f>
        <v>0</v>
      </c>
    </row>
    <row r="64" spans="1:13" x14ac:dyDescent="0.25">
      <c r="A64" s="4" t="s">
        <v>96</v>
      </c>
      <c r="B64" s="1" t="s">
        <v>73</v>
      </c>
      <c r="C64" s="1" t="s">
        <v>97</v>
      </c>
      <c r="D64" s="67"/>
      <c r="E64" s="11">
        <f>VLOOKUP(A64,TB!TB2_,3,FALSE)</f>
        <v>0</v>
      </c>
      <c r="G64" s="11">
        <f>VLOOKUP(A64,TB!TB2_,4,FALSE)</f>
        <v>0</v>
      </c>
      <c r="I64" s="11">
        <f>VLOOKUP(A64,TB!TB2_,4,FALSE)</f>
        <v>0</v>
      </c>
      <c r="K64" s="40">
        <f t="shared" si="3"/>
        <v>0</v>
      </c>
      <c r="M64" s="11">
        <f>VLOOKUP(A64,TB!TB,4,FALSE)</f>
        <v>0</v>
      </c>
    </row>
    <row r="65" spans="1:13" x14ac:dyDescent="0.25">
      <c r="A65" s="4" t="s">
        <v>98</v>
      </c>
      <c r="B65" s="1" t="s">
        <v>73</v>
      </c>
      <c r="C65" s="1" t="s">
        <v>99</v>
      </c>
      <c r="D65" s="67"/>
      <c r="E65" s="11">
        <f>VLOOKUP(A65,TB!TB2_,3,FALSE)</f>
        <v>0</v>
      </c>
      <c r="G65" s="11">
        <f>VLOOKUP(A65,TB!TB2_,4,FALSE)</f>
        <v>0</v>
      </c>
      <c r="I65" s="11">
        <f>VLOOKUP(A65,TB!TB2_,4,FALSE)</f>
        <v>0</v>
      </c>
      <c r="K65" s="40">
        <f t="shared" si="3"/>
        <v>0</v>
      </c>
      <c r="M65" s="11">
        <f>VLOOKUP(A65,TB!TB,4,FALSE)</f>
        <v>0</v>
      </c>
    </row>
    <row r="66" spans="1:13" x14ac:dyDescent="0.25">
      <c r="A66" s="4" t="s">
        <v>100</v>
      </c>
      <c r="B66" s="1" t="s">
        <v>73</v>
      </c>
      <c r="C66" s="1" t="s">
        <v>101</v>
      </c>
      <c r="D66" s="67"/>
      <c r="E66" s="11">
        <f>VLOOKUP(A66,TB!TB2_,3,FALSE)</f>
        <v>0</v>
      </c>
      <c r="G66" s="11">
        <f>VLOOKUP(A66,TB!TB2_,4,FALSE)</f>
        <v>0</v>
      </c>
      <c r="I66" s="11">
        <f>VLOOKUP(A66,TB!TB2_,4,FALSE)</f>
        <v>0</v>
      </c>
      <c r="K66" s="40">
        <f t="shared" si="3"/>
        <v>0</v>
      </c>
      <c r="M66" s="11">
        <f>VLOOKUP(A66,TB!TB,4,FALSE)</f>
        <v>0</v>
      </c>
    </row>
    <row r="67" spans="1:13" x14ac:dyDescent="0.25">
      <c r="A67" s="44" t="s">
        <v>1217</v>
      </c>
      <c r="B67" s="1" t="s">
        <v>73</v>
      </c>
      <c r="C67" s="1" t="s">
        <v>1218</v>
      </c>
      <c r="D67" s="67"/>
      <c r="E67" s="11">
        <f>VLOOKUP(A67,TB!TB2_,3,FALSE)</f>
        <v>0</v>
      </c>
      <c r="G67" s="11">
        <f>VLOOKUP(A67,TB!TB2_,4,FALSE)</f>
        <v>0</v>
      </c>
      <c r="I67" s="11">
        <f>VLOOKUP(A67,TB!TB2_,4,FALSE)</f>
        <v>0</v>
      </c>
      <c r="K67" s="40">
        <f t="shared" si="3"/>
        <v>0</v>
      </c>
      <c r="M67" s="11">
        <f>VLOOKUP(A67,TB!TB,4,FALSE)</f>
        <v>0</v>
      </c>
    </row>
    <row r="68" spans="1:13" x14ac:dyDescent="0.25">
      <c r="A68" s="4" t="s">
        <v>102</v>
      </c>
      <c r="B68" s="1" t="s">
        <v>73</v>
      </c>
      <c r="C68" s="1" t="s">
        <v>103</v>
      </c>
      <c r="D68" s="67"/>
      <c r="E68" s="11">
        <f>VLOOKUP(A68,TB!TB2_,3,FALSE)</f>
        <v>28372.080000000002</v>
      </c>
      <c r="G68" s="11">
        <f>VLOOKUP(A68,TB!TB2_,4,FALSE)</f>
        <v>3637.54</v>
      </c>
      <c r="I68" s="11">
        <f>VLOOKUP(A68,TB!TB2_,4,FALSE)</f>
        <v>3637.54</v>
      </c>
      <c r="K68" s="40">
        <f t="shared" si="3"/>
        <v>7275.08</v>
      </c>
      <c r="M68" s="11">
        <f>VLOOKUP(A68,TB!TB,4,FALSE)</f>
        <v>28372.080000000002</v>
      </c>
    </row>
    <row r="69" spans="1:13" x14ac:dyDescent="0.25">
      <c r="A69" s="4" t="s">
        <v>104</v>
      </c>
      <c r="B69" s="1" t="s">
        <v>73</v>
      </c>
      <c r="C69" s="1" t="s">
        <v>105</v>
      </c>
      <c r="D69" s="67"/>
      <c r="E69" s="11">
        <f>VLOOKUP(A69,TB!TB2_,3,FALSE)</f>
        <v>0</v>
      </c>
      <c r="G69" s="11">
        <f>VLOOKUP(A69,TB!TB2_,4,FALSE)</f>
        <v>0</v>
      </c>
      <c r="I69" s="11">
        <f>VLOOKUP(A69,TB!TB2_,4,FALSE)</f>
        <v>0</v>
      </c>
      <c r="K69" s="40">
        <f t="shared" si="3"/>
        <v>0</v>
      </c>
      <c r="M69" s="11">
        <f>VLOOKUP(A69,TB!TB,4,FALSE)</f>
        <v>0</v>
      </c>
    </row>
    <row r="70" spans="1:13" x14ac:dyDescent="0.25">
      <c r="A70" s="4" t="s">
        <v>106</v>
      </c>
      <c r="B70" s="1" t="s">
        <v>73</v>
      </c>
      <c r="C70" s="1" t="s">
        <v>107</v>
      </c>
      <c r="D70" s="67"/>
      <c r="E70" s="11">
        <f>VLOOKUP(A70,TB!TB2_,3,FALSE)</f>
        <v>0</v>
      </c>
      <c r="G70" s="11">
        <f>VLOOKUP(A70,TB!TB2_,4,FALSE)</f>
        <v>0</v>
      </c>
      <c r="I70" s="11">
        <f>VLOOKUP(A70,TB!TB2_,4,FALSE)</f>
        <v>0</v>
      </c>
      <c r="K70" s="40">
        <f t="shared" si="3"/>
        <v>0</v>
      </c>
      <c r="M70" s="11">
        <f>VLOOKUP(A70,TB!TB,4,FALSE)</f>
        <v>0</v>
      </c>
    </row>
    <row r="71" spans="1:13" x14ac:dyDescent="0.25">
      <c r="A71" s="4" t="s">
        <v>108</v>
      </c>
      <c r="B71" s="1" t="s">
        <v>73</v>
      </c>
      <c r="C71" s="1" t="s">
        <v>109</v>
      </c>
      <c r="D71" s="67"/>
      <c r="E71" s="11">
        <f>VLOOKUP(A71,TB!TB2_,3,FALSE)</f>
        <v>-0.4</v>
      </c>
      <c r="G71" s="11">
        <f>VLOOKUP(A71,TB!TB2_,4,FALSE)</f>
        <v>0</v>
      </c>
      <c r="I71" s="11">
        <f>VLOOKUP(A71,TB!TB2_,4,FALSE)</f>
        <v>0</v>
      </c>
      <c r="K71" s="40">
        <f t="shared" si="3"/>
        <v>0</v>
      </c>
      <c r="M71" s="11">
        <f>VLOOKUP(A71,TB!TB,4,FALSE)</f>
        <v>-0.4</v>
      </c>
    </row>
    <row r="72" spans="1:13" x14ac:dyDescent="0.25">
      <c r="A72" s="4" t="s">
        <v>110</v>
      </c>
      <c r="B72" s="1" t="s">
        <v>73</v>
      </c>
      <c r="C72" s="1" t="s">
        <v>111</v>
      </c>
      <c r="D72" s="67"/>
      <c r="E72" s="11">
        <f>VLOOKUP(A72,TB!TB2_,3,FALSE)</f>
        <v>-24867.39</v>
      </c>
      <c r="G72" s="11">
        <f>VLOOKUP(A72,TB!TB2_,4,FALSE)</f>
        <v>20776.47</v>
      </c>
      <c r="I72" s="11">
        <f>VLOOKUP(A72,TB!TB2_,4,FALSE)</f>
        <v>20776.47</v>
      </c>
      <c r="K72" s="40">
        <f t="shared" si="3"/>
        <v>41552.94</v>
      </c>
      <c r="M72" s="11">
        <f>VLOOKUP(A72,TB!TB,4,FALSE)</f>
        <v>-30051.41</v>
      </c>
    </row>
    <row r="73" spans="1:13" x14ac:dyDescent="0.25">
      <c r="A73" s="4" t="s">
        <v>752</v>
      </c>
      <c r="B73" s="1" t="s">
        <v>73</v>
      </c>
      <c r="C73" s="1" t="s">
        <v>753</v>
      </c>
      <c r="D73" s="67"/>
      <c r="E73" s="11">
        <f>VLOOKUP(A73,TB!TB2_,3,FALSE)</f>
        <v>10343.67</v>
      </c>
      <c r="G73" s="11">
        <f>VLOOKUP(A73,TB!TB2_,4,FALSE)</f>
        <v>-0.55000000000000004</v>
      </c>
      <c r="I73" s="11">
        <f>VLOOKUP(A73,TB!TB2_,4,FALSE)</f>
        <v>-0.55000000000000004</v>
      </c>
      <c r="K73" s="40">
        <f t="shared" si="3"/>
        <v>-1.1000000000000001</v>
      </c>
      <c r="M73" s="11">
        <f>VLOOKUP(A73,TB!TB,4,FALSE)</f>
        <v>6351.97</v>
      </c>
    </row>
    <row r="74" spans="1:13" x14ac:dyDescent="0.25">
      <c r="A74" s="4" t="s">
        <v>112</v>
      </c>
      <c r="B74" s="1" t="s">
        <v>73</v>
      </c>
      <c r="C74" s="1" t="s">
        <v>113</v>
      </c>
      <c r="D74" s="67"/>
      <c r="E74" s="11">
        <f>VLOOKUP(A74,TB!TB2_,3,FALSE)</f>
        <v>1954.37</v>
      </c>
      <c r="G74" s="11">
        <f>VLOOKUP(A74,TB!TB2_,4,FALSE)</f>
        <v>0</v>
      </c>
      <c r="I74" s="11">
        <f>VLOOKUP(A74,TB!TB2_,4,FALSE)</f>
        <v>0</v>
      </c>
      <c r="K74" s="40">
        <f t="shared" si="3"/>
        <v>0</v>
      </c>
      <c r="M74" s="11">
        <f>VLOOKUP(A74,TB!TB,4,FALSE)</f>
        <v>1954.37</v>
      </c>
    </row>
    <row r="75" spans="1:13" x14ac:dyDescent="0.25">
      <c r="A75" s="4" t="s">
        <v>114</v>
      </c>
      <c r="B75" s="1" t="s">
        <v>73</v>
      </c>
      <c r="C75" s="1" t="s">
        <v>115</v>
      </c>
      <c r="D75" s="67"/>
      <c r="E75" s="11">
        <f>VLOOKUP(A75,TB!TB2_,3,FALSE)</f>
        <v>-3983</v>
      </c>
      <c r="G75" s="11">
        <f>VLOOKUP(A75,TB!TB2_,4,FALSE)</f>
        <v>-3983</v>
      </c>
      <c r="I75" s="11">
        <f>VLOOKUP(A75,TB!TB2_,4,FALSE)</f>
        <v>-3983</v>
      </c>
      <c r="K75" s="40">
        <f t="shared" si="3"/>
        <v>-7966</v>
      </c>
      <c r="M75" s="11">
        <f>VLOOKUP(A75,TB!TB,4,FALSE)</f>
        <v>-549</v>
      </c>
    </row>
    <row r="76" spans="1:13" x14ac:dyDescent="0.25">
      <c r="A76" s="4" t="s">
        <v>116</v>
      </c>
      <c r="B76" s="1" t="s">
        <v>73</v>
      </c>
      <c r="C76" s="1" t="s">
        <v>117</v>
      </c>
      <c r="D76" s="67"/>
      <c r="E76" s="11">
        <f>VLOOKUP(A76,TB!TB2_,3,FALSE)</f>
        <v>-12265.2</v>
      </c>
      <c r="G76" s="11">
        <f>VLOOKUP(A76,TB!TB2_,4,FALSE)</f>
        <v>0</v>
      </c>
      <c r="I76" s="11">
        <f>VLOOKUP(A76,TB!TB2_,4,FALSE)</f>
        <v>0</v>
      </c>
      <c r="K76" s="40">
        <f t="shared" si="3"/>
        <v>0</v>
      </c>
      <c r="M76" s="11">
        <f>VLOOKUP(A76,TB!TB,4,FALSE)</f>
        <v>-12265.2</v>
      </c>
    </row>
    <row r="77" spans="1:13" x14ac:dyDescent="0.25">
      <c r="A77" s="4" t="s">
        <v>118</v>
      </c>
      <c r="B77" s="1" t="s">
        <v>73</v>
      </c>
      <c r="C77" s="1" t="s">
        <v>119</v>
      </c>
      <c r="D77" s="67"/>
      <c r="E77" s="11">
        <f>VLOOKUP(A77,TB!TB2_,3,FALSE)</f>
        <v>-4398.1499999999996</v>
      </c>
      <c r="G77" s="11">
        <f>VLOOKUP(A77,TB!TB2_,4,FALSE)</f>
        <v>-4398.1499999999996</v>
      </c>
      <c r="I77" s="11">
        <f>VLOOKUP(A77,TB!TB2_,4,FALSE)</f>
        <v>-4398.1499999999996</v>
      </c>
      <c r="K77" s="40">
        <f t="shared" si="3"/>
        <v>-8796.2999999999993</v>
      </c>
      <c r="M77" s="11">
        <f>VLOOKUP(A77,TB!TB,4,FALSE)</f>
        <v>-4191.1499999999996</v>
      </c>
    </row>
    <row r="78" spans="1:13" x14ac:dyDescent="0.25">
      <c r="A78" s="4" t="s">
        <v>120</v>
      </c>
      <c r="B78" s="1" t="s">
        <v>73</v>
      </c>
      <c r="C78" s="1" t="s">
        <v>121</v>
      </c>
      <c r="D78" s="67"/>
      <c r="E78" s="11">
        <f>VLOOKUP(A78,TB!TB2_,3,FALSE)</f>
        <v>-12639.27</v>
      </c>
      <c r="G78" s="11">
        <f>VLOOKUP(A78,TB!TB2_,4,FALSE)</f>
        <v>0</v>
      </c>
      <c r="I78" s="11">
        <f>VLOOKUP(A78,TB!TB2_,4,FALSE)</f>
        <v>0</v>
      </c>
      <c r="K78" s="40">
        <f t="shared" si="3"/>
        <v>0</v>
      </c>
      <c r="M78" s="11">
        <f>VLOOKUP(A78,TB!TB,4,FALSE)</f>
        <v>3.44</v>
      </c>
    </row>
    <row r="79" spans="1:13" x14ac:dyDescent="0.25">
      <c r="A79" s="4" t="s">
        <v>122</v>
      </c>
      <c r="B79" s="1" t="s">
        <v>73</v>
      </c>
      <c r="C79" s="1" t="s">
        <v>123</v>
      </c>
      <c r="D79" s="67"/>
      <c r="E79" s="11">
        <f>VLOOKUP(A79,TB!TB2_,3,FALSE)</f>
        <v>-803.77</v>
      </c>
      <c r="G79" s="11">
        <f>VLOOKUP(A79,TB!TB2_,4,FALSE)</f>
        <v>0</v>
      </c>
      <c r="I79" s="11">
        <f>VLOOKUP(A79,TB!TB2_,4,FALSE)</f>
        <v>0</v>
      </c>
      <c r="K79" s="40">
        <f t="shared" si="3"/>
        <v>0</v>
      </c>
      <c r="M79" s="11">
        <f>VLOOKUP(A79,TB!TB,4,FALSE)</f>
        <v>-803.77</v>
      </c>
    </row>
    <row r="80" spans="1:13" x14ac:dyDescent="0.25">
      <c r="A80" s="4" t="s">
        <v>124</v>
      </c>
      <c r="B80" s="1" t="s">
        <v>73</v>
      </c>
      <c r="C80" s="1" t="s">
        <v>125</v>
      </c>
      <c r="D80" s="67"/>
      <c r="E80" s="11">
        <f>VLOOKUP(A80,TB!TB2_,3,FALSE)</f>
        <v>-8117.49</v>
      </c>
      <c r="G80" s="11">
        <f>VLOOKUP(A80,TB!TB2_,4,FALSE)</f>
        <v>0</v>
      </c>
      <c r="I80" s="11">
        <f>VLOOKUP(A80,TB!TB2_,4,FALSE)</f>
        <v>0</v>
      </c>
      <c r="K80" s="40">
        <f t="shared" si="3"/>
        <v>0</v>
      </c>
      <c r="M80" s="11">
        <f>VLOOKUP(A80,TB!TB,4,FALSE)</f>
        <v>-8117.49</v>
      </c>
    </row>
    <row r="81" spans="1:13" x14ac:dyDescent="0.25">
      <c r="A81" s="4" t="s">
        <v>126</v>
      </c>
      <c r="B81" s="1" t="s">
        <v>73</v>
      </c>
      <c r="C81" s="1" t="s">
        <v>127</v>
      </c>
      <c r="D81" s="67"/>
      <c r="E81" s="11">
        <f>VLOOKUP(A81,TB!TB2_,3,FALSE)</f>
        <v>-3264.7</v>
      </c>
      <c r="G81" s="11">
        <f>VLOOKUP(A81,TB!TB2_,4,FALSE)</f>
        <v>0</v>
      </c>
      <c r="I81" s="11">
        <f>VLOOKUP(A81,TB!TB2_,4,FALSE)</f>
        <v>0</v>
      </c>
      <c r="K81" s="40">
        <f t="shared" si="3"/>
        <v>0</v>
      </c>
      <c r="M81" s="11">
        <f>VLOOKUP(A81,TB!TB,4,FALSE)</f>
        <v>-3264.7</v>
      </c>
    </row>
    <row r="82" spans="1:13" x14ac:dyDescent="0.25">
      <c r="A82" s="4"/>
      <c r="B82" s="1"/>
      <c r="C82" s="1"/>
      <c r="D82" s="67"/>
      <c r="E82" s="11"/>
      <c r="G82" s="11"/>
      <c r="I82" s="11"/>
      <c r="K82" s="40"/>
      <c r="M82" s="11"/>
    </row>
    <row r="83" spans="1:13" ht="31.5" x14ac:dyDescent="0.5">
      <c r="A83" s="148" t="s">
        <v>1223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</row>
    <row r="84" spans="1:13" ht="26.25" x14ac:dyDescent="0.4">
      <c r="A84" s="149" t="s">
        <v>1232</v>
      </c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</row>
    <row r="85" spans="1:13" x14ac:dyDescent="0.25">
      <c r="A85" s="147">
        <f>DATEVALUE(TB!$A$3&amp;"/"&amp;TB!$A$4)</f>
        <v>46023</v>
      </c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</row>
    <row r="86" spans="1:13" x14ac:dyDescent="0.25">
      <c r="A86" s="4" t="s">
        <v>128</v>
      </c>
      <c r="B86" s="1" t="s">
        <v>73</v>
      </c>
      <c r="C86" s="1" t="s">
        <v>129</v>
      </c>
      <c r="D86" s="67"/>
      <c r="E86" s="11">
        <f>VLOOKUP(A86,TB!TB2_,3,FALSE)</f>
        <v>-8179.88</v>
      </c>
      <c r="G86" s="11">
        <f>VLOOKUP(A86,TB!TB2_,4,FALSE)</f>
        <v>0</v>
      </c>
      <c r="I86" s="11">
        <f>VLOOKUP(A86,TB!TB2_,4,FALSE)</f>
        <v>0</v>
      </c>
      <c r="K86" s="40">
        <f t="shared" ref="K86" si="4">I86+G86</f>
        <v>0</v>
      </c>
      <c r="M86" s="11">
        <f>VLOOKUP(A86,TB!TB,4,FALSE)</f>
        <v>-8179.88</v>
      </c>
    </row>
    <row r="87" spans="1:13" x14ac:dyDescent="0.25">
      <c r="A87" s="4" t="s">
        <v>754</v>
      </c>
      <c r="B87" s="1" t="s">
        <v>73</v>
      </c>
      <c r="C87" s="1" t="s">
        <v>755</v>
      </c>
      <c r="D87" s="67"/>
      <c r="E87" s="11">
        <f>VLOOKUP(A87,TB!TB2_,3,FALSE)</f>
        <v>-1439.9</v>
      </c>
      <c r="G87" s="11">
        <f>VLOOKUP(A87,TB!TB2_,4,FALSE)</f>
        <v>-1289.06</v>
      </c>
      <c r="I87" s="11">
        <f>VLOOKUP(A87,TB!TB2_,4,FALSE)</f>
        <v>-1289.06</v>
      </c>
      <c r="K87" s="40">
        <f t="shared" ref="K87:K120" si="5">I87+G87</f>
        <v>-2578.12</v>
      </c>
      <c r="M87" s="11">
        <f>VLOOKUP(A87,TB!TB,4,FALSE)</f>
        <v>-10193.25</v>
      </c>
    </row>
    <row r="88" spans="1:13" x14ac:dyDescent="0.25">
      <c r="A88" s="4" t="s">
        <v>130</v>
      </c>
      <c r="B88" s="1" t="s">
        <v>73</v>
      </c>
      <c r="C88" s="1" t="s">
        <v>131</v>
      </c>
      <c r="D88" s="67"/>
      <c r="E88" s="11">
        <f>VLOOKUP(A88,TB!TB2_,3,FALSE)</f>
        <v>-11446.54</v>
      </c>
      <c r="G88" s="11">
        <f>VLOOKUP(A88,TB!TB2_,4,FALSE)</f>
        <v>35273.56</v>
      </c>
      <c r="I88" s="11">
        <f>VLOOKUP(A88,TB!TB2_,4,FALSE)</f>
        <v>35273.56</v>
      </c>
      <c r="K88" s="40">
        <f t="shared" si="5"/>
        <v>70547.12</v>
      </c>
      <c r="M88" s="11">
        <f>VLOOKUP(A88,TB!TB,4,FALSE)</f>
        <v>-270.98</v>
      </c>
    </row>
    <row r="89" spans="1:13" x14ac:dyDescent="0.25">
      <c r="A89" s="4" t="s">
        <v>132</v>
      </c>
      <c r="B89" s="1" t="s">
        <v>73</v>
      </c>
      <c r="C89" s="1" t="s">
        <v>133</v>
      </c>
      <c r="D89" s="67"/>
      <c r="E89" s="11">
        <f>VLOOKUP(A89,TB!TB2_,3,FALSE)</f>
        <v>0</v>
      </c>
      <c r="G89" s="11">
        <f>VLOOKUP(A89,TB!TB2_,4,FALSE)</f>
        <v>0</v>
      </c>
      <c r="I89" s="11">
        <f>VLOOKUP(A89,TB!TB2_,4,FALSE)</f>
        <v>0</v>
      </c>
      <c r="K89" s="40">
        <f t="shared" si="5"/>
        <v>0</v>
      </c>
      <c r="M89" s="11">
        <f>VLOOKUP(A89,TB!TB,4,FALSE)</f>
        <v>0</v>
      </c>
    </row>
    <row r="90" spans="1:13" x14ac:dyDescent="0.25">
      <c r="A90" s="4" t="s">
        <v>134</v>
      </c>
      <c r="B90" s="1" t="s">
        <v>73</v>
      </c>
      <c r="C90" s="1" t="s">
        <v>135</v>
      </c>
      <c r="D90" s="67"/>
      <c r="E90" s="11">
        <f>VLOOKUP(A90,TB!TB2_,3,FALSE)</f>
        <v>-26028.48</v>
      </c>
      <c r="G90" s="11">
        <f>VLOOKUP(A90,TB!TB2_,4,FALSE)</f>
        <v>-8213.92</v>
      </c>
      <c r="I90" s="11">
        <f>VLOOKUP(A90,TB!TB2_,4,FALSE)</f>
        <v>-8213.92</v>
      </c>
      <c r="K90" s="40">
        <f t="shared" si="5"/>
        <v>-16427.84</v>
      </c>
      <c r="M90" s="11">
        <f>VLOOKUP(A90,TB!TB,4,FALSE)</f>
        <v>-7691.18</v>
      </c>
    </row>
    <row r="91" spans="1:13" x14ac:dyDescent="0.25">
      <c r="A91" s="4" t="s">
        <v>136</v>
      </c>
      <c r="B91" s="1" t="s">
        <v>73</v>
      </c>
      <c r="C91" s="1" t="s">
        <v>137</v>
      </c>
      <c r="D91" s="67"/>
      <c r="E91" s="11">
        <f>VLOOKUP(A91,TB!TB2_,3,FALSE)</f>
        <v>-376.08</v>
      </c>
      <c r="G91" s="11">
        <f>VLOOKUP(A91,TB!TB2_,4,FALSE)</f>
        <v>0</v>
      </c>
      <c r="I91" s="11">
        <f>VLOOKUP(A91,TB!TB2_,4,FALSE)</f>
        <v>0</v>
      </c>
      <c r="K91" s="40">
        <f t="shared" si="5"/>
        <v>0</v>
      </c>
      <c r="M91" s="11">
        <f>VLOOKUP(A91,TB!TB,4,FALSE)</f>
        <v>-356.78</v>
      </c>
    </row>
    <row r="92" spans="1:13" x14ac:dyDescent="0.25">
      <c r="A92" s="4" t="s">
        <v>138</v>
      </c>
      <c r="B92" s="1" t="s">
        <v>73</v>
      </c>
      <c r="C92" s="1" t="s">
        <v>139</v>
      </c>
      <c r="D92" s="67"/>
      <c r="E92" s="11">
        <f>VLOOKUP(A92,TB!TB2_,3,FALSE)</f>
        <v>1540.49</v>
      </c>
      <c r="G92" s="11">
        <f>VLOOKUP(A92,TB!TB2_,4,FALSE)</f>
        <v>0</v>
      </c>
      <c r="I92" s="11">
        <f>VLOOKUP(A92,TB!TB2_,4,FALSE)</f>
        <v>0</v>
      </c>
      <c r="K92" s="40">
        <f t="shared" si="5"/>
        <v>0</v>
      </c>
      <c r="M92" s="11">
        <f>VLOOKUP(A92,TB!TB,4,FALSE)</f>
        <v>1540.49</v>
      </c>
    </row>
    <row r="93" spans="1:13" x14ac:dyDescent="0.25">
      <c r="A93" s="4" t="s">
        <v>140</v>
      </c>
      <c r="B93" s="1" t="s">
        <v>73</v>
      </c>
      <c r="C93" s="1" t="s">
        <v>141</v>
      </c>
      <c r="D93" s="67"/>
      <c r="E93" s="11">
        <f>VLOOKUP(A93,TB!TB2_,3,FALSE)</f>
        <v>-12948.17</v>
      </c>
      <c r="G93" s="11">
        <f>VLOOKUP(A93,TB!TB2_,4,FALSE)</f>
        <v>-180.75</v>
      </c>
      <c r="I93" s="11">
        <f>VLOOKUP(A93,TB!TB2_,4,FALSE)</f>
        <v>-180.75</v>
      </c>
      <c r="K93" s="40">
        <f t="shared" si="5"/>
        <v>-361.5</v>
      </c>
      <c r="M93" s="11">
        <f>VLOOKUP(A93,TB!TB,4,FALSE)</f>
        <v>-827.76</v>
      </c>
    </row>
    <row r="94" spans="1:13" x14ac:dyDescent="0.25">
      <c r="A94" s="4" t="s">
        <v>142</v>
      </c>
      <c r="B94" s="1" t="s">
        <v>73</v>
      </c>
      <c r="C94" s="1" t="s">
        <v>143</v>
      </c>
      <c r="D94" s="67"/>
      <c r="E94" s="11">
        <f>VLOOKUP(A94,TB!TB2_,3,FALSE)</f>
        <v>-11708.15</v>
      </c>
      <c r="G94" s="11">
        <f>VLOOKUP(A94,TB!TB2_,4,FALSE)</f>
        <v>-3463.09</v>
      </c>
      <c r="I94" s="11">
        <f>VLOOKUP(A94,TB!TB2_,4,FALSE)</f>
        <v>-3463.09</v>
      </c>
      <c r="K94" s="40">
        <f t="shared" si="5"/>
        <v>-6926.18</v>
      </c>
      <c r="M94" s="11">
        <f>VLOOKUP(A94,TB!TB,4,FALSE)</f>
        <v>-8245.06</v>
      </c>
    </row>
    <row r="95" spans="1:13" x14ac:dyDescent="0.25">
      <c r="A95" s="4" t="s">
        <v>144</v>
      </c>
      <c r="B95" s="1" t="s">
        <v>73</v>
      </c>
      <c r="C95" s="1" t="s">
        <v>145</v>
      </c>
      <c r="D95" s="67"/>
      <c r="E95" s="11">
        <f>VLOOKUP(A95,TB!TB2_,3,FALSE)</f>
        <v>-1097.48</v>
      </c>
      <c r="G95" s="11">
        <f>VLOOKUP(A95,TB!TB2_,4,FALSE)</f>
        <v>-1097.48</v>
      </c>
      <c r="I95" s="11">
        <f>VLOOKUP(A95,TB!TB2_,4,FALSE)</f>
        <v>-1097.48</v>
      </c>
      <c r="K95" s="40">
        <f t="shared" si="5"/>
        <v>-2194.96</v>
      </c>
      <c r="M95" s="11">
        <f>VLOOKUP(A95,TB!TB,4,FALSE)</f>
        <v>-1097.48</v>
      </c>
    </row>
    <row r="96" spans="1:13" x14ac:dyDescent="0.25">
      <c r="A96" s="4" t="s">
        <v>146</v>
      </c>
      <c r="B96" s="1" t="s">
        <v>73</v>
      </c>
      <c r="C96" s="1" t="s">
        <v>147</v>
      </c>
      <c r="D96" s="67"/>
      <c r="E96" s="11">
        <f>VLOOKUP(A96,TB!TB2_,3,FALSE)</f>
        <v>-353.22</v>
      </c>
      <c r="G96" s="11">
        <f>VLOOKUP(A96,TB!TB2_,4,FALSE)</f>
        <v>-181.31</v>
      </c>
      <c r="I96" s="11">
        <f>VLOOKUP(A96,TB!TB2_,4,FALSE)</f>
        <v>-181.31</v>
      </c>
      <c r="K96" s="40">
        <f t="shared" si="5"/>
        <v>-362.62</v>
      </c>
      <c r="M96" s="11">
        <f>VLOOKUP(A96,TB!TB,4,FALSE)</f>
        <v>-202.73</v>
      </c>
    </row>
    <row r="97" spans="1:13" x14ac:dyDescent="0.25">
      <c r="A97" s="4" t="s">
        <v>756</v>
      </c>
      <c r="B97" s="1" t="s">
        <v>73</v>
      </c>
      <c r="C97" s="1" t="s">
        <v>757</v>
      </c>
      <c r="D97" s="67"/>
      <c r="E97" s="11">
        <f>VLOOKUP(A97,TB!TB2_,3,FALSE)</f>
        <v>-8625.9699999999993</v>
      </c>
      <c r="G97" s="11">
        <f>VLOOKUP(A97,TB!TB2_,4,FALSE)</f>
        <v>0</v>
      </c>
      <c r="I97" s="11">
        <f>VLOOKUP(A97,TB!TB2_,4,FALSE)</f>
        <v>0</v>
      </c>
      <c r="K97" s="40">
        <f t="shared" si="5"/>
        <v>0</v>
      </c>
      <c r="M97" s="11">
        <f>VLOOKUP(A97,TB!TB,4,FALSE)</f>
        <v>-22.01</v>
      </c>
    </row>
    <row r="98" spans="1:13" x14ac:dyDescent="0.25">
      <c r="A98" s="4" t="s">
        <v>148</v>
      </c>
      <c r="B98" s="1" t="s">
        <v>73</v>
      </c>
      <c r="C98" s="1" t="s">
        <v>149</v>
      </c>
      <c r="D98" s="67"/>
      <c r="E98" s="11">
        <f>VLOOKUP(A98,TB!TB2_,3,FALSE)</f>
        <v>9280.9599999999991</v>
      </c>
      <c r="G98" s="11">
        <f>VLOOKUP(A98,TB!TB2_,4,FALSE)</f>
        <v>-223.54</v>
      </c>
      <c r="I98" s="11">
        <f>VLOOKUP(A98,TB!TB2_,4,FALSE)</f>
        <v>-223.54</v>
      </c>
      <c r="K98" s="40">
        <f t="shared" si="5"/>
        <v>-447.08</v>
      </c>
      <c r="M98" s="11">
        <f>VLOOKUP(A98,TB!TB,4,FALSE)</f>
        <v>8967.36</v>
      </c>
    </row>
    <row r="99" spans="1:13" x14ac:dyDescent="0.25">
      <c r="A99" s="4" t="s">
        <v>150</v>
      </c>
      <c r="B99" s="1" t="s">
        <v>73</v>
      </c>
      <c r="C99" s="1" t="s">
        <v>151</v>
      </c>
      <c r="D99" s="67"/>
      <c r="E99" s="11">
        <f>VLOOKUP(A99,TB!TB2_,3,FALSE)</f>
        <v>-3512.97</v>
      </c>
      <c r="G99" s="11">
        <f>VLOOKUP(A99,TB!TB2_,4,FALSE)</f>
        <v>0</v>
      </c>
      <c r="I99" s="11">
        <f>VLOOKUP(A99,TB!TB2_,4,FALSE)</f>
        <v>0</v>
      </c>
      <c r="K99" s="40">
        <f t="shared" si="5"/>
        <v>0</v>
      </c>
      <c r="M99" s="11">
        <f>VLOOKUP(A99,TB!TB,4,FALSE)</f>
        <v>0</v>
      </c>
    </row>
    <row r="100" spans="1:13" x14ac:dyDescent="0.25">
      <c r="A100" s="4" t="s">
        <v>152</v>
      </c>
      <c r="B100" s="1" t="s">
        <v>73</v>
      </c>
      <c r="C100" s="1" t="s">
        <v>153</v>
      </c>
      <c r="D100" s="67"/>
      <c r="E100" s="11">
        <f>VLOOKUP(A100,TB!TB2_,3,FALSE)</f>
        <v>-315.66000000000003</v>
      </c>
      <c r="G100" s="11">
        <f>VLOOKUP(A100,TB!TB2_,4,FALSE)</f>
        <v>0</v>
      </c>
      <c r="I100" s="11">
        <f>VLOOKUP(A100,TB!TB2_,4,FALSE)</f>
        <v>0</v>
      </c>
      <c r="K100" s="40">
        <f t="shared" si="5"/>
        <v>0</v>
      </c>
      <c r="M100" s="11">
        <f>VLOOKUP(A100,TB!TB,4,FALSE)</f>
        <v>-315.66000000000003</v>
      </c>
    </row>
    <row r="101" spans="1:13" x14ac:dyDescent="0.25">
      <c r="A101" s="4" t="s">
        <v>154</v>
      </c>
      <c r="B101" s="1" t="s">
        <v>73</v>
      </c>
      <c r="C101" s="1" t="s">
        <v>155</v>
      </c>
      <c r="D101" s="67"/>
      <c r="E101" s="11">
        <f>VLOOKUP(A101,TB!TB2_,3,FALSE)</f>
        <v>-23.23</v>
      </c>
      <c r="G101" s="11">
        <f>VLOOKUP(A101,TB!TB2_,4,FALSE)</f>
        <v>0</v>
      </c>
      <c r="I101" s="11">
        <f>VLOOKUP(A101,TB!TB2_,4,FALSE)</f>
        <v>0</v>
      </c>
      <c r="K101" s="40">
        <f t="shared" si="5"/>
        <v>0</v>
      </c>
      <c r="M101" s="11">
        <f>VLOOKUP(A101,TB!TB,4,FALSE)</f>
        <v>-23.23</v>
      </c>
    </row>
    <row r="102" spans="1:13" x14ac:dyDescent="0.25">
      <c r="A102" s="4" t="s">
        <v>156</v>
      </c>
      <c r="B102" s="1" t="s">
        <v>73</v>
      </c>
      <c r="C102" s="1" t="s">
        <v>157</v>
      </c>
      <c r="D102" s="67"/>
      <c r="E102" s="11">
        <f>VLOOKUP(A102,TB!TB2_,3,FALSE)</f>
        <v>180.36</v>
      </c>
      <c r="G102" s="11">
        <f>VLOOKUP(A102,TB!TB2_,4,FALSE)</f>
        <v>0</v>
      </c>
      <c r="I102" s="11">
        <f>VLOOKUP(A102,TB!TB2_,4,FALSE)</f>
        <v>0</v>
      </c>
      <c r="K102" s="40">
        <f t="shared" si="5"/>
        <v>0</v>
      </c>
      <c r="M102" s="11">
        <f>VLOOKUP(A102,TB!TB,4,FALSE)</f>
        <v>180.36</v>
      </c>
    </row>
    <row r="103" spans="1:13" x14ac:dyDescent="0.25">
      <c r="A103" s="4" t="s">
        <v>158</v>
      </c>
      <c r="B103" s="1" t="s">
        <v>73</v>
      </c>
      <c r="C103" s="1" t="s">
        <v>159</v>
      </c>
      <c r="D103" s="67"/>
      <c r="E103" s="11">
        <f>VLOOKUP(A103,TB!TB2_,3,FALSE)</f>
        <v>-340</v>
      </c>
      <c r="G103" s="11">
        <f>VLOOKUP(A103,TB!TB2_,4,FALSE)</f>
        <v>-244.72</v>
      </c>
      <c r="I103" s="11">
        <f>VLOOKUP(A103,TB!TB2_,4,FALSE)</f>
        <v>-244.72</v>
      </c>
      <c r="K103" s="40">
        <f t="shared" si="5"/>
        <v>-489.44</v>
      </c>
      <c r="M103" s="11">
        <f>VLOOKUP(A103,TB!TB,4,FALSE)</f>
        <v>-6425.8</v>
      </c>
    </row>
    <row r="104" spans="1:13" x14ac:dyDescent="0.25">
      <c r="A104" s="4" t="s">
        <v>160</v>
      </c>
      <c r="B104" s="1" t="s">
        <v>73</v>
      </c>
      <c r="C104" s="1" t="s">
        <v>161</v>
      </c>
      <c r="D104" s="67"/>
      <c r="E104" s="11">
        <f>VLOOKUP(A104,TB!TB2_,3,FALSE)</f>
        <v>-4642.08</v>
      </c>
      <c r="G104" s="11">
        <f>VLOOKUP(A104,TB!TB2_,4,FALSE)</f>
        <v>-4642.08</v>
      </c>
      <c r="I104" s="11">
        <f>VLOOKUP(A104,TB!TB2_,4,FALSE)</f>
        <v>-4642.08</v>
      </c>
      <c r="K104" s="40">
        <f t="shared" si="5"/>
        <v>-9284.16</v>
      </c>
      <c r="M104" s="11">
        <f>VLOOKUP(A104,TB!TB,4,FALSE)</f>
        <v>-4642.08</v>
      </c>
    </row>
    <row r="105" spans="1:13" x14ac:dyDescent="0.25">
      <c r="A105" s="4" t="s">
        <v>162</v>
      </c>
      <c r="B105" s="1" t="s">
        <v>73</v>
      </c>
      <c r="C105" s="1" t="s">
        <v>163</v>
      </c>
      <c r="D105" s="67"/>
      <c r="E105" s="11">
        <f>VLOOKUP(A105,TB!TB2_,3,FALSE)</f>
        <v>-4.88</v>
      </c>
      <c r="G105" s="11">
        <f>VLOOKUP(A105,TB!TB2_,4,FALSE)</f>
        <v>0</v>
      </c>
      <c r="I105" s="11">
        <f>VLOOKUP(A105,TB!TB2_,4,FALSE)</f>
        <v>0</v>
      </c>
      <c r="K105" s="40">
        <f t="shared" si="5"/>
        <v>0</v>
      </c>
      <c r="M105" s="11">
        <f>VLOOKUP(A105,TB!TB,4,FALSE)</f>
        <v>-100.45</v>
      </c>
    </row>
    <row r="106" spans="1:13" x14ac:dyDescent="0.25">
      <c r="A106" s="4" t="s">
        <v>164</v>
      </c>
      <c r="B106" s="1" t="s">
        <v>73</v>
      </c>
      <c r="C106" s="1" t="s">
        <v>165</v>
      </c>
      <c r="D106" s="67"/>
      <c r="E106" s="11">
        <f>VLOOKUP(A106,TB!TB2_,3,FALSE)</f>
        <v>-4220.33</v>
      </c>
      <c r="G106" s="11">
        <f>VLOOKUP(A106,TB!TB2_,4,FALSE)</f>
        <v>0</v>
      </c>
      <c r="I106" s="11">
        <f>VLOOKUP(A106,TB!TB2_,4,FALSE)</f>
        <v>0</v>
      </c>
      <c r="K106" s="40">
        <f t="shared" si="5"/>
        <v>0</v>
      </c>
      <c r="M106" s="11">
        <f>VLOOKUP(A106,TB!TB,4,FALSE)</f>
        <v>-373.91</v>
      </c>
    </row>
    <row r="107" spans="1:13" x14ac:dyDescent="0.25">
      <c r="A107" s="4" t="s">
        <v>1188</v>
      </c>
      <c r="B107" s="1" t="s">
        <v>73</v>
      </c>
      <c r="C107" s="1" t="s">
        <v>1189</v>
      </c>
      <c r="D107" s="67"/>
      <c r="E107" s="11">
        <f>VLOOKUP(A107,TB!TB2_,3,FALSE)</f>
        <v>-499.77</v>
      </c>
      <c r="G107" s="11">
        <f>VLOOKUP(A107,TB!TB2_,4,FALSE)</f>
        <v>-1086.17</v>
      </c>
      <c r="I107" s="11">
        <f>VLOOKUP(A107,TB!TB2_,4,FALSE)</f>
        <v>-1086.17</v>
      </c>
      <c r="K107" s="40">
        <f t="shared" si="5"/>
        <v>-2172.34</v>
      </c>
      <c r="M107" s="11">
        <f>VLOOKUP(A107,TB!TB,4,FALSE)</f>
        <v>586.4</v>
      </c>
    </row>
    <row r="108" spans="1:13" x14ac:dyDescent="0.25">
      <c r="A108" s="4" t="s">
        <v>1190</v>
      </c>
      <c r="B108" s="1" t="s">
        <v>73</v>
      </c>
      <c r="C108" s="1" t="s">
        <v>1191</v>
      </c>
      <c r="D108" s="67"/>
      <c r="E108" s="11">
        <f>VLOOKUP(A108,TB!TB2_,3,FALSE)</f>
        <v>0</v>
      </c>
      <c r="G108" s="11">
        <f>VLOOKUP(A108,TB!TB2_,4,FALSE)</f>
        <v>0</v>
      </c>
      <c r="I108" s="11">
        <f>VLOOKUP(A108,TB!TB2_,4,FALSE)</f>
        <v>0</v>
      </c>
      <c r="K108" s="40">
        <f t="shared" si="5"/>
        <v>0</v>
      </c>
      <c r="M108" s="11">
        <f>VLOOKUP(A108,TB!TB,4,FALSE)</f>
        <v>0</v>
      </c>
    </row>
    <row r="109" spans="1:13" x14ac:dyDescent="0.25">
      <c r="A109" s="4" t="s">
        <v>1192</v>
      </c>
      <c r="B109" s="1" t="s">
        <v>73</v>
      </c>
      <c r="C109" s="1" t="s">
        <v>1193</v>
      </c>
      <c r="D109" s="67"/>
      <c r="E109" s="11">
        <f>VLOOKUP(A109,TB!TB2_,3,FALSE)</f>
        <v>-15.94</v>
      </c>
      <c r="G109" s="11">
        <f>VLOOKUP(A109,TB!TB2_,4,FALSE)</f>
        <v>0</v>
      </c>
      <c r="I109" s="11">
        <f>VLOOKUP(A109,TB!TB2_,4,FALSE)</f>
        <v>0</v>
      </c>
      <c r="K109" s="40">
        <f t="shared" si="5"/>
        <v>0</v>
      </c>
      <c r="M109" s="11">
        <f>VLOOKUP(A109,TB!TB,4,FALSE)</f>
        <v>-3.55</v>
      </c>
    </row>
    <row r="110" spans="1:13" x14ac:dyDescent="0.25">
      <c r="A110" s="44" t="s">
        <v>1215</v>
      </c>
      <c r="B110" s="1" t="s">
        <v>73</v>
      </c>
      <c r="C110" s="1" t="s">
        <v>1216</v>
      </c>
      <c r="D110" s="67"/>
      <c r="E110" s="11">
        <f>VLOOKUP(A110,TB!TB2_,3,FALSE)</f>
        <v>-12551.04</v>
      </c>
      <c r="G110" s="11">
        <f>VLOOKUP(A110,TB!TB2_,4,FALSE)</f>
        <v>0</v>
      </c>
      <c r="I110" s="11">
        <f>VLOOKUP(A110,TB!TB2_,4,FALSE)</f>
        <v>0</v>
      </c>
      <c r="K110" s="40">
        <f t="shared" si="5"/>
        <v>0</v>
      </c>
      <c r="M110" s="11">
        <f>VLOOKUP(A110,TB!TB,4,FALSE)</f>
        <v>0</v>
      </c>
    </row>
    <row r="111" spans="1:13" x14ac:dyDescent="0.25">
      <c r="A111" s="44" t="s">
        <v>1224</v>
      </c>
      <c r="B111" s="1" t="s">
        <v>73</v>
      </c>
      <c r="C111" s="5" t="s">
        <v>1225</v>
      </c>
      <c r="D111" s="67"/>
      <c r="E111" s="11">
        <f>VLOOKUP(A111,TB!TB2_,3,FALSE)</f>
        <v>2317.41</v>
      </c>
      <c r="G111" s="11">
        <f>VLOOKUP(A111,TB!TB2_,4,FALSE)</f>
        <v>0</v>
      </c>
      <c r="I111" s="11">
        <f>VLOOKUP(A111,TB!TB2_,4,FALSE)</f>
        <v>0</v>
      </c>
      <c r="K111" s="40">
        <f t="shared" si="5"/>
        <v>0</v>
      </c>
      <c r="M111" s="11">
        <f>VLOOKUP(A111,TB!TB,4,FALSE)</f>
        <v>2317.41</v>
      </c>
    </row>
    <row r="112" spans="1:13" x14ac:dyDescent="0.25">
      <c r="A112" s="44" t="s">
        <v>1240</v>
      </c>
      <c r="B112" s="1" t="s">
        <v>73</v>
      </c>
      <c r="C112" s="5" t="s">
        <v>1243</v>
      </c>
      <c r="D112" s="67"/>
      <c r="E112" s="11">
        <f>VLOOKUP(A112,TB!TB2_,3,FALSE)</f>
        <v>0</v>
      </c>
      <c r="G112" s="11">
        <f>VLOOKUP(A112,TB!TB2_,4,FALSE)</f>
        <v>0</v>
      </c>
      <c r="I112" s="11">
        <f>VLOOKUP(A112,TB!TB2_,4,FALSE)</f>
        <v>0</v>
      </c>
      <c r="K112" s="40">
        <f t="shared" si="5"/>
        <v>0</v>
      </c>
      <c r="M112" s="11">
        <f>VLOOKUP(A112,TB!TB,4,FALSE)</f>
        <v>0</v>
      </c>
    </row>
    <row r="113" spans="1:13" x14ac:dyDescent="0.25">
      <c r="A113" s="44" t="s">
        <v>1274</v>
      </c>
      <c r="B113" s="1" t="s">
        <v>73</v>
      </c>
      <c r="C113" s="5" t="s">
        <v>1308</v>
      </c>
      <c r="D113" s="67"/>
      <c r="E113" s="11">
        <f>VLOOKUP(A113,TB!TB2_,3,FALSE)</f>
        <v>0</v>
      </c>
      <c r="G113" s="11">
        <f>VLOOKUP(A113,TB!TB2_,4,FALSE)</f>
        <v>0</v>
      </c>
      <c r="I113" s="11">
        <f>VLOOKUP(A113,TB!TB2_,4,FALSE)</f>
        <v>0</v>
      </c>
      <c r="K113" s="40">
        <f t="shared" si="5"/>
        <v>0</v>
      </c>
      <c r="M113" s="11">
        <f>VLOOKUP(A113,TB!TB,4,FALSE)</f>
        <v>0</v>
      </c>
    </row>
    <row r="114" spans="1:13" x14ac:dyDescent="0.25">
      <c r="A114" s="4" t="s">
        <v>166</v>
      </c>
      <c r="B114" s="1" t="s">
        <v>73</v>
      </c>
      <c r="C114" s="1" t="s">
        <v>167</v>
      </c>
      <c r="D114" s="67"/>
      <c r="E114" s="11">
        <f>VLOOKUP(A114,TB!TB2_,3,FALSE)</f>
        <v>0</v>
      </c>
      <c r="G114" s="11">
        <f>VLOOKUP(A114,TB!TB2_,4,FALSE)</f>
        <v>0</v>
      </c>
      <c r="I114" s="11">
        <f>VLOOKUP(A114,TB!TB2_,4,FALSE)</f>
        <v>0</v>
      </c>
      <c r="K114" s="40">
        <f t="shared" si="5"/>
        <v>0</v>
      </c>
      <c r="M114" s="11">
        <f>VLOOKUP(A114,TB!TB,4,FALSE)</f>
        <v>0</v>
      </c>
    </row>
    <row r="115" spans="1:13" x14ac:dyDescent="0.25">
      <c r="A115" s="4" t="s">
        <v>168</v>
      </c>
      <c r="B115" s="1" t="s">
        <v>73</v>
      </c>
      <c r="C115" s="1" t="s">
        <v>169</v>
      </c>
      <c r="D115" s="67"/>
      <c r="E115" s="11">
        <f>VLOOKUP(A115,TB!TB2_,3,FALSE)</f>
        <v>0</v>
      </c>
      <c r="G115" s="11">
        <f>VLOOKUP(A115,TB!TB2_,4,FALSE)</f>
        <v>0</v>
      </c>
      <c r="I115" s="11">
        <f>VLOOKUP(A115,TB!TB2_,4,FALSE)</f>
        <v>0</v>
      </c>
      <c r="K115" s="40">
        <f t="shared" si="5"/>
        <v>0</v>
      </c>
      <c r="M115" s="11">
        <f>VLOOKUP(A115,TB!TB,4,FALSE)</f>
        <v>0</v>
      </c>
    </row>
    <row r="116" spans="1:13" x14ac:dyDescent="0.25">
      <c r="A116" s="44" t="s">
        <v>1238</v>
      </c>
      <c r="B116" s="1" t="s">
        <v>73</v>
      </c>
      <c r="C116" s="1" t="s">
        <v>1239</v>
      </c>
      <c r="D116" s="67"/>
      <c r="E116" s="11">
        <f>VLOOKUP(A116,TB!TB2_,3,FALSE)</f>
        <v>180282.3</v>
      </c>
      <c r="G116" s="11">
        <f>VLOOKUP(A116,TB!TB2_,4,FALSE)</f>
        <v>151790</v>
      </c>
      <c r="I116" s="11">
        <f>VLOOKUP(A116,TB!TB2_,4,FALSE)</f>
        <v>151790</v>
      </c>
      <c r="K116" s="40">
        <f t="shared" si="5"/>
        <v>303580</v>
      </c>
      <c r="M116" s="11">
        <f>VLOOKUP(A116,TB!TB,4,FALSE)</f>
        <v>180282.3</v>
      </c>
    </row>
    <row r="117" spans="1:13" x14ac:dyDescent="0.25">
      <c r="A117" s="4" t="s">
        <v>170</v>
      </c>
      <c r="B117" s="1" t="s">
        <v>73</v>
      </c>
      <c r="C117" s="1" t="s">
        <v>171</v>
      </c>
      <c r="D117" s="67"/>
      <c r="E117" s="11">
        <f>VLOOKUP(A117,TB!TB2_,3,FALSE)</f>
        <v>-149403.66</v>
      </c>
      <c r="G117" s="11">
        <f>VLOOKUP(A117,TB!TB2_,4,FALSE)</f>
        <v>0</v>
      </c>
      <c r="I117" s="11">
        <f>VLOOKUP(A117,TB!TB2_,4,FALSE)</f>
        <v>0</v>
      </c>
      <c r="K117" s="40">
        <f t="shared" si="5"/>
        <v>0</v>
      </c>
      <c r="M117" s="11">
        <f>VLOOKUP(A117,TB!TB,4,FALSE)</f>
        <v>-149403.66</v>
      </c>
    </row>
    <row r="118" spans="1:13" x14ac:dyDescent="0.25">
      <c r="A118" s="44" t="s">
        <v>1266</v>
      </c>
      <c r="B118" s="1" t="s">
        <v>73</v>
      </c>
      <c r="C118" s="1" t="s">
        <v>1267</v>
      </c>
      <c r="D118" s="67"/>
      <c r="E118" s="11">
        <f>VLOOKUP(A118,TB!TB2_,3,FALSE)</f>
        <v>0</v>
      </c>
      <c r="G118" s="11">
        <f>VLOOKUP(A118,TB!TB2_,4,FALSE)</f>
        <v>0</v>
      </c>
      <c r="I118" s="11">
        <f>VLOOKUP(A118,TB!TB2_,4,FALSE)</f>
        <v>0</v>
      </c>
      <c r="K118" s="40">
        <f t="shared" si="5"/>
        <v>0</v>
      </c>
      <c r="M118" s="11">
        <f>VLOOKUP(A118,TB!TB,4,FALSE)</f>
        <v>0</v>
      </c>
    </row>
    <row r="119" spans="1:13" x14ac:dyDescent="0.25">
      <c r="A119" s="4" t="s">
        <v>172</v>
      </c>
      <c r="B119" s="1" t="s">
        <v>73</v>
      </c>
      <c r="C119" s="1" t="s">
        <v>1264</v>
      </c>
      <c r="D119" s="67"/>
      <c r="E119" s="11">
        <f>VLOOKUP(A119,TB!TB2_,3,FALSE)</f>
        <v>-608567.94999999995</v>
      </c>
      <c r="G119" s="11">
        <f>VLOOKUP(A119,TB!TB2_,4,FALSE)</f>
        <v>241590.39999999999</v>
      </c>
      <c r="I119" s="11">
        <f>VLOOKUP(A119,TB!TB2_,4,FALSE)</f>
        <v>241590.39999999999</v>
      </c>
      <c r="K119" s="40">
        <f t="shared" si="5"/>
        <v>483180.79999999999</v>
      </c>
      <c r="M119" s="11">
        <f>VLOOKUP(A119,TB!TB,4,FALSE)</f>
        <v>-352936.77</v>
      </c>
    </row>
    <row r="120" spans="1:13" x14ac:dyDescent="0.25">
      <c r="A120" s="123" t="s">
        <v>1532</v>
      </c>
      <c r="B120" s="5" t="s">
        <v>73</v>
      </c>
      <c r="C120" s="5" t="s">
        <v>1535</v>
      </c>
      <c r="E120" s="11">
        <f>VLOOKUP(A120,TB!TB2_,3,FALSE)</f>
        <v>-8100</v>
      </c>
      <c r="G120" s="11">
        <f>VLOOKUP(A120,TB!TB2_,4,FALSE)</f>
        <v>0</v>
      </c>
      <c r="I120" s="11">
        <f>VLOOKUP(A120,TB!TB2_,4,FALSE)</f>
        <v>0</v>
      </c>
      <c r="K120" s="40">
        <f t="shared" si="5"/>
        <v>0</v>
      </c>
      <c r="M120" s="11">
        <f>VLOOKUP(A120,TB!TB,4,FALSE)</f>
        <v>-8100</v>
      </c>
    </row>
    <row r="121" spans="1:13" ht="15.75" thickBot="1" x14ac:dyDescent="0.3">
      <c r="A121" s="4" t="s">
        <v>173</v>
      </c>
      <c r="B121" s="1" t="s">
        <v>73</v>
      </c>
      <c r="C121" s="1" t="s">
        <v>1265</v>
      </c>
      <c r="D121" s="67"/>
      <c r="E121" s="11">
        <f>VLOOKUP(A121,TB!TB2_,3,FALSE)</f>
        <v>0</v>
      </c>
      <c r="G121" s="11">
        <f>VLOOKUP(A121,TB!TB2_,4,FALSE)</f>
        <v>0</v>
      </c>
      <c r="I121" s="11">
        <f>VLOOKUP(A121,TB!TB2_,4,FALSE)</f>
        <v>0</v>
      </c>
      <c r="K121" s="40">
        <f t="shared" ref="K121" si="6">I121+G121</f>
        <v>0</v>
      </c>
      <c r="M121" s="11">
        <f>VLOOKUP(A121,TB!TB,4,FALSE)</f>
        <v>0</v>
      </c>
    </row>
    <row r="122" spans="1:13" x14ac:dyDescent="0.25">
      <c r="A122" s="4"/>
      <c r="C122" s="69" t="s">
        <v>1202</v>
      </c>
      <c r="D122" s="67"/>
      <c r="E122" s="71">
        <f>SUM(E7:E121)</f>
        <v>25288284.590000015</v>
      </c>
      <c r="F122" s="72"/>
      <c r="G122" s="71">
        <f>SUM(G7:G121)</f>
        <v>611056.92999999993</v>
      </c>
      <c r="H122" s="72"/>
      <c r="I122" s="71">
        <f>SUM(I7:I121)</f>
        <v>611056.92999999993</v>
      </c>
      <c r="J122" s="72"/>
      <c r="K122" s="71">
        <f>SUM(K7:K121)</f>
        <v>1222113.8599999999</v>
      </c>
      <c r="L122" s="72"/>
      <c r="M122" s="73">
        <f>SUM(M7:M121)</f>
        <v>25659369.019999992</v>
      </c>
    </row>
    <row r="123" spans="1:13" x14ac:dyDescent="0.25">
      <c r="A123" s="4"/>
      <c r="C123" s="69"/>
      <c r="D123" s="67"/>
      <c r="E123" s="76"/>
      <c r="G123" s="76"/>
      <c r="I123" s="40"/>
      <c r="K123" s="40"/>
      <c r="M123" s="77"/>
    </row>
    <row r="124" spans="1:13" x14ac:dyDescent="0.25">
      <c r="A124" s="47" t="s">
        <v>1000</v>
      </c>
      <c r="B124" s="47" t="s">
        <v>6</v>
      </c>
      <c r="C124" s="47" t="s">
        <v>1196</v>
      </c>
      <c r="D124" s="47"/>
      <c r="E124" s="47" t="s">
        <v>1197</v>
      </c>
      <c r="F124" s="47"/>
      <c r="G124" s="47" t="s">
        <v>1198</v>
      </c>
      <c r="H124" s="47"/>
      <c r="I124" s="47" t="s">
        <v>1199</v>
      </c>
      <c r="J124" s="47"/>
      <c r="K124" s="47" t="s">
        <v>1200</v>
      </c>
      <c r="L124" s="47"/>
      <c r="M124" s="47" t="s">
        <v>1201</v>
      </c>
    </row>
    <row r="125" spans="1:13" x14ac:dyDescent="0.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</row>
    <row r="126" spans="1:13" x14ac:dyDescent="0.25">
      <c r="A126" s="4" t="s">
        <v>174</v>
      </c>
      <c r="C126" s="1" t="s">
        <v>175</v>
      </c>
      <c r="D126" s="67"/>
      <c r="E126" s="11">
        <f>VLOOKUP(A126,TB!TB2_,3,FALSE)</f>
        <v>-750</v>
      </c>
      <c r="G126" s="11">
        <f>VLOOKUP(A126,TB!TB2_,4,FALSE)</f>
        <v>0</v>
      </c>
      <c r="I126" s="11">
        <f>VLOOKUP(A126,TB!TB2_,4,FALSE)</f>
        <v>0</v>
      </c>
      <c r="K126" s="40">
        <f t="shared" ref="K126" si="7">I126+G126</f>
        <v>0</v>
      </c>
      <c r="M126" s="11">
        <f>VLOOKUP(A126,TB!TB,4,FALSE)</f>
        <v>-750</v>
      </c>
    </row>
    <row r="127" spans="1:13" x14ac:dyDescent="0.25">
      <c r="A127" s="44" t="s">
        <v>1261</v>
      </c>
      <c r="C127" s="1" t="s">
        <v>1262</v>
      </c>
      <c r="D127" s="67"/>
      <c r="E127" s="11">
        <f>VLOOKUP(A127,TB!TB2_,3,FALSE)</f>
        <v>5499409.4699999997</v>
      </c>
      <c r="G127" s="11">
        <f>VLOOKUP(A127,TB!TB2_,4,FALSE)</f>
        <v>0</v>
      </c>
      <c r="I127" s="11">
        <f>VLOOKUP(A127,TB!TB2_,4,FALSE)</f>
        <v>0</v>
      </c>
      <c r="K127" s="40">
        <f t="shared" ref="K127:K130" si="8">I127+G127</f>
        <v>0</v>
      </c>
      <c r="M127" s="11">
        <f>VLOOKUP(A127,TB!TB,4,FALSE)</f>
        <v>5499409.4699999997</v>
      </c>
    </row>
    <row r="128" spans="1:13" x14ac:dyDescent="0.25">
      <c r="A128" s="44" t="s">
        <v>1235</v>
      </c>
      <c r="C128" s="1" t="s">
        <v>1482</v>
      </c>
      <c r="D128" s="67"/>
      <c r="E128" s="11">
        <f>VLOOKUP(A128,TB!TB2_,3,FALSE)</f>
        <v>20400</v>
      </c>
      <c r="G128" s="11">
        <f>VLOOKUP(A128,TB!TB2_,4,FALSE)</f>
        <v>4000</v>
      </c>
      <c r="I128" s="11">
        <f>VLOOKUP(A128,TB!TB2_,4,FALSE)</f>
        <v>4000</v>
      </c>
      <c r="K128" s="40">
        <f t="shared" si="8"/>
        <v>8000</v>
      </c>
      <c r="M128" s="11">
        <f>VLOOKUP(A128,TB!TB,4,FALSE)</f>
        <v>20400</v>
      </c>
    </row>
    <row r="129" spans="1:13" x14ac:dyDescent="0.25">
      <c r="A129" s="4" t="s">
        <v>176</v>
      </c>
      <c r="C129" s="1" t="s">
        <v>177</v>
      </c>
      <c r="D129" s="67"/>
      <c r="E129" s="11">
        <f>VLOOKUP(A129,TB!TB2_,3,FALSE)</f>
        <v>0</v>
      </c>
      <c r="G129" s="11">
        <f>VLOOKUP(A129,TB!TB2_,4,FALSE)</f>
        <v>0</v>
      </c>
      <c r="I129" s="11">
        <f>VLOOKUP(A129,TB!TB2_,4,FALSE)</f>
        <v>0</v>
      </c>
      <c r="K129" s="40">
        <f t="shared" si="8"/>
        <v>0</v>
      </c>
      <c r="M129" s="11">
        <f>VLOOKUP(A129,TB!TB,4,FALSE)</f>
        <v>0</v>
      </c>
    </row>
    <row r="130" spans="1:13" x14ac:dyDescent="0.25">
      <c r="A130" s="4" t="s">
        <v>178</v>
      </c>
      <c r="C130" s="1" t="s">
        <v>179</v>
      </c>
      <c r="D130" s="67"/>
      <c r="E130" s="11">
        <f>VLOOKUP(A130,TB!TB2_,3,FALSE)</f>
        <v>-28313413.25</v>
      </c>
      <c r="G130" s="11">
        <f>VLOOKUP(A130,TB!TB2_,4,FALSE)</f>
        <v>0</v>
      </c>
      <c r="I130" s="11">
        <f>VLOOKUP(A130,TB!TB2_,4,FALSE)</f>
        <v>0</v>
      </c>
      <c r="K130" s="40">
        <f t="shared" si="8"/>
        <v>0</v>
      </c>
      <c r="M130" s="11">
        <f>VLOOKUP(A130,TB!TB,4,FALSE)</f>
        <v>-33371519.670000002</v>
      </c>
    </row>
    <row r="131" spans="1:13" ht="15.75" thickBot="1" x14ac:dyDescent="0.3">
      <c r="A131" s="68"/>
      <c r="C131" s="65"/>
      <c r="D131" s="67"/>
      <c r="E131" s="74"/>
      <c r="F131" s="75"/>
      <c r="G131" s="74"/>
      <c r="H131" s="75"/>
      <c r="I131" s="74"/>
      <c r="J131" s="75"/>
      <c r="K131" s="74"/>
      <c r="L131" s="75"/>
      <c r="M131" s="74">
        <f>SUM(M126:M130)</f>
        <v>-27852460.200000003</v>
      </c>
    </row>
    <row r="132" spans="1:13" ht="15.75" thickTop="1" x14ac:dyDescent="0.25">
      <c r="A132" s="40"/>
      <c r="C132" s="70" t="s">
        <v>1203</v>
      </c>
      <c r="E132" s="96">
        <f>E122+E126+E129+E130+E128</f>
        <v>-3005478.6599999852</v>
      </c>
      <c r="G132" s="96">
        <f>G122+G126+G129+G130+G128</f>
        <v>615056.92999999993</v>
      </c>
      <c r="I132" s="96">
        <f>I122+I126+I129+I130+I128</f>
        <v>615056.92999999993</v>
      </c>
      <c r="K132" s="96">
        <f>K122+K126+K129+K130+K128</f>
        <v>1230113.8599999999</v>
      </c>
      <c r="M132" s="96">
        <f>+M131+M122</f>
        <v>-2193091.1800000109</v>
      </c>
    </row>
  </sheetData>
  <mergeCells count="6">
    <mergeCell ref="A85:M85"/>
    <mergeCell ref="A1:M1"/>
    <mergeCell ref="A2:M2"/>
    <mergeCell ref="A3:M3"/>
    <mergeCell ref="A83:M83"/>
    <mergeCell ref="A84:M84"/>
  </mergeCells>
  <pageMargins left="0.7" right="0.7" top="0.75" bottom="0.75" header="0.3" footer="0.3"/>
  <pageSetup scale="6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77C9-A673-4572-9530-6DC5F2126DCA}">
  <dimension ref="A1:Q642"/>
  <sheetViews>
    <sheetView topLeftCell="A609" zoomScaleNormal="100" workbookViewId="0">
      <selection activeCell="C293" sqref="C293"/>
    </sheetView>
  </sheetViews>
  <sheetFormatPr defaultRowHeight="15" x14ac:dyDescent="0.25"/>
  <cols>
    <col min="1" max="1" width="12" style="5" customWidth="1"/>
    <col min="2" max="2" width="2.85546875" style="5" customWidth="1"/>
    <col min="3" max="3" width="41" style="5" bestFit="1" customWidth="1"/>
    <col min="4" max="4" width="1.5703125" style="5" customWidth="1"/>
    <col min="5" max="5" width="17.7109375" style="5" customWidth="1"/>
    <col min="6" max="6" width="7.85546875" style="5" customWidth="1"/>
    <col min="7" max="7" width="2" style="5" customWidth="1"/>
    <col min="8" max="8" width="22.5703125" style="5" customWidth="1"/>
    <col min="9" max="9" width="8.5703125" style="5" customWidth="1"/>
    <col min="10" max="10" width="2.140625" style="5" customWidth="1"/>
    <col min="11" max="11" width="21.28515625" style="5" customWidth="1"/>
    <col min="12" max="12" width="8.42578125" style="5" customWidth="1"/>
    <col min="13" max="13" width="3.42578125" style="5" customWidth="1"/>
    <col min="14" max="14" width="20.140625" style="5" customWidth="1"/>
    <col min="15" max="15" width="7.5703125" style="5" customWidth="1"/>
    <col min="16" max="16" width="4.85546875" style="5" customWidth="1"/>
    <col min="17" max="17" width="8.5703125" style="5" customWidth="1"/>
    <col min="18" max="16384" width="9.140625" style="5"/>
  </cols>
  <sheetData>
    <row r="1" spans="1:16" ht="31.5" x14ac:dyDescent="0.5">
      <c r="A1" s="144" t="s">
        <v>1223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</row>
    <row r="2" spans="1:16" ht="26.25" x14ac:dyDescent="0.4">
      <c r="A2" s="145" t="s">
        <v>1222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</row>
    <row r="3" spans="1:16" x14ac:dyDescent="0.25">
      <c r="A3" s="150">
        <f>DATEVALUE(TB!A3&amp;"/"&amp;TB!A4)</f>
        <v>46023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</row>
    <row r="4" spans="1:16" ht="15.75" x14ac:dyDescent="0.25">
      <c r="A4" s="6"/>
      <c r="B4" s="6"/>
      <c r="C4" s="8" t="s">
        <v>5</v>
      </c>
      <c r="D4" s="6"/>
      <c r="E4" s="31">
        <f>TB!O4</f>
        <v>2025</v>
      </c>
      <c r="H4" s="31">
        <f>TB!A4</f>
        <v>2026</v>
      </c>
      <c r="I4" s="6"/>
      <c r="K4" s="31">
        <f>TB!O4</f>
        <v>2025</v>
      </c>
      <c r="L4" s="6"/>
      <c r="M4" s="6"/>
      <c r="N4" s="31">
        <f>TB!A4</f>
        <v>2026</v>
      </c>
      <c r="O4" s="6"/>
      <c r="P4" s="6"/>
    </row>
    <row r="5" spans="1:16" ht="15.75" x14ac:dyDescent="0.25">
      <c r="A5" s="7" t="s">
        <v>1000</v>
      </c>
      <c r="C5" s="38" t="s">
        <v>1039</v>
      </c>
      <c r="E5" s="8" t="s">
        <v>4</v>
      </c>
      <c r="F5" s="16" t="s">
        <v>1005</v>
      </c>
      <c r="G5" s="16"/>
      <c r="H5" s="8" t="s">
        <v>4</v>
      </c>
      <c r="I5" s="16" t="s">
        <v>1005</v>
      </c>
      <c r="J5" s="16"/>
      <c r="K5" s="8" t="s">
        <v>3</v>
      </c>
      <c r="L5" s="16" t="s">
        <v>1005</v>
      </c>
      <c r="M5" s="8"/>
      <c r="N5" s="8" t="s">
        <v>3</v>
      </c>
      <c r="O5" s="16" t="s">
        <v>1005</v>
      </c>
    </row>
    <row r="7" spans="1:16" x14ac:dyDescent="0.25">
      <c r="A7" s="122" t="s">
        <v>180</v>
      </c>
      <c r="C7" s="5" t="s">
        <v>181</v>
      </c>
      <c r="E7" s="11">
        <f>VLOOKUP(A7,TB!TB1_1,5,FALSE)*-1</f>
        <v>0</v>
      </c>
      <c r="F7" s="17">
        <f t="shared" ref="F7:F10" si="0">IF(E$160,E7/E$160,0)</f>
        <v>0</v>
      </c>
      <c r="G7" s="17"/>
      <c r="H7" s="11">
        <f>VLOOKUP(A7,TB!TB,5,FALSE)*-1</f>
        <v>0</v>
      </c>
      <c r="I7" s="17">
        <f t="shared" ref="I7:I10" si="1">IF(H$160,H7/H$160,0)</f>
        <v>0</v>
      </c>
      <c r="J7" s="17"/>
      <c r="K7" s="11">
        <f>VLOOKUP(A7,TB!TB1_1,4,FALSE)*-1</f>
        <v>0</v>
      </c>
      <c r="L7" s="17">
        <f t="shared" ref="L7:L10" si="2">IF(K$160,K7/K$160,0)</f>
        <v>0</v>
      </c>
      <c r="N7" s="11">
        <f>VLOOKUP(A7,TB!TB,4,FALSE)*-1</f>
        <v>0</v>
      </c>
      <c r="O7" s="17">
        <f t="shared" ref="O7:O10" si="3">IF(N$160,N7/N$160,0)</f>
        <v>0</v>
      </c>
    </row>
    <row r="8" spans="1:16" x14ac:dyDescent="0.25">
      <c r="A8" s="122" t="s">
        <v>183</v>
      </c>
      <c r="C8" s="5" t="s">
        <v>1828</v>
      </c>
      <c r="E8" s="11">
        <f>VLOOKUP(A8,TB!TB1_1,5,FALSE)*-1</f>
        <v>73800</v>
      </c>
      <c r="F8" s="17">
        <f t="shared" si="0"/>
        <v>2.4947054693425803E-2</v>
      </c>
      <c r="G8" s="17"/>
      <c r="H8" s="11">
        <f>VLOOKUP(A8,TB!TB,5,FALSE)*-1</f>
        <v>239550</v>
      </c>
      <c r="I8" s="17">
        <f t="shared" si="1"/>
        <v>0.10868515332993366</v>
      </c>
      <c r="J8" s="17"/>
      <c r="K8" s="11">
        <f>VLOOKUP(A8,TB!TB1_1,4,FALSE)*-1</f>
        <v>73800</v>
      </c>
      <c r="L8" s="17">
        <f t="shared" si="2"/>
        <v>2.4947054693425803E-2</v>
      </c>
      <c r="N8" s="11">
        <f>VLOOKUP(A8,TB!TB,4,FALSE)*-1</f>
        <v>239550</v>
      </c>
      <c r="O8" s="17">
        <f t="shared" si="3"/>
        <v>0.10868515332993366</v>
      </c>
    </row>
    <row r="9" spans="1:16" x14ac:dyDescent="0.25">
      <c r="A9" s="122" t="s">
        <v>758</v>
      </c>
      <c r="C9" s="5" t="s">
        <v>1829</v>
      </c>
      <c r="E9" s="11">
        <f>VLOOKUP(A9,TB!TB1_1,5,FALSE)*-1</f>
        <v>114900</v>
      </c>
      <c r="F9" s="17">
        <f t="shared" si="0"/>
        <v>3.8840333120252368E-2</v>
      </c>
      <c r="G9" s="17"/>
      <c r="H9" s="11">
        <f>VLOOKUP(A9,TB!TB,5,FALSE)*-1</f>
        <v>111968</v>
      </c>
      <c r="I9" s="17">
        <f t="shared" si="1"/>
        <v>5.0800497800233817E-2</v>
      </c>
      <c r="J9" s="17"/>
      <c r="K9" s="11">
        <f>VLOOKUP(A9,TB!TB1_1,4,FALSE)*-1</f>
        <v>114900</v>
      </c>
      <c r="L9" s="17">
        <f t="shared" si="2"/>
        <v>3.8840333120252368E-2</v>
      </c>
      <c r="N9" s="11">
        <f>VLOOKUP(A9,TB!TB,4,FALSE)*-1</f>
        <v>111968</v>
      </c>
      <c r="O9" s="17">
        <f t="shared" si="3"/>
        <v>5.0800497800233817E-2</v>
      </c>
    </row>
    <row r="10" spans="1:16" x14ac:dyDescent="0.25">
      <c r="A10" s="122" t="s">
        <v>995</v>
      </c>
      <c r="C10" s="5" t="s">
        <v>1830</v>
      </c>
      <c r="E10" s="11">
        <f>VLOOKUP(A10,TB!TB1_1,5,FALSE)*-1</f>
        <v>0</v>
      </c>
      <c r="F10" s="17">
        <f t="shared" si="0"/>
        <v>0</v>
      </c>
      <c r="G10" s="17"/>
      <c r="H10" s="11">
        <f>VLOOKUP(A10,TB!TB,5,FALSE)*-1</f>
        <v>0</v>
      </c>
      <c r="I10" s="17">
        <f t="shared" si="1"/>
        <v>0</v>
      </c>
      <c r="J10" s="17"/>
      <c r="K10" s="11">
        <f>VLOOKUP(A10,TB!TB1_1,4,FALSE)*-1</f>
        <v>0</v>
      </c>
      <c r="L10" s="17">
        <f t="shared" si="2"/>
        <v>0</v>
      </c>
      <c r="N10" s="11">
        <f>VLOOKUP(A10,TB!TB,4,FALSE)*-1</f>
        <v>0</v>
      </c>
      <c r="O10" s="17">
        <f t="shared" si="3"/>
        <v>0</v>
      </c>
    </row>
    <row r="11" spans="1:16" x14ac:dyDescent="0.25">
      <c r="A11" s="123" t="s">
        <v>1396</v>
      </c>
      <c r="C11" s="5" t="s">
        <v>1831</v>
      </c>
      <c r="E11" s="11">
        <f>VLOOKUP(A11,TB!TB1_1,5,FALSE)*-1</f>
        <v>0</v>
      </c>
      <c r="F11" s="17">
        <f t="shared" ref="F11" si="4">IF(E$160,E11/E$160,0)</f>
        <v>0</v>
      </c>
      <c r="G11" s="17"/>
      <c r="H11" s="11">
        <f>VLOOKUP(A11,TB!TB,5,FALSE)*-1</f>
        <v>0</v>
      </c>
      <c r="I11" s="17">
        <f t="shared" ref="I11" si="5">IF(H$160,H11/H$160,0)</f>
        <v>0</v>
      </c>
      <c r="J11" s="17"/>
      <c r="K11" s="11">
        <f>VLOOKUP(A11,TB!TB1_1,4,FALSE)*-1</f>
        <v>0</v>
      </c>
      <c r="L11" s="17">
        <f t="shared" ref="L11" si="6">IF(K$160,K11/K$160,0)</f>
        <v>0</v>
      </c>
      <c r="N11" s="11">
        <f>VLOOKUP(A11,TB!TB,4,FALSE)*-1</f>
        <v>0</v>
      </c>
      <c r="O11" s="17">
        <f t="shared" ref="O11" si="7">IF(N$160,N11/N$160,0)</f>
        <v>0</v>
      </c>
    </row>
    <row r="12" spans="1:16" x14ac:dyDescent="0.25">
      <c r="A12" s="123" t="s">
        <v>1273</v>
      </c>
      <c r="C12" s="5" t="s">
        <v>1832</v>
      </c>
      <c r="E12" s="11">
        <f>VLOOKUP(A12,TB!TB1_1,5,FALSE)*-1</f>
        <v>0</v>
      </c>
      <c r="F12" s="17">
        <f t="shared" ref="F12" si="8">IF(E$160,E12/E$160,0)</f>
        <v>0</v>
      </c>
      <c r="G12" s="17"/>
      <c r="H12" s="11">
        <f>VLOOKUP(A12,TB!TB,5,FALSE)*-1</f>
        <v>0</v>
      </c>
      <c r="I12" s="17">
        <f t="shared" ref="I12" si="9">IF(H$160,H12/H$160,0)</f>
        <v>0</v>
      </c>
      <c r="J12" s="17"/>
      <c r="K12" s="11">
        <f>VLOOKUP(A12,TB!TB1_1,4,FALSE)*-1</f>
        <v>0</v>
      </c>
      <c r="L12" s="17">
        <f t="shared" ref="L12" si="10">IF(K$160,K12/K$160,0)</f>
        <v>0</v>
      </c>
      <c r="N12" s="11">
        <f>VLOOKUP(A12,TB!TB,4,FALSE)*-1</f>
        <v>0</v>
      </c>
      <c r="O12" s="17">
        <f t="shared" ref="O12" si="11">IF(N$160,N12/N$160,0)</f>
        <v>0</v>
      </c>
    </row>
    <row r="13" spans="1:16" x14ac:dyDescent="0.25">
      <c r="A13" s="123" t="s">
        <v>1494</v>
      </c>
      <c r="C13" s="5" t="s">
        <v>2042</v>
      </c>
      <c r="E13" s="11">
        <f>VLOOKUP(A13,TB!TB1_1,5,FALSE)*-1</f>
        <v>0</v>
      </c>
      <c r="F13" s="17">
        <f t="shared" ref="F13" si="12">IF(E$160,E13/E$160,0)</f>
        <v>0</v>
      </c>
      <c r="G13" s="17"/>
      <c r="H13" s="11">
        <f>VLOOKUP(A13,TB!TB,5,FALSE)*-1</f>
        <v>0</v>
      </c>
      <c r="I13" s="17">
        <f t="shared" ref="I13" si="13">IF(H$160,H13/H$160,0)</f>
        <v>0</v>
      </c>
      <c r="J13" s="17"/>
      <c r="K13" s="11">
        <f>VLOOKUP(A13,TB!TB1_1,4,FALSE)*-1</f>
        <v>0</v>
      </c>
      <c r="L13" s="17">
        <f t="shared" ref="L13" si="14">IF(K$160,K13/K$160,0)</f>
        <v>0</v>
      </c>
      <c r="N13" s="11">
        <f>VLOOKUP(A13,TB!TB,4,FALSE)*-1</f>
        <v>0</v>
      </c>
      <c r="O13" s="17">
        <f t="shared" ref="O13" si="15">IF(N$160,N13/N$160,0)</f>
        <v>0</v>
      </c>
    </row>
    <row r="14" spans="1:16" x14ac:dyDescent="0.25">
      <c r="A14" s="123" t="s">
        <v>1272</v>
      </c>
      <c r="C14" s="5" t="s">
        <v>1833</v>
      </c>
      <c r="E14" s="11">
        <f>VLOOKUP(A14,TB!TB1_1,5,FALSE)*-1</f>
        <v>0</v>
      </c>
      <c r="F14" s="17">
        <f t="shared" ref="F14" si="16">IF(E$160,E14/E$160,0)</f>
        <v>0</v>
      </c>
      <c r="G14" s="17"/>
      <c r="H14" s="11">
        <f>VLOOKUP(A14,TB!TB,5,FALSE)*-1</f>
        <v>0</v>
      </c>
      <c r="I14" s="17">
        <f t="shared" ref="I14" si="17">IF(H$160,H14/H$160,0)</f>
        <v>0</v>
      </c>
      <c r="J14" s="17"/>
      <c r="K14" s="11">
        <f>VLOOKUP(A14,TB!TB1_1,4,FALSE)*-1</f>
        <v>0</v>
      </c>
      <c r="L14" s="17">
        <f t="shared" ref="L14" si="18">IF(K$160,K14/K$160,0)</f>
        <v>0</v>
      </c>
      <c r="N14" s="11">
        <f>VLOOKUP(A14,TB!TB,4,FALSE)*-1</f>
        <v>0</v>
      </c>
      <c r="O14" s="17">
        <f t="shared" ref="O14" si="19">IF(N$160,N14/N$160,0)</f>
        <v>0</v>
      </c>
    </row>
    <row r="15" spans="1:16" x14ac:dyDescent="0.25">
      <c r="A15" s="123" t="s">
        <v>1400</v>
      </c>
      <c r="C15" s="5" t="s">
        <v>1834</v>
      </c>
      <c r="E15" s="11">
        <f>VLOOKUP(A15,TB!TB1_1,5,FALSE)*-1</f>
        <v>0</v>
      </c>
      <c r="F15" s="17">
        <f t="shared" ref="F15" si="20">IF(E$160,E15/E$160,0)</f>
        <v>0</v>
      </c>
      <c r="G15" s="17"/>
      <c r="H15" s="11">
        <f>VLOOKUP(A15,TB!TB,5,FALSE)*-1</f>
        <v>0</v>
      </c>
      <c r="I15" s="17">
        <f t="shared" ref="I15" si="21">IF(H$160,H15/H$160,0)</f>
        <v>0</v>
      </c>
      <c r="J15" s="17"/>
      <c r="K15" s="11">
        <f>VLOOKUP(A15,TB!TB1_1,4,FALSE)*-1</f>
        <v>0</v>
      </c>
      <c r="L15" s="17">
        <f t="shared" ref="L15" si="22">IF(K$160,K15/K$160,0)</f>
        <v>0</v>
      </c>
      <c r="N15" s="11">
        <f>VLOOKUP(A15,TB!TB,4,FALSE)*-1</f>
        <v>0</v>
      </c>
      <c r="O15" s="17">
        <f t="shared" ref="O15" si="23">IF(N$160,N15/N$160,0)</f>
        <v>0</v>
      </c>
    </row>
    <row r="16" spans="1:16" x14ac:dyDescent="0.25">
      <c r="A16" s="123" t="s">
        <v>1269</v>
      </c>
      <c r="C16" s="5" t="s">
        <v>1835</v>
      </c>
      <c r="E16" s="11">
        <f>VLOOKUP(A16,TB!TB1_1,5,FALSE)*-1</f>
        <v>0</v>
      </c>
      <c r="F16" s="17">
        <f t="shared" ref="F16" si="24">IF(E$160,E16/E$160,0)</f>
        <v>0</v>
      </c>
      <c r="G16" s="17"/>
      <c r="H16" s="11">
        <f>VLOOKUP(A16,TB!TB,5,FALSE)*-1</f>
        <v>0</v>
      </c>
      <c r="I16" s="17">
        <f t="shared" ref="I16" si="25">IF(H$160,H16/H$160,0)</f>
        <v>0</v>
      </c>
      <c r="J16" s="17"/>
      <c r="K16" s="11">
        <f>VLOOKUP(A16,TB!TB1_1,4,FALSE)*-1</f>
        <v>0</v>
      </c>
      <c r="L16" s="17">
        <f t="shared" ref="L16" si="26">IF(K$160,K16/K$160,0)</f>
        <v>0</v>
      </c>
      <c r="N16" s="11">
        <f>VLOOKUP(A16,TB!TB,4,FALSE)*-1</f>
        <v>0</v>
      </c>
      <c r="O16" s="17">
        <f t="shared" ref="O16" si="27">IF(N$160,N16/N$160,0)</f>
        <v>0</v>
      </c>
    </row>
    <row r="17" spans="1:15" x14ac:dyDescent="0.25">
      <c r="A17" s="123" t="s">
        <v>1493</v>
      </c>
      <c r="C17" s="5" t="s">
        <v>2041</v>
      </c>
      <c r="E17" s="11">
        <f>VLOOKUP(A17,TB!TB1_1,5,FALSE)*-1</f>
        <v>0</v>
      </c>
      <c r="F17" s="17">
        <f t="shared" ref="F17" si="28">IF(E$160,E17/E$160,0)</f>
        <v>0</v>
      </c>
      <c r="G17" s="17"/>
      <c r="H17" s="11">
        <f>VLOOKUP(A17,TB!TB,5,FALSE)*-1</f>
        <v>0</v>
      </c>
      <c r="I17" s="17">
        <f t="shared" ref="I17" si="29">IF(H$160,H17/H$160,0)</f>
        <v>0</v>
      </c>
      <c r="J17" s="17"/>
      <c r="K17" s="11">
        <f>VLOOKUP(A17,TB!TB1_1,4,FALSE)*-1</f>
        <v>0</v>
      </c>
      <c r="L17" s="17">
        <f t="shared" ref="L17" si="30">IF(K$160,K17/K$160,0)</f>
        <v>0</v>
      </c>
      <c r="N17" s="11">
        <f>VLOOKUP(A17,TB!TB,4,FALSE)*-1</f>
        <v>0</v>
      </c>
      <c r="O17" s="17">
        <f t="shared" ref="O17" si="31">IF(N$160,N17/N$160,0)</f>
        <v>0</v>
      </c>
    </row>
    <row r="18" spans="1:15" x14ac:dyDescent="0.25">
      <c r="A18" s="123" t="s">
        <v>1271</v>
      </c>
      <c r="C18" s="5" t="s">
        <v>1836</v>
      </c>
      <c r="E18" s="11">
        <f>VLOOKUP(A18,TB!TB1_1,5,FALSE)*-1</f>
        <v>0</v>
      </c>
      <c r="F18" s="17">
        <f t="shared" ref="F18:F19" si="32">IF(E$160,E18/E$160,0)</f>
        <v>0</v>
      </c>
      <c r="G18" s="17"/>
      <c r="H18" s="11">
        <f>VLOOKUP(A18,TB!TB,5,FALSE)*-1</f>
        <v>0</v>
      </c>
      <c r="I18" s="17">
        <f t="shared" ref="I18:I19" si="33">IF(H$160,H18/H$160,0)</f>
        <v>0</v>
      </c>
      <c r="J18" s="17"/>
      <c r="K18" s="11">
        <f>VLOOKUP(A18,TB!TB1_1,4,FALSE)*-1</f>
        <v>0</v>
      </c>
      <c r="L18" s="17">
        <f t="shared" ref="L18:L19" si="34">IF(K$160,K18/K$160,0)</f>
        <v>0</v>
      </c>
      <c r="N18" s="11">
        <f>VLOOKUP(A18,TB!TB,4,FALSE)*-1</f>
        <v>0</v>
      </c>
      <c r="O18" s="17">
        <f t="shared" ref="O18:O19" si="35">IF(N$160,N18/N$160,0)</f>
        <v>0</v>
      </c>
    </row>
    <row r="19" spans="1:15" x14ac:dyDescent="0.25">
      <c r="A19" s="123" t="s">
        <v>1398</v>
      </c>
      <c r="C19" s="5" t="s">
        <v>1837</v>
      </c>
      <c r="E19" s="11">
        <f>VLOOKUP(A19,TB!TB1_1,5,FALSE)*-1</f>
        <v>0</v>
      </c>
      <c r="F19" s="17">
        <f t="shared" si="32"/>
        <v>0</v>
      </c>
      <c r="G19" s="17"/>
      <c r="H19" s="11">
        <f>VLOOKUP(A19,TB!TB,5,FALSE)*-1</f>
        <v>0</v>
      </c>
      <c r="I19" s="17">
        <f t="shared" si="33"/>
        <v>0</v>
      </c>
      <c r="J19" s="17"/>
      <c r="K19" s="11">
        <f>VLOOKUP(A19,TB!TB1_1,4,FALSE)*-1</f>
        <v>0</v>
      </c>
      <c r="L19" s="17">
        <f t="shared" si="34"/>
        <v>0</v>
      </c>
      <c r="N19" s="11">
        <f>VLOOKUP(A19,TB!TB,4,FALSE)*-1</f>
        <v>0</v>
      </c>
      <c r="O19" s="17">
        <f t="shared" si="35"/>
        <v>0</v>
      </c>
    </row>
    <row r="20" spans="1:15" x14ac:dyDescent="0.25">
      <c r="A20" s="122" t="s">
        <v>186</v>
      </c>
      <c r="C20" s="5" t="s">
        <v>1838</v>
      </c>
      <c r="E20" s="11">
        <f>VLOOKUP(A20,TB!TB1_1,5,FALSE)*-1</f>
        <v>18200</v>
      </c>
      <c r="F20" s="17">
        <f t="shared" ref="F20:F54" si="36">IF(E$160,E20/E$160,0)</f>
        <v>6.1522546804925419E-3</v>
      </c>
      <c r="G20" s="17"/>
      <c r="H20" s="11">
        <f>VLOOKUP(A20,TB!TB,5,FALSE)*-1</f>
        <v>550</v>
      </c>
      <c r="I20" s="17">
        <f t="shared" ref="I20:I54" si="37">IF(H$160,H20/H$160,0)</f>
        <v>2.4953802684810479E-4</v>
      </c>
      <c r="J20" s="17"/>
      <c r="K20" s="11">
        <f>VLOOKUP(A20,TB!TB1_1,4,FALSE)*-1</f>
        <v>18200</v>
      </c>
      <c r="L20" s="17">
        <f t="shared" ref="L20:L54" si="38">IF(K$160,K20/K$160,0)</f>
        <v>6.1522546804925419E-3</v>
      </c>
      <c r="N20" s="11">
        <f>VLOOKUP(A20,TB!TB,4,FALSE)*-1</f>
        <v>550</v>
      </c>
      <c r="O20" s="17">
        <f t="shared" ref="O20:O54" si="39">IF(N$160,N20/N$160,0)</f>
        <v>2.4953802684810479E-4</v>
      </c>
    </row>
    <row r="21" spans="1:15" x14ac:dyDescent="0.25">
      <c r="A21" s="122" t="s">
        <v>760</v>
      </c>
      <c r="C21" s="5" t="s">
        <v>1839</v>
      </c>
      <c r="E21" s="11">
        <f>VLOOKUP(A21,TB!TB1_1,5,FALSE)*-1</f>
        <v>0</v>
      </c>
      <c r="F21" s="17">
        <f t="shared" si="36"/>
        <v>0</v>
      </c>
      <c r="G21" s="17"/>
      <c r="H21" s="11">
        <f>VLOOKUP(A21,TB!TB,5,FALSE)*-1</f>
        <v>0</v>
      </c>
      <c r="I21" s="17">
        <f t="shared" si="37"/>
        <v>0</v>
      </c>
      <c r="J21" s="17"/>
      <c r="K21" s="11">
        <f>VLOOKUP(A21,TB!TB1_1,4,FALSE)*-1</f>
        <v>0</v>
      </c>
      <c r="L21" s="17">
        <f t="shared" si="38"/>
        <v>0</v>
      </c>
      <c r="N21" s="11">
        <f>VLOOKUP(A21,TB!TB,4,FALSE)*-1</f>
        <v>0</v>
      </c>
      <c r="O21" s="17">
        <f t="shared" si="39"/>
        <v>0</v>
      </c>
    </row>
    <row r="22" spans="1:15" x14ac:dyDescent="0.25">
      <c r="A22" s="122" t="s">
        <v>187</v>
      </c>
      <c r="C22" s="5" t="s">
        <v>1486</v>
      </c>
      <c r="E22" s="11">
        <f>VLOOKUP(A22,TB!TB1_1,5,FALSE)*-1</f>
        <v>0</v>
      </c>
      <c r="F22" s="17">
        <f t="shared" si="36"/>
        <v>0</v>
      </c>
      <c r="G22" s="17"/>
      <c r="H22" s="11">
        <f>VLOOKUP(A22,TB!TB,5,FALSE)*-1</f>
        <v>0</v>
      </c>
      <c r="I22" s="17">
        <f t="shared" si="37"/>
        <v>0</v>
      </c>
      <c r="J22" s="17"/>
      <c r="K22" s="11">
        <f>VLOOKUP(A22,TB!TB1_1,4,FALSE)*-1</f>
        <v>0</v>
      </c>
      <c r="L22" s="17">
        <f t="shared" si="38"/>
        <v>0</v>
      </c>
      <c r="N22" s="11">
        <f>VLOOKUP(A22,TB!TB,4,FALSE)*-1</f>
        <v>0</v>
      </c>
      <c r="O22" s="17">
        <f t="shared" si="39"/>
        <v>0</v>
      </c>
    </row>
    <row r="23" spans="1:15" x14ac:dyDescent="0.25">
      <c r="A23" s="123" t="s">
        <v>1399</v>
      </c>
      <c r="C23" s="5" t="s">
        <v>1441</v>
      </c>
      <c r="E23" s="11">
        <f>VLOOKUP(A23,TB!TB1_1,5,FALSE)*-1</f>
        <v>0</v>
      </c>
      <c r="F23" s="17">
        <f t="shared" ref="F23" si="40">IF(E$160,E23/E$160,0)</f>
        <v>0</v>
      </c>
      <c r="G23" s="17"/>
      <c r="H23" s="11">
        <f>VLOOKUP(A23,TB!TB,5,FALSE)*-1</f>
        <v>0</v>
      </c>
      <c r="I23" s="17">
        <f t="shared" ref="I23" si="41">IF(H$160,H23/H$160,0)</f>
        <v>0</v>
      </c>
      <c r="J23" s="17"/>
      <c r="K23" s="11">
        <f>VLOOKUP(A23,TB!TB1_1,4,FALSE)*-1</f>
        <v>0</v>
      </c>
      <c r="L23" s="17">
        <f t="shared" ref="L23" si="42">IF(K$160,K23/K$160,0)</f>
        <v>0</v>
      </c>
      <c r="N23" s="11">
        <f>VLOOKUP(A23,TB!TB,4,FALSE)*-1</f>
        <v>0</v>
      </c>
      <c r="O23" s="17">
        <f t="shared" ref="O23" si="43">IF(N$160,N23/N$160,0)</f>
        <v>0</v>
      </c>
    </row>
    <row r="24" spans="1:15" x14ac:dyDescent="0.25">
      <c r="A24" s="122" t="s">
        <v>188</v>
      </c>
      <c r="C24" s="5" t="s">
        <v>1840</v>
      </c>
      <c r="E24" s="11">
        <f>VLOOKUP(A24,TB!TB1_1,5,FALSE)*-1</f>
        <v>42300</v>
      </c>
      <c r="F24" s="17">
        <f t="shared" si="36"/>
        <v>1.4298921592573326E-2</v>
      </c>
      <c r="G24" s="17"/>
      <c r="H24" s="11">
        <f>VLOOKUP(A24,TB!TB,5,FALSE)*-1</f>
        <v>23275</v>
      </c>
      <c r="I24" s="17">
        <f t="shared" si="37"/>
        <v>1.0559995590708436E-2</v>
      </c>
      <c r="J24" s="17"/>
      <c r="K24" s="11">
        <f>VLOOKUP(A24,TB!TB1_1,4,FALSE)*-1</f>
        <v>42300</v>
      </c>
      <c r="L24" s="17">
        <f t="shared" si="38"/>
        <v>1.4298921592573326E-2</v>
      </c>
      <c r="N24" s="11">
        <f>VLOOKUP(A24,TB!TB,4,FALSE)*-1</f>
        <v>23275</v>
      </c>
      <c r="O24" s="17">
        <f t="shared" si="39"/>
        <v>1.0559995590708436E-2</v>
      </c>
    </row>
    <row r="25" spans="1:15" x14ac:dyDescent="0.25">
      <c r="A25" s="122" t="s">
        <v>190</v>
      </c>
      <c r="C25" s="5" t="s">
        <v>1841</v>
      </c>
      <c r="E25" s="11">
        <f>VLOOKUP(A25,TB!TB1_1,5,FALSE)*-1</f>
        <v>3336.25</v>
      </c>
      <c r="F25" s="17">
        <f t="shared" si="36"/>
        <v>1.1277725097688595E-3</v>
      </c>
      <c r="G25" s="17"/>
      <c r="H25" s="11">
        <f>VLOOKUP(A25,TB!TB,5,FALSE)*-1</f>
        <v>10760</v>
      </c>
      <c r="I25" s="17">
        <f t="shared" si="37"/>
        <v>4.8818712161556501E-3</v>
      </c>
      <c r="J25" s="17"/>
      <c r="K25" s="11">
        <f>VLOOKUP(A25,TB!TB1_1,4,FALSE)*-1</f>
        <v>3336.25</v>
      </c>
      <c r="L25" s="17">
        <f t="shared" si="38"/>
        <v>1.1277725097688595E-3</v>
      </c>
      <c r="N25" s="11">
        <f>VLOOKUP(A25,TB!TB,4,FALSE)*-1</f>
        <v>10760</v>
      </c>
      <c r="O25" s="17">
        <f t="shared" si="39"/>
        <v>4.8818712161556501E-3</v>
      </c>
    </row>
    <row r="26" spans="1:15" x14ac:dyDescent="0.25">
      <c r="A26" s="122" t="s">
        <v>761</v>
      </c>
      <c r="C26" s="5" t="s">
        <v>1842</v>
      </c>
      <c r="E26" s="11">
        <f>VLOOKUP(A26,TB!TB1_1,5,FALSE)*-1</f>
        <v>0</v>
      </c>
      <c r="F26" s="17">
        <f t="shared" si="36"/>
        <v>0</v>
      </c>
      <c r="G26" s="17"/>
      <c r="H26" s="11">
        <f>VLOOKUP(A26,TB!TB,5,FALSE)*-1</f>
        <v>173.76</v>
      </c>
      <c r="I26" s="17">
        <f t="shared" si="37"/>
        <v>7.8835868263866715E-5</v>
      </c>
      <c r="J26" s="17"/>
      <c r="K26" s="11">
        <f>VLOOKUP(A26,TB!TB1_1,4,FALSE)*-1</f>
        <v>0</v>
      </c>
      <c r="L26" s="17">
        <f t="shared" si="38"/>
        <v>0</v>
      </c>
      <c r="N26" s="11">
        <f>VLOOKUP(A26,TB!TB,4,FALSE)*-1</f>
        <v>173.76</v>
      </c>
      <c r="O26" s="17">
        <f t="shared" si="39"/>
        <v>7.8835868263866715E-5</v>
      </c>
    </row>
    <row r="27" spans="1:15" x14ac:dyDescent="0.25">
      <c r="A27" s="122" t="s">
        <v>191</v>
      </c>
      <c r="C27" s="5" t="s">
        <v>1843</v>
      </c>
      <c r="E27" s="11">
        <f>VLOOKUP(A27,TB!TB1_1,5,FALSE)*-1</f>
        <v>5898</v>
      </c>
      <c r="F27" s="17">
        <f t="shared" si="36"/>
        <v>1.9937361596453302E-3</v>
      </c>
      <c r="G27" s="17"/>
      <c r="H27" s="11">
        <f>VLOOKUP(A27,TB!TB,5,FALSE)*-1</f>
        <v>0</v>
      </c>
      <c r="I27" s="17">
        <f t="shared" si="37"/>
        <v>0</v>
      </c>
      <c r="J27" s="17"/>
      <c r="K27" s="11">
        <f>VLOOKUP(A27,TB!TB1_1,4,FALSE)*-1</f>
        <v>5898</v>
      </c>
      <c r="L27" s="17">
        <f t="shared" si="38"/>
        <v>1.9937361596453302E-3</v>
      </c>
      <c r="N27" s="11">
        <f>VLOOKUP(A27,TB!TB,4,FALSE)*-1</f>
        <v>0</v>
      </c>
      <c r="O27" s="17">
        <f t="shared" si="39"/>
        <v>0</v>
      </c>
    </row>
    <row r="28" spans="1:15" x14ac:dyDescent="0.25">
      <c r="A28" s="123" t="s">
        <v>1402</v>
      </c>
      <c r="C28" s="5" t="s">
        <v>1844</v>
      </c>
      <c r="E28" s="11">
        <f>VLOOKUP(A28,TB!TB1_1,5,FALSE)*-1</f>
        <v>5600.17</v>
      </c>
      <c r="F28" s="17">
        <f t="shared" ref="F28" si="44">IF(E$160,E28/E$160,0)</f>
        <v>1.8930589062666988E-3</v>
      </c>
      <c r="G28" s="17"/>
      <c r="H28" s="11">
        <f>VLOOKUP(A28,TB!TB,5,FALSE)*-1</f>
        <v>7713.69</v>
      </c>
      <c r="I28" s="17">
        <f t="shared" ref="I28" si="45">IF(H$160,H28/H$160,0)</f>
        <v>3.4997436042144684E-3</v>
      </c>
      <c r="J28" s="17"/>
      <c r="K28" s="11">
        <f>VLOOKUP(A28,TB!TB1_1,4,FALSE)*-1</f>
        <v>5600.17</v>
      </c>
      <c r="L28" s="17">
        <f t="shared" ref="L28" si="46">IF(K$160,K28/K$160,0)</f>
        <v>1.8930589062666988E-3</v>
      </c>
      <c r="N28" s="11">
        <f>VLOOKUP(A28,TB!TB,4,FALSE)*-1</f>
        <v>7713.69</v>
      </c>
      <c r="O28" s="17">
        <f t="shared" ref="O28" si="47">IF(N$160,N28/N$160,0)</f>
        <v>3.4997436042144684E-3</v>
      </c>
    </row>
    <row r="29" spans="1:15" x14ac:dyDescent="0.25">
      <c r="A29" s="122" t="s">
        <v>192</v>
      </c>
      <c r="C29" s="5" t="s">
        <v>1845</v>
      </c>
      <c r="E29" s="11">
        <f>VLOOKUP(A29,TB!TB1_1,5,FALSE)*-1</f>
        <v>208035</v>
      </c>
      <c r="F29" s="17">
        <f t="shared" si="36"/>
        <v>7.0323313321772857E-2</v>
      </c>
      <c r="G29" s="17"/>
      <c r="H29" s="11">
        <f>VLOOKUP(A29,TB!TB,5,FALSE)*-1</f>
        <v>221925</v>
      </c>
      <c r="I29" s="17">
        <f t="shared" si="37"/>
        <v>0.1006885938332103</v>
      </c>
      <c r="J29" s="17"/>
      <c r="K29" s="11">
        <f>VLOOKUP(A29,TB!TB1_1,4,FALSE)*-1</f>
        <v>208035</v>
      </c>
      <c r="L29" s="17">
        <f t="shared" si="38"/>
        <v>7.0323313321772857E-2</v>
      </c>
      <c r="N29" s="11">
        <f>VLOOKUP(A29,TB!TB,4,FALSE)*-1</f>
        <v>221925</v>
      </c>
      <c r="O29" s="17">
        <f t="shared" si="39"/>
        <v>0.1006885938332103</v>
      </c>
    </row>
    <row r="30" spans="1:15" x14ac:dyDescent="0.25">
      <c r="A30" s="122" t="s">
        <v>762</v>
      </c>
      <c r="C30" s="5" t="s">
        <v>1846</v>
      </c>
      <c r="E30" s="11">
        <f>VLOOKUP(A30,TB!TB1_1,5,FALSE)*-1</f>
        <v>0</v>
      </c>
      <c r="F30" s="17">
        <f t="shared" si="36"/>
        <v>0</v>
      </c>
      <c r="G30" s="17"/>
      <c r="H30" s="11">
        <f>VLOOKUP(A30,TB!TB,5,FALSE)*-1</f>
        <v>0</v>
      </c>
      <c r="I30" s="17">
        <f t="shared" si="37"/>
        <v>0</v>
      </c>
      <c r="J30" s="17"/>
      <c r="K30" s="11">
        <f>VLOOKUP(A30,TB!TB1_1,4,FALSE)*-1</f>
        <v>0</v>
      </c>
      <c r="L30" s="17">
        <f t="shared" si="38"/>
        <v>0</v>
      </c>
      <c r="N30" s="11">
        <f>VLOOKUP(A30,TB!TB,4,FALSE)*-1</f>
        <v>0</v>
      </c>
      <c r="O30" s="17">
        <f t="shared" si="39"/>
        <v>0</v>
      </c>
    </row>
    <row r="31" spans="1:15" x14ac:dyDescent="0.25">
      <c r="A31" s="122" t="s">
        <v>194</v>
      </c>
      <c r="C31" s="5" t="s">
        <v>1847</v>
      </c>
      <c r="E31" s="11">
        <f>VLOOKUP(A31,TB!TB1_1,5,FALSE)*-1</f>
        <v>764622.72</v>
      </c>
      <c r="F31" s="17">
        <f t="shared" si="36"/>
        <v>0.25846998395224935</v>
      </c>
      <c r="G31" s="17"/>
      <c r="H31" s="11">
        <f>VLOOKUP(A31,TB!TB,5,FALSE)*-1</f>
        <v>0</v>
      </c>
      <c r="I31" s="17">
        <f t="shared" si="37"/>
        <v>0</v>
      </c>
      <c r="J31" s="17"/>
      <c r="K31" s="11">
        <f>VLOOKUP(A31,TB!TB1_1,4,FALSE)*-1</f>
        <v>764622.72</v>
      </c>
      <c r="L31" s="17">
        <f t="shared" si="38"/>
        <v>0.25846998395224935</v>
      </c>
      <c r="N31" s="11">
        <f>VLOOKUP(A31,TB!TB,4,FALSE)*-1</f>
        <v>0</v>
      </c>
      <c r="O31" s="17">
        <f t="shared" si="39"/>
        <v>0</v>
      </c>
    </row>
    <row r="32" spans="1:15" x14ac:dyDescent="0.25">
      <c r="A32" s="123" t="s">
        <v>1397</v>
      </c>
      <c r="C32" s="5" t="s">
        <v>1848</v>
      </c>
      <c r="E32" s="11">
        <f>VLOOKUP(A32,TB!TB1_1,5,FALSE)*-1</f>
        <v>0</v>
      </c>
      <c r="F32" s="17">
        <f t="shared" ref="F32" si="48">IF(E$160,E32/E$160,0)</f>
        <v>0</v>
      </c>
      <c r="G32" s="17"/>
      <c r="H32" s="11">
        <f>VLOOKUP(A32,TB!TB,5,FALSE)*-1</f>
        <v>0</v>
      </c>
      <c r="I32" s="17">
        <f t="shared" ref="I32" si="49">IF(H$160,H32/H$160,0)</f>
        <v>0</v>
      </c>
      <c r="J32" s="17"/>
      <c r="K32" s="11">
        <f>VLOOKUP(A32,TB!TB1_1,4,FALSE)*-1</f>
        <v>0</v>
      </c>
      <c r="L32" s="17">
        <f t="shared" ref="L32" si="50">IF(K$160,K32/K$160,0)</f>
        <v>0</v>
      </c>
      <c r="N32" s="11">
        <f>VLOOKUP(A32,TB!TB,4,FALSE)*-1</f>
        <v>0</v>
      </c>
      <c r="O32" s="17">
        <f t="shared" ref="O32" si="51">IF(N$160,N32/N$160,0)</f>
        <v>0</v>
      </c>
    </row>
    <row r="33" spans="1:15" x14ac:dyDescent="0.25">
      <c r="A33" s="122" t="s">
        <v>196</v>
      </c>
      <c r="C33" s="5" t="s">
        <v>1298</v>
      </c>
      <c r="E33" s="11">
        <f>VLOOKUP(A33,TB!TB1_1,5,FALSE)*-1</f>
        <v>314340.7</v>
      </c>
      <c r="F33" s="17">
        <f t="shared" si="36"/>
        <v>0.10625846389254408</v>
      </c>
      <c r="G33" s="17"/>
      <c r="H33" s="11">
        <f>VLOOKUP(A33,TB!TB,5,FALSE)*-1</f>
        <v>319444.63</v>
      </c>
      <c r="I33" s="17">
        <f t="shared" si="37"/>
        <v>0.14493378664985984</v>
      </c>
      <c r="J33" s="17"/>
      <c r="K33" s="11">
        <f>VLOOKUP(A33,TB!TB1_1,4,FALSE)*-1</f>
        <v>314340.7</v>
      </c>
      <c r="L33" s="17">
        <f t="shared" si="38"/>
        <v>0.10625846389254408</v>
      </c>
      <c r="N33" s="11">
        <f>VLOOKUP(A33,TB!TB,4,FALSE)*-1</f>
        <v>319444.63</v>
      </c>
      <c r="O33" s="17">
        <f t="shared" si="39"/>
        <v>0.14493378664985984</v>
      </c>
    </row>
    <row r="34" spans="1:15" x14ac:dyDescent="0.25">
      <c r="A34" s="122" t="s">
        <v>1023</v>
      </c>
      <c r="C34" s="5" t="s">
        <v>1849</v>
      </c>
      <c r="E34" s="11">
        <f>VLOOKUP(A34,TB!TB1_1,5,FALSE)*-1</f>
        <v>67512.98</v>
      </c>
      <c r="F34" s="17">
        <f t="shared" si="36"/>
        <v>2.28218157801648E-2</v>
      </c>
      <c r="G34" s="17"/>
      <c r="H34" s="11">
        <f>VLOOKUP(A34,TB!TB,5,FALSE)*-1</f>
        <v>25150.94</v>
      </c>
      <c r="I34" s="17">
        <f t="shared" si="37"/>
        <v>1.141111989268195E-2</v>
      </c>
      <c r="J34" s="17"/>
      <c r="K34" s="11">
        <f>VLOOKUP(A34,TB!TB1_1,4,FALSE)*-1</f>
        <v>67512.98</v>
      </c>
      <c r="L34" s="17">
        <f t="shared" si="38"/>
        <v>2.28218157801648E-2</v>
      </c>
      <c r="N34" s="11">
        <f>VLOOKUP(A34,TB!TB,4,FALSE)*-1</f>
        <v>25150.94</v>
      </c>
      <c r="O34" s="17">
        <f t="shared" si="39"/>
        <v>1.141111989268195E-2</v>
      </c>
    </row>
    <row r="35" spans="1:15" x14ac:dyDescent="0.25">
      <c r="A35" s="122" t="s">
        <v>764</v>
      </c>
      <c r="C35" s="5" t="s">
        <v>1850</v>
      </c>
      <c r="E35" s="11">
        <f>VLOOKUP(A35,TB!TB1_1,5,FALSE)*-1</f>
        <v>0</v>
      </c>
      <c r="F35" s="17">
        <f t="shared" si="36"/>
        <v>0</v>
      </c>
      <c r="G35" s="17"/>
      <c r="H35" s="11">
        <f>VLOOKUP(A35,TB!TB,5,FALSE)*-1</f>
        <v>0</v>
      </c>
      <c r="I35" s="17">
        <f t="shared" si="37"/>
        <v>0</v>
      </c>
      <c r="J35" s="17"/>
      <c r="K35" s="11">
        <f>VLOOKUP(A35,TB!TB1_1,4,FALSE)*-1</f>
        <v>0</v>
      </c>
      <c r="L35" s="17">
        <f t="shared" si="38"/>
        <v>0</v>
      </c>
      <c r="N35" s="11">
        <f>VLOOKUP(A35,TB!TB,4,FALSE)*-1</f>
        <v>0</v>
      </c>
      <c r="O35" s="17">
        <f t="shared" si="39"/>
        <v>0</v>
      </c>
    </row>
    <row r="36" spans="1:15" x14ac:dyDescent="0.25">
      <c r="A36" s="122" t="s">
        <v>197</v>
      </c>
      <c r="C36" s="5" t="s">
        <v>1851</v>
      </c>
      <c r="E36" s="11">
        <f>VLOOKUP(A36,TB!TB1_1,5,FALSE)*-1</f>
        <v>0</v>
      </c>
      <c r="F36" s="17">
        <f t="shared" si="36"/>
        <v>0</v>
      </c>
      <c r="G36" s="17"/>
      <c r="H36" s="11">
        <f>VLOOKUP(A36,TB!TB,5,FALSE)*-1</f>
        <v>0</v>
      </c>
      <c r="I36" s="17">
        <f t="shared" si="37"/>
        <v>0</v>
      </c>
      <c r="J36" s="17"/>
      <c r="K36" s="11">
        <f>VLOOKUP(A36,TB!TB1_1,4,FALSE)*-1</f>
        <v>0</v>
      </c>
      <c r="L36" s="17">
        <f t="shared" si="38"/>
        <v>0</v>
      </c>
      <c r="N36" s="11">
        <f>VLOOKUP(A36,TB!TB,4,FALSE)*-1</f>
        <v>0</v>
      </c>
      <c r="O36" s="17">
        <f t="shared" si="39"/>
        <v>0</v>
      </c>
    </row>
    <row r="37" spans="1:15" x14ac:dyDescent="0.25">
      <c r="A37" s="123" t="s">
        <v>1245</v>
      </c>
      <c r="C37" s="5" t="s">
        <v>1852</v>
      </c>
      <c r="E37" s="11">
        <f>VLOOKUP(A37,TB!TB1_1,5,FALSE)*-1</f>
        <v>0</v>
      </c>
      <c r="F37" s="17">
        <f t="shared" si="36"/>
        <v>0</v>
      </c>
      <c r="G37" s="17"/>
      <c r="H37" s="11">
        <f>VLOOKUP(A37,TB!TB,5,FALSE)*-1</f>
        <v>18495.95</v>
      </c>
      <c r="I37" s="17">
        <f t="shared" si="37"/>
        <v>8.3917143048749167E-3</v>
      </c>
      <c r="J37" s="17"/>
      <c r="K37" s="11">
        <f>VLOOKUP(A37,TB!TB1_1,4,FALSE)*-1</f>
        <v>0</v>
      </c>
      <c r="L37" s="17">
        <f t="shared" si="38"/>
        <v>0</v>
      </c>
      <c r="N37" s="11">
        <f>VLOOKUP(A37,TB!TB,4,FALSE)*-1</f>
        <v>18495.95</v>
      </c>
      <c r="O37" s="17">
        <f t="shared" si="39"/>
        <v>8.3917143048749167E-3</v>
      </c>
    </row>
    <row r="38" spans="1:15" x14ac:dyDescent="0.25">
      <c r="A38" s="123" t="s">
        <v>1497</v>
      </c>
      <c r="C38" s="5" t="s">
        <v>2045</v>
      </c>
      <c r="E38" s="11">
        <f>VLOOKUP(A38,TB!TB1_1,5,FALSE)*-1</f>
        <v>0</v>
      </c>
      <c r="F38" s="17">
        <f t="shared" ref="F38" si="52">IF(E$160,E38/E$160,0)</f>
        <v>0</v>
      </c>
      <c r="G38" s="17"/>
      <c r="H38" s="11">
        <f>VLOOKUP(A38,TB!TB,5,FALSE)*-1</f>
        <v>0</v>
      </c>
      <c r="I38" s="17">
        <f t="shared" ref="I38" si="53">IF(H$160,H38/H$160,0)</f>
        <v>0</v>
      </c>
      <c r="J38" s="17"/>
      <c r="K38" s="11">
        <f>VLOOKUP(A38,TB!TB1_1,4,FALSE)*-1</f>
        <v>0</v>
      </c>
      <c r="L38" s="17">
        <f t="shared" ref="L38" si="54">IF(K$160,K38/K$160,0)</f>
        <v>0</v>
      </c>
      <c r="N38" s="11">
        <f>VLOOKUP(A38,TB!TB,4,FALSE)*-1</f>
        <v>0</v>
      </c>
      <c r="O38" s="17">
        <f t="shared" ref="O38" si="55">IF(N$160,N38/N$160,0)</f>
        <v>0</v>
      </c>
    </row>
    <row r="39" spans="1:15" x14ac:dyDescent="0.25">
      <c r="A39" s="123" t="s">
        <v>1383</v>
      </c>
      <c r="C39" s="5" t="s">
        <v>2043</v>
      </c>
      <c r="E39" s="11">
        <f>VLOOKUP(A39,TB!TB1_1,5,FALSE)*-1</f>
        <v>0</v>
      </c>
      <c r="F39" s="17">
        <f t="shared" ref="F39" si="56">IF(E$160,E39/E$160,0)</f>
        <v>0</v>
      </c>
      <c r="G39" s="17"/>
      <c r="H39" s="11">
        <f>VLOOKUP(A39,TB!TB,5,FALSE)*-1</f>
        <v>0</v>
      </c>
      <c r="I39" s="17">
        <f t="shared" ref="I39" si="57">IF(H$160,H39/H$160,0)</f>
        <v>0</v>
      </c>
      <c r="J39" s="17"/>
      <c r="K39" s="11">
        <f>VLOOKUP(A39,TB!TB1_1,4,FALSE)*-1</f>
        <v>0</v>
      </c>
      <c r="L39" s="17">
        <f t="shared" ref="L39" si="58">IF(K$160,K39/K$160,0)</f>
        <v>0</v>
      </c>
      <c r="N39" s="11">
        <f>VLOOKUP(A39,TB!TB,4,FALSE)*-1</f>
        <v>0</v>
      </c>
      <c r="O39" s="17">
        <f t="shared" ref="O39" si="59">IF(N$160,N39/N$160,0)</f>
        <v>0</v>
      </c>
    </row>
    <row r="40" spans="1:15" x14ac:dyDescent="0.25">
      <c r="A40" s="123" t="s">
        <v>1495</v>
      </c>
      <c r="C40" s="5" t="s">
        <v>2044</v>
      </c>
      <c r="E40" s="11">
        <f>VLOOKUP(A40,TB!TB1_1,5,FALSE)*-1</f>
        <v>0</v>
      </c>
      <c r="F40" s="17">
        <f t="shared" ref="F40" si="60">IF(E$160,E40/E$160,0)</f>
        <v>0</v>
      </c>
      <c r="G40" s="17"/>
      <c r="H40" s="11">
        <f>VLOOKUP(A40,TB!TB,5,FALSE)*-1</f>
        <v>0</v>
      </c>
      <c r="I40" s="17">
        <f t="shared" ref="I40" si="61">IF(H$160,H40/H$160,0)</f>
        <v>0</v>
      </c>
      <c r="J40" s="17"/>
      <c r="K40" s="11">
        <f>VLOOKUP(A40,TB!TB1_1,4,FALSE)*-1</f>
        <v>0</v>
      </c>
      <c r="L40" s="17">
        <f t="shared" ref="L40" si="62">IF(K$160,K40/K$160,0)</f>
        <v>0</v>
      </c>
      <c r="N40" s="11">
        <f>VLOOKUP(A40,TB!TB,4,FALSE)*-1</f>
        <v>0</v>
      </c>
      <c r="O40" s="17">
        <f t="shared" ref="O40" si="63">IF(N$160,N40/N$160,0)</f>
        <v>0</v>
      </c>
    </row>
    <row r="41" spans="1:15" x14ac:dyDescent="0.25">
      <c r="A41" s="122" t="s">
        <v>198</v>
      </c>
      <c r="C41" s="5" t="s">
        <v>1853</v>
      </c>
      <c r="E41" s="11">
        <f>VLOOKUP(A41,TB!TB1_1,5,FALSE)*-1</f>
        <v>136717.10999999999</v>
      </c>
      <c r="F41" s="17">
        <f t="shared" si="36"/>
        <v>4.6215301093456791E-2</v>
      </c>
      <c r="G41" s="17"/>
      <c r="H41" s="11">
        <f>VLOOKUP(A41,TB!TB,5,FALSE)*-1</f>
        <v>132129.07</v>
      </c>
      <c r="I41" s="17">
        <f t="shared" si="37"/>
        <v>5.9947686212863859E-2</v>
      </c>
      <c r="J41" s="17"/>
      <c r="K41" s="11">
        <f>VLOOKUP(A41,TB!TB1_1,4,FALSE)*-1</f>
        <v>136717.10999999999</v>
      </c>
      <c r="L41" s="17">
        <f t="shared" si="38"/>
        <v>4.6215301093456791E-2</v>
      </c>
      <c r="N41" s="11">
        <f>VLOOKUP(A41,TB!TB,4,FALSE)*-1</f>
        <v>132129.07</v>
      </c>
      <c r="O41" s="17">
        <f t="shared" si="39"/>
        <v>5.9947686212863859E-2</v>
      </c>
    </row>
    <row r="42" spans="1:15" x14ac:dyDescent="0.25">
      <c r="A42" s="122" t="s">
        <v>765</v>
      </c>
      <c r="C42" s="5" t="s">
        <v>1854</v>
      </c>
      <c r="E42" s="11">
        <f>VLOOKUP(A42,TB!TB1_1,5,FALSE)*-1</f>
        <v>0</v>
      </c>
      <c r="F42" s="17">
        <f t="shared" si="36"/>
        <v>0</v>
      </c>
      <c r="G42" s="17"/>
      <c r="H42" s="11">
        <f>VLOOKUP(A42,TB!TB,5,FALSE)*-1</f>
        <v>0</v>
      </c>
      <c r="I42" s="17">
        <f t="shared" si="37"/>
        <v>0</v>
      </c>
      <c r="J42" s="17"/>
      <c r="K42" s="11">
        <f>VLOOKUP(A42,TB!TB1_1,4,FALSE)*-1</f>
        <v>0</v>
      </c>
      <c r="L42" s="17">
        <f t="shared" si="38"/>
        <v>0</v>
      </c>
      <c r="N42" s="11">
        <f>VLOOKUP(A42,TB!TB,4,FALSE)*-1</f>
        <v>0</v>
      </c>
      <c r="O42" s="17">
        <f t="shared" si="39"/>
        <v>0</v>
      </c>
    </row>
    <row r="43" spans="1:15" x14ac:dyDescent="0.25">
      <c r="A43" s="122" t="s">
        <v>200</v>
      </c>
      <c r="C43" s="5" t="s">
        <v>1855</v>
      </c>
      <c r="E43" s="11">
        <f>VLOOKUP(A43,TB!TB1_1,5,FALSE)*-1</f>
        <v>51636.03</v>
      </c>
      <c r="F43" s="17">
        <f t="shared" si="36"/>
        <v>1.7454835563162269E-2</v>
      </c>
      <c r="G43" s="17"/>
      <c r="H43" s="11">
        <f>VLOOKUP(A43,TB!TB,5,FALSE)*-1</f>
        <v>47878.25</v>
      </c>
      <c r="I43" s="17">
        <f t="shared" si="37"/>
        <v>2.1722625516255045E-2</v>
      </c>
      <c r="J43" s="17"/>
      <c r="K43" s="11">
        <f>VLOOKUP(A43,TB!TB1_1,4,FALSE)*-1</f>
        <v>51636.03</v>
      </c>
      <c r="L43" s="17">
        <f t="shared" si="38"/>
        <v>1.7454835563162269E-2</v>
      </c>
      <c r="N43" s="11">
        <f>VLOOKUP(A43,TB!TB,4,FALSE)*-1</f>
        <v>47878.25</v>
      </c>
      <c r="O43" s="17">
        <f t="shared" si="39"/>
        <v>2.1722625516255045E-2</v>
      </c>
    </row>
    <row r="44" spans="1:15" x14ac:dyDescent="0.25">
      <c r="A44" s="122" t="s">
        <v>766</v>
      </c>
      <c r="C44" s="5" t="s">
        <v>1856</v>
      </c>
      <c r="E44" s="11">
        <f>VLOOKUP(A44,TB!TB1_1,5,FALSE)*-1</f>
        <v>0</v>
      </c>
      <c r="F44" s="17">
        <f t="shared" si="36"/>
        <v>0</v>
      </c>
      <c r="G44" s="17"/>
      <c r="H44" s="11">
        <f>VLOOKUP(A44,TB!TB,5,FALSE)*-1</f>
        <v>0</v>
      </c>
      <c r="I44" s="17">
        <f t="shared" si="37"/>
        <v>0</v>
      </c>
      <c r="J44" s="17"/>
      <c r="K44" s="11">
        <f>VLOOKUP(A44,TB!TB1_1,4,FALSE)*-1</f>
        <v>0</v>
      </c>
      <c r="L44" s="17">
        <f t="shared" si="38"/>
        <v>0</v>
      </c>
      <c r="N44" s="11">
        <f>VLOOKUP(A44,TB!TB,4,FALSE)*-1</f>
        <v>0</v>
      </c>
      <c r="O44" s="17">
        <f t="shared" si="39"/>
        <v>0</v>
      </c>
    </row>
    <row r="45" spans="1:15" x14ac:dyDescent="0.25">
      <c r="A45" s="123" t="s">
        <v>2069</v>
      </c>
      <c r="C45" s="5" t="s">
        <v>2085</v>
      </c>
      <c r="E45" s="11">
        <v>0</v>
      </c>
      <c r="F45" s="17">
        <f t="shared" ref="F45" si="64">IF(E$160,E45/E$160,0)</f>
        <v>0</v>
      </c>
      <c r="G45" s="17"/>
      <c r="H45" s="11">
        <f>VLOOKUP(A45,TB!TB,5,FALSE)*-1</f>
        <v>2046.32</v>
      </c>
      <c r="I45" s="17">
        <f t="shared" ref="I45" si="65">IF(H$160,H45/H$160,0)</f>
        <v>9.284266456360251E-4</v>
      </c>
      <c r="J45" s="17"/>
      <c r="K45" s="11">
        <v>0</v>
      </c>
      <c r="L45" s="17">
        <f t="shared" ref="L45" si="66">IF(K$160,K45/K$160,0)</f>
        <v>0</v>
      </c>
      <c r="N45" s="11">
        <f>VLOOKUP(A45,TB!TB,4,FALSE)*-1</f>
        <v>2046.32</v>
      </c>
      <c r="O45" s="17">
        <f t="shared" ref="O45" si="67">IF(N$160,N45/N$160,0)</f>
        <v>9.284266456360251E-4</v>
      </c>
    </row>
    <row r="46" spans="1:15" x14ac:dyDescent="0.25">
      <c r="A46" s="122" t="s">
        <v>202</v>
      </c>
      <c r="C46" s="5" t="s">
        <v>1857</v>
      </c>
      <c r="E46" s="11">
        <f>VLOOKUP(A46,TB!TB1_1,5,FALSE)*-1</f>
        <v>1272.33</v>
      </c>
      <c r="F46" s="17">
        <f t="shared" si="36"/>
        <v>4.3009330756214702E-4</v>
      </c>
      <c r="G46" s="17"/>
      <c r="H46" s="11">
        <f>VLOOKUP(A46,TB!TB,5,FALSE)*-1</f>
        <v>0</v>
      </c>
      <c r="I46" s="17">
        <f t="shared" si="37"/>
        <v>0</v>
      </c>
      <c r="J46" s="17"/>
      <c r="K46" s="11">
        <f>VLOOKUP(A46,TB!TB1_1,4,FALSE)*-1</f>
        <v>1272.33</v>
      </c>
      <c r="L46" s="17">
        <f t="shared" si="38"/>
        <v>4.3009330756214702E-4</v>
      </c>
      <c r="N46" s="11">
        <f>VLOOKUP(A46,TB!TB,4,FALSE)*-1</f>
        <v>0</v>
      </c>
      <c r="O46" s="17">
        <f t="shared" si="39"/>
        <v>0</v>
      </c>
    </row>
    <row r="47" spans="1:15" x14ac:dyDescent="0.25">
      <c r="A47" s="122" t="s">
        <v>767</v>
      </c>
      <c r="C47" s="5" t="s">
        <v>1858</v>
      </c>
      <c r="E47" s="11">
        <f>VLOOKUP(A47,TB!TB1_1,5,FALSE)*-1</f>
        <v>0</v>
      </c>
      <c r="F47" s="17">
        <f t="shared" si="36"/>
        <v>0</v>
      </c>
      <c r="G47" s="17"/>
      <c r="H47" s="11">
        <f>VLOOKUP(A47,TB!TB,5,FALSE)*-1</f>
        <v>0</v>
      </c>
      <c r="I47" s="17">
        <f t="shared" si="37"/>
        <v>0</v>
      </c>
      <c r="J47" s="17"/>
      <c r="K47" s="11">
        <f>VLOOKUP(A47,TB!TB1_1,4,FALSE)*-1</f>
        <v>0</v>
      </c>
      <c r="L47" s="17">
        <f t="shared" si="38"/>
        <v>0</v>
      </c>
      <c r="N47" s="11">
        <f>VLOOKUP(A47,TB!TB,4,FALSE)*-1</f>
        <v>0</v>
      </c>
      <c r="O47" s="17">
        <f t="shared" si="39"/>
        <v>0</v>
      </c>
    </row>
    <row r="48" spans="1:15" x14ac:dyDescent="0.25">
      <c r="A48" s="122" t="s">
        <v>204</v>
      </c>
      <c r="C48" s="5" t="s">
        <v>1859</v>
      </c>
      <c r="E48" s="11">
        <f>VLOOKUP(A48,TB!TB1_1,5,FALSE)*-1</f>
        <v>10554.19</v>
      </c>
      <c r="F48" s="17">
        <f t="shared" si="36"/>
        <v>3.5676958695773399E-3</v>
      </c>
      <c r="G48" s="17"/>
      <c r="H48" s="11">
        <f>VLOOKUP(A48,TB!TB,5,FALSE)*-1</f>
        <v>7977.85</v>
      </c>
      <c r="I48" s="17">
        <f t="shared" si="37"/>
        <v>3.6195944499820966E-3</v>
      </c>
      <c r="J48" s="17"/>
      <c r="K48" s="11">
        <f>VLOOKUP(A48,TB!TB1_1,4,FALSE)*-1</f>
        <v>10554.19</v>
      </c>
      <c r="L48" s="17">
        <f t="shared" si="38"/>
        <v>3.5676958695773399E-3</v>
      </c>
      <c r="N48" s="11">
        <f>VLOOKUP(A48,TB!TB,4,FALSE)*-1</f>
        <v>7977.85</v>
      </c>
      <c r="O48" s="17">
        <f t="shared" si="39"/>
        <v>3.6195944499820966E-3</v>
      </c>
    </row>
    <row r="49" spans="1:15" x14ac:dyDescent="0.25">
      <c r="A49" s="122" t="s">
        <v>768</v>
      </c>
      <c r="C49" s="5" t="s">
        <v>1860</v>
      </c>
      <c r="E49" s="11">
        <f>VLOOKUP(A49,TB!TB1_1,5,FALSE)*-1</f>
        <v>0</v>
      </c>
      <c r="F49" s="17">
        <f t="shared" si="36"/>
        <v>0</v>
      </c>
      <c r="G49" s="17"/>
      <c r="H49" s="11">
        <f>VLOOKUP(A49,TB!TB,5,FALSE)*-1</f>
        <v>0</v>
      </c>
      <c r="I49" s="17">
        <f t="shared" si="37"/>
        <v>0</v>
      </c>
      <c r="J49" s="17"/>
      <c r="K49" s="11">
        <f>VLOOKUP(A49,TB!TB1_1,4,FALSE)*-1</f>
        <v>0</v>
      </c>
      <c r="L49" s="17">
        <f t="shared" si="38"/>
        <v>0</v>
      </c>
      <c r="N49" s="11">
        <f>VLOOKUP(A49,TB!TB,4,FALSE)*-1</f>
        <v>0</v>
      </c>
      <c r="O49" s="17">
        <f t="shared" si="39"/>
        <v>0</v>
      </c>
    </row>
    <row r="50" spans="1:15" x14ac:dyDescent="0.25">
      <c r="A50" s="122" t="s">
        <v>206</v>
      </c>
      <c r="C50" s="5" t="s">
        <v>1861</v>
      </c>
      <c r="E50" s="11">
        <f>VLOOKUP(A50,TB!TB1_1,5,FALSE)*-1</f>
        <v>52716.39</v>
      </c>
      <c r="F50" s="17">
        <f t="shared" si="36"/>
        <v>1.7820036105284077E-2</v>
      </c>
      <c r="G50" s="17"/>
      <c r="H50" s="11">
        <f>VLOOKUP(A50,TB!TB,5,FALSE)*-1</f>
        <v>42014.11</v>
      </c>
      <c r="I50" s="17">
        <f t="shared" si="37"/>
        <v>1.9062032925780417E-2</v>
      </c>
      <c r="J50" s="17"/>
      <c r="K50" s="11">
        <f>VLOOKUP(A50,TB!TB1_1,4,FALSE)*-1</f>
        <v>52716.39</v>
      </c>
      <c r="L50" s="17">
        <f t="shared" si="38"/>
        <v>1.7820036105284077E-2</v>
      </c>
      <c r="N50" s="11">
        <f>VLOOKUP(A50,TB!TB,4,FALSE)*-1</f>
        <v>42014.11</v>
      </c>
      <c r="O50" s="17">
        <f t="shared" si="39"/>
        <v>1.9062032925780417E-2</v>
      </c>
    </row>
    <row r="51" spans="1:15" x14ac:dyDescent="0.25">
      <c r="A51" s="122" t="s">
        <v>769</v>
      </c>
      <c r="C51" s="5" t="s">
        <v>1862</v>
      </c>
      <c r="E51" s="11">
        <f>VLOOKUP(A51,TB!TB1_1,5,FALSE)*-1</f>
        <v>0</v>
      </c>
      <c r="F51" s="17">
        <f t="shared" si="36"/>
        <v>0</v>
      </c>
      <c r="G51" s="17"/>
      <c r="H51" s="11">
        <f>VLOOKUP(A51,TB!TB,5,FALSE)*-1</f>
        <v>0</v>
      </c>
      <c r="I51" s="17">
        <f t="shared" si="37"/>
        <v>0</v>
      </c>
      <c r="J51" s="17"/>
      <c r="K51" s="11">
        <f>VLOOKUP(A51,TB!TB1_1,4,FALSE)*-1</f>
        <v>0</v>
      </c>
      <c r="L51" s="17">
        <f t="shared" si="38"/>
        <v>0</v>
      </c>
      <c r="N51" s="11">
        <f>VLOOKUP(A51,TB!TB,4,FALSE)*-1</f>
        <v>0</v>
      </c>
      <c r="O51" s="17">
        <f t="shared" si="39"/>
        <v>0</v>
      </c>
    </row>
    <row r="52" spans="1:15" x14ac:dyDescent="0.25">
      <c r="A52" s="122" t="s">
        <v>208</v>
      </c>
      <c r="C52" s="5" t="s">
        <v>1863</v>
      </c>
      <c r="E52" s="11">
        <f>VLOOKUP(A52,TB!TB1_1,5,FALSE)*-1</f>
        <v>5050.8</v>
      </c>
      <c r="F52" s="17">
        <f t="shared" si="36"/>
        <v>1.7073520846281171E-3</v>
      </c>
      <c r="G52" s="17"/>
      <c r="H52" s="11">
        <f>VLOOKUP(A52,TB!TB,5,FALSE)*-1</f>
        <v>13032.79</v>
      </c>
      <c r="I52" s="17">
        <f t="shared" si="37"/>
        <v>5.9130485471376587E-3</v>
      </c>
      <c r="J52" s="17"/>
      <c r="K52" s="11">
        <f>VLOOKUP(A52,TB!TB1_1,4,FALSE)*-1</f>
        <v>5050.8</v>
      </c>
      <c r="L52" s="17">
        <f t="shared" si="38"/>
        <v>1.7073520846281171E-3</v>
      </c>
      <c r="N52" s="11">
        <f>VLOOKUP(A52,TB!TB,4,FALSE)*-1</f>
        <v>13032.79</v>
      </c>
      <c r="O52" s="17">
        <f t="shared" si="39"/>
        <v>5.9130485471376587E-3</v>
      </c>
    </row>
    <row r="53" spans="1:15" x14ac:dyDescent="0.25">
      <c r="A53" s="122" t="s">
        <v>770</v>
      </c>
      <c r="C53" s="5" t="s">
        <v>1864</v>
      </c>
      <c r="E53" s="11">
        <f>VLOOKUP(A53,TB!TB1_1,5,FALSE)*-1</f>
        <v>0</v>
      </c>
      <c r="F53" s="17">
        <f t="shared" si="36"/>
        <v>0</v>
      </c>
      <c r="G53" s="17"/>
      <c r="H53" s="11">
        <f>VLOOKUP(A53,TB!TB,5,FALSE)*-1</f>
        <v>0</v>
      </c>
      <c r="I53" s="17">
        <f t="shared" si="37"/>
        <v>0</v>
      </c>
      <c r="J53" s="17"/>
      <c r="K53" s="11">
        <f>VLOOKUP(A53,TB!TB1_1,4,FALSE)*-1</f>
        <v>0</v>
      </c>
      <c r="L53" s="17">
        <f t="shared" si="38"/>
        <v>0</v>
      </c>
      <c r="N53" s="11">
        <f>VLOOKUP(A53,TB!TB,4,FALSE)*-1</f>
        <v>0</v>
      </c>
      <c r="O53" s="17">
        <f t="shared" si="39"/>
        <v>0</v>
      </c>
    </row>
    <row r="54" spans="1:15" x14ac:dyDescent="0.25">
      <c r="A54" s="122" t="s">
        <v>210</v>
      </c>
      <c r="C54" s="5" t="s">
        <v>1865</v>
      </c>
      <c r="E54" s="11">
        <f>VLOOKUP(A54,TB!TB1_1,5,FALSE)*-1</f>
        <v>-360.16</v>
      </c>
      <c r="F54" s="17">
        <f t="shared" si="36"/>
        <v>-1.2174703547946122E-4</v>
      </c>
      <c r="G54" s="17"/>
      <c r="H54" s="11">
        <f>VLOOKUP(A54,TB!TB,5,FALSE)*-1</f>
        <v>1044.46</v>
      </c>
      <c r="I54" s="17">
        <f t="shared" si="37"/>
        <v>4.7387725003958468E-4</v>
      </c>
      <c r="J54" s="17"/>
      <c r="K54" s="11">
        <f>VLOOKUP(A54,TB!TB1_1,4,FALSE)*-1</f>
        <v>-360.16</v>
      </c>
      <c r="L54" s="17">
        <f t="shared" si="38"/>
        <v>-1.2174703547946122E-4</v>
      </c>
      <c r="N54" s="11">
        <f>VLOOKUP(A54,TB!TB,4,FALSE)*-1</f>
        <v>1044.46</v>
      </c>
      <c r="O54" s="17">
        <f t="shared" si="39"/>
        <v>4.7387725003958468E-4</v>
      </c>
    </row>
    <row r="55" spans="1:15" x14ac:dyDescent="0.25">
      <c r="A55" s="122" t="s">
        <v>771</v>
      </c>
      <c r="C55" s="5" t="s">
        <v>1866</v>
      </c>
      <c r="E55" s="11">
        <f>VLOOKUP(A55,TB!TB1_1,5,FALSE)*-1</f>
        <v>0</v>
      </c>
      <c r="F55" s="17">
        <f t="shared" ref="F55:F90" si="68">IF(E$160,E55/E$160,0)</f>
        <v>0</v>
      </c>
      <c r="G55" s="17"/>
      <c r="H55" s="11">
        <f>VLOOKUP(A55,TB!TB,5,FALSE)*-1</f>
        <v>0</v>
      </c>
      <c r="I55" s="17">
        <f t="shared" ref="I55:I90" si="69">IF(H$160,H55/H$160,0)</f>
        <v>0</v>
      </c>
      <c r="J55" s="17"/>
      <c r="K55" s="11">
        <f>VLOOKUP(A55,TB!TB1_1,4,FALSE)*-1</f>
        <v>0</v>
      </c>
      <c r="L55" s="17">
        <f t="shared" ref="L55:L90" si="70">IF(K$160,K55/K$160,0)</f>
        <v>0</v>
      </c>
      <c r="N55" s="11">
        <f>VLOOKUP(A55,TB!TB,4,FALSE)*-1</f>
        <v>0</v>
      </c>
      <c r="O55" s="17">
        <f t="shared" ref="O55:O90" si="71">IF(N$160,N55/N$160,0)</f>
        <v>0</v>
      </c>
    </row>
    <row r="56" spans="1:15" x14ac:dyDescent="0.25">
      <c r="A56" s="123" t="s">
        <v>2078</v>
      </c>
      <c r="C56" s="5" t="s">
        <v>2086</v>
      </c>
      <c r="E56" s="11">
        <v>0</v>
      </c>
      <c r="F56" s="17">
        <f t="shared" ref="F56" si="72">IF(E$160,E56/E$160,0)</f>
        <v>0</v>
      </c>
      <c r="G56" s="17"/>
      <c r="H56" s="11">
        <f>VLOOKUP(A56,TB!TB,5,FALSE)*-1</f>
        <v>357.17</v>
      </c>
      <c r="I56" s="17">
        <f t="shared" ref="I56" si="73">IF(H$160,H56/H$160,0)</f>
        <v>1.6204999463515928E-4</v>
      </c>
      <c r="J56" s="17"/>
      <c r="K56" s="11">
        <v>0</v>
      </c>
      <c r="L56" s="17">
        <f t="shared" ref="L56" si="74">IF(K$160,K56/K$160,0)</f>
        <v>0</v>
      </c>
      <c r="N56" s="11">
        <f>VLOOKUP(A56,TB!TB,4,FALSE)*-1</f>
        <v>357.17</v>
      </c>
      <c r="O56" s="17">
        <f t="shared" ref="O56" si="75">IF(N$160,N56/N$160,0)</f>
        <v>1.6204999463515928E-4</v>
      </c>
    </row>
    <row r="57" spans="1:15" x14ac:dyDescent="0.25">
      <c r="A57" s="122" t="s">
        <v>212</v>
      </c>
      <c r="C57" s="5" t="s">
        <v>1867</v>
      </c>
      <c r="E57" s="11">
        <f>VLOOKUP(A57,TB!TB1_1,5,FALSE)*-1</f>
        <v>17214.34</v>
      </c>
      <c r="F57" s="17">
        <f t="shared" si="68"/>
        <v>5.8190661448675818E-3</v>
      </c>
      <c r="G57" s="17"/>
      <c r="H57" s="11">
        <f>VLOOKUP(A57,TB!TB,5,FALSE)*-1</f>
        <v>9825.1299999999992</v>
      </c>
      <c r="I57" s="17">
        <f t="shared" si="69"/>
        <v>4.4577155522293084E-3</v>
      </c>
      <c r="J57" s="17"/>
      <c r="K57" s="11">
        <f>VLOOKUP(A57,TB!TB1_1,4,FALSE)*-1</f>
        <v>17214.34</v>
      </c>
      <c r="L57" s="17">
        <f t="shared" si="70"/>
        <v>5.8190661448675818E-3</v>
      </c>
      <c r="N57" s="11">
        <f>VLOOKUP(A57,TB!TB,4,FALSE)*-1</f>
        <v>9825.1299999999992</v>
      </c>
      <c r="O57" s="17">
        <f t="shared" si="71"/>
        <v>4.4577155522293084E-3</v>
      </c>
    </row>
    <row r="58" spans="1:15" x14ac:dyDescent="0.25">
      <c r="A58" s="122" t="s">
        <v>772</v>
      </c>
      <c r="C58" s="5" t="s">
        <v>1868</v>
      </c>
      <c r="E58" s="11">
        <f>VLOOKUP(A58,TB!TB1_1,5,FALSE)*-1</f>
        <v>0</v>
      </c>
      <c r="F58" s="17">
        <f t="shared" si="68"/>
        <v>0</v>
      </c>
      <c r="G58" s="17"/>
      <c r="H58" s="11">
        <f>VLOOKUP(A58,TB!TB,5,FALSE)*-1</f>
        <v>0</v>
      </c>
      <c r="I58" s="17">
        <f t="shared" si="69"/>
        <v>0</v>
      </c>
      <c r="J58" s="17"/>
      <c r="K58" s="11">
        <f>VLOOKUP(A58,TB!TB1_1,4,FALSE)*-1</f>
        <v>0</v>
      </c>
      <c r="L58" s="17">
        <f t="shared" si="70"/>
        <v>0</v>
      </c>
      <c r="N58" s="11">
        <f>VLOOKUP(A58,TB!TB,4,FALSE)*-1</f>
        <v>0</v>
      </c>
      <c r="O58" s="17">
        <f t="shared" si="71"/>
        <v>0</v>
      </c>
    </row>
    <row r="59" spans="1:15" x14ac:dyDescent="0.25">
      <c r="A59" s="122" t="s">
        <v>214</v>
      </c>
      <c r="C59" s="5" t="s">
        <v>1869</v>
      </c>
      <c r="E59" s="11">
        <f>VLOOKUP(A59,TB!TB1_1,5,FALSE)*-1</f>
        <v>31657.279999999999</v>
      </c>
      <c r="F59" s="17">
        <f t="shared" si="68"/>
        <v>1.0701299398443019E-2</v>
      </c>
      <c r="G59" s="17"/>
      <c r="H59" s="11">
        <f>VLOOKUP(A59,TB!TB,5,FALSE)*-1</f>
        <v>26290.97</v>
      </c>
      <c r="I59" s="17">
        <f t="shared" si="69"/>
        <v>1.1928357777677669E-2</v>
      </c>
      <c r="J59" s="17"/>
      <c r="K59" s="11">
        <f>VLOOKUP(A59,TB!TB1_1,4,FALSE)*-1</f>
        <v>31657.279999999999</v>
      </c>
      <c r="L59" s="17">
        <f t="shared" si="70"/>
        <v>1.0701299398443019E-2</v>
      </c>
      <c r="N59" s="11">
        <f>VLOOKUP(A59,TB!TB,4,FALSE)*-1</f>
        <v>26290.97</v>
      </c>
      <c r="O59" s="17">
        <f t="shared" si="71"/>
        <v>1.1928357777677669E-2</v>
      </c>
    </row>
    <row r="60" spans="1:15" x14ac:dyDescent="0.25">
      <c r="A60" s="122" t="s">
        <v>773</v>
      </c>
      <c r="C60" s="5" t="s">
        <v>1870</v>
      </c>
      <c r="E60" s="11">
        <f>VLOOKUP(A60,TB!TB1_1,5,FALSE)*-1</f>
        <v>0</v>
      </c>
      <c r="F60" s="17">
        <f t="shared" si="68"/>
        <v>0</v>
      </c>
      <c r="G60" s="17"/>
      <c r="H60" s="11">
        <f>VLOOKUP(A60,TB!TB,5,FALSE)*-1</f>
        <v>0</v>
      </c>
      <c r="I60" s="17">
        <f t="shared" si="69"/>
        <v>0</v>
      </c>
      <c r="J60" s="17"/>
      <c r="K60" s="11">
        <f>VLOOKUP(A60,TB!TB1_1,4,FALSE)*-1</f>
        <v>0</v>
      </c>
      <c r="L60" s="17">
        <f t="shared" si="70"/>
        <v>0</v>
      </c>
      <c r="N60" s="11">
        <f>VLOOKUP(A60,TB!TB,4,FALSE)*-1</f>
        <v>0</v>
      </c>
      <c r="O60" s="17">
        <f t="shared" si="71"/>
        <v>0</v>
      </c>
    </row>
    <row r="61" spans="1:15" x14ac:dyDescent="0.25">
      <c r="A61" s="122" t="s">
        <v>216</v>
      </c>
      <c r="C61" s="5" t="s">
        <v>1871</v>
      </c>
      <c r="E61" s="11">
        <f>VLOOKUP(A61,TB!TB1_1,5,FALSE)*-1</f>
        <v>13408.77</v>
      </c>
      <c r="F61" s="17">
        <f t="shared" si="68"/>
        <v>4.5326465929751642E-3</v>
      </c>
      <c r="G61" s="17"/>
      <c r="H61" s="11">
        <f>VLOOKUP(A61,TB!TB,5,FALSE)*-1</f>
        <v>17981.82</v>
      </c>
      <c r="I61" s="17">
        <f t="shared" si="69"/>
        <v>8.1584506944323426E-3</v>
      </c>
      <c r="J61" s="17"/>
      <c r="K61" s="11">
        <f>VLOOKUP(A61,TB!TB1_1,4,FALSE)*-1</f>
        <v>13408.77</v>
      </c>
      <c r="L61" s="17">
        <f t="shared" si="70"/>
        <v>4.5326465929751642E-3</v>
      </c>
      <c r="N61" s="11">
        <f>VLOOKUP(A61,TB!TB,4,FALSE)*-1</f>
        <v>17981.82</v>
      </c>
      <c r="O61" s="17">
        <f t="shared" si="71"/>
        <v>8.1584506944323426E-3</v>
      </c>
    </row>
    <row r="62" spans="1:15" x14ac:dyDescent="0.25">
      <c r="A62" s="122" t="s">
        <v>774</v>
      </c>
      <c r="C62" s="5" t="s">
        <v>1872</v>
      </c>
      <c r="E62" s="11">
        <f>VLOOKUP(A62,TB!TB1_1,5,FALSE)*-1</f>
        <v>0</v>
      </c>
      <c r="F62" s="17">
        <f t="shared" si="68"/>
        <v>0</v>
      </c>
      <c r="G62" s="17"/>
      <c r="H62" s="11">
        <f>VLOOKUP(A62,TB!TB,5,FALSE)*-1</f>
        <v>0</v>
      </c>
      <c r="I62" s="17">
        <f t="shared" si="69"/>
        <v>0</v>
      </c>
      <c r="J62" s="17"/>
      <c r="K62" s="11">
        <f>VLOOKUP(A62,TB!TB1_1,4,FALSE)*-1</f>
        <v>0</v>
      </c>
      <c r="L62" s="17">
        <f t="shared" si="70"/>
        <v>0</v>
      </c>
      <c r="N62" s="11">
        <f>VLOOKUP(A62,TB!TB,4,FALSE)*-1</f>
        <v>0</v>
      </c>
      <c r="O62" s="17">
        <f t="shared" si="71"/>
        <v>0</v>
      </c>
    </row>
    <row r="63" spans="1:15" x14ac:dyDescent="0.25">
      <c r="A63" s="123" t="s">
        <v>2075</v>
      </c>
      <c r="C63" s="5" t="s">
        <v>2087</v>
      </c>
      <c r="E63" s="11">
        <v>0</v>
      </c>
      <c r="F63" s="17">
        <f t="shared" ref="F63" si="76">IF(E$160,E63/E$160,0)</f>
        <v>0</v>
      </c>
      <c r="G63" s="17"/>
      <c r="H63" s="11">
        <f>VLOOKUP(A63,TB!TB,5,FALSE)*-1</f>
        <v>565.20000000000005</v>
      </c>
      <c r="I63" s="17">
        <f t="shared" ref="I63" si="77">IF(H$160,H63/H$160,0)</f>
        <v>2.5643435049917975E-4</v>
      </c>
      <c r="J63" s="17"/>
      <c r="K63" s="11">
        <v>0</v>
      </c>
      <c r="L63" s="17">
        <f t="shared" ref="L63" si="78">IF(K$160,K63/K$160,0)</f>
        <v>0</v>
      </c>
      <c r="N63" s="11">
        <f>VLOOKUP(A63,TB!TB,4,FALSE)*-1</f>
        <v>565.20000000000005</v>
      </c>
      <c r="O63" s="17">
        <f t="shared" ref="O63" si="79">IF(N$160,N63/N$160,0)</f>
        <v>2.5643435049917975E-4</v>
      </c>
    </row>
    <row r="64" spans="1:15" x14ac:dyDescent="0.25">
      <c r="A64" s="122" t="s">
        <v>218</v>
      </c>
      <c r="C64" s="5" t="s">
        <v>1873</v>
      </c>
      <c r="E64" s="11">
        <f>VLOOKUP(A64,TB!TB1_1,5,FALSE)*-1</f>
        <v>31584.85</v>
      </c>
      <c r="F64" s="17">
        <f t="shared" si="68"/>
        <v>1.0676815453030487E-2</v>
      </c>
      <c r="G64" s="17"/>
      <c r="H64" s="11">
        <f>VLOOKUP(A64,TB!TB,5,FALSE)*-1</f>
        <v>40289.65</v>
      </c>
      <c r="I64" s="17">
        <f t="shared" si="69"/>
        <v>1.8279635933455902E-2</v>
      </c>
      <c r="J64" s="17"/>
      <c r="K64" s="11">
        <f>VLOOKUP(A64,TB!TB1_1,4,FALSE)*-1</f>
        <v>31584.85</v>
      </c>
      <c r="L64" s="17">
        <f t="shared" si="70"/>
        <v>1.0676815453030487E-2</v>
      </c>
      <c r="N64" s="11">
        <f>VLOOKUP(A64,TB!TB,4,FALSE)*-1</f>
        <v>40289.65</v>
      </c>
      <c r="O64" s="17">
        <f t="shared" si="71"/>
        <v>1.8279635933455902E-2</v>
      </c>
    </row>
    <row r="65" spans="1:15" x14ac:dyDescent="0.25">
      <c r="A65" s="122" t="s">
        <v>775</v>
      </c>
      <c r="C65" s="5" t="s">
        <v>1874</v>
      </c>
      <c r="E65" s="11">
        <f>VLOOKUP(A65,TB!TB1_1,5,FALSE)*-1</f>
        <v>3812.21</v>
      </c>
      <c r="F65" s="17">
        <f t="shared" si="68"/>
        <v>1.2886641107428831E-3</v>
      </c>
      <c r="G65" s="17"/>
      <c r="H65" s="11">
        <f>VLOOKUP(A65,TB!TB,5,FALSE)*-1</f>
        <v>7526.35</v>
      </c>
      <c r="I65" s="17">
        <f t="shared" si="69"/>
        <v>3.4147464152149707E-3</v>
      </c>
      <c r="J65" s="17"/>
      <c r="K65" s="11">
        <f>VLOOKUP(A65,TB!TB1_1,4,FALSE)*-1</f>
        <v>3812.21</v>
      </c>
      <c r="L65" s="17">
        <f t="shared" si="70"/>
        <v>1.2886641107428831E-3</v>
      </c>
      <c r="N65" s="11">
        <f>VLOOKUP(A65,TB!TB,4,FALSE)*-1</f>
        <v>7526.35</v>
      </c>
      <c r="O65" s="17">
        <f t="shared" si="71"/>
        <v>3.4147464152149707E-3</v>
      </c>
    </row>
    <row r="66" spans="1:15" x14ac:dyDescent="0.25">
      <c r="A66" s="122" t="s">
        <v>220</v>
      </c>
      <c r="C66" s="5" t="s">
        <v>1875</v>
      </c>
      <c r="E66" s="11">
        <f>VLOOKUP(A66,TB!TB1_1,5,FALSE)*-1</f>
        <v>6354.38</v>
      </c>
      <c r="F66" s="17">
        <f t="shared" si="68"/>
        <v>2.1480090162982529E-3</v>
      </c>
      <c r="G66" s="17"/>
      <c r="H66" s="11">
        <f>VLOOKUP(A66,TB!TB,5,FALSE)*-1</f>
        <v>14301.48</v>
      </c>
      <c r="I66" s="17">
        <f t="shared" si="69"/>
        <v>6.488660182195698E-3</v>
      </c>
      <c r="J66" s="17"/>
      <c r="K66" s="11">
        <f>VLOOKUP(A66,TB!TB1_1,4,FALSE)*-1</f>
        <v>6354.38</v>
      </c>
      <c r="L66" s="17">
        <f t="shared" si="70"/>
        <v>2.1480090162982529E-3</v>
      </c>
      <c r="N66" s="11">
        <f>VLOOKUP(A66,TB!TB,4,FALSE)*-1</f>
        <v>14301.48</v>
      </c>
      <c r="O66" s="17">
        <f t="shared" si="71"/>
        <v>6.488660182195698E-3</v>
      </c>
    </row>
    <row r="67" spans="1:15" x14ac:dyDescent="0.25">
      <c r="A67" s="122" t="s">
        <v>776</v>
      </c>
      <c r="C67" s="5" t="s">
        <v>1876</v>
      </c>
      <c r="E67" s="11">
        <f>VLOOKUP(A67,TB!TB1_1,5,FALSE)*-1</f>
        <v>0</v>
      </c>
      <c r="F67" s="17">
        <f t="shared" si="68"/>
        <v>0</v>
      </c>
      <c r="G67" s="17"/>
      <c r="H67" s="11">
        <f>VLOOKUP(A67,TB!TB,5,FALSE)*-1</f>
        <v>0</v>
      </c>
      <c r="I67" s="17">
        <f t="shared" si="69"/>
        <v>0</v>
      </c>
      <c r="J67" s="17"/>
      <c r="K67" s="11">
        <f>VLOOKUP(A67,TB!TB1_1,4,FALSE)*-1</f>
        <v>0</v>
      </c>
      <c r="L67" s="17">
        <f t="shared" si="70"/>
        <v>0</v>
      </c>
      <c r="N67" s="11">
        <f>VLOOKUP(A67,TB!TB,4,FALSE)*-1</f>
        <v>0</v>
      </c>
      <c r="O67" s="17">
        <f t="shared" si="71"/>
        <v>0</v>
      </c>
    </row>
    <row r="68" spans="1:15" x14ac:dyDescent="0.25">
      <c r="A68" s="122" t="s">
        <v>222</v>
      </c>
      <c r="C68" s="5" t="s">
        <v>1877</v>
      </c>
      <c r="E68" s="11">
        <f>VLOOKUP(A68,TB!TB1_1,5,FALSE)*-1</f>
        <v>0</v>
      </c>
      <c r="F68" s="17">
        <f t="shared" si="68"/>
        <v>0</v>
      </c>
      <c r="G68" s="17"/>
      <c r="H68" s="11">
        <f>VLOOKUP(A68,TB!TB,5,FALSE)*-1</f>
        <v>0</v>
      </c>
      <c r="I68" s="17">
        <f t="shared" si="69"/>
        <v>0</v>
      </c>
      <c r="J68" s="17"/>
      <c r="K68" s="11">
        <f>VLOOKUP(A68,TB!TB1_1,4,FALSE)*-1</f>
        <v>0</v>
      </c>
      <c r="L68" s="17">
        <f t="shared" si="70"/>
        <v>0</v>
      </c>
      <c r="N68" s="11">
        <f>VLOOKUP(A68,TB!TB,4,FALSE)*-1</f>
        <v>0</v>
      </c>
      <c r="O68" s="17">
        <f t="shared" si="71"/>
        <v>0</v>
      </c>
    </row>
    <row r="69" spans="1:15" x14ac:dyDescent="0.25">
      <c r="A69" s="122" t="s">
        <v>777</v>
      </c>
      <c r="C69" s="5" t="s">
        <v>1878</v>
      </c>
      <c r="E69" s="11">
        <f>VLOOKUP(A69,TB!TB1_1,5,FALSE)*-1</f>
        <v>0</v>
      </c>
      <c r="F69" s="17">
        <f t="shared" si="68"/>
        <v>0</v>
      </c>
      <c r="G69" s="17"/>
      <c r="H69" s="11">
        <f>VLOOKUP(A69,TB!TB,5,FALSE)*-1</f>
        <v>0</v>
      </c>
      <c r="I69" s="17">
        <f t="shared" si="69"/>
        <v>0</v>
      </c>
      <c r="J69" s="17"/>
      <c r="K69" s="11">
        <f>VLOOKUP(A69,TB!TB1_1,4,FALSE)*-1</f>
        <v>0</v>
      </c>
      <c r="L69" s="17">
        <f t="shared" si="70"/>
        <v>0</v>
      </c>
      <c r="N69" s="11">
        <f>VLOOKUP(A69,TB!TB,4,FALSE)*-1</f>
        <v>0</v>
      </c>
      <c r="O69" s="17">
        <f t="shared" si="71"/>
        <v>0</v>
      </c>
    </row>
    <row r="70" spans="1:15" x14ac:dyDescent="0.25">
      <c r="A70" s="123" t="s">
        <v>2073</v>
      </c>
      <c r="C70" s="5" t="s">
        <v>2088</v>
      </c>
      <c r="E70" s="11">
        <v>0</v>
      </c>
      <c r="F70" s="17">
        <f t="shared" ref="F70" si="80">IF(E$160,E70/E$160,0)</f>
        <v>0</v>
      </c>
      <c r="G70" s="17"/>
      <c r="H70" s="11">
        <f>VLOOKUP(A70,TB!TB,5,FALSE)*-1</f>
        <v>333.74</v>
      </c>
      <c r="I70" s="17">
        <f t="shared" ref="I70" si="81">IF(H$160,H70/H$160,0)</f>
        <v>1.5141967469143E-4</v>
      </c>
      <c r="J70" s="17"/>
      <c r="K70" s="11">
        <v>0</v>
      </c>
      <c r="L70" s="17">
        <f t="shared" ref="L70" si="82">IF(K$160,K70/K$160,0)</f>
        <v>0</v>
      </c>
      <c r="N70" s="11">
        <f>VLOOKUP(A70,TB!TB,4,FALSE)*-1</f>
        <v>333.74</v>
      </c>
      <c r="O70" s="17">
        <f t="shared" ref="O70" si="83">IF(N$160,N70/N$160,0)</f>
        <v>1.5141967469143E-4</v>
      </c>
    </row>
    <row r="71" spans="1:15" x14ac:dyDescent="0.25">
      <c r="A71" s="122" t="s">
        <v>224</v>
      </c>
      <c r="C71" s="5" t="s">
        <v>1879</v>
      </c>
      <c r="E71" s="11">
        <f>VLOOKUP(A71,TB!TB1_1,5,FALSE)*-1</f>
        <v>1324.71</v>
      </c>
      <c r="F71" s="17">
        <f t="shared" si="68"/>
        <v>4.4779963174699318E-4</v>
      </c>
      <c r="G71" s="17"/>
      <c r="H71" s="11">
        <f>VLOOKUP(A71,TB!TB,5,FALSE)*-1</f>
        <v>2128.79</v>
      </c>
      <c r="I71" s="17">
        <f t="shared" si="69"/>
        <v>9.6584373849814011E-4</v>
      </c>
      <c r="J71" s="17"/>
      <c r="K71" s="11">
        <f>VLOOKUP(A71,TB!TB1_1,4,FALSE)*-1</f>
        <v>1324.71</v>
      </c>
      <c r="L71" s="17">
        <f t="shared" si="70"/>
        <v>4.4779963174699318E-4</v>
      </c>
      <c r="N71" s="11">
        <f>VLOOKUP(A71,TB!TB,4,FALSE)*-1</f>
        <v>2128.79</v>
      </c>
      <c r="O71" s="17">
        <f t="shared" si="71"/>
        <v>9.6584373849814011E-4</v>
      </c>
    </row>
    <row r="72" spans="1:15" x14ac:dyDescent="0.25">
      <c r="A72" s="122" t="s">
        <v>778</v>
      </c>
      <c r="C72" s="5" t="s">
        <v>1880</v>
      </c>
      <c r="E72" s="11">
        <f>VLOOKUP(A72,TB!TB1_1,5,FALSE)*-1</f>
        <v>310.27999999999997</v>
      </c>
      <c r="F72" s="17">
        <f t="shared" si="68"/>
        <v>1.0488580122325416E-4</v>
      </c>
      <c r="G72" s="17"/>
      <c r="H72" s="11">
        <f>VLOOKUP(A72,TB!TB,5,FALSE)*-1</f>
        <v>898.6</v>
      </c>
      <c r="I72" s="17">
        <f t="shared" si="69"/>
        <v>4.0769976531946728E-4</v>
      </c>
      <c r="J72" s="17"/>
      <c r="K72" s="11">
        <f>VLOOKUP(A72,TB!TB1_1,4,FALSE)*-1</f>
        <v>310.27999999999997</v>
      </c>
      <c r="L72" s="17">
        <f t="shared" si="70"/>
        <v>1.0488580122325416E-4</v>
      </c>
      <c r="N72" s="11">
        <f>VLOOKUP(A72,TB!TB,4,FALSE)*-1</f>
        <v>898.6</v>
      </c>
      <c r="O72" s="17">
        <f t="shared" si="71"/>
        <v>4.0769976531946728E-4</v>
      </c>
    </row>
    <row r="73" spans="1:15" x14ac:dyDescent="0.25">
      <c r="A73" s="122" t="s">
        <v>226</v>
      </c>
      <c r="C73" s="5" t="s">
        <v>1881</v>
      </c>
      <c r="E73" s="11">
        <f>VLOOKUP(A73,TB!TB1_1,5,FALSE)*-1</f>
        <v>28794</v>
      </c>
      <c r="F73" s="17">
        <f t="shared" si="68"/>
        <v>9.7334077620935301E-3</v>
      </c>
      <c r="G73" s="17"/>
      <c r="H73" s="11">
        <f>VLOOKUP(A73,TB!TB,5,FALSE)*-1</f>
        <v>43232.22</v>
      </c>
      <c r="I73" s="17">
        <f t="shared" si="69"/>
        <v>1.96146961364785E-2</v>
      </c>
      <c r="J73" s="17"/>
      <c r="K73" s="11">
        <f>VLOOKUP(A73,TB!TB1_1,4,FALSE)*-1</f>
        <v>28794</v>
      </c>
      <c r="L73" s="17">
        <f t="shared" si="70"/>
        <v>9.7334077620935301E-3</v>
      </c>
      <c r="N73" s="11">
        <f>VLOOKUP(A73,TB!TB,4,FALSE)*-1</f>
        <v>43232.22</v>
      </c>
      <c r="O73" s="17">
        <f t="shared" si="71"/>
        <v>1.96146961364785E-2</v>
      </c>
    </row>
    <row r="74" spans="1:15" x14ac:dyDescent="0.25">
      <c r="A74" s="122" t="s">
        <v>779</v>
      </c>
      <c r="C74" s="5" t="s">
        <v>1882</v>
      </c>
      <c r="E74" s="11">
        <f>VLOOKUP(A74,TB!TB1_1,5,FALSE)*-1</f>
        <v>0</v>
      </c>
      <c r="F74" s="17">
        <f t="shared" si="68"/>
        <v>0</v>
      </c>
      <c r="G74" s="17"/>
      <c r="H74" s="11">
        <f>VLOOKUP(A74,TB!TB,5,FALSE)*-1</f>
        <v>1711.03</v>
      </c>
      <c r="I74" s="17">
        <f t="shared" si="69"/>
        <v>7.7630372741438686E-4</v>
      </c>
      <c r="J74" s="17"/>
      <c r="K74" s="11">
        <f>VLOOKUP(A74,TB!TB1_1,4,FALSE)*-1</f>
        <v>0</v>
      </c>
      <c r="L74" s="17">
        <f t="shared" si="70"/>
        <v>0</v>
      </c>
      <c r="N74" s="11">
        <f>VLOOKUP(A74,TB!TB,4,FALSE)*-1</f>
        <v>1711.03</v>
      </c>
      <c r="O74" s="17">
        <f t="shared" si="71"/>
        <v>7.7630372741438686E-4</v>
      </c>
    </row>
    <row r="75" spans="1:15" x14ac:dyDescent="0.25">
      <c r="A75" s="122" t="s">
        <v>228</v>
      </c>
      <c r="C75" s="5" t="s">
        <v>1883</v>
      </c>
      <c r="E75" s="11">
        <f>VLOOKUP(A75,TB!TB1_1,5,FALSE)*-1</f>
        <v>270923.07</v>
      </c>
      <c r="F75" s="17">
        <f t="shared" si="68"/>
        <v>9.158174315719278E-2</v>
      </c>
      <c r="G75" s="17"/>
      <c r="H75" s="11">
        <f>VLOOKUP(A75,TB!TB,5,FALSE)*-1</f>
        <v>27086.31</v>
      </c>
      <c r="I75" s="17">
        <f t="shared" si="69"/>
        <v>1.2289207912720163E-2</v>
      </c>
      <c r="J75" s="17"/>
      <c r="K75" s="11">
        <f>VLOOKUP(A75,TB!TB1_1,4,FALSE)*-1</f>
        <v>270923.07</v>
      </c>
      <c r="L75" s="17">
        <f t="shared" si="70"/>
        <v>9.158174315719278E-2</v>
      </c>
      <c r="N75" s="11">
        <f>VLOOKUP(A75,TB!TB,4,FALSE)*-1</f>
        <v>27086.31</v>
      </c>
      <c r="O75" s="17">
        <f t="shared" si="71"/>
        <v>1.2289207912720163E-2</v>
      </c>
    </row>
    <row r="76" spans="1:15" x14ac:dyDescent="0.25">
      <c r="A76" s="123" t="s">
        <v>1401</v>
      </c>
      <c r="C76" s="5" t="s">
        <v>1884</v>
      </c>
      <c r="E76" s="11">
        <f>VLOOKUP(A76,TB!TB1_1,5,FALSE)*-1</f>
        <v>273457</v>
      </c>
      <c r="F76" s="17">
        <f t="shared" ref="F76" si="84">IF(E$160,E76/E$160,0)</f>
        <v>9.2438302646343354E-2</v>
      </c>
      <c r="G76" s="17"/>
      <c r="H76" s="11">
        <f>VLOOKUP(A76,TB!TB,5,FALSE)*-1</f>
        <v>112711.88</v>
      </c>
      <c r="I76" s="17">
        <f t="shared" ref="I76" si="85">IF(H$160,H76/H$160,0)</f>
        <v>5.1138000250073395E-2</v>
      </c>
      <c r="J76" s="17"/>
      <c r="K76" s="11">
        <f>VLOOKUP(A76,TB!TB1_1,4,FALSE)*-1</f>
        <v>273457</v>
      </c>
      <c r="L76" s="17">
        <f t="shared" ref="L76" si="86">IF(K$160,K76/K$160,0)</f>
        <v>9.2438302646343354E-2</v>
      </c>
      <c r="N76" s="11">
        <f>VLOOKUP(A76,TB!TB,4,FALSE)*-1</f>
        <v>112711.88</v>
      </c>
      <c r="O76" s="17">
        <f t="shared" ref="O76" si="87">IF(N$160,N76/N$160,0)</f>
        <v>5.1138000250073395E-2</v>
      </c>
    </row>
    <row r="77" spans="1:15" x14ac:dyDescent="0.25">
      <c r="A77" s="122" t="s">
        <v>230</v>
      </c>
      <c r="C77" s="5" t="s">
        <v>1885</v>
      </c>
      <c r="E77" s="11">
        <f>VLOOKUP(A77,TB!TB1_1,5,FALSE)*-1</f>
        <v>0</v>
      </c>
      <c r="F77" s="17">
        <f t="shared" si="68"/>
        <v>0</v>
      </c>
      <c r="G77" s="17"/>
      <c r="H77" s="11">
        <f>VLOOKUP(A77,TB!TB,5,FALSE)*-1</f>
        <v>0</v>
      </c>
      <c r="I77" s="17">
        <f t="shared" si="69"/>
        <v>0</v>
      </c>
      <c r="J77" s="17"/>
      <c r="K77" s="11">
        <f>VLOOKUP(A77,TB!TB1_1,4,FALSE)*-1</f>
        <v>0</v>
      </c>
      <c r="L77" s="17">
        <f t="shared" si="70"/>
        <v>0</v>
      </c>
      <c r="N77" s="11">
        <f>VLOOKUP(A77,TB!TB,4,FALSE)*-1</f>
        <v>0</v>
      </c>
      <c r="O77" s="17">
        <f t="shared" si="71"/>
        <v>0</v>
      </c>
    </row>
    <row r="78" spans="1:15" x14ac:dyDescent="0.25">
      <c r="A78" s="122" t="s">
        <v>781</v>
      </c>
      <c r="C78" s="5" t="s">
        <v>1886</v>
      </c>
      <c r="E78" s="11">
        <f>VLOOKUP(A78,TB!TB1_1,5,FALSE)*-1</f>
        <v>0</v>
      </c>
      <c r="F78" s="17">
        <f t="shared" si="68"/>
        <v>0</v>
      </c>
      <c r="G78" s="17"/>
      <c r="H78" s="11">
        <f>VLOOKUP(A78,TB!TB,5,FALSE)*-1</f>
        <v>598</v>
      </c>
      <c r="I78" s="17">
        <f t="shared" si="69"/>
        <v>2.7131589100939398E-4</v>
      </c>
      <c r="J78" s="17"/>
      <c r="K78" s="11">
        <f>VLOOKUP(A78,TB!TB1_1,4,FALSE)*-1</f>
        <v>0</v>
      </c>
      <c r="L78" s="17">
        <f t="shared" si="70"/>
        <v>0</v>
      </c>
      <c r="N78" s="11">
        <f>VLOOKUP(A78,TB!TB,4,FALSE)*-1</f>
        <v>598</v>
      </c>
      <c r="O78" s="17">
        <f t="shared" si="71"/>
        <v>2.7131589100939398E-4</v>
      </c>
    </row>
    <row r="79" spans="1:15" x14ac:dyDescent="0.25">
      <c r="A79" s="122" t="s">
        <v>782</v>
      </c>
      <c r="C79" s="5" t="s">
        <v>1887</v>
      </c>
      <c r="E79" s="11">
        <f>VLOOKUP(A79,TB!TB1_1,5,FALSE)*-1</f>
        <v>153442.06</v>
      </c>
      <c r="F79" s="17">
        <f t="shared" si="68"/>
        <v>5.1868935814253704E-2</v>
      </c>
      <c r="G79" s="17"/>
      <c r="H79" s="11">
        <f>VLOOKUP(A79,TB!TB,5,FALSE)*-1</f>
        <v>173527.67999999999</v>
      </c>
      <c r="I79" s="17">
        <f t="shared" si="69"/>
        <v>7.873046340132607E-2</v>
      </c>
      <c r="J79" s="17"/>
      <c r="K79" s="11">
        <f>VLOOKUP(A79,TB!TB1_1,4,FALSE)*-1</f>
        <v>153442.06</v>
      </c>
      <c r="L79" s="17">
        <f t="shared" si="70"/>
        <v>5.1868935814253704E-2</v>
      </c>
      <c r="N79" s="11">
        <f>VLOOKUP(A79,TB!TB,4,FALSE)*-1</f>
        <v>173527.67999999999</v>
      </c>
      <c r="O79" s="17">
        <f t="shared" si="71"/>
        <v>7.873046340132607E-2</v>
      </c>
    </row>
    <row r="80" spans="1:15" x14ac:dyDescent="0.25">
      <c r="A80" s="122" t="s">
        <v>784</v>
      </c>
      <c r="C80" s="5" t="s">
        <v>1888</v>
      </c>
      <c r="E80" s="11">
        <f>VLOOKUP(A80,TB!TB1_1,5,FALSE)*-1</f>
        <v>5585</v>
      </c>
      <c r="F80" s="17">
        <f t="shared" si="68"/>
        <v>1.8879309005797168E-3</v>
      </c>
      <c r="G80" s="17"/>
      <c r="H80" s="11">
        <f>VLOOKUP(A80,TB!TB,5,FALSE)*-1</f>
        <v>19902.2</v>
      </c>
      <c r="I80" s="17">
        <f t="shared" si="69"/>
        <v>9.0297376689751855E-3</v>
      </c>
      <c r="J80" s="17"/>
      <c r="K80" s="11">
        <f>VLOOKUP(A80,TB!TB1_1,4,FALSE)*-1</f>
        <v>5585</v>
      </c>
      <c r="L80" s="17">
        <f t="shared" si="70"/>
        <v>1.8879309005797168E-3</v>
      </c>
      <c r="N80" s="11">
        <f>VLOOKUP(A80,TB!TB,4,FALSE)*-1</f>
        <v>19902.2</v>
      </c>
      <c r="O80" s="17">
        <f t="shared" si="71"/>
        <v>9.0297376689751855E-3</v>
      </c>
    </row>
    <row r="81" spans="1:15" x14ac:dyDescent="0.25">
      <c r="A81" s="122" t="s">
        <v>232</v>
      </c>
      <c r="C81" s="5" t="s">
        <v>1889</v>
      </c>
      <c r="E81" s="11">
        <f>VLOOKUP(A81,TB!TB1_1,5,FALSE)*-1</f>
        <v>32.090000000000003</v>
      </c>
      <c r="F81" s="17">
        <f t="shared" si="68"/>
        <v>1.0847574324011302E-5</v>
      </c>
      <c r="G81" s="17"/>
      <c r="H81" s="11">
        <f>VLOOKUP(A81,TB!TB,5,FALSE)*-1</f>
        <v>2194.0100000000002</v>
      </c>
      <c r="I81" s="17">
        <f t="shared" si="69"/>
        <v>9.9543441142729188E-4</v>
      </c>
      <c r="J81" s="17"/>
      <c r="K81" s="11">
        <f>VLOOKUP(A81,TB!TB1_1,4,FALSE)*-1</f>
        <v>32.090000000000003</v>
      </c>
      <c r="L81" s="17">
        <f t="shared" si="70"/>
        <v>1.0847574324011302E-5</v>
      </c>
      <c r="N81" s="11">
        <f>VLOOKUP(A81,TB!TB,4,FALSE)*-1</f>
        <v>2194.0100000000002</v>
      </c>
      <c r="O81" s="17">
        <f t="shared" si="71"/>
        <v>9.9543441142729188E-4</v>
      </c>
    </row>
    <row r="82" spans="1:15" x14ac:dyDescent="0.25">
      <c r="A82" s="122" t="s">
        <v>785</v>
      </c>
      <c r="C82" s="5" t="s">
        <v>1890</v>
      </c>
      <c r="E82" s="11">
        <f>VLOOKUP(A82,TB!TB1_1,5,FALSE)*-1</f>
        <v>399.11</v>
      </c>
      <c r="F82" s="17">
        <f t="shared" si="68"/>
        <v>1.3491353656765816E-4</v>
      </c>
      <c r="G82" s="17"/>
      <c r="H82" s="11">
        <f>VLOOKUP(A82,TB!TB,5,FALSE)*-1</f>
        <v>0</v>
      </c>
      <c r="I82" s="17">
        <f t="shared" si="69"/>
        <v>0</v>
      </c>
      <c r="J82" s="17"/>
      <c r="K82" s="11">
        <f>VLOOKUP(A82,TB!TB1_1,4,FALSE)*-1</f>
        <v>399.11</v>
      </c>
      <c r="L82" s="17">
        <f t="shared" si="70"/>
        <v>1.3491353656765816E-4</v>
      </c>
      <c r="N82" s="11">
        <f>VLOOKUP(A82,TB!TB,4,FALSE)*-1</f>
        <v>0</v>
      </c>
      <c r="O82" s="17">
        <f t="shared" si="71"/>
        <v>0</v>
      </c>
    </row>
    <row r="83" spans="1:15" x14ac:dyDescent="0.25">
      <c r="A83" s="122" t="s">
        <v>234</v>
      </c>
      <c r="C83" s="5" t="s">
        <v>1891</v>
      </c>
      <c r="E83" s="11">
        <f>VLOOKUP(A83,TB!TB1_1,5,FALSE)*-1</f>
        <v>0</v>
      </c>
      <c r="F83" s="17">
        <f t="shared" si="68"/>
        <v>0</v>
      </c>
      <c r="G83" s="17"/>
      <c r="H83" s="11">
        <f>VLOOKUP(A83,TB!TB,5,FALSE)*-1</f>
        <v>0</v>
      </c>
      <c r="I83" s="17">
        <f t="shared" si="69"/>
        <v>0</v>
      </c>
      <c r="J83" s="17"/>
      <c r="K83" s="11">
        <f>VLOOKUP(A83,TB!TB1_1,4,FALSE)*-1</f>
        <v>0</v>
      </c>
      <c r="L83" s="17">
        <f t="shared" si="70"/>
        <v>0</v>
      </c>
      <c r="N83" s="11">
        <f>VLOOKUP(A83,TB!TB,4,FALSE)*-1</f>
        <v>0</v>
      </c>
      <c r="O83" s="17">
        <f t="shared" si="71"/>
        <v>0</v>
      </c>
    </row>
    <row r="84" spans="1:15" x14ac:dyDescent="0.25">
      <c r="A84" s="122" t="s">
        <v>786</v>
      </c>
      <c r="C84" s="5" t="s">
        <v>1892</v>
      </c>
      <c r="E84" s="11">
        <f>VLOOKUP(A84,TB!TB1_1,5,FALSE)*-1</f>
        <v>0</v>
      </c>
      <c r="F84" s="17">
        <f t="shared" si="68"/>
        <v>0</v>
      </c>
      <c r="G84" s="17"/>
      <c r="H84" s="11">
        <f>VLOOKUP(A84,TB!TB,5,FALSE)*-1</f>
        <v>0</v>
      </c>
      <c r="I84" s="17">
        <f t="shared" si="69"/>
        <v>0</v>
      </c>
      <c r="J84" s="17"/>
      <c r="K84" s="11">
        <f>VLOOKUP(A84,TB!TB1_1,4,FALSE)*-1</f>
        <v>0</v>
      </c>
      <c r="L84" s="17">
        <f t="shared" si="70"/>
        <v>0</v>
      </c>
      <c r="N84" s="11">
        <f>VLOOKUP(A84,TB!TB,4,FALSE)*-1</f>
        <v>0</v>
      </c>
      <c r="O84" s="17">
        <f t="shared" si="71"/>
        <v>0</v>
      </c>
    </row>
    <row r="85" spans="1:15" x14ac:dyDescent="0.25">
      <c r="A85" s="122" t="s">
        <v>236</v>
      </c>
      <c r="C85" s="5" t="s">
        <v>1893</v>
      </c>
      <c r="E85" s="11">
        <f>VLOOKUP(A85,TB!TB1_1,5,FALSE)*-1</f>
        <v>0</v>
      </c>
      <c r="F85" s="17">
        <f t="shared" si="68"/>
        <v>0</v>
      </c>
      <c r="G85" s="17"/>
      <c r="H85" s="11">
        <f>VLOOKUP(A85,TB!TB,5,FALSE)*-1</f>
        <v>0</v>
      </c>
      <c r="I85" s="17">
        <f t="shared" si="69"/>
        <v>0</v>
      </c>
      <c r="J85" s="17"/>
      <c r="K85" s="11">
        <f>VLOOKUP(A85,TB!TB1_1,4,FALSE)*-1</f>
        <v>0</v>
      </c>
      <c r="L85" s="17">
        <f t="shared" si="70"/>
        <v>0</v>
      </c>
      <c r="N85" s="11">
        <f>VLOOKUP(A85,TB!TB,4,FALSE)*-1</f>
        <v>0</v>
      </c>
      <c r="O85" s="17">
        <f t="shared" si="71"/>
        <v>0</v>
      </c>
    </row>
    <row r="86" spans="1:15" x14ac:dyDescent="0.25">
      <c r="A86" s="122" t="s">
        <v>787</v>
      </c>
      <c r="C86" s="5" t="s">
        <v>1894</v>
      </c>
      <c r="E86" s="11">
        <f>VLOOKUP(A86,TB!TB1_1,5,FALSE)*-1</f>
        <v>0</v>
      </c>
      <c r="F86" s="17">
        <f t="shared" si="68"/>
        <v>0</v>
      </c>
      <c r="G86" s="17"/>
      <c r="H86" s="11">
        <f>VLOOKUP(A86,TB!TB,5,FALSE)*-1</f>
        <v>0</v>
      </c>
      <c r="I86" s="17">
        <f t="shared" si="69"/>
        <v>0</v>
      </c>
      <c r="J86" s="17"/>
      <c r="K86" s="11">
        <f>VLOOKUP(A86,TB!TB1_1,4,FALSE)*-1</f>
        <v>0</v>
      </c>
      <c r="L86" s="17">
        <f t="shared" si="70"/>
        <v>0</v>
      </c>
      <c r="N86" s="11">
        <f>VLOOKUP(A86,TB!TB,4,FALSE)*-1</f>
        <v>0</v>
      </c>
      <c r="O86" s="17">
        <f t="shared" si="71"/>
        <v>0</v>
      </c>
    </row>
    <row r="87" spans="1:15" x14ac:dyDescent="0.25">
      <c r="A87" s="122" t="s">
        <v>238</v>
      </c>
      <c r="C87" s="5" t="s">
        <v>1895</v>
      </c>
      <c r="E87" s="11">
        <f>VLOOKUP(A87,TB!TB1_1,5,FALSE)*-1</f>
        <v>-5638.7</v>
      </c>
      <c r="F87" s="17">
        <f t="shared" si="68"/>
        <v>-1.9060834322468844E-3</v>
      </c>
      <c r="G87" s="17"/>
      <c r="H87" s="11">
        <f>VLOOKUP(A87,TB!TB,5,FALSE)*-1</f>
        <v>30654.62</v>
      </c>
      <c r="I87" s="17">
        <f t="shared" si="69"/>
        <v>1.3908169797415364E-2</v>
      </c>
      <c r="J87" s="17"/>
      <c r="K87" s="11">
        <f>VLOOKUP(A87,TB!TB1_1,4,FALSE)*-1</f>
        <v>-5638.7</v>
      </c>
      <c r="L87" s="17">
        <f t="shared" si="70"/>
        <v>-1.9060834322468844E-3</v>
      </c>
      <c r="N87" s="11">
        <f>VLOOKUP(A87,TB!TB,4,FALSE)*-1</f>
        <v>30654.62</v>
      </c>
      <c r="O87" s="17">
        <f t="shared" si="71"/>
        <v>1.3908169797415364E-2</v>
      </c>
    </row>
    <row r="88" spans="1:15" x14ac:dyDescent="0.25">
      <c r="A88" s="122" t="s">
        <v>788</v>
      </c>
      <c r="C88" s="5" t="s">
        <v>1896</v>
      </c>
      <c r="E88" s="11">
        <f>VLOOKUP(A88,TB!TB1_1,5,FALSE)*-1</f>
        <v>0</v>
      </c>
      <c r="F88" s="17">
        <f t="shared" si="68"/>
        <v>0</v>
      </c>
      <c r="G88" s="17"/>
      <c r="H88" s="11">
        <f>VLOOKUP(A88,TB!TB,5,FALSE)*-1</f>
        <v>0</v>
      </c>
      <c r="I88" s="17">
        <f t="shared" si="69"/>
        <v>0</v>
      </c>
      <c r="J88" s="17"/>
      <c r="K88" s="11">
        <f>VLOOKUP(A88,TB!TB1_1,4,FALSE)*-1</f>
        <v>0</v>
      </c>
      <c r="L88" s="17">
        <f t="shared" si="70"/>
        <v>0</v>
      </c>
      <c r="N88" s="11">
        <f>VLOOKUP(A88,TB!TB,4,FALSE)*-1</f>
        <v>0</v>
      </c>
      <c r="O88" s="17">
        <f t="shared" si="71"/>
        <v>0</v>
      </c>
    </row>
    <row r="89" spans="1:15" x14ac:dyDescent="0.25">
      <c r="A89" s="122" t="s">
        <v>240</v>
      </c>
      <c r="C89" s="5" t="s">
        <v>1897</v>
      </c>
      <c r="E89" s="11">
        <f>VLOOKUP(A89,TB!TB1_1,5,FALSE)*-1</f>
        <v>0</v>
      </c>
      <c r="F89" s="17">
        <f t="shared" si="68"/>
        <v>0</v>
      </c>
      <c r="G89" s="17"/>
      <c r="H89" s="11">
        <f>VLOOKUP(A89,TB!TB,5,FALSE)*-1</f>
        <v>0</v>
      </c>
      <c r="I89" s="17">
        <f t="shared" si="69"/>
        <v>0</v>
      </c>
      <c r="J89" s="17"/>
      <c r="K89" s="11">
        <f>VLOOKUP(A89,TB!TB1_1,4,FALSE)*-1</f>
        <v>0</v>
      </c>
      <c r="L89" s="17">
        <f t="shared" si="70"/>
        <v>0</v>
      </c>
      <c r="N89" s="11">
        <f>VLOOKUP(A89,TB!TB,4,FALSE)*-1</f>
        <v>0</v>
      </c>
      <c r="O89" s="17">
        <f t="shared" si="71"/>
        <v>0</v>
      </c>
    </row>
    <row r="90" spans="1:15" x14ac:dyDescent="0.25">
      <c r="A90" s="122" t="s">
        <v>789</v>
      </c>
      <c r="C90" s="5" t="s">
        <v>1898</v>
      </c>
      <c r="E90" s="11">
        <f>VLOOKUP(A90,TB!TB1_1,5,FALSE)*-1</f>
        <v>0</v>
      </c>
      <c r="F90" s="17">
        <f t="shared" si="68"/>
        <v>0</v>
      </c>
      <c r="G90" s="17"/>
      <c r="H90" s="11">
        <f>VLOOKUP(A90,TB!TB,5,FALSE)*-1</f>
        <v>0</v>
      </c>
      <c r="I90" s="17">
        <f t="shared" si="69"/>
        <v>0</v>
      </c>
      <c r="J90" s="17"/>
      <c r="K90" s="11">
        <f>VLOOKUP(A90,TB!TB1_1,4,FALSE)*-1</f>
        <v>0</v>
      </c>
      <c r="L90" s="17">
        <f t="shared" si="70"/>
        <v>0</v>
      </c>
      <c r="N90" s="11">
        <f>VLOOKUP(A90,TB!TB,4,FALSE)*-1</f>
        <v>0</v>
      </c>
      <c r="O90" s="17">
        <f t="shared" si="71"/>
        <v>0</v>
      </c>
    </row>
    <row r="91" spans="1:15" x14ac:dyDescent="0.25">
      <c r="A91" s="122" t="s">
        <v>242</v>
      </c>
      <c r="C91" s="5" t="s">
        <v>1899</v>
      </c>
      <c r="E91" s="11">
        <f>VLOOKUP(A91,TB!TB1_1,5,FALSE)*-1</f>
        <v>20610</v>
      </c>
      <c r="F91" s="17">
        <f t="shared" ref="F91:F123" si="88">IF(E$160,E91/E$160,0)</f>
        <v>6.9669213717006209E-3</v>
      </c>
      <c r="G91" s="17"/>
      <c r="H91" s="11">
        <f>VLOOKUP(A91,TB!TB,5,FALSE)*-1</f>
        <v>28594.48</v>
      </c>
      <c r="I91" s="17">
        <f t="shared" ref="I91:I123" si="89">IF(H$160,H91/H$160,0)</f>
        <v>1.2973472941722903E-2</v>
      </c>
      <c r="J91" s="17"/>
      <c r="K91" s="11">
        <f>VLOOKUP(A91,TB!TB1_1,4,FALSE)*-1</f>
        <v>20610</v>
      </c>
      <c r="L91" s="17">
        <f t="shared" ref="L91:L123" si="90">IF(K$160,K91/K$160,0)</f>
        <v>6.9669213717006209E-3</v>
      </c>
      <c r="N91" s="11">
        <f>VLOOKUP(A91,TB!TB,4,FALSE)*-1</f>
        <v>28594.48</v>
      </c>
      <c r="O91" s="17">
        <f t="shared" ref="O91:O123" si="91">IF(N$160,N91/N$160,0)</f>
        <v>1.2973472941722903E-2</v>
      </c>
    </row>
    <row r="92" spans="1:15" x14ac:dyDescent="0.25">
      <c r="A92" s="122" t="s">
        <v>790</v>
      </c>
      <c r="C92" s="5" t="s">
        <v>1900</v>
      </c>
      <c r="E92" s="11">
        <f>VLOOKUP(A92,TB!TB1_1,5,FALSE)*-1</f>
        <v>1585</v>
      </c>
      <c r="F92" s="17">
        <f t="shared" si="88"/>
        <v>5.357870147571802E-4</v>
      </c>
      <c r="G92" s="17"/>
      <c r="H92" s="11">
        <f>VLOOKUP(A92,TB!TB,5,FALSE)*-1</f>
        <v>6532.26</v>
      </c>
      <c r="I92" s="17">
        <f t="shared" si="89"/>
        <v>2.9637223113796385E-3</v>
      </c>
      <c r="J92" s="17"/>
      <c r="K92" s="11">
        <f>VLOOKUP(A92,TB!TB1_1,4,FALSE)*-1</f>
        <v>1585</v>
      </c>
      <c r="L92" s="17">
        <f t="shared" si="90"/>
        <v>5.357870147571802E-4</v>
      </c>
      <c r="N92" s="11">
        <f>VLOOKUP(A92,TB!TB,4,FALSE)*-1</f>
        <v>6532.26</v>
      </c>
      <c r="O92" s="17">
        <f t="shared" si="91"/>
        <v>2.9637223113796385E-3</v>
      </c>
    </row>
    <row r="93" spans="1:15" x14ac:dyDescent="0.25">
      <c r="A93" s="122" t="s">
        <v>244</v>
      </c>
      <c r="C93" s="5" t="s">
        <v>1661</v>
      </c>
      <c r="E93" s="11">
        <f>VLOOKUP(A93,TB!TB1_1,5,FALSE)*-1</f>
        <v>16631.45</v>
      </c>
      <c r="F93" s="17">
        <f t="shared" si="88"/>
        <v>5.6220283574658072E-3</v>
      </c>
      <c r="G93" s="17"/>
      <c r="H93" s="11">
        <f>VLOOKUP(A93,TB!TB,5,FALSE)*-1</f>
        <v>17544.43</v>
      </c>
      <c r="I93" s="17">
        <f t="shared" si="89"/>
        <v>7.9600044443176275E-3</v>
      </c>
      <c r="J93" s="17"/>
      <c r="K93" s="11">
        <f>VLOOKUP(A93,TB!TB1_1,4,FALSE)*-1</f>
        <v>16631.45</v>
      </c>
      <c r="L93" s="17">
        <f t="shared" si="90"/>
        <v>5.6220283574658072E-3</v>
      </c>
      <c r="N93" s="11">
        <f>VLOOKUP(A93,TB!TB,4,FALSE)*-1</f>
        <v>17544.43</v>
      </c>
      <c r="O93" s="17">
        <f t="shared" si="91"/>
        <v>7.9600044443176275E-3</v>
      </c>
    </row>
    <row r="94" spans="1:15" x14ac:dyDescent="0.25">
      <c r="A94" s="122" t="s">
        <v>791</v>
      </c>
      <c r="C94" s="5" t="s">
        <v>1662</v>
      </c>
      <c r="E94" s="11">
        <f>VLOOKUP(A94,TB!TB1_1,5,FALSE)*-1</f>
        <v>1178.01</v>
      </c>
      <c r="F94" s="17">
        <f t="shared" si="88"/>
        <v>3.9820975473445159E-4</v>
      </c>
      <c r="G94" s="17"/>
      <c r="H94" s="11">
        <f>VLOOKUP(A94,TB!TB,5,FALSE)*-1</f>
        <v>2357.5</v>
      </c>
      <c r="I94" s="17">
        <f t="shared" si="89"/>
        <v>1.0696107241716492E-3</v>
      </c>
      <c r="J94" s="17"/>
      <c r="K94" s="11">
        <f>VLOOKUP(A94,TB!TB1_1,4,FALSE)*-1</f>
        <v>1178.01</v>
      </c>
      <c r="L94" s="17">
        <f t="shared" si="90"/>
        <v>3.9820975473445159E-4</v>
      </c>
      <c r="N94" s="11">
        <f>VLOOKUP(A94,TB!TB,4,FALSE)*-1</f>
        <v>2357.5</v>
      </c>
      <c r="O94" s="17">
        <f t="shared" si="91"/>
        <v>1.0696107241716492E-3</v>
      </c>
    </row>
    <row r="95" spans="1:15" x14ac:dyDescent="0.25">
      <c r="A95" s="122" t="s">
        <v>246</v>
      </c>
      <c r="C95" s="5" t="s">
        <v>1901</v>
      </c>
      <c r="E95" s="11">
        <f>VLOOKUP(A95,TB!TB1_1,5,FALSE)*-1</f>
        <v>7077.48</v>
      </c>
      <c r="F95" s="17">
        <f t="shared" si="88"/>
        <v>2.3924428272578215E-3</v>
      </c>
      <c r="G95" s="17"/>
      <c r="H95" s="11">
        <f>VLOOKUP(A95,TB!TB,5,FALSE)*-1</f>
        <v>3538.74</v>
      </c>
      <c r="I95" s="17">
        <f t="shared" si="89"/>
        <v>1.6055458129608407E-3</v>
      </c>
      <c r="J95" s="17"/>
      <c r="K95" s="11">
        <f>VLOOKUP(A95,TB!TB1_1,4,FALSE)*-1</f>
        <v>7077.48</v>
      </c>
      <c r="L95" s="17">
        <f t="shared" si="90"/>
        <v>2.3924428272578215E-3</v>
      </c>
      <c r="N95" s="11">
        <f>VLOOKUP(A95,TB!TB,4,FALSE)*-1</f>
        <v>3538.74</v>
      </c>
      <c r="O95" s="17">
        <f t="shared" si="91"/>
        <v>1.6055458129608407E-3</v>
      </c>
    </row>
    <row r="96" spans="1:15" x14ac:dyDescent="0.25">
      <c r="A96" s="122" t="s">
        <v>792</v>
      </c>
      <c r="C96" s="5" t="s">
        <v>1902</v>
      </c>
      <c r="E96" s="11">
        <f>VLOOKUP(A96,TB!TB1_1,5,FALSE)*-1</f>
        <v>0</v>
      </c>
      <c r="F96" s="17">
        <f t="shared" si="88"/>
        <v>0</v>
      </c>
      <c r="G96" s="17"/>
      <c r="H96" s="11">
        <f>VLOOKUP(A96,TB!TB,5,FALSE)*-1</f>
        <v>0</v>
      </c>
      <c r="I96" s="17">
        <f t="shared" si="89"/>
        <v>0</v>
      </c>
      <c r="J96" s="17"/>
      <c r="K96" s="11">
        <f>VLOOKUP(A96,TB!TB1_1,4,FALSE)*-1</f>
        <v>0</v>
      </c>
      <c r="L96" s="17">
        <f t="shared" si="90"/>
        <v>0</v>
      </c>
      <c r="N96" s="11">
        <f>VLOOKUP(A96,TB!TB,4,FALSE)*-1</f>
        <v>0</v>
      </c>
      <c r="O96" s="17">
        <f t="shared" si="91"/>
        <v>0</v>
      </c>
    </row>
    <row r="97" spans="1:15" x14ac:dyDescent="0.25">
      <c r="A97" s="122" t="s">
        <v>248</v>
      </c>
      <c r="C97" s="5" t="s">
        <v>1903</v>
      </c>
      <c r="E97" s="11">
        <f>VLOOKUP(A97,TB!TB1_1,5,FALSE)*-1</f>
        <v>1065</v>
      </c>
      <c r="F97" s="17">
        <f t="shared" si="88"/>
        <v>3.6000830960025042E-4</v>
      </c>
      <c r="G97" s="17"/>
      <c r="H97" s="11">
        <f>VLOOKUP(A97,TB!TB,5,FALSE)*-1</f>
        <v>4237.6000000000004</v>
      </c>
      <c r="I97" s="17">
        <f t="shared" si="89"/>
        <v>1.9226224410391437E-3</v>
      </c>
      <c r="J97" s="17"/>
      <c r="K97" s="11">
        <f>VLOOKUP(A97,TB!TB1_1,4,FALSE)*-1</f>
        <v>1065</v>
      </c>
      <c r="L97" s="17">
        <f t="shared" si="90"/>
        <v>3.6000830960025042E-4</v>
      </c>
      <c r="N97" s="11">
        <f>VLOOKUP(A97,TB!TB,4,FALSE)*-1</f>
        <v>4237.6000000000004</v>
      </c>
      <c r="O97" s="17">
        <f t="shared" si="91"/>
        <v>1.9226224410391437E-3</v>
      </c>
    </row>
    <row r="98" spans="1:15" x14ac:dyDescent="0.25">
      <c r="A98" s="122" t="s">
        <v>793</v>
      </c>
      <c r="C98" s="5" t="s">
        <v>1904</v>
      </c>
      <c r="E98" s="11">
        <f>VLOOKUP(A98,TB!TB1_1,5,FALSE)*-1</f>
        <v>0</v>
      </c>
      <c r="F98" s="17">
        <f t="shared" si="88"/>
        <v>0</v>
      </c>
      <c r="G98" s="17"/>
      <c r="H98" s="11">
        <f>VLOOKUP(A98,TB!TB,5,FALSE)*-1</f>
        <v>0</v>
      </c>
      <c r="I98" s="17">
        <f t="shared" si="89"/>
        <v>0</v>
      </c>
      <c r="J98" s="17"/>
      <c r="K98" s="11">
        <f>VLOOKUP(A98,TB!TB1_1,4,FALSE)*-1</f>
        <v>0</v>
      </c>
      <c r="L98" s="17">
        <f t="shared" si="90"/>
        <v>0</v>
      </c>
      <c r="N98" s="11">
        <f>VLOOKUP(A98,TB!TB,4,FALSE)*-1</f>
        <v>0</v>
      </c>
      <c r="O98" s="17">
        <f t="shared" si="91"/>
        <v>0</v>
      </c>
    </row>
    <row r="99" spans="1:15" x14ac:dyDescent="0.25">
      <c r="A99" s="122" t="s">
        <v>250</v>
      </c>
      <c r="C99" s="5" t="s">
        <v>1905</v>
      </c>
      <c r="E99" s="11">
        <f>VLOOKUP(A99,TB!TB1_1,5,FALSE)*-1</f>
        <v>1931.74</v>
      </c>
      <c r="F99" s="17">
        <f t="shared" si="88"/>
        <v>6.5299760749970679E-4</v>
      </c>
      <c r="G99" s="17"/>
      <c r="H99" s="11">
        <f>VLOOKUP(A99,TB!TB,5,FALSE)*-1</f>
        <v>2311.21</v>
      </c>
      <c r="I99" s="17">
        <f t="shared" si="89"/>
        <v>1.048608696421106E-3</v>
      </c>
      <c r="J99" s="17"/>
      <c r="K99" s="11">
        <f>VLOOKUP(A99,TB!TB1_1,4,FALSE)*-1</f>
        <v>1931.74</v>
      </c>
      <c r="L99" s="17">
        <f t="shared" si="90"/>
        <v>6.5299760749970679E-4</v>
      </c>
      <c r="N99" s="11">
        <f>VLOOKUP(A99,TB!TB,4,FALSE)*-1</f>
        <v>2311.21</v>
      </c>
      <c r="O99" s="17">
        <f t="shared" si="91"/>
        <v>1.048608696421106E-3</v>
      </c>
    </row>
    <row r="100" spans="1:15" x14ac:dyDescent="0.25">
      <c r="A100" s="122" t="s">
        <v>794</v>
      </c>
      <c r="C100" s="5" t="s">
        <v>1906</v>
      </c>
      <c r="E100" s="11">
        <f>VLOOKUP(A100,TB!TB1_1,5,FALSE)*-1</f>
        <v>194.96</v>
      </c>
      <c r="F100" s="17">
        <f t="shared" si="88"/>
        <v>6.5903492994990448E-5</v>
      </c>
      <c r="G100" s="17"/>
      <c r="H100" s="11">
        <f>VLOOKUP(A100,TB!TB,5,FALSE)*-1</f>
        <v>0</v>
      </c>
      <c r="I100" s="17">
        <f t="shared" si="89"/>
        <v>0</v>
      </c>
      <c r="J100" s="17"/>
      <c r="K100" s="11">
        <f>VLOOKUP(A100,TB!TB1_1,4,FALSE)*-1</f>
        <v>194.96</v>
      </c>
      <c r="L100" s="17">
        <f t="shared" si="90"/>
        <v>6.5903492994990448E-5</v>
      </c>
      <c r="N100" s="11">
        <f>VLOOKUP(A100,TB!TB,4,FALSE)*-1</f>
        <v>0</v>
      </c>
      <c r="O100" s="17">
        <f t="shared" si="91"/>
        <v>0</v>
      </c>
    </row>
    <row r="101" spans="1:15" x14ac:dyDescent="0.25">
      <c r="A101" s="122" t="s">
        <v>252</v>
      </c>
      <c r="C101" s="5" t="s">
        <v>1907</v>
      </c>
      <c r="E101" s="11">
        <f>VLOOKUP(A101,TB!TB1_1,5,FALSE)*-1</f>
        <v>0</v>
      </c>
      <c r="F101" s="17">
        <f t="shared" si="88"/>
        <v>0</v>
      </c>
      <c r="G101" s="17"/>
      <c r="H101" s="11">
        <f>VLOOKUP(A101,TB!TB,5,FALSE)*-1</f>
        <v>0</v>
      </c>
      <c r="I101" s="17">
        <f t="shared" si="89"/>
        <v>0</v>
      </c>
      <c r="J101" s="17"/>
      <c r="K101" s="11">
        <f>VLOOKUP(A101,TB!TB1_1,4,FALSE)*-1</f>
        <v>0</v>
      </c>
      <c r="L101" s="17">
        <f t="shared" si="90"/>
        <v>0</v>
      </c>
      <c r="N101" s="11">
        <f>VLOOKUP(A101,TB!TB,4,FALSE)*-1</f>
        <v>0</v>
      </c>
      <c r="O101" s="17">
        <f t="shared" si="91"/>
        <v>0</v>
      </c>
    </row>
    <row r="102" spans="1:15" x14ac:dyDescent="0.25">
      <c r="A102" s="123" t="s">
        <v>1483</v>
      </c>
      <c r="C102" s="5" t="s">
        <v>1908</v>
      </c>
      <c r="E102" s="11">
        <f>VLOOKUP(A102,TB!TB1_1,5,FALSE)*-1</f>
        <v>800</v>
      </c>
      <c r="F102" s="17">
        <f t="shared" ref="F102" si="92">IF(E$160,E102/E$160,0)</f>
        <v>2.7042877716450736E-4</v>
      </c>
      <c r="G102" s="17"/>
      <c r="H102" s="11">
        <f>VLOOKUP(A102,TB!TB,5,FALSE)*-1</f>
        <v>0</v>
      </c>
      <c r="I102" s="17">
        <f t="shared" ref="I102" si="93">IF(H$160,H102/H$160,0)</f>
        <v>0</v>
      </c>
      <c r="J102" s="17"/>
      <c r="K102" s="11">
        <f>VLOOKUP(A102,TB!TB1_1,4,FALSE)*-1</f>
        <v>800</v>
      </c>
      <c r="L102" s="17">
        <f t="shared" ref="L102" si="94">IF(K$160,K102/K$160,0)</f>
        <v>2.7042877716450736E-4</v>
      </c>
      <c r="N102" s="11">
        <f>VLOOKUP(A102,TB!TB,4,FALSE)*-1</f>
        <v>0</v>
      </c>
      <c r="O102" s="17">
        <f t="shared" ref="O102" si="95">IF(N$160,N102/N$160,0)</f>
        <v>0</v>
      </c>
    </row>
    <row r="103" spans="1:15" x14ac:dyDescent="0.25">
      <c r="A103" s="122" t="s">
        <v>254</v>
      </c>
      <c r="C103" s="5" t="s">
        <v>1909</v>
      </c>
      <c r="E103" s="11">
        <f>VLOOKUP(A103,TB!TB1_1,5,FALSE)*-1</f>
        <v>18597.099999999999</v>
      </c>
      <c r="F103" s="17">
        <f t="shared" si="88"/>
        <v>6.2864887647575739E-3</v>
      </c>
      <c r="G103" s="17"/>
      <c r="H103" s="11">
        <f>VLOOKUP(A103,TB!TB,5,FALSE)*-1</f>
        <v>0</v>
      </c>
      <c r="I103" s="17">
        <f t="shared" si="89"/>
        <v>0</v>
      </c>
      <c r="J103" s="17"/>
      <c r="K103" s="11">
        <f>VLOOKUP(A103,TB!TB1_1,4,FALSE)*-1</f>
        <v>18597.099999999999</v>
      </c>
      <c r="L103" s="17">
        <f t="shared" si="90"/>
        <v>6.2864887647575739E-3</v>
      </c>
      <c r="N103" s="11">
        <f>VLOOKUP(A103,TB!TB,4,FALSE)*-1</f>
        <v>0</v>
      </c>
      <c r="O103" s="17">
        <f t="shared" si="91"/>
        <v>0</v>
      </c>
    </row>
    <row r="104" spans="1:15" x14ac:dyDescent="0.25">
      <c r="A104" s="122" t="s">
        <v>256</v>
      </c>
      <c r="C104" s="5" t="s">
        <v>1910</v>
      </c>
      <c r="E104" s="11">
        <f>VLOOKUP(A104,TB!TB1_1,5,FALSE)*-1</f>
        <v>-1425.45</v>
      </c>
      <c r="F104" s="17">
        <f t="shared" si="88"/>
        <v>-4.8185337551143377E-4</v>
      </c>
      <c r="G104" s="17"/>
      <c r="H104" s="11">
        <f>VLOOKUP(A104,TB!TB,5,FALSE)*-1</f>
        <v>-54.31</v>
      </c>
      <c r="I104" s="17">
        <f t="shared" si="89"/>
        <v>-2.4640745887491949E-5</v>
      </c>
      <c r="J104" s="17"/>
      <c r="K104" s="11">
        <f>VLOOKUP(A104,TB!TB1_1,4,FALSE)*-1</f>
        <v>-1425.45</v>
      </c>
      <c r="L104" s="17">
        <f t="shared" si="90"/>
        <v>-4.8185337551143377E-4</v>
      </c>
      <c r="N104" s="11">
        <f>VLOOKUP(A104,TB!TB,4,FALSE)*-1</f>
        <v>-54.31</v>
      </c>
      <c r="O104" s="17">
        <f t="shared" si="91"/>
        <v>-2.4640745887491949E-5</v>
      </c>
    </row>
    <row r="105" spans="1:15" x14ac:dyDescent="0.25">
      <c r="A105" s="122" t="s">
        <v>258</v>
      </c>
      <c r="C105" s="5" t="s">
        <v>1911</v>
      </c>
      <c r="E105" s="11">
        <f>VLOOKUP(A105,TB!TB1_1,5,FALSE)*-1</f>
        <v>0</v>
      </c>
      <c r="F105" s="17">
        <f t="shared" si="88"/>
        <v>0</v>
      </c>
      <c r="G105" s="17"/>
      <c r="H105" s="11">
        <f>VLOOKUP(A105,TB!TB,5,FALSE)*-1</f>
        <v>0</v>
      </c>
      <c r="I105" s="17">
        <f t="shared" si="89"/>
        <v>0</v>
      </c>
      <c r="J105" s="17"/>
      <c r="K105" s="11">
        <f>VLOOKUP(A105,TB!TB1_1,4,FALSE)*-1</f>
        <v>0</v>
      </c>
      <c r="L105" s="17">
        <f t="shared" si="90"/>
        <v>0</v>
      </c>
      <c r="N105" s="11">
        <f>VLOOKUP(A105,TB!TB,4,FALSE)*-1</f>
        <v>0</v>
      </c>
      <c r="O105" s="17">
        <f t="shared" si="91"/>
        <v>0</v>
      </c>
    </row>
    <row r="106" spans="1:15" x14ac:dyDescent="0.25">
      <c r="A106" s="122" t="s">
        <v>260</v>
      </c>
      <c r="C106" s="5" t="s">
        <v>1912</v>
      </c>
      <c r="E106" s="11">
        <f>VLOOKUP(A106,TB!TB1_1,5,FALSE)*-1</f>
        <v>180536.29</v>
      </c>
      <c r="F106" s="17">
        <f t="shared" si="88"/>
        <v>6.1027760173146095E-2</v>
      </c>
      <c r="G106" s="17"/>
      <c r="H106" s="11">
        <f>VLOOKUP(A106,TB!TB,5,FALSE)*-1</f>
        <v>226195.08</v>
      </c>
      <c r="I106" s="17">
        <f t="shared" si="89"/>
        <v>0.10262595262899857</v>
      </c>
      <c r="J106" s="17"/>
      <c r="K106" s="11">
        <f>VLOOKUP(A106,TB!TB1_1,4,FALSE)*-1</f>
        <v>180536.29</v>
      </c>
      <c r="L106" s="17">
        <f t="shared" si="90"/>
        <v>6.1027760173146095E-2</v>
      </c>
      <c r="N106" s="11">
        <f>VLOOKUP(A106,TB!TB,4,FALSE)*-1</f>
        <v>226195.08</v>
      </c>
      <c r="O106" s="17">
        <f t="shared" si="91"/>
        <v>0.10262595262899857</v>
      </c>
    </row>
    <row r="107" spans="1:15" x14ac:dyDescent="0.25">
      <c r="A107" s="122" t="s">
        <v>795</v>
      </c>
      <c r="C107" s="5" t="s">
        <v>1913</v>
      </c>
      <c r="E107" s="11">
        <f>VLOOKUP(A107,TB!TB1_1,5,FALSE)*-1</f>
        <v>0</v>
      </c>
      <c r="F107" s="17">
        <f t="shared" si="88"/>
        <v>0</v>
      </c>
      <c r="G107" s="17"/>
      <c r="H107" s="11">
        <f>VLOOKUP(A107,TB!TB,5,FALSE)*-1</f>
        <v>0</v>
      </c>
      <c r="I107" s="17">
        <f t="shared" si="89"/>
        <v>0</v>
      </c>
      <c r="J107" s="17"/>
      <c r="K107" s="11">
        <f>VLOOKUP(A107,TB!TB1_1,4,FALSE)*-1</f>
        <v>0</v>
      </c>
      <c r="L107" s="17">
        <f t="shared" si="90"/>
        <v>0</v>
      </c>
      <c r="N107" s="11">
        <f>VLOOKUP(A107,TB!TB,4,FALSE)*-1</f>
        <v>0</v>
      </c>
      <c r="O107" s="17">
        <f t="shared" si="91"/>
        <v>0</v>
      </c>
    </row>
    <row r="108" spans="1:15" x14ac:dyDescent="0.25">
      <c r="A108" s="122" t="s">
        <v>262</v>
      </c>
      <c r="C108" s="5" t="s">
        <v>1914</v>
      </c>
      <c r="E108" s="11">
        <f>VLOOKUP(A108,TB!TB1_1,5,FALSE)*-1</f>
        <v>0</v>
      </c>
      <c r="F108" s="17">
        <f t="shared" si="88"/>
        <v>0</v>
      </c>
      <c r="G108" s="17"/>
      <c r="H108" s="11">
        <f>VLOOKUP(A108,TB!TB,5,FALSE)*-1</f>
        <v>0</v>
      </c>
      <c r="I108" s="17">
        <f t="shared" si="89"/>
        <v>0</v>
      </c>
      <c r="J108" s="17"/>
      <c r="K108" s="11">
        <f>VLOOKUP(A108,TB!TB1_1,4,FALSE)*-1</f>
        <v>0</v>
      </c>
      <c r="L108" s="17">
        <f t="shared" si="90"/>
        <v>0</v>
      </c>
      <c r="N108" s="11">
        <f>VLOOKUP(A108,TB!TB,4,FALSE)*-1</f>
        <v>0</v>
      </c>
      <c r="O108" s="17">
        <f t="shared" si="91"/>
        <v>0</v>
      </c>
    </row>
    <row r="109" spans="1:15" x14ac:dyDescent="0.25">
      <c r="A109" s="122" t="s">
        <v>796</v>
      </c>
      <c r="C109" s="5" t="s">
        <v>1915</v>
      </c>
      <c r="E109" s="11">
        <f>VLOOKUP(A109,TB!TB1_1,5,FALSE)*-1</f>
        <v>0</v>
      </c>
      <c r="F109" s="17">
        <f t="shared" si="88"/>
        <v>0</v>
      </c>
      <c r="G109" s="17"/>
      <c r="H109" s="11">
        <f>VLOOKUP(A109,TB!TB,5,FALSE)*-1</f>
        <v>0</v>
      </c>
      <c r="I109" s="17">
        <f t="shared" si="89"/>
        <v>0</v>
      </c>
      <c r="J109" s="17"/>
      <c r="K109" s="11">
        <f>VLOOKUP(A109,TB!TB1_1,4,FALSE)*-1</f>
        <v>0</v>
      </c>
      <c r="L109" s="17">
        <f t="shared" si="90"/>
        <v>0</v>
      </c>
      <c r="N109" s="11">
        <f>VLOOKUP(A109,TB!TB,4,FALSE)*-1</f>
        <v>0</v>
      </c>
      <c r="O109" s="17">
        <f t="shared" si="91"/>
        <v>0</v>
      </c>
    </row>
    <row r="110" spans="1:15" x14ac:dyDescent="0.25">
      <c r="A110" s="122" t="s">
        <v>264</v>
      </c>
      <c r="C110" s="5" t="s">
        <v>1916</v>
      </c>
      <c r="E110" s="11">
        <f>VLOOKUP(A110,TB!TB1_1,5,FALSE)*-1</f>
        <v>262.5</v>
      </c>
      <c r="F110" s="17">
        <f t="shared" si="88"/>
        <v>8.8734442507103979E-5</v>
      </c>
      <c r="G110" s="17"/>
      <c r="H110" s="11">
        <f>VLOOKUP(A110,TB!TB,5,FALSE)*-1</f>
        <v>3462.5</v>
      </c>
      <c r="I110" s="17">
        <f t="shared" si="89"/>
        <v>1.5709553053846598E-3</v>
      </c>
      <c r="J110" s="17"/>
      <c r="K110" s="11">
        <f>VLOOKUP(A110,TB!TB1_1,4,FALSE)*-1</f>
        <v>262.5</v>
      </c>
      <c r="L110" s="17">
        <f t="shared" si="90"/>
        <v>8.8734442507103979E-5</v>
      </c>
      <c r="N110" s="11">
        <f>VLOOKUP(A110,TB!TB,4,FALSE)*-1</f>
        <v>3462.5</v>
      </c>
      <c r="O110" s="17">
        <f t="shared" si="91"/>
        <v>1.5709553053846598E-3</v>
      </c>
    </row>
    <row r="111" spans="1:15" x14ac:dyDescent="0.25">
      <c r="A111" s="122" t="s">
        <v>797</v>
      </c>
      <c r="C111" s="5" t="s">
        <v>1917</v>
      </c>
      <c r="E111" s="11">
        <f>VLOOKUP(A111,TB!TB1_1,5,FALSE)*-1</f>
        <v>0</v>
      </c>
      <c r="F111" s="17">
        <f t="shared" si="88"/>
        <v>0</v>
      </c>
      <c r="G111" s="17"/>
      <c r="H111" s="11">
        <f>VLOOKUP(A111,TB!TB,5,FALSE)*-1</f>
        <v>0</v>
      </c>
      <c r="I111" s="17">
        <f t="shared" si="89"/>
        <v>0</v>
      </c>
      <c r="J111" s="17"/>
      <c r="K111" s="11">
        <f>VLOOKUP(A111,TB!TB1_1,4,FALSE)*-1</f>
        <v>0</v>
      </c>
      <c r="L111" s="17">
        <f t="shared" si="90"/>
        <v>0</v>
      </c>
      <c r="N111" s="11">
        <f>VLOOKUP(A111,TB!TB,4,FALSE)*-1</f>
        <v>0</v>
      </c>
      <c r="O111" s="17">
        <f t="shared" si="91"/>
        <v>0</v>
      </c>
    </row>
    <row r="112" spans="1:15" x14ac:dyDescent="0.25">
      <c r="A112" s="122" t="s">
        <v>266</v>
      </c>
      <c r="C112" s="5" t="s">
        <v>1918</v>
      </c>
      <c r="E112" s="11">
        <f>VLOOKUP(A112,TB!TB1_1,5,FALSE)*-1</f>
        <v>0</v>
      </c>
      <c r="F112" s="17">
        <f t="shared" si="88"/>
        <v>0</v>
      </c>
      <c r="G112" s="17"/>
      <c r="H112" s="11">
        <f>VLOOKUP(A112,TB!TB,5,FALSE)*-1</f>
        <v>0</v>
      </c>
      <c r="I112" s="17">
        <f t="shared" si="89"/>
        <v>0</v>
      </c>
      <c r="J112" s="17"/>
      <c r="K112" s="11">
        <f>VLOOKUP(A112,TB!TB1_1,4,FALSE)*-1</f>
        <v>0</v>
      </c>
      <c r="L112" s="17">
        <f t="shared" si="90"/>
        <v>0</v>
      </c>
      <c r="N112" s="11">
        <f>VLOOKUP(A112,TB!TB,4,FALSE)*-1</f>
        <v>0</v>
      </c>
      <c r="O112" s="17">
        <f t="shared" si="91"/>
        <v>0</v>
      </c>
    </row>
    <row r="113" spans="1:15" x14ac:dyDescent="0.25">
      <c r="A113" s="122" t="s">
        <v>798</v>
      </c>
      <c r="C113" s="5" t="s">
        <v>1919</v>
      </c>
      <c r="E113" s="11">
        <f>VLOOKUP(A113,TB!TB1_1,5,FALSE)*-1</f>
        <v>0</v>
      </c>
      <c r="F113" s="17">
        <f t="shared" si="88"/>
        <v>0</v>
      </c>
      <c r="G113" s="17"/>
      <c r="H113" s="11">
        <f>VLOOKUP(A113,TB!TB,5,FALSE)*-1</f>
        <v>0</v>
      </c>
      <c r="I113" s="17">
        <f t="shared" si="89"/>
        <v>0</v>
      </c>
      <c r="J113" s="17"/>
      <c r="K113" s="11">
        <f>VLOOKUP(A113,TB!TB1_1,4,FALSE)*-1</f>
        <v>0</v>
      </c>
      <c r="L113" s="17">
        <f t="shared" si="90"/>
        <v>0</v>
      </c>
      <c r="N113" s="11">
        <f>VLOOKUP(A113,TB!TB,4,FALSE)*-1</f>
        <v>0</v>
      </c>
      <c r="O113" s="17">
        <f t="shared" si="91"/>
        <v>0</v>
      </c>
    </row>
    <row r="114" spans="1:15" x14ac:dyDescent="0.25">
      <c r="A114" s="122" t="s">
        <v>268</v>
      </c>
      <c r="C114" s="5" t="s">
        <v>1920</v>
      </c>
      <c r="E114" s="11">
        <f>VLOOKUP(A114,TB!TB1_1,5,FALSE)*-1</f>
        <v>0</v>
      </c>
      <c r="F114" s="17">
        <f t="shared" si="88"/>
        <v>0</v>
      </c>
      <c r="G114" s="17"/>
      <c r="H114" s="11">
        <f>VLOOKUP(A114,TB!TB,5,FALSE)*-1</f>
        <v>0</v>
      </c>
      <c r="I114" s="17">
        <f t="shared" si="89"/>
        <v>0</v>
      </c>
      <c r="J114" s="17"/>
      <c r="K114" s="11">
        <f>VLOOKUP(A114,TB!TB1_1,4,FALSE)*-1</f>
        <v>0</v>
      </c>
      <c r="L114" s="17">
        <f t="shared" si="90"/>
        <v>0</v>
      </c>
      <c r="N114" s="11">
        <f>VLOOKUP(A114,TB!TB,4,FALSE)*-1</f>
        <v>0</v>
      </c>
      <c r="O114" s="17">
        <f t="shared" si="91"/>
        <v>0</v>
      </c>
    </row>
    <row r="115" spans="1:15" x14ac:dyDescent="0.25">
      <c r="A115" s="122" t="s">
        <v>799</v>
      </c>
      <c r="C115" s="5" t="s">
        <v>1921</v>
      </c>
      <c r="E115" s="11">
        <f>VLOOKUP(A115,TB!TB1_1,5,FALSE)*-1</f>
        <v>0</v>
      </c>
      <c r="F115" s="17">
        <f t="shared" si="88"/>
        <v>0</v>
      </c>
      <c r="G115" s="17"/>
      <c r="H115" s="11">
        <f>VLOOKUP(A115,TB!TB,5,FALSE)*-1</f>
        <v>9739</v>
      </c>
      <c r="I115" s="17">
        <f t="shared" si="89"/>
        <v>4.4186378972248964E-3</v>
      </c>
      <c r="J115" s="17"/>
      <c r="K115" s="11">
        <f>VLOOKUP(A115,TB!TB1_1,4,FALSE)*-1</f>
        <v>0</v>
      </c>
      <c r="L115" s="17">
        <f t="shared" si="90"/>
        <v>0</v>
      </c>
      <c r="N115" s="11">
        <f>VLOOKUP(A115,TB!TB,4,FALSE)*-1</f>
        <v>9739</v>
      </c>
      <c r="O115" s="17">
        <f t="shared" si="91"/>
        <v>4.4186378972248964E-3</v>
      </c>
    </row>
    <row r="116" spans="1:15" x14ac:dyDescent="0.25">
      <c r="A116" s="122" t="s">
        <v>270</v>
      </c>
      <c r="C116" s="5" t="s">
        <v>1922</v>
      </c>
      <c r="E116" s="11">
        <f>VLOOKUP(A116,TB!TB1_1,5,FALSE)*-1</f>
        <v>0</v>
      </c>
      <c r="F116" s="17">
        <f t="shared" si="88"/>
        <v>0</v>
      </c>
      <c r="G116" s="17"/>
      <c r="H116" s="11">
        <f>VLOOKUP(A116,TB!TB,5,FALSE)*-1</f>
        <v>0</v>
      </c>
      <c r="I116" s="17">
        <f t="shared" si="89"/>
        <v>0</v>
      </c>
      <c r="J116" s="17"/>
      <c r="K116" s="11">
        <f>VLOOKUP(A116,TB!TB1_1,4,FALSE)*-1</f>
        <v>0</v>
      </c>
      <c r="L116" s="17">
        <f t="shared" si="90"/>
        <v>0</v>
      </c>
      <c r="N116" s="11">
        <f>VLOOKUP(A116,TB!TB,4,FALSE)*-1</f>
        <v>0</v>
      </c>
      <c r="O116" s="17">
        <f t="shared" si="91"/>
        <v>0</v>
      </c>
    </row>
    <row r="117" spans="1:15" x14ac:dyDescent="0.25">
      <c r="A117" s="122" t="s">
        <v>800</v>
      </c>
      <c r="C117" s="5" t="s">
        <v>1923</v>
      </c>
      <c r="E117" s="11">
        <f>VLOOKUP(A117,TB!TB1_1,5,FALSE)*-1</f>
        <v>0</v>
      </c>
      <c r="F117" s="17">
        <f t="shared" si="88"/>
        <v>0</v>
      </c>
      <c r="G117" s="17"/>
      <c r="H117" s="11">
        <f>VLOOKUP(A117,TB!TB,5,FALSE)*-1</f>
        <v>0</v>
      </c>
      <c r="I117" s="17">
        <f t="shared" si="89"/>
        <v>0</v>
      </c>
      <c r="J117" s="17"/>
      <c r="K117" s="11">
        <f>VLOOKUP(A117,TB!TB1_1,4,FALSE)*-1</f>
        <v>0</v>
      </c>
      <c r="L117" s="17">
        <f t="shared" si="90"/>
        <v>0</v>
      </c>
      <c r="N117" s="11">
        <f>VLOOKUP(A117,TB!TB,4,FALSE)*-1</f>
        <v>0</v>
      </c>
      <c r="O117" s="17">
        <f t="shared" si="91"/>
        <v>0</v>
      </c>
    </row>
    <row r="118" spans="1:15" x14ac:dyDescent="0.25">
      <c r="A118" s="122" t="s">
        <v>272</v>
      </c>
      <c r="C118" s="5" t="s">
        <v>1924</v>
      </c>
      <c r="E118" s="11">
        <f>VLOOKUP(A118,TB!TB1_1,5,FALSE)*-1</f>
        <v>0</v>
      </c>
      <c r="F118" s="17">
        <f t="shared" si="88"/>
        <v>0</v>
      </c>
      <c r="G118" s="17"/>
      <c r="H118" s="11">
        <f>VLOOKUP(A118,TB!TB,5,FALSE)*-1</f>
        <v>28739.73</v>
      </c>
      <c r="I118" s="17">
        <f t="shared" si="89"/>
        <v>1.3039373666085969E-2</v>
      </c>
      <c r="J118" s="17"/>
      <c r="K118" s="11">
        <f>VLOOKUP(A118,TB!TB1_1,4,FALSE)*-1</f>
        <v>0</v>
      </c>
      <c r="L118" s="17">
        <f t="shared" si="90"/>
        <v>0</v>
      </c>
      <c r="N118" s="11">
        <f>VLOOKUP(A118,TB!TB,4,FALSE)*-1</f>
        <v>28739.73</v>
      </c>
      <c r="O118" s="17">
        <f t="shared" si="91"/>
        <v>1.3039373666085969E-2</v>
      </c>
    </row>
    <row r="119" spans="1:15" x14ac:dyDescent="0.25">
      <c r="A119" s="122" t="s">
        <v>801</v>
      </c>
      <c r="C119" s="5" t="s">
        <v>1925</v>
      </c>
      <c r="E119" s="11">
        <f>VLOOKUP(A119,TB!TB1_1,5,FALSE)*-1</f>
        <v>0</v>
      </c>
      <c r="F119" s="17">
        <f t="shared" si="88"/>
        <v>0</v>
      </c>
      <c r="G119" s="17"/>
      <c r="H119" s="11">
        <f>VLOOKUP(A119,TB!TB,5,FALSE)*-1</f>
        <v>0</v>
      </c>
      <c r="I119" s="17">
        <f t="shared" si="89"/>
        <v>0</v>
      </c>
      <c r="J119" s="17"/>
      <c r="K119" s="11">
        <f>VLOOKUP(A119,TB!TB1_1,4,FALSE)*-1</f>
        <v>0</v>
      </c>
      <c r="L119" s="17">
        <f t="shared" si="90"/>
        <v>0</v>
      </c>
      <c r="N119" s="11">
        <f>VLOOKUP(A119,TB!TB,4,FALSE)*-1</f>
        <v>0</v>
      </c>
      <c r="O119" s="17">
        <f t="shared" si="91"/>
        <v>0</v>
      </c>
    </row>
    <row r="120" spans="1:15" x14ac:dyDescent="0.25">
      <c r="A120" s="122" t="s">
        <v>274</v>
      </c>
      <c r="C120" s="5" t="s">
        <v>1926</v>
      </c>
      <c r="E120" s="11">
        <f>VLOOKUP(A120,TB!TB1_1,5,FALSE)*-1</f>
        <v>0</v>
      </c>
      <c r="F120" s="17">
        <f t="shared" si="88"/>
        <v>0</v>
      </c>
      <c r="G120" s="17"/>
      <c r="H120" s="11">
        <f>VLOOKUP(A120,TB!TB,5,FALSE)*-1</f>
        <v>0</v>
      </c>
      <c r="I120" s="17">
        <f t="shared" si="89"/>
        <v>0</v>
      </c>
      <c r="J120" s="17"/>
      <c r="K120" s="11">
        <f>VLOOKUP(A120,TB!TB1_1,4,FALSE)*-1</f>
        <v>0</v>
      </c>
      <c r="L120" s="17">
        <f t="shared" si="90"/>
        <v>0</v>
      </c>
      <c r="N120" s="11">
        <f>VLOOKUP(A120,TB!TB,4,FALSE)*-1</f>
        <v>0</v>
      </c>
      <c r="O120" s="17">
        <f t="shared" si="91"/>
        <v>0</v>
      </c>
    </row>
    <row r="121" spans="1:15" x14ac:dyDescent="0.25">
      <c r="A121" s="122" t="s">
        <v>802</v>
      </c>
      <c r="C121" s="5" t="s">
        <v>1927</v>
      </c>
      <c r="E121" s="11">
        <f>VLOOKUP(A121,TB!TB1_1,5,FALSE)*-1</f>
        <v>0</v>
      </c>
      <c r="F121" s="17">
        <f t="shared" si="88"/>
        <v>0</v>
      </c>
      <c r="G121" s="17"/>
      <c r="H121" s="11">
        <f>VLOOKUP(A121,TB!TB,5,FALSE)*-1</f>
        <v>0</v>
      </c>
      <c r="I121" s="17">
        <f t="shared" si="89"/>
        <v>0</v>
      </c>
      <c r="J121" s="17"/>
      <c r="K121" s="11">
        <f>VLOOKUP(A121,TB!TB1_1,4,FALSE)*-1</f>
        <v>0</v>
      </c>
      <c r="L121" s="17">
        <f t="shared" si="90"/>
        <v>0</v>
      </c>
      <c r="N121" s="11">
        <f>VLOOKUP(A121,TB!TB,4,FALSE)*-1</f>
        <v>0</v>
      </c>
      <c r="O121" s="17">
        <f t="shared" si="91"/>
        <v>0</v>
      </c>
    </row>
    <row r="122" spans="1:15" x14ac:dyDescent="0.25">
      <c r="A122" s="122" t="s">
        <v>1185</v>
      </c>
      <c r="C122" s="5" t="s">
        <v>1325</v>
      </c>
      <c r="E122" s="11">
        <f>VLOOKUP(A122,TB!TB1_1,5,FALSE)*-1</f>
        <v>0</v>
      </c>
      <c r="F122" s="17">
        <f t="shared" si="88"/>
        <v>0</v>
      </c>
      <c r="G122" s="17"/>
      <c r="H122" s="11">
        <f>VLOOKUP(A122,TB!TB,5,FALSE)*-1</f>
        <v>115000</v>
      </c>
      <c r="I122" s="17">
        <f t="shared" si="89"/>
        <v>5.2176132886421915E-2</v>
      </c>
      <c r="J122" s="17"/>
      <c r="K122" s="11">
        <f>VLOOKUP(A122,TB!TB1_1,4,FALSE)*-1</f>
        <v>0</v>
      </c>
      <c r="L122" s="17">
        <f t="shared" si="90"/>
        <v>0</v>
      </c>
      <c r="N122" s="11">
        <f>VLOOKUP(A122,TB!TB,4,FALSE)*-1</f>
        <v>115000</v>
      </c>
      <c r="O122" s="17">
        <f t="shared" si="91"/>
        <v>5.2176132886421915E-2</v>
      </c>
    </row>
    <row r="123" spans="1:15" x14ac:dyDescent="0.25">
      <c r="A123" s="122" t="s">
        <v>276</v>
      </c>
      <c r="C123" s="5" t="s">
        <v>1928</v>
      </c>
      <c r="E123" s="11">
        <f>VLOOKUP(A123,TB!TB1_1,5,FALSE)*-1</f>
        <v>0</v>
      </c>
      <c r="F123" s="17">
        <f t="shared" si="88"/>
        <v>0</v>
      </c>
      <c r="G123" s="17"/>
      <c r="H123" s="11">
        <f>VLOOKUP(A123,TB!TB,5,FALSE)*-1</f>
        <v>0</v>
      </c>
      <c r="I123" s="17">
        <f t="shared" si="89"/>
        <v>0</v>
      </c>
      <c r="J123" s="17"/>
      <c r="K123" s="11">
        <f>VLOOKUP(A123,TB!TB1_1,4,FALSE)*-1</f>
        <v>0</v>
      </c>
      <c r="L123" s="17">
        <f t="shared" si="90"/>
        <v>0</v>
      </c>
      <c r="N123" s="11">
        <f>VLOOKUP(A123,TB!TB,4,FALSE)*-1</f>
        <v>0</v>
      </c>
      <c r="O123" s="17">
        <f t="shared" si="91"/>
        <v>0</v>
      </c>
    </row>
    <row r="124" spans="1:15" x14ac:dyDescent="0.25">
      <c r="A124" s="122" t="s">
        <v>803</v>
      </c>
      <c r="C124" s="5" t="s">
        <v>1929</v>
      </c>
      <c r="E124" s="11">
        <f>VLOOKUP(A124,TB!TB1_1,5,FALSE)*-1</f>
        <v>0</v>
      </c>
      <c r="F124" s="17">
        <f t="shared" ref="F124:F157" si="96">IF(E$160,E124/E$160,0)</f>
        <v>0</v>
      </c>
      <c r="G124" s="17"/>
      <c r="H124" s="11">
        <f>VLOOKUP(A124,TB!TB,5,FALSE)*-1</f>
        <v>0</v>
      </c>
      <c r="I124" s="17">
        <f t="shared" ref="I124:I157" si="97">IF(H$160,H124/H$160,0)</f>
        <v>0</v>
      </c>
      <c r="J124" s="17"/>
      <c r="K124" s="11">
        <f>VLOOKUP(A124,TB!TB1_1,4,FALSE)*-1</f>
        <v>0</v>
      </c>
      <c r="L124" s="17">
        <f t="shared" ref="L124:L157" si="98">IF(K$160,K124/K$160,0)</f>
        <v>0</v>
      </c>
      <c r="N124" s="11">
        <f>VLOOKUP(A124,TB!TB,4,FALSE)*-1</f>
        <v>0</v>
      </c>
      <c r="O124" s="17">
        <f t="shared" ref="O124:O157" si="99">IF(N$160,N124/N$160,0)</f>
        <v>0</v>
      </c>
    </row>
    <row r="125" spans="1:15" x14ac:dyDescent="0.25">
      <c r="A125" s="122" t="s">
        <v>278</v>
      </c>
      <c r="C125" s="5" t="s">
        <v>1930</v>
      </c>
      <c r="E125" s="11">
        <f>VLOOKUP(A125,TB!TB1_1,5,FALSE)*-1</f>
        <v>0</v>
      </c>
      <c r="F125" s="17">
        <f t="shared" si="96"/>
        <v>0</v>
      </c>
      <c r="G125" s="17"/>
      <c r="H125" s="11">
        <f>VLOOKUP(A125,TB!TB,5,FALSE)*-1</f>
        <v>0</v>
      </c>
      <c r="I125" s="17">
        <f t="shared" si="97"/>
        <v>0</v>
      </c>
      <c r="J125" s="17"/>
      <c r="K125" s="11">
        <f>VLOOKUP(A125,TB!TB1_1,4,FALSE)*-1</f>
        <v>0</v>
      </c>
      <c r="L125" s="17">
        <f t="shared" si="98"/>
        <v>0</v>
      </c>
      <c r="N125" s="11">
        <f>VLOOKUP(A125,TB!TB,4,FALSE)*-1</f>
        <v>0</v>
      </c>
      <c r="O125" s="17">
        <f t="shared" si="99"/>
        <v>0</v>
      </c>
    </row>
    <row r="126" spans="1:15" x14ac:dyDescent="0.25">
      <c r="A126" s="122" t="s">
        <v>279</v>
      </c>
      <c r="C126" s="5" t="s">
        <v>1931</v>
      </c>
      <c r="E126" s="11">
        <f>VLOOKUP(A126,TB!TB1_1,5,FALSE)*-1</f>
        <v>0</v>
      </c>
      <c r="F126" s="17">
        <f t="shared" si="96"/>
        <v>0</v>
      </c>
      <c r="G126" s="17"/>
      <c r="H126" s="11">
        <f>VLOOKUP(A126,TB!TB,5,FALSE)*-1</f>
        <v>0</v>
      </c>
      <c r="I126" s="17">
        <f t="shared" si="97"/>
        <v>0</v>
      </c>
      <c r="J126" s="17"/>
      <c r="K126" s="11">
        <f>VLOOKUP(A126,TB!TB1_1,4,FALSE)*-1</f>
        <v>0</v>
      </c>
      <c r="L126" s="17">
        <f t="shared" si="98"/>
        <v>0</v>
      </c>
      <c r="N126" s="11">
        <f>VLOOKUP(A126,TB!TB,4,FALSE)*-1</f>
        <v>0</v>
      </c>
      <c r="O126" s="17">
        <f t="shared" si="99"/>
        <v>0</v>
      </c>
    </row>
    <row r="127" spans="1:15" x14ac:dyDescent="0.25">
      <c r="A127" s="122" t="s">
        <v>1040</v>
      </c>
      <c r="C127" s="5" t="s">
        <v>1932</v>
      </c>
      <c r="E127" s="11">
        <f>VLOOKUP(A127,TB!TB1_1,5,FALSE)*-1</f>
        <v>0</v>
      </c>
      <c r="F127" s="17">
        <f t="shared" si="96"/>
        <v>0</v>
      </c>
      <c r="G127" s="17"/>
      <c r="H127" s="11">
        <f>VLOOKUP(A127,TB!TB,5,FALSE)*-1</f>
        <v>0</v>
      </c>
      <c r="I127" s="17">
        <f t="shared" si="97"/>
        <v>0</v>
      </c>
      <c r="J127" s="17"/>
      <c r="K127" s="11">
        <f>VLOOKUP(A127,TB!TB1_1,4,FALSE)*-1</f>
        <v>0</v>
      </c>
      <c r="L127" s="17">
        <f t="shared" si="98"/>
        <v>0</v>
      </c>
      <c r="N127" s="11">
        <f>VLOOKUP(A127,TB!TB,4,FALSE)*-1</f>
        <v>0</v>
      </c>
      <c r="O127" s="17">
        <f t="shared" si="99"/>
        <v>0</v>
      </c>
    </row>
    <row r="128" spans="1:15" x14ac:dyDescent="0.25">
      <c r="A128" s="122" t="s">
        <v>281</v>
      </c>
      <c r="C128" s="5" t="s">
        <v>1933</v>
      </c>
      <c r="E128" s="11">
        <f>VLOOKUP(A128,TB!TB1_1,5,FALSE)*-1</f>
        <v>0</v>
      </c>
      <c r="F128" s="17">
        <f t="shared" si="96"/>
        <v>0</v>
      </c>
      <c r="G128" s="17"/>
      <c r="H128" s="11">
        <f>VLOOKUP(A128,TB!TB,5,FALSE)*-1</f>
        <v>0</v>
      </c>
      <c r="I128" s="17">
        <f t="shared" si="97"/>
        <v>0</v>
      </c>
      <c r="J128" s="17"/>
      <c r="K128" s="11">
        <f>VLOOKUP(A128,TB!TB1_1,4,FALSE)*-1</f>
        <v>0</v>
      </c>
      <c r="L128" s="17">
        <f t="shared" si="98"/>
        <v>0</v>
      </c>
      <c r="N128" s="11">
        <f>VLOOKUP(A128,TB!TB,4,FALSE)*-1</f>
        <v>0</v>
      </c>
      <c r="O128" s="17">
        <f t="shared" si="99"/>
        <v>0</v>
      </c>
    </row>
    <row r="129" spans="1:15" x14ac:dyDescent="0.25">
      <c r="A129" s="122" t="s">
        <v>1041</v>
      </c>
      <c r="C129" s="5" t="s">
        <v>1934</v>
      </c>
      <c r="E129" s="11">
        <f>VLOOKUP(A129,TB!TB1_1,5,FALSE)*-1</f>
        <v>0</v>
      </c>
      <c r="F129" s="17">
        <f t="shared" si="96"/>
        <v>0</v>
      </c>
      <c r="G129" s="17"/>
      <c r="H129" s="11">
        <f>VLOOKUP(A129,TB!TB,5,FALSE)*-1</f>
        <v>0</v>
      </c>
      <c r="I129" s="17">
        <f t="shared" si="97"/>
        <v>0</v>
      </c>
      <c r="J129" s="17"/>
      <c r="K129" s="11">
        <f>VLOOKUP(A129,TB!TB1_1,4,FALSE)*-1</f>
        <v>0</v>
      </c>
      <c r="L129" s="17">
        <f t="shared" si="98"/>
        <v>0</v>
      </c>
      <c r="N129" s="11">
        <f>VLOOKUP(A129,TB!TB,4,FALSE)*-1</f>
        <v>0</v>
      </c>
      <c r="O129" s="17">
        <f t="shared" si="99"/>
        <v>0</v>
      </c>
    </row>
    <row r="130" spans="1:15" x14ac:dyDescent="0.25">
      <c r="A130" s="123" t="s">
        <v>1179</v>
      </c>
      <c r="C130" s="5" t="s">
        <v>2046</v>
      </c>
      <c r="E130" s="11">
        <f>VLOOKUP(A130,TB!TB1_1,5,FALSE)*-1</f>
        <v>0</v>
      </c>
      <c r="F130" s="17">
        <f t="shared" ref="F130" si="100">IF(E$160,E130/E$160,0)</f>
        <v>0</v>
      </c>
      <c r="G130" s="17"/>
      <c r="H130" s="11">
        <f>VLOOKUP(A130,TB!TB,5,FALSE)*-1</f>
        <v>0</v>
      </c>
      <c r="I130" s="17">
        <f t="shared" ref="I130" si="101">IF(H$160,H130/H$160,0)</f>
        <v>0</v>
      </c>
      <c r="J130" s="17"/>
      <c r="K130" s="11">
        <f>VLOOKUP(A130,TB!TB1_1,4,FALSE)*-1</f>
        <v>0</v>
      </c>
      <c r="L130" s="17">
        <f t="shared" ref="L130" si="102">IF(K$160,K130/K$160,0)</f>
        <v>0</v>
      </c>
      <c r="N130" s="11">
        <f>VLOOKUP(A130,TB!TB,4,FALSE)*-1</f>
        <v>0</v>
      </c>
      <c r="O130" s="17">
        <f t="shared" ref="O130" si="103">IF(N$160,N130/N$160,0)</f>
        <v>0</v>
      </c>
    </row>
    <row r="131" spans="1:15" x14ac:dyDescent="0.25">
      <c r="A131" s="123" t="s">
        <v>1403</v>
      </c>
      <c r="C131" s="5" t="s">
        <v>2047</v>
      </c>
      <c r="E131" s="11">
        <f>VLOOKUP(A131,TB!TB1_1,5,FALSE)*-1</f>
        <v>0</v>
      </c>
      <c r="F131" s="17">
        <f t="shared" ref="F131" si="104">IF(E$160,E131/E$160,0)</f>
        <v>0</v>
      </c>
      <c r="G131" s="17"/>
      <c r="H131" s="11">
        <f>VLOOKUP(A131,TB!TB,5,FALSE)*-1</f>
        <v>0</v>
      </c>
      <c r="I131" s="17">
        <f t="shared" ref="I131" si="105">IF(H$160,H131/H$160,0)</f>
        <v>0</v>
      </c>
      <c r="J131" s="17"/>
      <c r="K131" s="11">
        <f>VLOOKUP(A131,TB!TB1_1,4,FALSE)*-1</f>
        <v>0</v>
      </c>
      <c r="L131" s="17">
        <f t="shared" ref="L131" si="106">IF(K$160,K131/K$160,0)</f>
        <v>0</v>
      </c>
      <c r="N131" s="11">
        <f>VLOOKUP(A131,TB!TB,4,FALSE)*-1</f>
        <v>0</v>
      </c>
      <c r="O131" s="17">
        <f t="shared" ref="O131" si="107">IF(N$160,N131/N$160,0)</f>
        <v>0</v>
      </c>
    </row>
    <row r="132" spans="1:15" x14ac:dyDescent="0.25">
      <c r="A132" s="122" t="s">
        <v>283</v>
      </c>
      <c r="C132" s="5" t="s">
        <v>1935</v>
      </c>
      <c r="E132" s="11">
        <f>VLOOKUP(A132,TB!TB1_1,5,FALSE)*-1</f>
        <v>428.01</v>
      </c>
      <c r="F132" s="17">
        <f t="shared" si="96"/>
        <v>1.4468277614272597E-4</v>
      </c>
      <c r="G132" s="17"/>
      <c r="H132" s="11">
        <f>VLOOKUP(A132,TB!TB,5,FALSE)*-1</f>
        <v>-1372</v>
      </c>
      <c r="I132" s="17">
        <f t="shared" si="97"/>
        <v>-6.2248395061018146E-4</v>
      </c>
      <c r="J132" s="17"/>
      <c r="K132" s="11">
        <f>VLOOKUP(A132,TB!TB1_1,4,FALSE)*-1</f>
        <v>428.01</v>
      </c>
      <c r="L132" s="17">
        <f t="shared" si="98"/>
        <v>1.4468277614272597E-4</v>
      </c>
      <c r="N132" s="11">
        <f>VLOOKUP(A132,TB!TB,4,FALSE)*-1</f>
        <v>-1372</v>
      </c>
      <c r="O132" s="17">
        <f t="shared" si="99"/>
        <v>-6.2248395061018146E-4</v>
      </c>
    </row>
    <row r="133" spans="1:15" x14ac:dyDescent="0.25">
      <c r="A133" s="122" t="s">
        <v>804</v>
      </c>
      <c r="C133" s="5" t="s">
        <v>1936</v>
      </c>
      <c r="E133" s="11">
        <f>VLOOKUP(A133,TB!TB1_1,5,FALSE)*-1</f>
        <v>0</v>
      </c>
      <c r="F133" s="17">
        <f t="shared" si="96"/>
        <v>0</v>
      </c>
      <c r="G133" s="17"/>
      <c r="H133" s="11">
        <f>VLOOKUP(A133,TB!TB,5,FALSE)*-1</f>
        <v>0</v>
      </c>
      <c r="I133" s="17">
        <f t="shared" si="97"/>
        <v>0</v>
      </c>
      <c r="J133" s="17"/>
      <c r="K133" s="11">
        <f>VLOOKUP(A133,TB!TB1_1,4,FALSE)*-1</f>
        <v>0</v>
      </c>
      <c r="L133" s="17">
        <f t="shared" si="98"/>
        <v>0</v>
      </c>
      <c r="N133" s="11">
        <f>VLOOKUP(A133,TB!TB,4,FALSE)*-1</f>
        <v>0</v>
      </c>
      <c r="O133" s="17">
        <f t="shared" si="99"/>
        <v>0</v>
      </c>
    </row>
    <row r="134" spans="1:15" x14ac:dyDescent="0.25">
      <c r="A134" s="122" t="s">
        <v>285</v>
      </c>
      <c r="C134" s="5" t="s">
        <v>1937</v>
      </c>
      <c r="E134" s="11">
        <f>VLOOKUP(A134,TB!TB1_1,5,FALSE)*-1</f>
        <v>0</v>
      </c>
      <c r="F134" s="17">
        <f t="shared" si="96"/>
        <v>0</v>
      </c>
      <c r="G134" s="17"/>
      <c r="H134" s="11">
        <f>VLOOKUP(A134,TB!TB,5,FALSE)*-1</f>
        <v>0</v>
      </c>
      <c r="I134" s="17">
        <f t="shared" si="97"/>
        <v>0</v>
      </c>
      <c r="J134" s="17"/>
      <c r="K134" s="11">
        <f>VLOOKUP(A134,TB!TB1_1,4,FALSE)*-1</f>
        <v>0</v>
      </c>
      <c r="L134" s="17">
        <f t="shared" si="98"/>
        <v>0</v>
      </c>
      <c r="N134" s="11">
        <f>VLOOKUP(A134,TB!TB,4,FALSE)*-1</f>
        <v>0</v>
      </c>
      <c r="O134" s="17">
        <f t="shared" si="99"/>
        <v>0</v>
      </c>
    </row>
    <row r="135" spans="1:15" x14ac:dyDescent="0.25">
      <c r="A135" s="122" t="s">
        <v>1042</v>
      </c>
      <c r="C135" s="5" t="s">
        <v>1938</v>
      </c>
      <c r="E135" s="11">
        <f>VLOOKUP(A135,TB!TB1_1,5,FALSE)*-1</f>
        <v>0</v>
      </c>
      <c r="F135" s="17">
        <f t="shared" si="96"/>
        <v>0</v>
      </c>
      <c r="G135" s="17"/>
      <c r="H135" s="11">
        <f>VLOOKUP(A135,TB!TB,5,FALSE)*-1</f>
        <v>0</v>
      </c>
      <c r="I135" s="17">
        <f t="shared" si="97"/>
        <v>0</v>
      </c>
      <c r="J135" s="17"/>
      <c r="K135" s="11">
        <f>VLOOKUP(A135,TB!TB1_1,4,FALSE)*-1</f>
        <v>0</v>
      </c>
      <c r="L135" s="17">
        <f t="shared" si="98"/>
        <v>0</v>
      </c>
      <c r="N135" s="11">
        <f>VLOOKUP(A135,TB!TB,4,FALSE)*-1</f>
        <v>0</v>
      </c>
      <c r="O135" s="17">
        <f t="shared" si="99"/>
        <v>0</v>
      </c>
    </row>
    <row r="136" spans="1:15" x14ac:dyDescent="0.25">
      <c r="A136" s="122" t="s">
        <v>287</v>
      </c>
      <c r="C136" s="5" t="s">
        <v>1939</v>
      </c>
      <c r="E136" s="11">
        <f>VLOOKUP(A136,TB!TB1_1,5,FALSE)*-1</f>
        <v>0</v>
      </c>
      <c r="F136" s="17">
        <f t="shared" si="96"/>
        <v>0</v>
      </c>
      <c r="G136" s="17"/>
      <c r="H136" s="11">
        <f>VLOOKUP(A136,TB!TB,5,FALSE)*-1</f>
        <v>0</v>
      </c>
      <c r="I136" s="17">
        <f t="shared" si="97"/>
        <v>0</v>
      </c>
      <c r="J136" s="17"/>
      <c r="K136" s="11">
        <f>VLOOKUP(A136,TB!TB1_1,4,FALSE)*-1</f>
        <v>0</v>
      </c>
      <c r="L136" s="17">
        <f t="shared" si="98"/>
        <v>0</v>
      </c>
      <c r="N136" s="11">
        <f>VLOOKUP(A136,TB!TB,4,FALSE)*-1</f>
        <v>0</v>
      </c>
      <c r="O136" s="17">
        <f t="shared" si="99"/>
        <v>0</v>
      </c>
    </row>
    <row r="137" spans="1:15" x14ac:dyDescent="0.25">
      <c r="A137" s="122" t="s">
        <v>1043</v>
      </c>
      <c r="C137" s="5" t="s">
        <v>1940</v>
      </c>
      <c r="E137" s="11">
        <f>VLOOKUP(A137,TB!TB1_1,5,FALSE)*-1</f>
        <v>0</v>
      </c>
      <c r="F137" s="17">
        <f t="shared" si="96"/>
        <v>0</v>
      </c>
      <c r="G137" s="17"/>
      <c r="H137" s="11">
        <f>VLOOKUP(A137,TB!TB,5,FALSE)*-1</f>
        <v>0</v>
      </c>
      <c r="I137" s="17">
        <f t="shared" si="97"/>
        <v>0</v>
      </c>
      <c r="J137" s="17"/>
      <c r="K137" s="11">
        <f>VLOOKUP(A137,TB!TB1_1,4,FALSE)*-1</f>
        <v>0</v>
      </c>
      <c r="L137" s="17">
        <f t="shared" si="98"/>
        <v>0</v>
      </c>
      <c r="N137" s="11">
        <f>VLOOKUP(A137,TB!TB,4,FALSE)*-1</f>
        <v>0</v>
      </c>
      <c r="O137" s="17">
        <f t="shared" si="99"/>
        <v>0</v>
      </c>
    </row>
    <row r="138" spans="1:15" x14ac:dyDescent="0.25">
      <c r="A138" s="122" t="s">
        <v>289</v>
      </c>
      <c r="C138" s="5" t="s">
        <v>1941</v>
      </c>
      <c r="E138" s="11">
        <f>VLOOKUP(A138,TB!TB1_1,5,FALSE)*-1</f>
        <v>0</v>
      </c>
      <c r="F138" s="17">
        <f t="shared" si="96"/>
        <v>0</v>
      </c>
      <c r="G138" s="17"/>
      <c r="H138" s="11">
        <f>VLOOKUP(A138,TB!TB,5,FALSE)*-1</f>
        <v>0</v>
      </c>
      <c r="I138" s="17">
        <f t="shared" si="97"/>
        <v>0</v>
      </c>
      <c r="J138" s="17"/>
      <c r="K138" s="11">
        <f>VLOOKUP(A138,TB!TB1_1,4,FALSE)*-1</f>
        <v>0</v>
      </c>
      <c r="L138" s="17">
        <f t="shared" si="98"/>
        <v>0</v>
      </c>
      <c r="N138" s="11">
        <f>VLOOKUP(A138,TB!TB,4,FALSE)*-1</f>
        <v>0</v>
      </c>
      <c r="O138" s="17">
        <f t="shared" si="99"/>
        <v>0</v>
      </c>
    </row>
    <row r="139" spans="1:15" x14ac:dyDescent="0.25">
      <c r="A139" s="122" t="s">
        <v>805</v>
      </c>
      <c r="C139" s="5" t="s">
        <v>1942</v>
      </c>
      <c r="E139" s="11">
        <f>VLOOKUP(A139,TB!TB1_1,5,FALSE)*-1</f>
        <v>0</v>
      </c>
      <c r="F139" s="17">
        <f t="shared" si="96"/>
        <v>0</v>
      </c>
      <c r="G139" s="17"/>
      <c r="H139" s="11">
        <f>VLOOKUP(A139,TB!TB,5,FALSE)*-1</f>
        <v>0</v>
      </c>
      <c r="I139" s="17">
        <f t="shared" si="97"/>
        <v>0</v>
      </c>
      <c r="J139" s="17"/>
      <c r="K139" s="11">
        <f>VLOOKUP(A139,TB!TB1_1,4,FALSE)*-1</f>
        <v>0</v>
      </c>
      <c r="L139" s="17">
        <f t="shared" si="98"/>
        <v>0</v>
      </c>
      <c r="N139" s="11">
        <f>VLOOKUP(A139,TB!TB,4,FALSE)*-1</f>
        <v>0</v>
      </c>
      <c r="O139" s="17">
        <f t="shared" si="99"/>
        <v>0</v>
      </c>
    </row>
    <row r="140" spans="1:15" x14ac:dyDescent="0.25">
      <c r="A140" s="123" t="s">
        <v>1256</v>
      </c>
      <c r="C140" s="5" t="s">
        <v>1481</v>
      </c>
      <c r="E140" s="11">
        <f>VLOOKUP(A140,TB!TB1_1,5,FALSE)*-1</f>
        <v>0</v>
      </c>
      <c r="F140" s="17">
        <f t="shared" si="96"/>
        <v>0</v>
      </c>
      <c r="G140" s="17"/>
      <c r="H140" s="11">
        <f>VLOOKUP(A140,TB!TB,5,FALSE)*-1</f>
        <v>0</v>
      </c>
      <c r="I140" s="17">
        <f t="shared" si="97"/>
        <v>0</v>
      </c>
      <c r="J140" s="17"/>
      <c r="K140" s="11">
        <f>VLOOKUP(A140,TB!TB1_1,4,FALSE)*-1</f>
        <v>0</v>
      </c>
      <c r="L140" s="17">
        <f t="shared" si="98"/>
        <v>0</v>
      </c>
      <c r="N140" s="11">
        <f>VLOOKUP(A140,TB!TB,4,FALSE)*-1</f>
        <v>0</v>
      </c>
      <c r="O140" s="17">
        <f t="shared" si="99"/>
        <v>0</v>
      </c>
    </row>
    <row r="141" spans="1:15" x14ac:dyDescent="0.25">
      <c r="A141" s="122" t="s">
        <v>291</v>
      </c>
      <c r="C141" s="5" t="s">
        <v>1943</v>
      </c>
      <c r="E141" s="11">
        <f>VLOOKUP(A141,TB!TB1_1,5,FALSE)*-1</f>
        <v>0</v>
      </c>
      <c r="F141" s="17">
        <f t="shared" si="96"/>
        <v>0</v>
      </c>
      <c r="G141" s="17"/>
      <c r="H141" s="11">
        <f>VLOOKUP(A141,TB!TB,5,FALSE)*-1</f>
        <v>0</v>
      </c>
      <c r="I141" s="17">
        <f t="shared" si="97"/>
        <v>0</v>
      </c>
      <c r="J141" s="17"/>
      <c r="K141" s="11">
        <f>VLOOKUP(A141,TB!TB1_1,4,FALSE)*-1</f>
        <v>0</v>
      </c>
      <c r="L141" s="17">
        <f t="shared" si="98"/>
        <v>0</v>
      </c>
      <c r="N141" s="11">
        <f>VLOOKUP(A141,TB!TB,4,FALSE)*-1</f>
        <v>0</v>
      </c>
      <c r="O141" s="17">
        <f t="shared" si="99"/>
        <v>0</v>
      </c>
    </row>
    <row r="142" spans="1:15" x14ac:dyDescent="0.25">
      <c r="A142" s="122" t="s">
        <v>806</v>
      </c>
      <c r="C142" s="5" t="s">
        <v>1944</v>
      </c>
      <c r="E142" s="11">
        <f>VLOOKUP(A142,TB!TB1_1,5,FALSE)*-1</f>
        <v>0</v>
      </c>
      <c r="F142" s="17">
        <f t="shared" si="96"/>
        <v>0</v>
      </c>
      <c r="G142" s="17"/>
      <c r="H142" s="11">
        <f>VLOOKUP(A142,TB!TB,5,FALSE)*-1</f>
        <v>0</v>
      </c>
      <c r="I142" s="17">
        <f t="shared" si="97"/>
        <v>0</v>
      </c>
      <c r="J142" s="17"/>
      <c r="K142" s="11">
        <f>VLOOKUP(A142,TB!TB1_1,4,FALSE)*-1</f>
        <v>0</v>
      </c>
      <c r="L142" s="17">
        <f t="shared" si="98"/>
        <v>0</v>
      </c>
      <c r="N142" s="11">
        <f>VLOOKUP(A142,TB!TB,4,FALSE)*-1</f>
        <v>0</v>
      </c>
      <c r="O142" s="17">
        <f t="shared" si="99"/>
        <v>0</v>
      </c>
    </row>
    <row r="143" spans="1:15" x14ac:dyDescent="0.25">
      <c r="A143" s="122" t="s">
        <v>293</v>
      </c>
      <c r="C143" s="5" t="s">
        <v>1945</v>
      </c>
      <c r="E143" s="11">
        <f>VLOOKUP(A143,TB!TB1_1,5,FALSE)*-1</f>
        <v>0</v>
      </c>
      <c r="F143" s="17">
        <f t="shared" si="96"/>
        <v>0</v>
      </c>
      <c r="G143" s="17"/>
      <c r="H143" s="11">
        <f>VLOOKUP(A143,TB!TB,5,FALSE)*-1</f>
        <v>0</v>
      </c>
      <c r="I143" s="17">
        <f t="shared" si="97"/>
        <v>0</v>
      </c>
      <c r="J143" s="17"/>
      <c r="K143" s="11">
        <f>VLOOKUP(A143,TB!TB1_1,4,FALSE)*-1</f>
        <v>0</v>
      </c>
      <c r="L143" s="17">
        <f t="shared" si="98"/>
        <v>0</v>
      </c>
      <c r="N143" s="11">
        <f>VLOOKUP(A143,TB!TB,4,FALSE)*-1</f>
        <v>0</v>
      </c>
      <c r="O143" s="17">
        <f t="shared" si="99"/>
        <v>0</v>
      </c>
    </row>
    <row r="144" spans="1:15" x14ac:dyDescent="0.25">
      <c r="A144" s="122" t="s">
        <v>807</v>
      </c>
      <c r="C144" s="5" t="s">
        <v>1946</v>
      </c>
      <c r="E144" s="11">
        <f>VLOOKUP(A144,TB!TB1_1,5,FALSE)*-1</f>
        <v>0</v>
      </c>
      <c r="F144" s="17">
        <f t="shared" si="96"/>
        <v>0</v>
      </c>
      <c r="G144" s="17"/>
      <c r="H144" s="11">
        <f>VLOOKUP(A144,TB!TB,5,FALSE)*-1</f>
        <v>0</v>
      </c>
      <c r="I144" s="17">
        <f t="shared" si="97"/>
        <v>0</v>
      </c>
      <c r="J144" s="17"/>
      <c r="K144" s="11">
        <f>VLOOKUP(A144,TB!TB1_1,4,FALSE)*-1</f>
        <v>0</v>
      </c>
      <c r="L144" s="17">
        <f t="shared" si="98"/>
        <v>0</v>
      </c>
      <c r="N144" s="11">
        <f>VLOOKUP(A144,TB!TB,4,FALSE)*-1</f>
        <v>0</v>
      </c>
      <c r="O144" s="17">
        <f t="shared" si="99"/>
        <v>0</v>
      </c>
    </row>
    <row r="145" spans="1:16" x14ac:dyDescent="0.25">
      <c r="A145" s="122" t="s">
        <v>295</v>
      </c>
      <c r="C145" s="5" t="s">
        <v>1947</v>
      </c>
      <c r="E145" s="11">
        <f>VLOOKUP(A145,TB!TB1_1,5,FALSE)*-1</f>
        <v>0</v>
      </c>
      <c r="F145" s="17">
        <f t="shared" si="96"/>
        <v>0</v>
      </c>
      <c r="G145" s="17"/>
      <c r="H145" s="11">
        <f>VLOOKUP(A145,TB!TB,5,FALSE)*-1</f>
        <v>0</v>
      </c>
      <c r="I145" s="17">
        <f t="shared" si="97"/>
        <v>0</v>
      </c>
      <c r="J145" s="17"/>
      <c r="K145" s="11">
        <f>VLOOKUP(A145,TB!TB1_1,4,FALSE)*-1</f>
        <v>0</v>
      </c>
      <c r="L145" s="17">
        <f t="shared" si="98"/>
        <v>0</v>
      </c>
      <c r="N145" s="11">
        <f>VLOOKUP(A145,TB!TB,4,FALSE)*-1</f>
        <v>0</v>
      </c>
      <c r="O145" s="17">
        <f t="shared" si="99"/>
        <v>0</v>
      </c>
    </row>
    <row r="146" spans="1:16" x14ac:dyDescent="0.25">
      <c r="A146" s="122" t="s">
        <v>808</v>
      </c>
      <c r="C146" s="5" t="s">
        <v>1948</v>
      </c>
      <c r="E146" s="11">
        <f>VLOOKUP(A146,TB!TB1_1,5,FALSE)*-1</f>
        <v>0</v>
      </c>
      <c r="F146" s="17">
        <f t="shared" si="96"/>
        <v>0</v>
      </c>
      <c r="G146" s="17"/>
      <c r="H146" s="11">
        <f>VLOOKUP(A146,TB!TB,5,FALSE)*-1</f>
        <v>0</v>
      </c>
      <c r="I146" s="17">
        <f t="shared" si="97"/>
        <v>0</v>
      </c>
      <c r="J146" s="17"/>
      <c r="K146" s="11">
        <f>VLOOKUP(A146,TB!TB1_1,4,FALSE)*-1</f>
        <v>0</v>
      </c>
      <c r="L146" s="17">
        <f t="shared" si="98"/>
        <v>0</v>
      </c>
      <c r="N146" s="11">
        <f>VLOOKUP(A146,TB!TB,4,FALSE)*-1</f>
        <v>0</v>
      </c>
      <c r="O146" s="17">
        <f t="shared" si="99"/>
        <v>0</v>
      </c>
    </row>
    <row r="147" spans="1:16" x14ac:dyDescent="0.25">
      <c r="A147" s="122" t="s">
        <v>297</v>
      </c>
      <c r="C147" s="5" t="s">
        <v>1949</v>
      </c>
      <c r="E147" s="11">
        <f>VLOOKUP(A147,TB!TB1_1,5,FALSE)*-1</f>
        <v>0</v>
      </c>
      <c r="F147" s="17">
        <f t="shared" si="96"/>
        <v>0</v>
      </c>
      <c r="G147" s="17"/>
      <c r="H147" s="11">
        <f>VLOOKUP(A147,TB!TB,5,FALSE)*-1</f>
        <v>0</v>
      </c>
      <c r="I147" s="17">
        <f t="shared" si="97"/>
        <v>0</v>
      </c>
      <c r="J147" s="17"/>
      <c r="K147" s="11">
        <f>VLOOKUP(A147,TB!TB1_1,4,FALSE)*-1</f>
        <v>0</v>
      </c>
      <c r="L147" s="17">
        <f t="shared" si="98"/>
        <v>0</v>
      </c>
      <c r="N147" s="11">
        <f>VLOOKUP(A147,TB!TB,4,FALSE)*-1</f>
        <v>0</v>
      </c>
      <c r="O147" s="17">
        <f t="shared" si="99"/>
        <v>0</v>
      </c>
    </row>
    <row r="148" spans="1:16" x14ac:dyDescent="0.25">
      <c r="A148" s="122" t="s">
        <v>809</v>
      </c>
      <c r="C148" s="5" t="s">
        <v>1950</v>
      </c>
      <c r="E148" s="11">
        <f>VLOOKUP(A148,TB!TB1_1,5,FALSE)*-1</f>
        <v>0</v>
      </c>
      <c r="F148" s="17">
        <f t="shared" si="96"/>
        <v>0</v>
      </c>
      <c r="G148" s="17"/>
      <c r="H148" s="11">
        <f>VLOOKUP(A148,TB!TB,5,FALSE)*-1</f>
        <v>0</v>
      </c>
      <c r="I148" s="17">
        <f t="shared" si="97"/>
        <v>0</v>
      </c>
      <c r="J148" s="17"/>
      <c r="K148" s="11">
        <f>VLOOKUP(A148,TB!TB1_1,4,FALSE)*-1</f>
        <v>0</v>
      </c>
      <c r="L148" s="17">
        <f t="shared" si="98"/>
        <v>0</v>
      </c>
      <c r="N148" s="11">
        <f>VLOOKUP(A148,TB!TB,4,FALSE)*-1</f>
        <v>0</v>
      </c>
      <c r="O148" s="17">
        <f t="shared" si="99"/>
        <v>0</v>
      </c>
    </row>
    <row r="149" spans="1:16" x14ac:dyDescent="0.25">
      <c r="A149" s="122" t="s">
        <v>299</v>
      </c>
      <c r="C149" s="5" t="s">
        <v>1951</v>
      </c>
      <c r="E149" s="11">
        <f>VLOOKUP(A149,TB!TB1_1,5,FALSE)*-1</f>
        <v>0</v>
      </c>
      <c r="F149" s="17">
        <f t="shared" si="96"/>
        <v>0</v>
      </c>
      <c r="G149" s="17"/>
      <c r="H149" s="11">
        <f>VLOOKUP(A149,TB!TB,5,FALSE)*-1</f>
        <v>0</v>
      </c>
      <c r="I149" s="17">
        <f t="shared" si="97"/>
        <v>0</v>
      </c>
      <c r="J149" s="17"/>
      <c r="K149" s="11">
        <f>VLOOKUP(A149,TB!TB1_1,4,FALSE)*-1</f>
        <v>0</v>
      </c>
      <c r="L149" s="17">
        <f t="shared" si="98"/>
        <v>0</v>
      </c>
      <c r="N149" s="11">
        <f>VLOOKUP(A149,TB!TB,4,FALSE)*-1</f>
        <v>0</v>
      </c>
      <c r="O149" s="17">
        <f t="shared" si="99"/>
        <v>0</v>
      </c>
    </row>
    <row r="150" spans="1:16" x14ac:dyDescent="0.25">
      <c r="A150" s="122" t="s">
        <v>810</v>
      </c>
      <c r="C150" s="5" t="s">
        <v>1952</v>
      </c>
      <c r="E150" s="11">
        <f>VLOOKUP(A150,TB!TB1_1,5,FALSE)*-1</f>
        <v>0</v>
      </c>
      <c r="F150" s="17">
        <f t="shared" si="96"/>
        <v>0</v>
      </c>
      <c r="G150" s="17"/>
      <c r="H150" s="11">
        <f>VLOOKUP(A150,TB!TB,5,FALSE)*-1</f>
        <v>0</v>
      </c>
      <c r="I150" s="17">
        <f t="shared" si="97"/>
        <v>0</v>
      </c>
      <c r="J150" s="17"/>
      <c r="K150" s="11">
        <f>VLOOKUP(A150,TB!TB1_1,4,FALSE)*-1</f>
        <v>0</v>
      </c>
      <c r="L150" s="17">
        <f t="shared" si="98"/>
        <v>0</v>
      </c>
      <c r="N150" s="11">
        <f>VLOOKUP(A150,TB!TB,4,FALSE)*-1</f>
        <v>0</v>
      </c>
      <c r="O150" s="17">
        <f t="shared" si="99"/>
        <v>0</v>
      </c>
    </row>
    <row r="151" spans="1:16" x14ac:dyDescent="0.25">
      <c r="A151" s="122" t="s">
        <v>300</v>
      </c>
      <c r="C151" s="5" t="s">
        <v>1953</v>
      </c>
      <c r="E151" s="11">
        <f>VLOOKUP(A151,TB!TB1_1,5,FALSE)*-1</f>
        <v>0</v>
      </c>
      <c r="F151" s="17">
        <f t="shared" si="96"/>
        <v>0</v>
      </c>
      <c r="G151" s="17"/>
      <c r="H151" s="11">
        <f>VLOOKUP(A151,TB!TB,5,FALSE)*-1</f>
        <v>0</v>
      </c>
      <c r="I151" s="17">
        <f t="shared" si="97"/>
        <v>0</v>
      </c>
      <c r="J151" s="17"/>
      <c r="K151" s="11">
        <f>VLOOKUP(A151,TB!TB1_1,4,FALSE)*-1</f>
        <v>0</v>
      </c>
      <c r="L151" s="17">
        <f t="shared" si="98"/>
        <v>0</v>
      </c>
      <c r="N151" s="11">
        <f>VLOOKUP(A151,TB!TB,4,FALSE)*-1</f>
        <v>0</v>
      </c>
      <c r="O151" s="17">
        <f t="shared" si="99"/>
        <v>0</v>
      </c>
    </row>
    <row r="152" spans="1:16" x14ac:dyDescent="0.25">
      <c r="A152" s="122" t="s">
        <v>811</v>
      </c>
      <c r="C152" s="5" t="s">
        <v>1954</v>
      </c>
      <c r="E152" s="11">
        <f>VLOOKUP(A152,TB!TB1_1,5,FALSE)*-1</f>
        <v>0</v>
      </c>
      <c r="F152" s="17">
        <f t="shared" si="96"/>
        <v>0</v>
      </c>
      <c r="G152" s="17"/>
      <c r="H152" s="11">
        <f>VLOOKUP(A152,TB!TB,5,FALSE)*-1</f>
        <v>0</v>
      </c>
      <c r="I152" s="17">
        <f t="shared" si="97"/>
        <v>0</v>
      </c>
      <c r="J152" s="17"/>
      <c r="K152" s="11">
        <f>VLOOKUP(A152,TB!TB1_1,4,FALSE)*-1</f>
        <v>0</v>
      </c>
      <c r="L152" s="17">
        <f t="shared" si="98"/>
        <v>0</v>
      </c>
      <c r="N152" s="11">
        <f>VLOOKUP(A152,TB!TB,4,FALSE)*-1</f>
        <v>0</v>
      </c>
      <c r="O152" s="17">
        <f t="shared" si="99"/>
        <v>0</v>
      </c>
    </row>
    <row r="153" spans="1:16" x14ac:dyDescent="0.25">
      <c r="A153" s="122" t="s">
        <v>302</v>
      </c>
      <c r="C153" s="5" t="s">
        <v>1955</v>
      </c>
      <c r="E153" s="11">
        <f>VLOOKUP(A153,TB!TB1_1,5,FALSE)*-1</f>
        <v>0</v>
      </c>
      <c r="F153" s="17">
        <f t="shared" si="96"/>
        <v>0</v>
      </c>
      <c r="G153" s="17"/>
      <c r="H153" s="11">
        <f>VLOOKUP(A153,TB!TB,5,FALSE)*-1</f>
        <v>0</v>
      </c>
      <c r="I153" s="17">
        <f t="shared" si="97"/>
        <v>0</v>
      </c>
      <c r="J153" s="17"/>
      <c r="K153" s="11">
        <f>VLOOKUP(A153,TB!TB1_1,4,FALSE)*-1</f>
        <v>0</v>
      </c>
      <c r="L153" s="17">
        <f t="shared" si="98"/>
        <v>0</v>
      </c>
      <c r="N153" s="11">
        <f>VLOOKUP(A153,TB!TB,4,FALSE)*-1</f>
        <v>0</v>
      </c>
      <c r="O153" s="17">
        <f t="shared" si="99"/>
        <v>0</v>
      </c>
    </row>
    <row r="154" spans="1:16" x14ac:dyDescent="0.25">
      <c r="A154" s="122" t="s">
        <v>812</v>
      </c>
      <c r="C154" s="5" t="s">
        <v>1956</v>
      </c>
      <c r="E154" s="11">
        <f>VLOOKUP(A154,TB!TB1_1,5,FALSE)*-1</f>
        <v>0</v>
      </c>
      <c r="F154" s="17">
        <f t="shared" si="96"/>
        <v>0</v>
      </c>
      <c r="G154" s="17"/>
      <c r="H154" s="11">
        <f>VLOOKUP(A154,TB!TB,5,FALSE)*-1</f>
        <v>0</v>
      </c>
      <c r="I154" s="17">
        <f t="shared" si="97"/>
        <v>0</v>
      </c>
      <c r="J154" s="17"/>
      <c r="K154" s="11">
        <f>VLOOKUP(A154,TB!TB1_1,4,FALSE)*-1</f>
        <v>0</v>
      </c>
      <c r="L154" s="17">
        <f t="shared" si="98"/>
        <v>0</v>
      </c>
      <c r="N154" s="11">
        <f>VLOOKUP(A154,TB!TB,4,FALSE)*-1</f>
        <v>0</v>
      </c>
      <c r="O154" s="17">
        <f t="shared" si="99"/>
        <v>0</v>
      </c>
    </row>
    <row r="155" spans="1:16" x14ac:dyDescent="0.25">
      <c r="A155" s="123" t="s">
        <v>304</v>
      </c>
      <c r="C155" s="5" t="s">
        <v>1957</v>
      </c>
      <c r="E155" s="11">
        <f>VLOOKUP(A155,TB!TB1_1,5,FALSE)*-1</f>
        <v>0</v>
      </c>
      <c r="F155" s="17">
        <f t="shared" si="96"/>
        <v>0</v>
      </c>
      <c r="G155" s="17"/>
      <c r="H155" s="11">
        <f>VLOOKUP(A155,TB!TB,5,FALSE)*-1</f>
        <v>0</v>
      </c>
      <c r="I155" s="17">
        <f t="shared" si="97"/>
        <v>0</v>
      </c>
      <c r="J155" s="17"/>
      <c r="K155" s="11">
        <f>VLOOKUP(A155,TB!TB1_1,4,FALSE)*-1</f>
        <v>0</v>
      </c>
      <c r="L155" s="17">
        <f t="shared" si="98"/>
        <v>0</v>
      </c>
      <c r="N155" s="11">
        <f>VLOOKUP(A155,TB!TB,4,FALSE)*-1</f>
        <v>0</v>
      </c>
      <c r="O155" s="17">
        <f t="shared" si="99"/>
        <v>0</v>
      </c>
    </row>
    <row r="156" spans="1:16" x14ac:dyDescent="0.25">
      <c r="A156" s="123" t="s">
        <v>813</v>
      </c>
      <c r="C156" s="5" t="s">
        <v>1958</v>
      </c>
      <c r="E156" s="11">
        <f>VLOOKUP(A156,TB!TB1_1,5,FALSE)*-1</f>
        <v>0</v>
      </c>
      <c r="F156" s="17">
        <f t="shared" si="96"/>
        <v>0</v>
      </c>
      <c r="G156" s="17"/>
      <c r="H156" s="11">
        <f>VLOOKUP(A156,TB!TB,5,FALSE)*-1</f>
        <v>0</v>
      </c>
      <c r="I156" s="17">
        <f t="shared" si="97"/>
        <v>0</v>
      </c>
      <c r="J156" s="17"/>
      <c r="K156" s="11">
        <f>VLOOKUP(A156,TB!TB1_1,4,FALSE)*-1</f>
        <v>0</v>
      </c>
      <c r="L156" s="17">
        <f t="shared" si="98"/>
        <v>0</v>
      </c>
      <c r="N156" s="11">
        <f>VLOOKUP(A156,TB!TB,4,FALSE)*-1</f>
        <v>0</v>
      </c>
      <c r="O156" s="17">
        <f t="shared" si="99"/>
        <v>0</v>
      </c>
    </row>
    <row r="157" spans="1:16" x14ac:dyDescent="0.25">
      <c r="A157" s="123" t="s">
        <v>306</v>
      </c>
      <c r="C157" s="5" t="s">
        <v>1959</v>
      </c>
      <c r="E157" s="11">
        <f>VLOOKUP(A157,TB!TB1_1,5,FALSE)*-1</f>
        <v>0</v>
      </c>
      <c r="F157" s="17">
        <f t="shared" si="96"/>
        <v>0</v>
      </c>
      <c r="G157" s="17"/>
      <c r="H157" s="11">
        <f>VLOOKUP(A157,TB!TB,5,FALSE)*-1</f>
        <v>0</v>
      </c>
      <c r="I157" s="17">
        <f t="shared" si="97"/>
        <v>0</v>
      </c>
      <c r="J157" s="17"/>
      <c r="K157" s="11">
        <f>VLOOKUP(A157,TB!TB1_1,4,FALSE)*-1</f>
        <v>0</v>
      </c>
      <c r="L157" s="17">
        <f t="shared" si="98"/>
        <v>0</v>
      </c>
      <c r="N157" s="11">
        <f>VLOOKUP(A157,TB!TB,4,FALSE)*-1</f>
        <v>0</v>
      </c>
      <c r="O157" s="17">
        <f t="shared" si="99"/>
        <v>0</v>
      </c>
    </row>
    <row r="158" spans="1:16" x14ac:dyDescent="0.25">
      <c r="A158" s="123" t="s">
        <v>814</v>
      </c>
      <c r="C158" s="5" t="s">
        <v>1960</v>
      </c>
      <c r="E158" s="11">
        <f>VLOOKUP(A158,TB!TB1_1,5,FALSE)*-1</f>
        <v>0</v>
      </c>
      <c r="F158" s="17">
        <f t="shared" ref="F158:F160" si="108">IF(E$160,E158/E$160,0)</f>
        <v>0</v>
      </c>
      <c r="G158" s="17"/>
      <c r="H158" s="11">
        <f>VLOOKUP(A158,TB!TB,5,FALSE)*-1</f>
        <v>0</v>
      </c>
      <c r="I158" s="17">
        <f t="shared" ref="I158:I160" si="109">IF(H$160,H158/H$160,0)</f>
        <v>0</v>
      </c>
      <c r="J158" s="17"/>
      <c r="K158" s="11">
        <f>VLOOKUP(A158,TB!TB1_1,4,FALSE)*-1</f>
        <v>0</v>
      </c>
      <c r="L158" s="17">
        <f t="shared" ref="L158:L160" si="110">IF(K$160,K158/K$160,0)</f>
        <v>0</v>
      </c>
      <c r="N158" s="11">
        <f>VLOOKUP(A158,TB!TB,4,FALSE)*-1</f>
        <v>0</v>
      </c>
      <c r="O158" s="17">
        <f t="shared" ref="O158:O160" si="111">IF(N$160,N158/N$160,0)</f>
        <v>0</v>
      </c>
    </row>
    <row r="159" spans="1:16" x14ac:dyDescent="0.25">
      <c r="A159" s="122"/>
      <c r="E159" s="29"/>
      <c r="F159" s="89">
        <f t="shared" si="108"/>
        <v>0</v>
      </c>
      <c r="G159" s="89"/>
      <c r="H159" s="29"/>
      <c r="I159" s="89">
        <f t="shared" si="109"/>
        <v>0</v>
      </c>
      <c r="J159" s="89"/>
      <c r="K159" s="29"/>
      <c r="L159" s="89">
        <f t="shared" si="110"/>
        <v>0</v>
      </c>
      <c r="M159" s="30"/>
      <c r="N159" s="29"/>
      <c r="O159" s="89">
        <f t="shared" si="111"/>
        <v>0</v>
      </c>
      <c r="P159" s="30"/>
    </row>
    <row r="160" spans="1:16" ht="15.75" x14ac:dyDescent="0.25">
      <c r="A160" s="151" t="s">
        <v>999</v>
      </c>
      <c r="B160" s="151"/>
      <c r="C160" s="151"/>
      <c r="D160" s="151"/>
      <c r="E160" s="33">
        <f>SUM(E7:E159)</f>
        <v>2958265.0499999993</v>
      </c>
      <c r="F160" s="34">
        <f t="shared" si="108"/>
        <v>1</v>
      </c>
      <c r="G160" s="34"/>
      <c r="H160" s="33">
        <f>SUM(H7:H159)</f>
        <v>2204072.89</v>
      </c>
      <c r="I160" s="34">
        <f t="shared" si="109"/>
        <v>1</v>
      </c>
      <c r="J160" s="34"/>
      <c r="K160" s="33">
        <f>SUM(K7:K159)</f>
        <v>2958265.0499999993</v>
      </c>
      <c r="L160" s="34">
        <f t="shared" si="110"/>
        <v>1</v>
      </c>
      <c r="M160" s="27"/>
      <c r="N160" s="33">
        <f>SUM(N7:N159)</f>
        <v>2204072.89</v>
      </c>
      <c r="O160" s="34">
        <f t="shared" si="111"/>
        <v>1</v>
      </c>
      <c r="P160" s="27"/>
    </row>
    <row r="162" spans="1:16" ht="15.75" x14ac:dyDescent="0.25">
      <c r="E162" s="8" t="s">
        <v>4</v>
      </c>
      <c r="H162" s="8" t="s">
        <v>4</v>
      </c>
      <c r="K162" s="8" t="s">
        <v>3</v>
      </c>
      <c r="L162" s="8"/>
      <c r="M162" s="8"/>
      <c r="N162" s="8" t="s">
        <v>3</v>
      </c>
    </row>
    <row r="163" spans="1:16" ht="18.75" x14ac:dyDescent="0.3">
      <c r="C163" s="14" t="s">
        <v>1002</v>
      </c>
      <c r="E163" s="31">
        <f>E4</f>
        <v>2025</v>
      </c>
      <c r="F163" s="16" t="s">
        <v>1005</v>
      </c>
      <c r="G163" s="16"/>
      <c r="H163" s="31">
        <f>H4</f>
        <v>2026</v>
      </c>
      <c r="I163" s="16" t="s">
        <v>1005</v>
      </c>
      <c r="J163" s="16"/>
      <c r="K163" s="31">
        <f>K4</f>
        <v>2025</v>
      </c>
      <c r="L163" s="16" t="s">
        <v>1005</v>
      </c>
      <c r="M163" s="31"/>
      <c r="N163" s="31">
        <f>N4</f>
        <v>2026</v>
      </c>
      <c r="O163" s="16" t="s">
        <v>1005</v>
      </c>
      <c r="P163" s="31"/>
    </row>
    <row r="164" spans="1:16" x14ac:dyDescent="0.25">
      <c r="A164" s="122" t="s">
        <v>309</v>
      </c>
      <c r="C164" s="5" t="s">
        <v>1961</v>
      </c>
      <c r="E164" s="11">
        <f>VLOOKUP(A164,TB!TB1_1,5,FALSE)</f>
        <v>64123.68</v>
      </c>
      <c r="F164" s="17">
        <f t="shared" ref="F164:F204" si="112">IF(E$160,E164/E$160,0)</f>
        <v>2.167611046211022E-2</v>
      </c>
      <c r="G164" s="17"/>
      <c r="H164" s="11">
        <f>VLOOKUP(A164,TB!TB,5,FALSE)</f>
        <v>180524.11</v>
      </c>
      <c r="I164" s="17">
        <f t="shared" ref="I164:I204" si="113">IF(H$160,H164/H$160,0)</f>
        <v>8.1904782196200412E-2</v>
      </c>
      <c r="J164" s="17"/>
      <c r="K164" s="11">
        <f>VLOOKUP(A164,TB!TB1_1,4,FALSE)</f>
        <v>64123.68</v>
      </c>
      <c r="L164" s="17">
        <f t="shared" ref="L164:L204" si="114">IF(K$160,K164/K$160,0)</f>
        <v>2.167611046211022E-2</v>
      </c>
      <c r="N164" s="11">
        <f>VLOOKUP(A164,TB!TB,4,FALSE)</f>
        <v>180524.11</v>
      </c>
      <c r="O164" s="17">
        <f t="shared" ref="O164:O204" si="115">IF(N$160,N164/N$160,0)</f>
        <v>8.1904782196200412E-2</v>
      </c>
    </row>
    <row r="165" spans="1:16" x14ac:dyDescent="0.25">
      <c r="A165" s="122" t="s">
        <v>815</v>
      </c>
      <c r="C165" s="5" t="s">
        <v>1962</v>
      </c>
      <c r="E165" s="11">
        <f>VLOOKUP(A165,TB!TB1_1,5,FALSE)</f>
        <v>78711.41</v>
      </c>
      <c r="F165" s="17">
        <f t="shared" si="112"/>
        <v>2.6607287943992721E-2</v>
      </c>
      <c r="G165" s="17"/>
      <c r="H165" s="11">
        <f>VLOOKUP(A165,TB!TB,5,FALSE)</f>
        <v>70119.88</v>
      </c>
      <c r="I165" s="17">
        <f t="shared" si="113"/>
        <v>3.1813775450956164E-2</v>
      </c>
      <c r="J165" s="17"/>
      <c r="K165" s="11">
        <f>VLOOKUP(A165,TB!TB1_1,4,FALSE)</f>
        <v>78711.41</v>
      </c>
      <c r="L165" s="17">
        <f t="shared" si="114"/>
        <v>2.6607287943992721E-2</v>
      </c>
      <c r="N165" s="11">
        <f>VLOOKUP(A165,TB!TB,4,FALSE)</f>
        <v>70119.88</v>
      </c>
      <c r="O165" s="17">
        <f t="shared" si="115"/>
        <v>3.1813775450956164E-2</v>
      </c>
    </row>
    <row r="166" spans="1:16" x14ac:dyDescent="0.25">
      <c r="A166" s="122" t="s">
        <v>310</v>
      </c>
      <c r="C166" s="5" t="s">
        <v>1963</v>
      </c>
      <c r="E166" s="11">
        <f>VLOOKUP(A166,TB!TB1_1,5,FALSE)</f>
        <v>0</v>
      </c>
      <c r="F166" s="17">
        <f t="shared" si="112"/>
        <v>0</v>
      </c>
      <c r="G166" s="17"/>
      <c r="H166" s="11">
        <f>VLOOKUP(A166,TB!TB,5,FALSE)</f>
        <v>0</v>
      </c>
      <c r="I166" s="17">
        <f t="shared" si="113"/>
        <v>0</v>
      </c>
      <c r="J166" s="17"/>
      <c r="K166" s="11">
        <f>VLOOKUP(A166,TB!TB1_1,4,FALSE)</f>
        <v>0</v>
      </c>
      <c r="L166" s="17">
        <f t="shared" si="114"/>
        <v>0</v>
      </c>
      <c r="N166" s="11">
        <f>VLOOKUP(A166,TB!TB,4,FALSE)</f>
        <v>0</v>
      </c>
      <c r="O166" s="17">
        <f t="shared" si="115"/>
        <v>0</v>
      </c>
    </row>
    <row r="167" spans="1:16" x14ac:dyDescent="0.25">
      <c r="A167" s="123" t="s">
        <v>1404</v>
      </c>
      <c r="C167" s="5" t="s">
        <v>1964</v>
      </c>
      <c r="E167" s="11">
        <f>VLOOKUP(A167,TB!TB1_1,5,FALSE)</f>
        <v>0</v>
      </c>
      <c r="F167" s="17">
        <f t="shared" ref="F167" si="116">IF(E$160,E167/E$160,0)</f>
        <v>0</v>
      </c>
      <c r="G167" s="17"/>
      <c r="H167" s="11">
        <f>VLOOKUP(A167,TB!TB,5,FALSE)</f>
        <v>0</v>
      </c>
      <c r="I167" s="17">
        <f t="shared" ref="I167" si="117">IF(H$160,H167/H$160,0)</f>
        <v>0</v>
      </c>
      <c r="J167" s="17"/>
      <c r="K167" s="11">
        <f>VLOOKUP(A167,TB!TB1_1,4,FALSE)</f>
        <v>0</v>
      </c>
      <c r="L167" s="17">
        <f t="shared" ref="L167" si="118">IF(K$160,K167/K$160,0)</f>
        <v>0</v>
      </c>
      <c r="N167" s="11">
        <f>VLOOKUP(A167,TB!TB,4,FALSE)</f>
        <v>0</v>
      </c>
      <c r="O167" s="17">
        <f t="shared" ref="O167" si="119">IF(N$160,N167/N$160,0)</f>
        <v>0</v>
      </c>
    </row>
    <row r="168" spans="1:16" x14ac:dyDescent="0.25">
      <c r="A168" s="122" t="s">
        <v>312</v>
      </c>
      <c r="C168" s="5" t="s">
        <v>1965</v>
      </c>
      <c r="E168" s="11">
        <f>VLOOKUP(A168,TB!TB1_1,5,FALSE)</f>
        <v>172669.05</v>
      </c>
      <c r="F168" s="17">
        <f t="shared" si="112"/>
        <v>5.8368350057071465E-2</v>
      </c>
      <c r="G168" s="17"/>
      <c r="H168" s="11">
        <f>VLOOKUP(A168,TB!TB,5,FALSE)</f>
        <v>180109.91</v>
      </c>
      <c r="I168" s="17">
        <f t="shared" si="113"/>
        <v>8.1716857376708626E-2</v>
      </c>
      <c r="J168" s="17"/>
      <c r="K168" s="11">
        <f>VLOOKUP(A168,TB!TB1_1,4,FALSE)</f>
        <v>172669.05</v>
      </c>
      <c r="L168" s="17">
        <f t="shared" si="114"/>
        <v>5.8368350057071465E-2</v>
      </c>
      <c r="N168" s="11">
        <f>VLOOKUP(A168,TB!TB,4,FALSE)</f>
        <v>180109.91</v>
      </c>
      <c r="O168" s="17">
        <f t="shared" si="115"/>
        <v>8.1716857376708626E-2</v>
      </c>
    </row>
    <row r="169" spans="1:16" x14ac:dyDescent="0.25">
      <c r="A169" s="122" t="s">
        <v>816</v>
      </c>
      <c r="C169" s="5" t="s">
        <v>1966</v>
      </c>
      <c r="E169" s="11">
        <f>VLOOKUP(A169,TB!TB1_1,5,FALSE)</f>
        <v>0</v>
      </c>
      <c r="F169" s="17">
        <f t="shared" si="112"/>
        <v>0</v>
      </c>
      <c r="G169" s="17"/>
      <c r="H169" s="11">
        <f>VLOOKUP(A169,TB!TB,5,FALSE)</f>
        <v>0</v>
      </c>
      <c r="I169" s="17">
        <f t="shared" si="113"/>
        <v>0</v>
      </c>
      <c r="J169" s="17"/>
      <c r="K169" s="11">
        <f>VLOOKUP(A169,TB!TB1_1,4,FALSE)</f>
        <v>0</v>
      </c>
      <c r="L169" s="17">
        <f t="shared" si="114"/>
        <v>0</v>
      </c>
      <c r="N169" s="11">
        <f>VLOOKUP(A169,TB!TB,4,FALSE)</f>
        <v>0</v>
      </c>
      <c r="O169" s="17">
        <f t="shared" si="115"/>
        <v>0</v>
      </c>
    </row>
    <row r="170" spans="1:16" x14ac:dyDescent="0.25">
      <c r="A170" s="122" t="s">
        <v>313</v>
      </c>
      <c r="C170" s="5" t="s">
        <v>1967</v>
      </c>
      <c r="E170" s="11">
        <f>VLOOKUP(A170,TB!TB1_1,5,FALSE)</f>
        <v>659733.31000000006</v>
      </c>
      <c r="F170" s="17">
        <f t="shared" si="112"/>
        <v>0.22301359034749108</v>
      </c>
      <c r="G170" s="17"/>
      <c r="H170" s="11">
        <f>VLOOKUP(A170,TB!TB,5,FALSE)</f>
        <v>0</v>
      </c>
      <c r="I170" s="17">
        <f t="shared" si="113"/>
        <v>0</v>
      </c>
      <c r="J170" s="17"/>
      <c r="K170" s="11">
        <f>VLOOKUP(A170,TB!TB1_1,4,FALSE)</f>
        <v>659733.31000000006</v>
      </c>
      <c r="L170" s="17">
        <f t="shared" si="114"/>
        <v>0.22301359034749108</v>
      </c>
      <c r="N170" s="11">
        <f>VLOOKUP(A170,TB!TB,4,FALSE)</f>
        <v>0</v>
      </c>
      <c r="O170" s="17">
        <f t="shared" si="115"/>
        <v>0</v>
      </c>
    </row>
    <row r="171" spans="1:16" x14ac:dyDescent="0.25">
      <c r="A171" s="123" t="s">
        <v>1405</v>
      </c>
      <c r="C171" s="5" t="s">
        <v>1968</v>
      </c>
      <c r="E171" s="11">
        <f>VLOOKUP(A171,TB!TB1_1,5,FALSE)</f>
        <v>0</v>
      </c>
      <c r="F171" s="17">
        <f t="shared" ref="F171" si="120">IF(E$160,E171/E$160,0)</f>
        <v>0</v>
      </c>
      <c r="G171" s="17"/>
      <c r="H171" s="11">
        <f>VLOOKUP(A171,TB!TB,5,FALSE)</f>
        <v>0</v>
      </c>
      <c r="I171" s="17">
        <f t="shared" ref="I171" si="121">IF(H$160,H171/H$160,0)</f>
        <v>0</v>
      </c>
      <c r="J171" s="17"/>
      <c r="K171" s="11">
        <f>VLOOKUP(A171,TB!TB1_1,4,FALSE)</f>
        <v>0</v>
      </c>
      <c r="L171" s="17">
        <f t="shared" ref="L171" si="122">IF(K$160,K171/K$160,0)</f>
        <v>0</v>
      </c>
      <c r="N171" s="11">
        <f>VLOOKUP(A171,TB!TB,4,FALSE)</f>
        <v>0</v>
      </c>
      <c r="O171" s="17">
        <f t="shared" ref="O171" si="123">IF(N$160,N171/N$160,0)</f>
        <v>0</v>
      </c>
    </row>
    <row r="172" spans="1:16" x14ac:dyDescent="0.25">
      <c r="A172" s="123" t="s">
        <v>1247</v>
      </c>
      <c r="C172" s="5" t="s">
        <v>1246</v>
      </c>
      <c r="E172" s="11">
        <f>VLOOKUP(A172,TB!TB1_1,5,FALSE)</f>
        <v>0</v>
      </c>
      <c r="F172" s="17">
        <f t="shared" si="112"/>
        <v>0</v>
      </c>
      <c r="G172" s="17"/>
      <c r="H172" s="11">
        <f>VLOOKUP(A172,TB!TB,5,FALSE)</f>
        <v>29129</v>
      </c>
      <c r="I172" s="17">
        <f t="shared" si="113"/>
        <v>1.3215987607378991E-2</v>
      </c>
      <c r="J172" s="17"/>
      <c r="K172" s="11">
        <f>VLOOKUP(A172,TB!TB1_1,4,FALSE)</f>
        <v>0</v>
      </c>
      <c r="L172" s="17">
        <f t="shared" si="114"/>
        <v>0</v>
      </c>
      <c r="N172" s="11">
        <f>VLOOKUP(A172,TB!TB,4,FALSE)</f>
        <v>29129</v>
      </c>
      <c r="O172" s="17">
        <f t="shared" si="115"/>
        <v>1.3215987607378991E-2</v>
      </c>
    </row>
    <row r="173" spans="1:16" s="119" customFormat="1" x14ac:dyDescent="0.25">
      <c r="A173" s="124" t="s">
        <v>1501</v>
      </c>
      <c r="C173" s="119" t="s">
        <v>1498</v>
      </c>
      <c r="E173" s="120">
        <f>VLOOKUP(A173,TB!TB1_1,5,FALSE)</f>
        <v>20418</v>
      </c>
      <c r="F173" s="121">
        <f t="shared" ref="F173" si="124">IF(E$160,E173/E$160,0)</f>
        <v>6.9020184651811386E-3</v>
      </c>
      <c r="G173" s="121"/>
      <c r="H173" s="120">
        <f>VLOOKUP(A173,TB!TB,5,FALSE)</f>
        <v>27206</v>
      </c>
      <c r="I173" s="121">
        <f t="shared" ref="I173" si="125">IF(H$160,H173/H$160,0)</f>
        <v>1.2343511924417344E-2</v>
      </c>
      <c r="J173" s="121"/>
      <c r="K173" s="120">
        <f>VLOOKUP(A173,TB!TB1_1,4,FALSE)</f>
        <v>20418</v>
      </c>
      <c r="L173" s="121">
        <f t="shared" ref="L173" si="126">IF(K$160,K173/K$160,0)</f>
        <v>6.9020184651811386E-3</v>
      </c>
      <c r="N173" s="120">
        <f>VLOOKUP(A173,TB!TB,4,FALSE)</f>
        <v>27206</v>
      </c>
      <c r="O173" s="121">
        <f t="shared" ref="O173" si="127">IF(N$160,N173/N$160,0)</f>
        <v>1.2343511924417344E-2</v>
      </c>
    </row>
    <row r="174" spans="1:16" x14ac:dyDescent="0.25">
      <c r="A174" s="123" t="s">
        <v>1385</v>
      </c>
      <c r="C174" s="5" t="s">
        <v>2043</v>
      </c>
      <c r="E174" s="11">
        <f>VLOOKUP(A174,TB!TB1_1,5,FALSE)</f>
        <v>0</v>
      </c>
      <c r="F174" s="17">
        <f t="shared" ref="F174:F175" si="128">IF(E$160,E174/E$160,0)</f>
        <v>0</v>
      </c>
      <c r="G174" s="17"/>
      <c r="H174" s="11">
        <f>VLOOKUP(A174,TB!TB,5,FALSE)</f>
        <v>0</v>
      </c>
      <c r="I174" s="17">
        <f t="shared" ref="I174:I175" si="129">IF(H$160,H174/H$160,0)</f>
        <v>0</v>
      </c>
      <c r="J174" s="17"/>
      <c r="K174" s="11">
        <f>VLOOKUP(A174,TB!TB1_1,4,FALSE)</f>
        <v>0</v>
      </c>
      <c r="L174" s="17">
        <f t="shared" ref="L174:L175" si="130">IF(K$160,K174/K$160,0)</f>
        <v>0</v>
      </c>
      <c r="N174" s="11">
        <f>VLOOKUP(A174,TB!TB,4,FALSE)</f>
        <v>0</v>
      </c>
      <c r="O174" s="17">
        <f t="shared" ref="O174:O175" si="131">IF(N$160,N174/N$160,0)</f>
        <v>0</v>
      </c>
    </row>
    <row r="175" spans="1:16" x14ac:dyDescent="0.25">
      <c r="A175" s="123" t="s">
        <v>1499</v>
      </c>
      <c r="C175" s="5" t="s">
        <v>2044</v>
      </c>
      <c r="E175" s="11">
        <f>VLOOKUP(A175,TB!TB1_1,5,FALSE)</f>
        <v>0</v>
      </c>
      <c r="F175" s="17">
        <f t="shared" si="128"/>
        <v>0</v>
      </c>
      <c r="G175" s="17"/>
      <c r="H175" s="11">
        <f>VLOOKUP(A175,TB!TB,5,FALSE)</f>
        <v>0</v>
      </c>
      <c r="I175" s="17">
        <f t="shared" si="129"/>
        <v>0</v>
      </c>
      <c r="J175" s="17"/>
      <c r="K175" s="11">
        <f>VLOOKUP(A175,TB!TB1_1,4,FALSE)</f>
        <v>0</v>
      </c>
      <c r="L175" s="17">
        <f t="shared" si="130"/>
        <v>0</v>
      </c>
      <c r="N175" s="11">
        <f>VLOOKUP(A175,TB!TB,4,FALSE)</f>
        <v>0</v>
      </c>
      <c r="O175" s="17">
        <f t="shared" si="131"/>
        <v>0</v>
      </c>
    </row>
    <row r="176" spans="1:16" x14ac:dyDescent="0.25">
      <c r="A176" s="122" t="s">
        <v>314</v>
      </c>
      <c r="C176" s="5" t="s">
        <v>1969</v>
      </c>
      <c r="E176" s="11">
        <f>VLOOKUP(A176,TB!TB1_1,5,FALSE)</f>
        <v>84969.87</v>
      </c>
      <c r="F176" s="17">
        <f t="shared" si="112"/>
        <v>2.8722872549908945E-2</v>
      </c>
      <c r="G176" s="17"/>
      <c r="H176" s="11">
        <f>VLOOKUP(A176,TB!TB,5,FALSE)</f>
        <v>81638.13</v>
      </c>
      <c r="I176" s="17">
        <f t="shared" si="113"/>
        <v>3.7039668865034674E-2</v>
      </c>
      <c r="J176" s="17"/>
      <c r="K176" s="11">
        <f>VLOOKUP(A176,TB!TB1_1,4,FALSE)</f>
        <v>84969.87</v>
      </c>
      <c r="L176" s="17">
        <f t="shared" si="114"/>
        <v>2.8722872549908945E-2</v>
      </c>
      <c r="N176" s="11">
        <f>VLOOKUP(A176,TB!TB,4,FALSE)</f>
        <v>81638.13</v>
      </c>
      <c r="O176" s="17">
        <f t="shared" si="115"/>
        <v>3.7039668865034674E-2</v>
      </c>
    </row>
    <row r="177" spans="1:15" x14ac:dyDescent="0.25">
      <c r="A177" s="122" t="s">
        <v>817</v>
      </c>
      <c r="C177" s="5" t="s">
        <v>1970</v>
      </c>
      <c r="E177" s="11">
        <f>VLOOKUP(A177,TB!TB1_1,5,FALSE)</f>
        <v>0</v>
      </c>
      <c r="F177" s="17">
        <f t="shared" si="112"/>
        <v>0</v>
      </c>
      <c r="G177" s="17"/>
      <c r="H177" s="11">
        <f>VLOOKUP(A177,TB!TB,5,FALSE)</f>
        <v>0</v>
      </c>
      <c r="I177" s="17">
        <f t="shared" si="113"/>
        <v>0</v>
      </c>
      <c r="J177" s="17"/>
      <c r="K177" s="11">
        <f>VLOOKUP(A177,TB!TB1_1,4,FALSE)</f>
        <v>0</v>
      </c>
      <c r="L177" s="17">
        <f t="shared" si="114"/>
        <v>0</v>
      </c>
      <c r="N177" s="11">
        <f>VLOOKUP(A177,TB!TB,4,FALSE)</f>
        <v>0</v>
      </c>
      <c r="O177" s="17">
        <f t="shared" si="115"/>
        <v>0</v>
      </c>
    </row>
    <row r="178" spans="1:15" x14ac:dyDescent="0.25">
      <c r="A178" s="122" t="s">
        <v>316</v>
      </c>
      <c r="C178" s="5" t="s">
        <v>1971</v>
      </c>
      <c r="E178" s="11">
        <f>VLOOKUP(A178,TB!TB1_1,5,FALSE)</f>
        <v>32756.66</v>
      </c>
      <c r="F178" s="17">
        <f t="shared" si="112"/>
        <v>1.1072929384741914E-2</v>
      </c>
      <c r="G178" s="17"/>
      <c r="H178" s="11">
        <f>VLOOKUP(A178,TB!TB,5,FALSE)</f>
        <v>28710.34</v>
      </c>
      <c r="I178" s="17">
        <f t="shared" si="113"/>
        <v>1.3026039261342213E-2</v>
      </c>
      <c r="J178" s="17"/>
      <c r="K178" s="11">
        <f>VLOOKUP(A178,TB!TB1_1,4,FALSE)</f>
        <v>32756.66</v>
      </c>
      <c r="L178" s="17">
        <f t="shared" si="114"/>
        <v>1.1072929384741914E-2</v>
      </c>
      <c r="N178" s="11">
        <f>VLOOKUP(A178,TB!TB,4,FALSE)</f>
        <v>28710.34</v>
      </c>
      <c r="O178" s="17">
        <f t="shared" si="115"/>
        <v>1.3026039261342213E-2</v>
      </c>
    </row>
    <row r="179" spans="1:15" x14ac:dyDescent="0.25">
      <c r="A179" s="122" t="s">
        <v>818</v>
      </c>
      <c r="C179" s="5" t="s">
        <v>1972</v>
      </c>
      <c r="E179" s="11">
        <f>VLOOKUP(A179,TB!TB1_1,5,FALSE)</f>
        <v>0</v>
      </c>
      <c r="F179" s="17">
        <f t="shared" si="112"/>
        <v>0</v>
      </c>
      <c r="G179" s="17"/>
      <c r="H179" s="11">
        <f>VLOOKUP(A179,TB!TB,5,FALSE)</f>
        <v>0</v>
      </c>
      <c r="I179" s="17">
        <f t="shared" si="113"/>
        <v>0</v>
      </c>
      <c r="J179" s="17"/>
      <c r="K179" s="11">
        <f>VLOOKUP(A179,TB!TB1_1,4,FALSE)</f>
        <v>0</v>
      </c>
      <c r="L179" s="17">
        <f t="shared" si="114"/>
        <v>0</v>
      </c>
      <c r="N179" s="11">
        <f>VLOOKUP(A179,TB!TB,4,FALSE)</f>
        <v>0</v>
      </c>
      <c r="O179" s="17">
        <f t="shared" si="115"/>
        <v>0</v>
      </c>
    </row>
    <row r="180" spans="1:15" x14ac:dyDescent="0.25">
      <c r="A180" s="123" t="s">
        <v>2080</v>
      </c>
      <c r="C180" s="5" t="s">
        <v>2089</v>
      </c>
      <c r="E180" s="11">
        <v>0</v>
      </c>
      <c r="F180" s="17">
        <f t="shared" ref="F180" si="132">IF(E$160,E180/E$160,0)</f>
        <v>0</v>
      </c>
      <c r="G180" s="17"/>
      <c r="H180" s="11">
        <f>VLOOKUP(A180,TB!TB,5,FALSE)</f>
        <v>1197.72</v>
      </c>
      <c r="I180" s="17">
        <f t="shared" ref="I180" si="133">IF(H$160,H180/H$160,0)</f>
        <v>5.4341215548456745E-4</v>
      </c>
      <c r="J180" s="17"/>
      <c r="K180" s="11">
        <v>0</v>
      </c>
      <c r="L180" s="17">
        <f t="shared" ref="L180" si="134">IF(K$160,K180/K$160,0)</f>
        <v>0</v>
      </c>
      <c r="N180" s="11">
        <f>VLOOKUP(A180,TB!TB,4,FALSE)</f>
        <v>1197.72</v>
      </c>
      <c r="O180" s="17">
        <f t="shared" ref="O180" si="135">IF(N$160,N180/N$160,0)</f>
        <v>5.4341215548456745E-4</v>
      </c>
    </row>
    <row r="181" spans="1:15" x14ac:dyDescent="0.25">
      <c r="A181" s="122" t="s">
        <v>318</v>
      </c>
      <c r="C181" s="5" t="s">
        <v>1973</v>
      </c>
      <c r="E181" s="11">
        <f>VLOOKUP(A181,TB!TB1_1,5,FALSE)</f>
        <v>787.62</v>
      </c>
      <c r="F181" s="17">
        <f t="shared" si="112"/>
        <v>2.6624389183788657E-4</v>
      </c>
      <c r="G181" s="17"/>
      <c r="H181" s="11">
        <f>VLOOKUP(A181,TB!TB,5,FALSE)</f>
        <v>0</v>
      </c>
      <c r="I181" s="17">
        <f t="shared" si="113"/>
        <v>0</v>
      </c>
      <c r="J181" s="17"/>
      <c r="K181" s="11">
        <f>VLOOKUP(A181,TB!TB1_1,4,FALSE)</f>
        <v>787.62</v>
      </c>
      <c r="L181" s="17">
        <f t="shared" si="114"/>
        <v>2.6624389183788657E-4</v>
      </c>
      <c r="N181" s="11">
        <f>VLOOKUP(A181,TB!TB,4,FALSE)</f>
        <v>0</v>
      </c>
      <c r="O181" s="17">
        <f t="shared" si="115"/>
        <v>0</v>
      </c>
    </row>
    <row r="182" spans="1:15" x14ac:dyDescent="0.25">
      <c r="A182" s="122" t="s">
        <v>819</v>
      </c>
      <c r="C182" s="5" t="s">
        <v>1974</v>
      </c>
      <c r="E182" s="11">
        <f>VLOOKUP(A182,TB!TB1_1,5,FALSE)</f>
        <v>0</v>
      </c>
      <c r="F182" s="17">
        <f t="shared" si="112"/>
        <v>0</v>
      </c>
      <c r="G182" s="17"/>
      <c r="H182" s="11">
        <f>VLOOKUP(A182,TB!TB,5,FALSE)</f>
        <v>0</v>
      </c>
      <c r="I182" s="17">
        <f t="shared" si="113"/>
        <v>0</v>
      </c>
      <c r="J182" s="17"/>
      <c r="K182" s="11">
        <f>VLOOKUP(A182,TB!TB1_1,4,FALSE)</f>
        <v>0</v>
      </c>
      <c r="L182" s="17">
        <f t="shared" si="114"/>
        <v>0</v>
      </c>
      <c r="N182" s="11">
        <f>VLOOKUP(A182,TB!TB,4,FALSE)</f>
        <v>0</v>
      </c>
      <c r="O182" s="17">
        <f t="shared" si="115"/>
        <v>0</v>
      </c>
    </row>
    <row r="183" spans="1:15" x14ac:dyDescent="0.25">
      <c r="A183" s="122" t="s">
        <v>320</v>
      </c>
      <c r="C183" s="5" t="s">
        <v>1975</v>
      </c>
      <c r="E183" s="11">
        <f>VLOOKUP(A183,TB!TB1_1,5,FALSE)</f>
        <v>36308.550000000003</v>
      </c>
      <c r="F183" s="17">
        <f t="shared" si="112"/>
        <v>1.2273595971395468E-2</v>
      </c>
      <c r="G183" s="17"/>
      <c r="H183" s="11">
        <f>VLOOKUP(A183,TB!TB,5,FALSE)</f>
        <v>27131.37</v>
      </c>
      <c r="I183" s="17">
        <f t="shared" si="113"/>
        <v>1.2309651882701573E-2</v>
      </c>
      <c r="J183" s="17"/>
      <c r="K183" s="11">
        <f>VLOOKUP(A183,TB!TB1_1,4,FALSE)</f>
        <v>36308.550000000003</v>
      </c>
      <c r="L183" s="17">
        <f t="shared" si="114"/>
        <v>1.2273595971395468E-2</v>
      </c>
      <c r="N183" s="11">
        <f>VLOOKUP(A183,TB!TB,4,FALSE)</f>
        <v>27131.37</v>
      </c>
      <c r="O183" s="17">
        <f t="shared" si="115"/>
        <v>1.2309651882701573E-2</v>
      </c>
    </row>
    <row r="184" spans="1:15" x14ac:dyDescent="0.25">
      <c r="A184" s="122" t="s">
        <v>820</v>
      </c>
      <c r="C184" s="5" t="s">
        <v>1976</v>
      </c>
      <c r="E184" s="11">
        <f>VLOOKUP(A184,TB!TB1_1,5,FALSE)</f>
        <v>0</v>
      </c>
      <c r="F184" s="17">
        <f t="shared" si="112"/>
        <v>0</v>
      </c>
      <c r="G184" s="17"/>
      <c r="H184" s="11">
        <f>VLOOKUP(A184,TB!TB,5,FALSE)</f>
        <v>0</v>
      </c>
      <c r="I184" s="17">
        <f t="shared" si="113"/>
        <v>0</v>
      </c>
      <c r="J184" s="17"/>
      <c r="K184" s="11">
        <f>VLOOKUP(A184,TB!TB1_1,4,FALSE)</f>
        <v>0</v>
      </c>
      <c r="L184" s="17">
        <f t="shared" si="114"/>
        <v>0</v>
      </c>
      <c r="N184" s="11">
        <f>VLOOKUP(A184,TB!TB,4,FALSE)</f>
        <v>0</v>
      </c>
      <c r="O184" s="17">
        <f t="shared" si="115"/>
        <v>0</v>
      </c>
    </row>
    <row r="185" spans="1:15" x14ac:dyDescent="0.25">
      <c r="A185" s="122" t="s">
        <v>322</v>
      </c>
      <c r="C185" s="5" t="s">
        <v>1863</v>
      </c>
      <c r="E185" s="11">
        <f>VLOOKUP(A185,TB!TB1_1,5,FALSE)</f>
        <v>3096.43</v>
      </c>
      <c r="F185" s="17">
        <f t="shared" si="112"/>
        <v>1.0467047230943692E-3</v>
      </c>
      <c r="G185" s="17"/>
      <c r="H185" s="11">
        <f>VLOOKUP(A185,TB!TB,5,FALSE)</f>
        <v>8330.02</v>
      </c>
      <c r="I185" s="17">
        <f t="shared" si="113"/>
        <v>3.7793759171004548E-3</v>
      </c>
      <c r="J185" s="17"/>
      <c r="K185" s="11">
        <f>VLOOKUP(A185,TB!TB1_1,4,FALSE)</f>
        <v>3096.43</v>
      </c>
      <c r="L185" s="17">
        <f t="shared" si="114"/>
        <v>1.0467047230943692E-3</v>
      </c>
      <c r="N185" s="11">
        <f>VLOOKUP(A185,TB!TB,4,FALSE)</f>
        <v>8330.02</v>
      </c>
      <c r="O185" s="17">
        <f t="shared" si="115"/>
        <v>3.7793759171004548E-3</v>
      </c>
    </row>
    <row r="186" spans="1:15" x14ac:dyDescent="0.25">
      <c r="A186" s="122" t="s">
        <v>821</v>
      </c>
      <c r="C186" s="5" t="s">
        <v>1864</v>
      </c>
      <c r="E186" s="11">
        <f>VLOOKUP(A186,TB!TB1_1,5,FALSE)</f>
        <v>0</v>
      </c>
      <c r="F186" s="17">
        <f t="shared" si="112"/>
        <v>0</v>
      </c>
      <c r="G186" s="17"/>
      <c r="H186" s="11">
        <f>VLOOKUP(A186,TB!TB,5,FALSE)</f>
        <v>0</v>
      </c>
      <c r="I186" s="17">
        <f t="shared" si="113"/>
        <v>0</v>
      </c>
      <c r="J186" s="17"/>
      <c r="K186" s="11">
        <f>VLOOKUP(A186,TB!TB1_1,4,FALSE)</f>
        <v>0</v>
      </c>
      <c r="L186" s="17">
        <f t="shared" si="114"/>
        <v>0</v>
      </c>
      <c r="N186" s="11">
        <f>VLOOKUP(A186,TB!TB,4,FALSE)</f>
        <v>0</v>
      </c>
      <c r="O186" s="17">
        <f t="shared" si="115"/>
        <v>0</v>
      </c>
    </row>
    <row r="187" spans="1:15" x14ac:dyDescent="0.25">
      <c r="A187" s="122" t="s">
        <v>323</v>
      </c>
      <c r="C187" s="5" t="s">
        <v>1865</v>
      </c>
      <c r="E187" s="11">
        <f>VLOOKUP(A187,TB!TB1_1,5,FALSE)</f>
        <v>-98.57</v>
      </c>
      <c r="F187" s="17">
        <f t="shared" si="112"/>
        <v>-3.3320205706381859E-5</v>
      </c>
      <c r="G187" s="17"/>
      <c r="H187" s="11">
        <f>VLOOKUP(A187,TB!TB,5,FALSE)</f>
        <v>627.49</v>
      </c>
      <c r="I187" s="17">
        <f t="shared" si="113"/>
        <v>2.8469566630348598E-4</v>
      </c>
      <c r="J187" s="17"/>
      <c r="K187" s="11">
        <f>VLOOKUP(A187,TB!TB1_1,4,FALSE)</f>
        <v>-98.57</v>
      </c>
      <c r="L187" s="17">
        <f t="shared" si="114"/>
        <v>-3.3320205706381859E-5</v>
      </c>
      <c r="N187" s="11">
        <f>VLOOKUP(A187,TB!TB,4,FALSE)</f>
        <v>627.49</v>
      </c>
      <c r="O187" s="17">
        <f t="shared" si="115"/>
        <v>2.8469566630348598E-4</v>
      </c>
    </row>
    <row r="188" spans="1:15" x14ac:dyDescent="0.25">
      <c r="A188" s="122" t="s">
        <v>822</v>
      </c>
      <c r="C188" s="5" t="s">
        <v>1866</v>
      </c>
      <c r="E188" s="11">
        <f>VLOOKUP(A188,TB!TB1_1,5,FALSE)</f>
        <v>0</v>
      </c>
      <c r="F188" s="17">
        <f t="shared" si="112"/>
        <v>0</v>
      </c>
      <c r="G188" s="17"/>
      <c r="H188" s="11">
        <f>VLOOKUP(A188,TB!TB,5,FALSE)</f>
        <v>0</v>
      </c>
      <c r="I188" s="17">
        <f t="shared" si="113"/>
        <v>0</v>
      </c>
      <c r="J188" s="17"/>
      <c r="K188" s="11">
        <f>VLOOKUP(A188,TB!TB1_1,4,FALSE)</f>
        <v>0</v>
      </c>
      <c r="L188" s="17">
        <f t="shared" si="114"/>
        <v>0</v>
      </c>
      <c r="N188" s="11">
        <f>VLOOKUP(A188,TB!TB,4,FALSE)</f>
        <v>0</v>
      </c>
      <c r="O188" s="17">
        <f t="shared" si="115"/>
        <v>0</v>
      </c>
    </row>
    <row r="189" spans="1:15" x14ac:dyDescent="0.25">
      <c r="A189" s="123" t="s">
        <v>2082</v>
      </c>
      <c r="C189" s="5" t="s">
        <v>2086</v>
      </c>
      <c r="E189" s="11">
        <v>0</v>
      </c>
      <c r="F189" s="17">
        <f t="shared" ref="F189" si="136">IF(E$160,E189/E$160,0)</f>
        <v>0</v>
      </c>
      <c r="G189" s="17"/>
      <c r="H189" s="11">
        <f>VLOOKUP(A189,TB!TB,5,FALSE)</f>
        <v>211.65</v>
      </c>
      <c r="I189" s="17">
        <f t="shared" ref="I189" si="137">IF(H$160,H189/H$160,0)</f>
        <v>9.6026769786184332E-5</v>
      </c>
      <c r="J189" s="17"/>
      <c r="K189" s="11">
        <v>0</v>
      </c>
      <c r="L189" s="17">
        <f t="shared" ref="L189" si="138">IF(K$160,K189/K$160,0)</f>
        <v>0</v>
      </c>
      <c r="N189" s="11">
        <f>VLOOKUP(A189,TB!TB,4,FALSE)</f>
        <v>211.65</v>
      </c>
      <c r="O189" s="17">
        <f t="shared" ref="O189" si="139">IF(N$160,N189/N$160,0)</f>
        <v>9.6026769786184332E-5</v>
      </c>
    </row>
    <row r="190" spans="1:15" x14ac:dyDescent="0.25">
      <c r="A190" s="122" t="s">
        <v>324</v>
      </c>
      <c r="C190" s="5" t="s">
        <v>1867</v>
      </c>
      <c r="E190" s="11">
        <f>VLOOKUP(A190,TB!TB1_1,5,FALSE)</f>
        <v>15327.18</v>
      </c>
      <c r="F190" s="17">
        <f t="shared" si="112"/>
        <v>5.1811381809753676E-3</v>
      </c>
      <c r="G190" s="17"/>
      <c r="H190" s="11">
        <f>VLOOKUP(A190,TB!TB,5,FALSE)</f>
        <v>7473.65</v>
      </c>
      <c r="I190" s="17">
        <f t="shared" si="113"/>
        <v>3.3908361351878882E-3</v>
      </c>
      <c r="J190" s="17"/>
      <c r="K190" s="11">
        <f>VLOOKUP(A190,TB!TB1_1,4,FALSE)</f>
        <v>15327.18</v>
      </c>
      <c r="L190" s="17">
        <f t="shared" si="114"/>
        <v>5.1811381809753676E-3</v>
      </c>
      <c r="N190" s="11">
        <f>VLOOKUP(A190,TB!TB,4,FALSE)</f>
        <v>7473.65</v>
      </c>
      <c r="O190" s="17">
        <f t="shared" si="115"/>
        <v>3.3908361351878882E-3</v>
      </c>
    </row>
    <row r="191" spans="1:15" x14ac:dyDescent="0.25">
      <c r="A191" s="122" t="s">
        <v>823</v>
      </c>
      <c r="C191" s="5" t="s">
        <v>1868</v>
      </c>
      <c r="E191" s="11">
        <f>VLOOKUP(A191,TB!TB1_1,5,FALSE)</f>
        <v>0</v>
      </c>
      <c r="F191" s="17">
        <f t="shared" si="112"/>
        <v>0</v>
      </c>
      <c r="G191" s="17"/>
      <c r="H191" s="11">
        <f>VLOOKUP(A191,TB!TB,5,FALSE)</f>
        <v>0</v>
      </c>
      <c r="I191" s="17">
        <f t="shared" si="113"/>
        <v>0</v>
      </c>
      <c r="J191" s="17"/>
      <c r="K191" s="11">
        <f>VLOOKUP(A191,TB!TB1_1,4,FALSE)</f>
        <v>0</v>
      </c>
      <c r="L191" s="17">
        <f t="shared" si="114"/>
        <v>0</v>
      </c>
      <c r="N191" s="11">
        <f>VLOOKUP(A191,TB!TB,4,FALSE)</f>
        <v>0</v>
      </c>
      <c r="O191" s="17">
        <f t="shared" si="115"/>
        <v>0</v>
      </c>
    </row>
    <row r="192" spans="1:15" x14ac:dyDescent="0.25">
      <c r="A192" s="122" t="s">
        <v>325</v>
      </c>
      <c r="C192" s="5" t="s">
        <v>1869</v>
      </c>
      <c r="E192" s="11">
        <f>VLOOKUP(A192,TB!TB1_1,5,FALSE)</f>
        <v>20769.97</v>
      </c>
      <c r="F192" s="17">
        <f t="shared" si="112"/>
        <v>7.0209969860543786E-3</v>
      </c>
      <c r="G192" s="17"/>
      <c r="H192" s="11">
        <f>VLOOKUP(A192,TB!TB,5,FALSE)</f>
        <v>16905.689999999999</v>
      </c>
      <c r="I192" s="17">
        <f t="shared" si="113"/>
        <v>7.6702045911013397E-3</v>
      </c>
      <c r="J192" s="17"/>
      <c r="K192" s="11">
        <f>VLOOKUP(A192,TB!TB1_1,4,FALSE)</f>
        <v>20769.97</v>
      </c>
      <c r="L192" s="17">
        <f t="shared" si="114"/>
        <v>7.0209969860543786E-3</v>
      </c>
      <c r="N192" s="11">
        <f>VLOOKUP(A192,TB!TB,4,FALSE)</f>
        <v>16905.689999999999</v>
      </c>
      <c r="O192" s="17">
        <f t="shared" si="115"/>
        <v>7.6702045911013397E-3</v>
      </c>
    </row>
    <row r="193" spans="1:15" x14ac:dyDescent="0.25">
      <c r="A193" s="122" t="s">
        <v>824</v>
      </c>
      <c r="C193" s="5" t="s">
        <v>1870</v>
      </c>
      <c r="E193" s="11">
        <f>VLOOKUP(A193,TB!TB1_1,5,FALSE)</f>
        <v>0</v>
      </c>
      <c r="F193" s="17">
        <f t="shared" si="112"/>
        <v>0</v>
      </c>
      <c r="G193" s="17"/>
      <c r="H193" s="11">
        <f>VLOOKUP(A193,TB!TB,5,FALSE)</f>
        <v>0</v>
      </c>
      <c r="I193" s="17">
        <f t="shared" si="113"/>
        <v>0</v>
      </c>
      <c r="J193" s="17"/>
      <c r="K193" s="11">
        <f>VLOOKUP(A193,TB!TB1_1,4,FALSE)</f>
        <v>0</v>
      </c>
      <c r="L193" s="17">
        <f t="shared" si="114"/>
        <v>0</v>
      </c>
      <c r="N193" s="11">
        <f>VLOOKUP(A193,TB!TB,4,FALSE)</f>
        <v>0</v>
      </c>
      <c r="O193" s="17">
        <f t="shared" si="115"/>
        <v>0</v>
      </c>
    </row>
    <row r="194" spans="1:15" x14ac:dyDescent="0.25">
      <c r="A194" s="122" t="s">
        <v>326</v>
      </c>
      <c r="C194" s="5" t="s">
        <v>1871</v>
      </c>
      <c r="E194" s="11">
        <f>VLOOKUP(A194,TB!TB1_1,5,FALSE)</f>
        <v>8849.76</v>
      </c>
      <c r="F194" s="17">
        <f t="shared" si="112"/>
        <v>2.991537218749213E-3</v>
      </c>
      <c r="G194" s="17"/>
      <c r="H194" s="11">
        <f>VLOOKUP(A194,TB!TB,5,FALSE)</f>
        <v>10876.04</v>
      </c>
      <c r="I194" s="17">
        <f t="shared" si="113"/>
        <v>4.9345192027655674E-3</v>
      </c>
      <c r="J194" s="17"/>
      <c r="K194" s="11">
        <f>VLOOKUP(A194,TB!TB1_1,4,FALSE)</f>
        <v>8849.76</v>
      </c>
      <c r="L194" s="17">
        <f t="shared" si="114"/>
        <v>2.991537218749213E-3</v>
      </c>
      <c r="N194" s="11">
        <f>VLOOKUP(A194,TB!TB,4,FALSE)</f>
        <v>10876.04</v>
      </c>
      <c r="O194" s="17">
        <f t="shared" si="115"/>
        <v>4.9345192027655674E-3</v>
      </c>
    </row>
    <row r="195" spans="1:15" x14ac:dyDescent="0.25">
      <c r="A195" s="122" t="s">
        <v>825</v>
      </c>
      <c r="C195" s="5" t="s">
        <v>1872</v>
      </c>
      <c r="E195" s="11">
        <f>VLOOKUP(A195,TB!TB1_1,5,FALSE)</f>
        <v>0</v>
      </c>
      <c r="F195" s="17">
        <f t="shared" si="112"/>
        <v>0</v>
      </c>
      <c r="G195" s="17"/>
      <c r="H195" s="11">
        <f>VLOOKUP(A195,TB!TB,5,FALSE)</f>
        <v>0</v>
      </c>
      <c r="I195" s="17">
        <f t="shared" si="113"/>
        <v>0</v>
      </c>
      <c r="J195" s="17"/>
      <c r="K195" s="11">
        <f>VLOOKUP(A195,TB!TB1_1,4,FALSE)</f>
        <v>0</v>
      </c>
      <c r="L195" s="17">
        <f t="shared" si="114"/>
        <v>0</v>
      </c>
      <c r="N195" s="11">
        <f>VLOOKUP(A195,TB!TB,4,FALSE)</f>
        <v>0</v>
      </c>
      <c r="O195" s="17">
        <f t="shared" si="115"/>
        <v>0</v>
      </c>
    </row>
    <row r="196" spans="1:15" x14ac:dyDescent="0.25">
      <c r="A196" s="123" t="s">
        <v>2083</v>
      </c>
      <c r="C196" s="5" t="s">
        <v>2087</v>
      </c>
      <c r="E196" s="11">
        <v>0</v>
      </c>
      <c r="F196" s="17">
        <f t="shared" ref="F196" si="140">IF(E$160,E196/E$160,0)</f>
        <v>0</v>
      </c>
      <c r="G196" s="17"/>
      <c r="H196" s="11">
        <f>VLOOKUP(A196,TB!TB,5,FALSE)</f>
        <v>316</v>
      </c>
      <c r="I196" s="17">
        <f t="shared" ref="I196" si="141">IF(H$160,H196/H$160,0)</f>
        <v>1.4337093906182023E-4</v>
      </c>
      <c r="J196" s="17"/>
      <c r="K196" s="11">
        <v>0</v>
      </c>
      <c r="L196" s="17">
        <f t="shared" ref="L196" si="142">IF(K$160,K196/K$160,0)</f>
        <v>0</v>
      </c>
      <c r="N196" s="11">
        <f>VLOOKUP(A196,TB!TB,4,FALSE)</f>
        <v>316</v>
      </c>
      <c r="O196" s="17">
        <f t="shared" ref="O196" si="143">IF(N$160,N196/N$160,0)</f>
        <v>1.4337093906182023E-4</v>
      </c>
    </row>
    <row r="197" spans="1:15" x14ac:dyDescent="0.25">
      <c r="A197" s="122" t="s">
        <v>327</v>
      </c>
      <c r="C197" s="5" t="s">
        <v>1873</v>
      </c>
      <c r="E197" s="11">
        <f>VLOOKUP(A197,TB!TB1_1,5,FALSE)</f>
        <v>21058.75</v>
      </c>
      <c r="F197" s="17">
        <f t="shared" si="112"/>
        <v>7.118615013891336E-3</v>
      </c>
      <c r="G197" s="17"/>
      <c r="H197" s="11">
        <f>VLOOKUP(A197,TB!TB,5,FALSE)</f>
        <v>27592.34</v>
      </c>
      <c r="I197" s="17">
        <f t="shared" si="113"/>
        <v>1.2518796508585521E-2</v>
      </c>
      <c r="J197" s="17"/>
      <c r="K197" s="11">
        <f>VLOOKUP(A197,TB!TB1_1,4,FALSE)</f>
        <v>21058.75</v>
      </c>
      <c r="L197" s="17">
        <f t="shared" si="114"/>
        <v>7.118615013891336E-3</v>
      </c>
      <c r="N197" s="11">
        <f>VLOOKUP(A197,TB!TB,4,FALSE)</f>
        <v>27592.34</v>
      </c>
      <c r="O197" s="17">
        <f t="shared" si="115"/>
        <v>1.2518796508585521E-2</v>
      </c>
    </row>
    <row r="198" spans="1:15" x14ac:dyDescent="0.25">
      <c r="A198" s="122" t="s">
        <v>826</v>
      </c>
      <c r="C198" s="5" t="s">
        <v>1874</v>
      </c>
      <c r="E198" s="11">
        <f>VLOOKUP(A198,TB!TB1_1,5,FALSE)</f>
        <v>2367.2800000000002</v>
      </c>
      <c r="F198" s="17">
        <f t="shared" si="112"/>
        <v>8.0022579450749376E-4</v>
      </c>
      <c r="G198" s="17"/>
      <c r="H198" s="11">
        <f>VLOOKUP(A198,TB!TB,5,FALSE)</f>
        <v>5029.0200000000004</v>
      </c>
      <c r="I198" s="17">
        <f t="shared" si="113"/>
        <v>2.2816940505084658E-3</v>
      </c>
      <c r="J198" s="17"/>
      <c r="K198" s="11">
        <f>VLOOKUP(A198,TB!TB1_1,4,FALSE)</f>
        <v>2367.2800000000002</v>
      </c>
      <c r="L198" s="17">
        <f t="shared" si="114"/>
        <v>8.0022579450749376E-4</v>
      </c>
      <c r="N198" s="11">
        <f>VLOOKUP(A198,TB!TB,4,FALSE)</f>
        <v>5029.0200000000004</v>
      </c>
      <c r="O198" s="17">
        <f t="shared" si="115"/>
        <v>2.2816940505084658E-3</v>
      </c>
    </row>
    <row r="199" spans="1:15" x14ac:dyDescent="0.25">
      <c r="A199" s="122" t="s">
        <v>328</v>
      </c>
      <c r="C199" s="5" t="s">
        <v>1875</v>
      </c>
      <c r="E199" s="11">
        <f>VLOOKUP(A199,TB!TB1_1,5,FALSE)</f>
        <v>3791.53</v>
      </c>
      <c r="F199" s="17">
        <f t="shared" si="112"/>
        <v>1.2816735268531808E-3</v>
      </c>
      <c r="G199" s="17"/>
      <c r="H199" s="11">
        <f>VLOOKUP(A199,TB!TB,5,FALSE)</f>
        <v>7745.44</v>
      </c>
      <c r="I199" s="17">
        <f t="shared" si="113"/>
        <v>3.5141487539461541E-3</v>
      </c>
      <c r="J199" s="17"/>
      <c r="K199" s="11">
        <f>VLOOKUP(A199,TB!TB1_1,4,FALSE)</f>
        <v>3791.53</v>
      </c>
      <c r="L199" s="17">
        <f t="shared" si="114"/>
        <v>1.2816735268531808E-3</v>
      </c>
      <c r="N199" s="11">
        <f>VLOOKUP(A199,TB!TB,4,FALSE)</f>
        <v>7745.44</v>
      </c>
      <c r="O199" s="17">
        <f t="shared" si="115"/>
        <v>3.5141487539461541E-3</v>
      </c>
    </row>
    <row r="200" spans="1:15" x14ac:dyDescent="0.25">
      <c r="A200" s="122" t="s">
        <v>827</v>
      </c>
      <c r="C200" s="5" t="s">
        <v>1876</v>
      </c>
      <c r="E200" s="11">
        <f>VLOOKUP(A200,TB!TB1_1,5,FALSE)</f>
        <v>0</v>
      </c>
      <c r="F200" s="17">
        <f t="shared" si="112"/>
        <v>0</v>
      </c>
      <c r="G200" s="17"/>
      <c r="H200" s="11">
        <f>VLOOKUP(A200,TB!TB,5,FALSE)</f>
        <v>0</v>
      </c>
      <c r="I200" s="17">
        <f t="shared" si="113"/>
        <v>0</v>
      </c>
      <c r="J200" s="17"/>
      <c r="K200" s="11">
        <f>VLOOKUP(A200,TB!TB1_1,4,FALSE)</f>
        <v>0</v>
      </c>
      <c r="L200" s="17">
        <f t="shared" si="114"/>
        <v>0</v>
      </c>
      <c r="N200" s="11">
        <f>VLOOKUP(A200,TB!TB,4,FALSE)</f>
        <v>0</v>
      </c>
      <c r="O200" s="17">
        <f t="shared" si="115"/>
        <v>0</v>
      </c>
    </row>
    <row r="201" spans="1:15" x14ac:dyDescent="0.25">
      <c r="A201" s="122" t="s">
        <v>329</v>
      </c>
      <c r="C201" s="5" t="s">
        <v>1977</v>
      </c>
      <c r="E201" s="11">
        <f>VLOOKUP(A201,TB!TB1_1,5,FALSE)</f>
        <v>0</v>
      </c>
      <c r="F201" s="17">
        <f t="shared" si="112"/>
        <v>0</v>
      </c>
      <c r="G201" s="17"/>
      <c r="H201" s="11">
        <f>VLOOKUP(A201,TB!TB,5,FALSE)</f>
        <v>0</v>
      </c>
      <c r="I201" s="17">
        <f t="shared" si="113"/>
        <v>0</v>
      </c>
      <c r="J201" s="17"/>
      <c r="K201" s="11">
        <f>VLOOKUP(A201,TB!TB1_1,4,FALSE)</f>
        <v>0</v>
      </c>
      <c r="L201" s="17">
        <f t="shared" si="114"/>
        <v>0</v>
      </c>
      <c r="N201" s="11">
        <f>VLOOKUP(A201,TB!TB,4,FALSE)</f>
        <v>0</v>
      </c>
      <c r="O201" s="17">
        <f t="shared" si="115"/>
        <v>0</v>
      </c>
    </row>
    <row r="202" spans="1:15" x14ac:dyDescent="0.25">
      <c r="A202" s="122" t="s">
        <v>828</v>
      </c>
      <c r="C202" s="5" t="s">
        <v>1978</v>
      </c>
      <c r="E202" s="11">
        <f>VLOOKUP(A202,TB!TB1_1,5,FALSE)</f>
        <v>0</v>
      </c>
      <c r="F202" s="17">
        <f t="shared" si="112"/>
        <v>0</v>
      </c>
      <c r="G202" s="17"/>
      <c r="H202" s="11">
        <f>VLOOKUP(A202,TB!TB,5,FALSE)</f>
        <v>0</v>
      </c>
      <c r="I202" s="17">
        <f t="shared" si="113"/>
        <v>0</v>
      </c>
      <c r="J202" s="17"/>
      <c r="K202" s="11">
        <f>VLOOKUP(A202,TB!TB1_1,4,FALSE)</f>
        <v>0</v>
      </c>
      <c r="L202" s="17">
        <f t="shared" si="114"/>
        <v>0</v>
      </c>
      <c r="N202" s="11">
        <f>VLOOKUP(A202,TB!TB,4,FALSE)</f>
        <v>0</v>
      </c>
      <c r="O202" s="17">
        <f t="shared" si="115"/>
        <v>0</v>
      </c>
    </row>
    <row r="203" spans="1:15" x14ac:dyDescent="0.25">
      <c r="A203" s="123" t="s">
        <v>2084</v>
      </c>
      <c r="C203" s="5" t="s">
        <v>2090</v>
      </c>
      <c r="E203" s="11">
        <v>0</v>
      </c>
      <c r="F203" s="17">
        <f t="shared" ref="F203" si="144">IF(E$160,E203/E$160,0)</f>
        <v>0</v>
      </c>
      <c r="G203" s="17"/>
      <c r="H203" s="11">
        <f>VLOOKUP(A203,TB!TB,5,FALSE)</f>
        <v>185.58</v>
      </c>
      <c r="I203" s="17">
        <f t="shared" ref="I203" si="145">IF(H$160,H203/H$160,0)</f>
        <v>8.4198667313584174E-5</v>
      </c>
      <c r="J203" s="17"/>
      <c r="K203" s="11">
        <v>0</v>
      </c>
      <c r="L203" s="17">
        <f t="shared" ref="L203" si="146">IF(K$160,K203/K$160,0)</f>
        <v>0</v>
      </c>
      <c r="N203" s="11">
        <f>VLOOKUP(A203,TB!TB,4,FALSE)</f>
        <v>185.58</v>
      </c>
      <c r="O203" s="17">
        <f t="shared" ref="O203" si="147">IF(N$160,N203/N$160,0)</f>
        <v>8.4198667313584174E-5</v>
      </c>
    </row>
    <row r="204" spans="1:15" x14ac:dyDescent="0.25">
      <c r="A204" s="122" t="s">
        <v>330</v>
      </c>
      <c r="C204" s="5" t="s">
        <v>1879</v>
      </c>
      <c r="E204" s="11">
        <f>VLOOKUP(A204,TB!TB1_1,5,FALSE)</f>
        <v>774.5</v>
      </c>
      <c r="F204" s="17">
        <f t="shared" si="112"/>
        <v>2.6180885989238867E-4</v>
      </c>
      <c r="G204" s="17"/>
      <c r="H204" s="11">
        <f>VLOOKUP(A204,TB!TB,5,FALSE)</f>
        <v>1274.6099999999999</v>
      </c>
      <c r="I204" s="17">
        <f t="shared" si="113"/>
        <v>5.7829757163793249E-4</v>
      </c>
      <c r="J204" s="17"/>
      <c r="K204" s="11">
        <f>VLOOKUP(A204,TB!TB1_1,4,FALSE)</f>
        <v>774.5</v>
      </c>
      <c r="L204" s="17">
        <f t="shared" si="114"/>
        <v>2.6180885989238867E-4</v>
      </c>
      <c r="N204" s="11">
        <f>VLOOKUP(A204,TB!TB,4,FALSE)</f>
        <v>1274.6099999999999</v>
      </c>
      <c r="O204" s="17">
        <f t="shared" si="115"/>
        <v>5.7829757163793249E-4</v>
      </c>
    </row>
    <row r="205" spans="1:15" x14ac:dyDescent="0.25">
      <c r="A205" s="122" t="s">
        <v>829</v>
      </c>
      <c r="C205" s="5" t="s">
        <v>1880</v>
      </c>
      <c r="E205" s="11">
        <f>VLOOKUP(A205,TB!TB1_1,5,FALSE)</f>
        <v>203.51</v>
      </c>
      <c r="F205" s="17">
        <f t="shared" ref="F205:F237" si="148">IF(E$160,E205/E$160,0)</f>
        <v>6.8793700550936113E-5</v>
      </c>
      <c r="G205" s="17"/>
      <c r="H205" s="11">
        <f>VLOOKUP(A205,TB!TB,5,FALSE)</f>
        <v>502.09</v>
      </c>
      <c r="I205" s="17">
        <f t="shared" ref="I205:I237" si="149">IF(H$160,H205/H$160,0)</f>
        <v>2.2780099618211806E-4</v>
      </c>
      <c r="J205" s="17"/>
      <c r="K205" s="11">
        <f>VLOOKUP(A205,TB!TB1_1,4,FALSE)</f>
        <v>203.51</v>
      </c>
      <c r="L205" s="17">
        <f t="shared" ref="L205:L237" si="150">IF(K$160,K205/K$160,0)</f>
        <v>6.8793700550936113E-5</v>
      </c>
      <c r="N205" s="11">
        <f>VLOOKUP(A205,TB!TB,4,FALSE)</f>
        <v>502.09</v>
      </c>
      <c r="O205" s="17">
        <f t="shared" ref="O205:O237" si="151">IF(N$160,N205/N$160,0)</f>
        <v>2.2780099618211806E-4</v>
      </c>
    </row>
    <row r="206" spans="1:15" x14ac:dyDescent="0.25">
      <c r="A206" s="122" t="s">
        <v>332</v>
      </c>
      <c r="C206" s="5" t="s">
        <v>1979</v>
      </c>
      <c r="E206" s="11">
        <f>VLOOKUP(A206,TB!TB1_1,5,FALSE)</f>
        <v>15191.5</v>
      </c>
      <c r="F206" s="17">
        <f t="shared" si="148"/>
        <v>5.135273460368267E-3</v>
      </c>
      <c r="G206" s="17"/>
      <c r="H206" s="11">
        <f>VLOOKUP(A206,TB!TB,5,FALSE)</f>
        <v>33485.769999999997</v>
      </c>
      <c r="I206" s="17">
        <f t="shared" si="149"/>
        <v>1.5192678133253567E-2</v>
      </c>
      <c r="J206" s="17"/>
      <c r="K206" s="11">
        <f>VLOOKUP(A206,TB!TB1_1,4,FALSE)</f>
        <v>15191.5</v>
      </c>
      <c r="L206" s="17">
        <f t="shared" si="150"/>
        <v>5.135273460368267E-3</v>
      </c>
      <c r="N206" s="11">
        <f>VLOOKUP(A206,TB!TB,4,FALSE)</f>
        <v>33485.769999999997</v>
      </c>
      <c r="O206" s="17">
        <f t="shared" si="151"/>
        <v>1.5192678133253567E-2</v>
      </c>
    </row>
    <row r="207" spans="1:15" x14ac:dyDescent="0.25">
      <c r="A207" s="122" t="s">
        <v>830</v>
      </c>
      <c r="C207" s="5" t="s">
        <v>1980</v>
      </c>
      <c r="E207" s="11">
        <f>VLOOKUP(A207,TB!TB1_1,5,FALSE)</f>
        <v>2520</v>
      </c>
      <c r="F207" s="17">
        <f t="shared" si="148"/>
        <v>8.5185064806819809E-4</v>
      </c>
      <c r="G207" s="17"/>
      <c r="H207" s="11">
        <f>VLOOKUP(A207,TB!TB,5,FALSE)</f>
        <v>0</v>
      </c>
      <c r="I207" s="17">
        <f t="shared" si="149"/>
        <v>0</v>
      </c>
      <c r="J207" s="17"/>
      <c r="K207" s="11">
        <f>VLOOKUP(A207,TB!TB1_1,4,FALSE)</f>
        <v>2520</v>
      </c>
      <c r="L207" s="17">
        <f t="shared" si="150"/>
        <v>8.5185064806819809E-4</v>
      </c>
      <c r="N207" s="11">
        <f>VLOOKUP(A207,TB!TB,4,FALSE)</f>
        <v>0</v>
      </c>
      <c r="O207" s="17">
        <f t="shared" si="151"/>
        <v>0</v>
      </c>
    </row>
    <row r="208" spans="1:15" x14ac:dyDescent="0.25">
      <c r="A208" s="122" t="s">
        <v>333</v>
      </c>
      <c r="C208" s="5" t="s">
        <v>1981</v>
      </c>
      <c r="E208" s="11">
        <f>VLOOKUP(A208,TB!TB1_1,5,FALSE)</f>
        <v>213156.49</v>
      </c>
      <c r="F208" s="17">
        <f t="shared" si="148"/>
        <v>7.2054561169223166E-2</v>
      </c>
      <c r="G208" s="17"/>
      <c r="H208" s="11">
        <f>VLOOKUP(A208,TB!TB,5,FALSE)</f>
        <v>21686.31</v>
      </c>
      <c r="I208" s="17">
        <f t="shared" si="149"/>
        <v>9.8391981945751342E-3</v>
      </c>
      <c r="J208" s="17"/>
      <c r="K208" s="11">
        <f>VLOOKUP(A208,TB!TB1_1,4,FALSE)</f>
        <v>213156.49</v>
      </c>
      <c r="L208" s="17">
        <f t="shared" si="150"/>
        <v>7.2054561169223166E-2</v>
      </c>
      <c r="N208" s="11">
        <f>VLOOKUP(A208,TB!TB,4,FALSE)</f>
        <v>21686.31</v>
      </c>
      <c r="O208" s="17">
        <f t="shared" si="151"/>
        <v>9.8391981945751342E-3</v>
      </c>
    </row>
    <row r="209" spans="1:15" x14ac:dyDescent="0.25">
      <c r="A209" s="123" t="s">
        <v>1412</v>
      </c>
      <c r="C209" s="5" t="s">
        <v>1884</v>
      </c>
      <c r="E209" s="11">
        <f>VLOOKUP(A209,TB!TB1_1,5,FALSE)</f>
        <v>203048.65</v>
      </c>
      <c r="F209" s="17">
        <f t="shared" ref="F209" si="152">IF(E$160,E209/E$160,0)</f>
        <v>6.8637747655505052E-2</v>
      </c>
      <c r="G209" s="17"/>
      <c r="H209" s="11">
        <f>VLOOKUP(A209,TB!TB,5,FALSE)</f>
        <v>90635.54</v>
      </c>
      <c r="I209" s="17">
        <f t="shared" ref="I209" si="153">IF(H$160,H209/H$160,0)</f>
        <v>4.1121843298022681E-2</v>
      </c>
      <c r="J209" s="17"/>
      <c r="K209" s="11">
        <f>VLOOKUP(A209,TB!TB1_1,4,FALSE)</f>
        <v>203048.65</v>
      </c>
      <c r="L209" s="17">
        <f t="shared" ref="L209" si="154">IF(K$160,K209/K$160,0)</f>
        <v>6.8637747655505052E-2</v>
      </c>
      <c r="N209" s="11">
        <f>VLOOKUP(A209,TB!TB,4,FALSE)</f>
        <v>90635.54</v>
      </c>
      <c r="O209" s="17">
        <f t="shared" ref="O209" si="155">IF(N$160,N209/N$160,0)</f>
        <v>4.1121843298022681E-2</v>
      </c>
    </row>
    <row r="210" spans="1:15" x14ac:dyDescent="0.25">
      <c r="A210" s="122" t="s">
        <v>334</v>
      </c>
      <c r="C210" s="5" t="s">
        <v>1982</v>
      </c>
      <c r="E210" s="11">
        <f>VLOOKUP(A210,TB!TB1_1,5,FALSE)</f>
        <v>45417.75</v>
      </c>
      <c r="F210" s="17">
        <f t="shared" si="148"/>
        <v>1.5352833242579128E-2</v>
      </c>
      <c r="G210" s="17"/>
      <c r="H210" s="11">
        <f>VLOOKUP(A210,TB!TB,5,FALSE)</f>
        <v>52951.75</v>
      </c>
      <c r="I210" s="17">
        <f t="shared" si="149"/>
        <v>2.402450038755297E-2</v>
      </c>
      <c r="J210" s="17"/>
      <c r="K210" s="11">
        <f>VLOOKUP(A210,TB!TB1_1,4,FALSE)</f>
        <v>45417.75</v>
      </c>
      <c r="L210" s="17">
        <f t="shared" si="150"/>
        <v>1.5352833242579128E-2</v>
      </c>
      <c r="N210" s="11">
        <f>VLOOKUP(A210,TB!TB,4,FALSE)</f>
        <v>52951.75</v>
      </c>
      <c r="O210" s="17">
        <f t="shared" si="151"/>
        <v>2.402450038755297E-2</v>
      </c>
    </row>
    <row r="211" spans="1:15" x14ac:dyDescent="0.25">
      <c r="A211" s="122" t="s">
        <v>831</v>
      </c>
      <c r="C211" s="5" t="s">
        <v>1983</v>
      </c>
      <c r="E211" s="11">
        <f>VLOOKUP(A211,TB!TB1_1,5,FALSE)</f>
        <v>1338</v>
      </c>
      <c r="F211" s="17">
        <f t="shared" si="148"/>
        <v>4.5229212980763851E-4</v>
      </c>
      <c r="G211" s="17"/>
      <c r="H211" s="11">
        <f>VLOOKUP(A211,TB!TB,5,FALSE)</f>
        <v>4723.25</v>
      </c>
      <c r="I211" s="17">
        <f t="shared" si="149"/>
        <v>2.1429645187460199E-3</v>
      </c>
      <c r="J211" s="17"/>
      <c r="K211" s="11">
        <f>VLOOKUP(A211,TB!TB1_1,4,FALSE)</f>
        <v>1338</v>
      </c>
      <c r="L211" s="17">
        <f t="shared" si="150"/>
        <v>4.5229212980763851E-4</v>
      </c>
      <c r="N211" s="11">
        <f>VLOOKUP(A211,TB!TB,4,FALSE)</f>
        <v>4723.25</v>
      </c>
      <c r="O211" s="17">
        <f t="shared" si="151"/>
        <v>2.1429645187460199E-3</v>
      </c>
    </row>
    <row r="212" spans="1:15" x14ac:dyDescent="0.25">
      <c r="A212" s="122" t="s">
        <v>336</v>
      </c>
      <c r="C212" s="5" t="s">
        <v>1984</v>
      </c>
      <c r="E212" s="11">
        <f>VLOOKUP(A212,TB!TB1_1,5,FALSE)</f>
        <v>0</v>
      </c>
      <c r="F212" s="17">
        <f t="shared" si="148"/>
        <v>0</v>
      </c>
      <c r="G212" s="17"/>
      <c r="H212" s="11">
        <f>VLOOKUP(A212,TB!TB,5,FALSE)</f>
        <v>0</v>
      </c>
      <c r="I212" s="17">
        <f t="shared" si="149"/>
        <v>0</v>
      </c>
      <c r="J212" s="17"/>
      <c r="K212" s="11">
        <f>VLOOKUP(A212,TB!TB1_1,4,FALSE)</f>
        <v>0</v>
      </c>
      <c r="L212" s="17">
        <f t="shared" si="150"/>
        <v>0</v>
      </c>
      <c r="N212" s="11">
        <f>VLOOKUP(A212,TB!TB,4,FALSE)</f>
        <v>0</v>
      </c>
      <c r="O212" s="17">
        <f t="shared" si="151"/>
        <v>0</v>
      </c>
    </row>
    <row r="213" spans="1:15" x14ac:dyDescent="0.25">
      <c r="A213" s="122" t="s">
        <v>338</v>
      </c>
      <c r="C213" s="5" t="s">
        <v>1985</v>
      </c>
      <c r="E213" s="11">
        <f>VLOOKUP(A213,TB!TB1_1,5,FALSE)</f>
        <v>0</v>
      </c>
      <c r="F213" s="17">
        <f t="shared" si="148"/>
        <v>0</v>
      </c>
      <c r="G213" s="17"/>
      <c r="H213" s="11">
        <f>VLOOKUP(A213,TB!TB,5,FALSE)</f>
        <v>0</v>
      </c>
      <c r="I213" s="17">
        <f t="shared" si="149"/>
        <v>0</v>
      </c>
      <c r="J213" s="17"/>
      <c r="K213" s="11">
        <f>VLOOKUP(A213,TB!TB1_1,4,FALSE)</f>
        <v>0</v>
      </c>
      <c r="L213" s="17">
        <f t="shared" si="150"/>
        <v>0</v>
      </c>
      <c r="N213" s="11">
        <f>VLOOKUP(A213,TB!TB,4,FALSE)</f>
        <v>0</v>
      </c>
      <c r="O213" s="17">
        <f t="shared" si="151"/>
        <v>0</v>
      </c>
    </row>
    <row r="214" spans="1:15" x14ac:dyDescent="0.25">
      <c r="A214" s="122" t="s">
        <v>832</v>
      </c>
      <c r="C214" s="5" t="s">
        <v>1986</v>
      </c>
      <c r="E214" s="11">
        <f>VLOOKUP(A214,TB!TB1_1,5,FALSE)</f>
        <v>0</v>
      </c>
      <c r="F214" s="17">
        <f t="shared" si="148"/>
        <v>0</v>
      </c>
      <c r="G214" s="17"/>
      <c r="H214" s="11">
        <f>VLOOKUP(A214,TB!TB,5,FALSE)</f>
        <v>0</v>
      </c>
      <c r="I214" s="17">
        <f t="shared" si="149"/>
        <v>0</v>
      </c>
      <c r="J214" s="17"/>
      <c r="K214" s="11">
        <f>VLOOKUP(A214,TB!TB1_1,4,FALSE)</f>
        <v>0</v>
      </c>
      <c r="L214" s="17">
        <f t="shared" si="150"/>
        <v>0</v>
      </c>
      <c r="N214" s="11">
        <f>VLOOKUP(A214,TB!TB,4,FALSE)</f>
        <v>0</v>
      </c>
      <c r="O214" s="17">
        <f t="shared" si="151"/>
        <v>0</v>
      </c>
    </row>
    <row r="215" spans="1:15" x14ac:dyDescent="0.25">
      <c r="A215" s="122" t="s">
        <v>340</v>
      </c>
      <c r="C215" s="5" t="s">
        <v>341</v>
      </c>
      <c r="E215" s="11">
        <f>VLOOKUP(A215,TB!TB1_1,5,FALSE)</f>
        <v>0</v>
      </c>
      <c r="F215" s="17">
        <f t="shared" si="148"/>
        <v>0</v>
      </c>
      <c r="G215" s="17"/>
      <c r="H215" s="11">
        <f>VLOOKUP(A215,TB!TB,5,FALSE)</f>
        <v>0</v>
      </c>
      <c r="I215" s="17">
        <f t="shared" si="149"/>
        <v>0</v>
      </c>
      <c r="J215" s="17"/>
      <c r="K215" s="11">
        <f>VLOOKUP(A215,TB!TB1_1,4,FALSE)</f>
        <v>0</v>
      </c>
      <c r="L215" s="17">
        <f t="shared" si="150"/>
        <v>0</v>
      </c>
      <c r="N215" s="11">
        <f>VLOOKUP(A215,TB!TB,4,FALSE)</f>
        <v>0</v>
      </c>
      <c r="O215" s="17">
        <f t="shared" si="151"/>
        <v>0</v>
      </c>
    </row>
    <row r="216" spans="1:15" x14ac:dyDescent="0.25">
      <c r="A216" s="122" t="s">
        <v>833</v>
      </c>
      <c r="C216" s="5" t="s">
        <v>341</v>
      </c>
      <c r="E216" s="11">
        <f>VLOOKUP(A216,TB!TB1_1,5,FALSE)</f>
        <v>0</v>
      </c>
      <c r="F216" s="17">
        <f t="shared" si="148"/>
        <v>0</v>
      </c>
      <c r="G216" s="17"/>
      <c r="H216" s="11">
        <f>VLOOKUP(A216,TB!TB,5,FALSE)</f>
        <v>0</v>
      </c>
      <c r="I216" s="17">
        <f t="shared" si="149"/>
        <v>0</v>
      </c>
      <c r="J216" s="17"/>
      <c r="K216" s="11">
        <f>VLOOKUP(A216,TB!TB1_1,4,FALSE)</f>
        <v>0</v>
      </c>
      <c r="L216" s="17">
        <f t="shared" si="150"/>
        <v>0</v>
      </c>
      <c r="N216" s="11">
        <f>VLOOKUP(A216,TB!TB,4,FALSE)</f>
        <v>0</v>
      </c>
      <c r="O216" s="17">
        <f t="shared" si="151"/>
        <v>0</v>
      </c>
    </row>
    <row r="217" spans="1:15" x14ac:dyDescent="0.25">
      <c r="A217" s="122" t="s">
        <v>342</v>
      </c>
      <c r="C217" s="5" t="s">
        <v>343</v>
      </c>
      <c r="E217" s="11">
        <f>VLOOKUP(A217,TB!TB1_1,5,FALSE)</f>
        <v>0</v>
      </c>
      <c r="F217" s="17">
        <f t="shared" si="148"/>
        <v>0</v>
      </c>
      <c r="G217" s="17"/>
      <c r="H217" s="11">
        <f>VLOOKUP(A217,TB!TB,5,FALSE)</f>
        <v>0</v>
      </c>
      <c r="I217" s="17">
        <f t="shared" si="149"/>
        <v>0</v>
      </c>
      <c r="J217" s="17"/>
      <c r="K217" s="11">
        <f>VLOOKUP(A217,TB!TB1_1,4,FALSE)</f>
        <v>0</v>
      </c>
      <c r="L217" s="17">
        <f t="shared" si="150"/>
        <v>0</v>
      </c>
      <c r="N217" s="11">
        <f>VLOOKUP(A217,TB!TB,4,FALSE)</f>
        <v>0</v>
      </c>
      <c r="O217" s="17">
        <f t="shared" si="151"/>
        <v>0</v>
      </c>
    </row>
    <row r="218" spans="1:15" x14ac:dyDescent="0.25">
      <c r="A218" s="123" t="s">
        <v>1411</v>
      </c>
      <c r="C218" s="5" t="s">
        <v>1449</v>
      </c>
      <c r="E218" s="11">
        <f>VLOOKUP(A218,TB!TB1_1,5,FALSE)</f>
        <v>0</v>
      </c>
      <c r="F218" s="17">
        <f t="shared" ref="F218" si="156">IF(E$160,E218/E$160,0)</f>
        <v>0</v>
      </c>
      <c r="G218" s="17"/>
      <c r="H218" s="11">
        <f>VLOOKUP(A218,TB!TB,5,FALSE)</f>
        <v>0</v>
      </c>
      <c r="I218" s="17">
        <f t="shared" ref="I218" si="157">IF(H$160,H218/H$160,0)</f>
        <v>0</v>
      </c>
      <c r="J218" s="17"/>
      <c r="K218" s="11">
        <f>VLOOKUP(A218,TB!TB1_1,4,FALSE)</f>
        <v>0</v>
      </c>
      <c r="L218" s="17">
        <f t="shared" ref="L218" si="158">IF(K$160,K218/K$160,0)</f>
        <v>0</v>
      </c>
      <c r="N218" s="11">
        <f>VLOOKUP(A218,TB!TB,4,FALSE)</f>
        <v>0</v>
      </c>
      <c r="O218" s="17">
        <f t="shared" ref="O218" si="159">IF(N$160,N218/N$160,0)</f>
        <v>0</v>
      </c>
    </row>
    <row r="219" spans="1:15" x14ac:dyDescent="0.25">
      <c r="A219" s="122" t="s">
        <v>344</v>
      </c>
      <c r="C219" s="5" t="s">
        <v>1987</v>
      </c>
      <c r="E219" s="11">
        <f>VLOOKUP(A219,TB!TB1_1,5,FALSE)</f>
        <v>0</v>
      </c>
      <c r="F219" s="17">
        <f t="shared" si="148"/>
        <v>0</v>
      </c>
      <c r="G219" s="17"/>
      <c r="H219" s="11">
        <f>VLOOKUP(A219,TB!TB,5,FALSE)</f>
        <v>0</v>
      </c>
      <c r="I219" s="17">
        <f t="shared" si="149"/>
        <v>0</v>
      </c>
      <c r="J219" s="17"/>
      <c r="K219" s="11">
        <f>VLOOKUP(A219,TB!TB1_1,4,FALSE)</f>
        <v>0</v>
      </c>
      <c r="L219" s="17">
        <f t="shared" si="150"/>
        <v>0</v>
      </c>
      <c r="N219" s="11">
        <f>VLOOKUP(A219,TB!TB,4,FALSE)</f>
        <v>0</v>
      </c>
      <c r="O219" s="17">
        <f t="shared" si="151"/>
        <v>0</v>
      </c>
    </row>
    <row r="220" spans="1:15" x14ac:dyDescent="0.25">
      <c r="A220" s="122" t="s">
        <v>835</v>
      </c>
      <c r="C220" s="5" t="s">
        <v>1988</v>
      </c>
      <c r="E220" s="11">
        <f>VLOOKUP(A220,TB!TB1_1,5,FALSE)</f>
        <v>0</v>
      </c>
      <c r="F220" s="17">
        <f t="shared" si="148"/>
        <v>0</v>
      </c>
      <c r="G220" s="17"/>
      <c r="H220" s="11">
        <f>VLOOKUP(A220,TB!TB,5,FALSE)</f>
        <v>0</v>
      </c>
      <c r="I220" s="17">
        <f t="shared" si="149"/>
        <v>0</v>
      </c>
      <c r="J220" s="17"/>
      <c r="K220" s="11">
        <f>VLOOKUP(A220,TB!TB1_1,4,FALSE)</f>
        <v>0</v>
      </c>
      <c r="L220" s="17">
        <f t="shared" si="150"/>
        <v>0</v>
      </c>
      <c r="N220" s="11">
        <f>VLOOKUP(A220,TB!TB,4,FALSE)</f>
        <v>0</v>
      </c>
      <c r="O220" s="17">
        <f t="shared" si="151"/>
        <v>0</v>
      </c>
    </row>
    <row r="221" spans="1:15" x14ac:dyDescent="0.25">
      <c r="A221" s="122" t="s">
        <v>346</v>
      </c>
      <c r="C221" s="5" t="s">
        <v>1989</v>
      </c>
      <c r="E221" s="11">
        <f>VLOOKUP(A221,TB!TB1_1,5,FALSE)</f>
        <v>0</v>
      </c>
      <c r="F221" s="17">
        <f t="shared" si="148"/>
        <v>0</v>
      </c>
      <c r="G221" s="17"/>
      <c r="H221" s="11">
        <f>VLOOKUP(A221,TB!TB,5,FALSE)</f>
        <v>0</v>
      </c>
      <c r="I221" s="17">
        <f t="shared" si="149"/>
        <v>0</v>
      </c>
      <c r="J221" s="17"/>
      <c r="K221" s="11">
        <f>VLOOKUP(A221,TB!TB1_1,4,FALSE)</f>
        <v>0</v>
      </c>
      <c r="L221" s="17">
        <f t="shared" si="150"/>
        <v>0</v>
      </c>
      <c r="N221" s="11">
        <f>VLOOKUP(A221,TB!TB,4,FALSE)</f>
        <v>0</v>
      </c>
      <c r="O221" s="17">
        <f t="shared" si="151"/>
        <v>0</v>
      </c>
    </row>
    <row r="222" spans="1:15" x14ac:dyDescent="0.25">
      <c r="A222" s="122" t="s">
        <v>836</v>
      </c>
      <c r="C222" s="5" t="s">
        <v>1990</v>
      </c>
      <c r="E222" s="11">
        <f>VLOOKUP(A222,TB!TB1_1,5,FALSE)</f>
        <v>0</v>
      </c>
      <c r="F222" s="17">
        <f t="shared" si="148"/>
        <v>0</v>
      </c>
      <c r="G222" s="17"/>
      <c r="H222" s="11">
        <f>VLOOKUP(A222,TB!TB,5,FALSE)</f>
        <v>0</v>
      </c>
      <c r="I222" s="17">
        <f t="shared" si="149"/>
        <v>0</v>
      </c>
      <c r="J222" s="17"/>
      <c r="K222" s="11">
        <f>VLOOKUP(A222,TB!TB1_1,4,FALSE)</f>
        <v>0</v>
      </c>
      <c r="L222" s="17">
        <f t="shared" si="150"/>
        <v>0</v>
      </c>
      <c r="N222" s="11">
        <f>VLOOKUP(A222,TB!TB,4,FALSE)</f>
        <v>0</v>
      </c>
      <c r="O222" s="17">
        <f t="shared" si="151"/>
        <v>0</v>
      </c>
    </row>
    <row r="223" spans="1:15" x14ac:dyDescent="0.25">
      <c r="A223" s="122" t="s">
        <v>348</v>
      </c>
      <c r="C223" s="5" t="s">
        <v>1991</v>
      </c>
      <c r="E223" s="11">
        <f>VLOOKUP(A223,TB!TB1_1,5,FALSE)</f>
        <v>-1302.5</v>
      </c>
      <c r="F223" s="17">
        <f t="shared" si="148"/>
        <v>-4.4029185282096352E-4</v>
      </c>
      <c r="G223" s="17"/>
      <c r="H223" s="11">
        <f>VLOOKUP(A223,TB!TB,5,FALSE)</f>
        <v>6964.75</v>
      </c>
      <c r="I223" s="17">
        <f t="shared" si="149"/>
        <v>3.1599454045278873E-3</v>
      </c>
      <c r="J223" s="17"/>
      <c r="K223" s="11">
        <f>VLOOKUP(A223,TB!TB1_1,4,FALSE)</f>
        <v>-1302.5</v>
      </c>
      <c r="L223" s="17">
        <f t="shared" si="150"/>
        <v>-4.4029185282096352E-4</v>
      </c>
      <c r="N223" s="11">
        <f>VLOOKUP(A223,TB!TB,4,FALSE)</f>
        <v>6964.75</v>
      </c>
      <c r="O223" s="17">
        <f t="shared" si="151"/>
        <v>3.1599454045278873E-3</v>
      </c>
    </row>
    <row r="224" spans="1:15" x14ac:dyDescent="0.25">
      <c r="A224" s="122" t="s">
        <v>837</v>
      </c>
      <c r="C224" s="5" t="s">
        <v>1992</v>
      </c>
      <c r="E224" s="11">
        <f>VLOOKUP(A224,TB!TB1_1,5,FALSE)</f>
        <v>0</v>
      </c>
      <c r="F224" s="17">
        <f t="shared" si="148"/>
        <v>0</v>
      </c>
      <c r="G224" s="17"/>
      <c r="H224" s="11">
        <f>VLOOKUP(A224,TB!TB,5,FALSE)</f>
        <v>0</v>
      </c>
      <c r="I224" s="17">
        <f t="shared" si="149"/>
        <v>0</v>
      </c>
      <c r="J224" s="17"/>
      <c r="K224" s="11">
        <f>VLOOKUP(A224,TB!TB1_1,4,FALSE)</f>
        <v>0</v>
      </c>
      <c r="L224" s="17">
        <f t="shared" si="150"/>
        <v>0</v>
      </c>
      <c r="N224" s="11">
        <f>VLOOKUP(A224,TB!TB,4,FALSE)</f>
        <v>0</v>
      </c>
      <c r="O224" s="17">
        <f t="shared" si="151"/>
        <v>0</v>
      </c>
    </row>
    <row r="225" spans="1:15" x14ac:dyDescent="0.25">
      <c r="A225" s="122" t="s">
        <v>350</v>
      </c>
      <c r="C225" s="5" t="s">
        <v>1993</v>
      </c>
      <c r="E225" s="11">
        <f>VLOOKUP(A225,TB!TB1_1,5,FALSE)</f>
        <v>0</v>
      </c>
      <c r="F225" s="17">
        <f t="shared" si="148"/>
        <v>0</v>
      </c>
      <c r="G225" s="17"/>
      <c r="H225" s="11">
        <f>VLOOKUP(A225,TB!TB,5,FALSE)</f>
        <v>0</v>
      </c>
      <c r="I225" s="17">
        <f t="shared" si="149"/>
        <v>0</v>
      </c>
      <c r="J225" s="17"/>
      <c r="K225" s="11">
        <f>VLOOKUP(A225,TB!TB1_1,4,FALSE)</f>
        <v>0</v>
      </c>
      <c r="L225" s="17">
        <f t="shared" si="150"/>
        <v>0</v>
      </c>
      <c r="N225" s="11">
        <f>VLOOKUP(A225,TB!TB,4,FALSE)</f>
        <v>0</v>
      </c>
      <c r="O225" s="17">
        <f t="shared" si="151"/>
        <v>0</v>
      </c>
    </row>
    <row r="226" spans="1:15" x14ac:dyDescent="0.25">
      <c r="A226" s="122" t="s">
        <v>838</v>
      </c>
      <c r="C226" s="5" t="s">
        <v>1994</v>
      </c>
      <c r="E226" s="11">
        <f>VLOOKUP(A226,TB!TB1_1,5,FALSE)</f>
        <v>0</v>
      </c>
      <c r="F226" s="17">
        <f t="shared" si="148"/>
        <v>0</v>
      </c>
      <c r="G226" s="17"/>
      <c r="H226" s="11">
        <f>VLOOKUP(A226,TB!TB,5,FALSE)</f>
        <v>0</v>
      </c>
      <c r="I226" s="17">
        <f t="shared" si="149"/>
        <v>0</v>
      </c>
      <c r="J226" s="17"/>
      <c r="K226" s="11">
        <f>VLOOKUP(A226,TB!TB1_1,4,FALSE)</f>
        <v>0</v>
      </c>
      <c r="L226" s="17">
        <f t="shared" si="150"/>
        <v>0</v>
      </c>
      <c r="N226" s="11">
        <f>VLOOKUP(A226,TB!TB,4,FALSE)</f>
        <v>0</v>
      </c>
      <c r="O226" s="17">
        <f t="shared" si="151"/>
        <v>0</v>
      </c>
    </row>
    <row r="227" spans="1:15" x14ac:dyDescent="0.25">
      <c r="A227" s="122" t="s">
        <v>352</v>
      </c>
      <c r="C227" s="5" t="s">
        <v>1995</v>
      </c>
      <c r="E227" s="11">
        <f>VLOOKUP(A227,TB!TB1_1,5,FALSE)</f>
        <v>7870.5</v>
      </c>
      <c r="F227" s="17">
        <f t="shared" si="148"/>
        <v>2.6605121133415686E-3</v>
      </c>
      <c r="G227" s="17"/>
      <c r="H227" s="11">
        <f>VLOOKUP(A227,TB!TB,5,FALSE)</f>
        <v>9618.25</v>
      </c>
      <c r="I227" s="17">
        <f t="shared" si="149"/>
        <v>4.3638529576941528E-3</v>
      </c>
      <c r="J227" s="17"/>
      <c r="K227" s="11">
        <f>VLOOKUP(A227,TB!TB1_1,4,FALSE)</f>
        <v>7870.5</v>
      </c>
      <c r="L227" s="17">
        <f t="shared" si="150"/>
        <v>2.6605121133415686E-3</v>
      </c>
      <c r="N227" s="11">
        <f>VLOOKUP(A227,TB!TB,4,FALSE)</f>
        <v>9618.25</v>
      </c>
      <c r="O227" s="17">
        <f t="shared" si="151"/>
        <v>4.3638529576941528E-3</v>
      </c>
    </row>
    <row r="228" spans="1:15" x14ac:dyDescent="0.25">
      <c r="A228" s="122" t="s">
        <v>839</v>
      </c>
      <c r="C228" s="5" t="s">
        <v>1996</v>
      </c>
      <c r="E228" s="11">
        <f>VLOOKUP(A228,TB!TB1_1,5,FALSE)</f>
        <v>366</v>
      </c>
      <c r="F228" s="17">
        <f t="shared" si="148"/>
        <v>1.2372116555276212E-4</v>
      </c>
      <c r="G228" s="17"/>
      <c r="H228" s="11">
        <f>VLOOKUP(A228,TB!TB,5,FALSE)</f>
        <v>2802</v>
      </c>
      <c r="I228" s="17">
        <f t="shared" si="149"/>
        <v>1.2712828204152541E-3</v>
      </c>
      <c r="J228" s="17"/>
      <c r="K228" s="11">
        <f>VLOOKUP(A228,TB!TB1_1,4,FALSE)</f>
        <v>366</v>
      </c>
      <c r="L228" s="17">
        <f t="shared" si="150"/>
        <v>1.2372116555276212E-4</v>
      </c>
      <c r="N228" s="11">
        <f>VLOOKUP(A228,TB!TB,4,FALSE)</f>
        <v>2802</v>
      </c>
      <c r="O228" s="17">
        <f t="shared" si="151"/>
        <v>1.2712828204152541E-3</v>
      </c>
    </row>
    <row r="229" spans="1:15" x14ac:dyDescent="0.25">
      <c r="A229" s="122" t="s">
        <v>354</v>
      </c>
      <c r="C229" s="5" t="s">
        <v>1997</v>
      </c>
      <c r="E229" s="11">
        <f>VLOOKUP(A229,TB!TB1_1,5,FALSE)</f>
        <v>1932.15</v>
      </c>
      <c r="F229" s="17">
        <f t="shared" si="148"/>
        <v>6.5313620224800363E-4</v>
      </c>
      <c r="G229" s="17"/>
      <c r="H229" s="11">
        <f>VLOOKUP(A229,TB!TB,5,FALSE)</f>
        <v>1497.58</v>
      </c>
      <c r="I229" s="17">
        <f t="shared" si="149"/>
        <v>6.7946028772215416E-4</v>
      </c>
      <c r="J229" s="17"/>
      <c r="K229" s="11">
        <f>VLOOKUP(A229,TB!TB1_1,4,FALSE)</f>
        <v>1932.15</v>
      </c>
      <c r="L229" s="17">
        <f t="shared" si="150"/>
        <v>6.5313620224800363E-4</v>
      </c>
      <c r="N229" s="11">
        <f>VLOOKUP(A229,TB!TB,4,FALSE)</f>
        <v>1497.58</v>
      </c>
      <c r="O229" s="17">
        <f t="shared" si="151"/>
        <v>6.7946028772215416E-4</v>
      </c>
    </row>
    <row r="230" spans="1:15" x14ac:dyDescent="0.25">
      <c r="A230" s="122" t="s">
        <v>840</v>
      </c>
      <c r="C230" s="5" t="s">
        <v>1998</v>
      </c>
      <c r="E230" s="11">
        <f>VLOOKUP(A230,TB!TB1_1,5,FALSE)</f>
        <v>0</v>
      </c>
      <c r="F230" s="17">
        <f t="shared" si="148"/>
        <v>0</v>
      </c>
      <c r="G230" s="17"/>
      <c r="H230" s="11">
        <f>VLOOKUP(A230,TB!TB,5,FALSE)</f>
        <v>35</v>
      </c>
      <c r="I230" s="17">
        <f t="shared" si="149"/>
        <v>1.5879692617606668E-5</v>
      </c>
      <c r="J230" s="17"/>
      <c r="K230" s="11">
        <f>VLOOKUP(A230,TB!TB1_1,4,FALSE)</f>
        <v>0</v>
      </c>
      <c r="L230" s="17">
        <f t="shared" si="150"/>
        <v>0</v>
      </c>
      <c r="N230" s="11">
        <f>VLOOKUP(A230,TB!TB,4,FALSE)</f>
        <v>35</v>
      </c>
      <c r="O230" s="17">
        <f t="shared" si="151"/>
        <v>1.5879692617606668E-5</v>
      </c>
    </row>
    <row r="231" spans="1:15" x14ac:dyDescent="0.25">
      <c r="A231" s="122" t="s">
        <v>356</v>
      </c>
      <c r="C231" s="5" t="s">
        <v>1999</v>
      </c>
      <c r="E231" s="11">
        <f>VLOOKUP(A231,TB!TB1_1,5,FALSE)</f>
        <v>5453.66</v>
      </c>
      <c r="F231" s="17">
        <f t="shared" si="148"/>
        <v>1.8435332560887338E-3</v>
      </c>
      <c r="G231" s="17"/>
      <c r="H231" s="11">
        <f>VLOOKUP(A231,TB!TB,5,FALSE)</f>
        <v>8952.66</v>
      </c>
      <c r="I231" s="17">
        <f t="shared" si="149"/>
        <v>4.0618711117126434E-3</v>
      </c>
      <c r="J231" s="17"/>
      <c r="K231" s="11">
        <f>VLOOKUP(A231,TB!TB1_1,4,FALSE)</f>
        <v>5453.66</v>
      </c>
      <c r="L231" s="17">
        <f t="shared" si="150"/>
        <v>1.8435332560887338E-3</v>
      </c>
      <c r="N231" s="11">
        <f>VLOOKUP(A231,TB!TB,4,FALSE)</f>
        <v>8952.66</v>
      </c>
      <c r="O231" s="17">
        <f t="shared" si="151"/>
        <v>4.0618711117126434E-3</v>
      </c>
    </row>
    <row r="232" spans="1:15" x14ac:dyDescent="0.25">
      <c r="A232" s="122" t="s">
        <v>841</v>
      </c>
      <c r="C232" s="5" t="s">
        <v>2000</v>
      </c>
      <c r="E232" s="11">
        <f>VLOOKUP(A232,TB!TB1_1,5,FALSE)</f>
        <v>0</v>
      </c>
      <c r="F232" s="17">
        <f t="shared" si="148"/>
        <v>0</v>
      </c>
      <c r="G232" s="17"/>
      <c r="H232" s="11">
        <f>VLOOKUP(A232,TB!TB,5,FALSE)</f>
        <v>0</v>
      </c>
      <c r="I232" s="17">
        <f t="shared" si="149"/>
        <v>0</v>
      </c>
      <c r="J232" s="17"/>
      <c r="K232" s="11">
        <f>VLOOKUP(A232,TB!TB1_1,4,FALSE)</f>
        <v>0</v>
      </c>
      <c r="L232" s="17">
        <f t="shared" si="150"/>
        <v>0</v>
      </c>
      <c r="N232" s="11">
        <f>VLOOKUP(A232,TB!TB,4,FALSE)</f>
        <v>0</v>
      </c>
      <c r="O232" s="17">
        <f t="shared" si="151"/>
        <v>0</v>
      </c>
    </row>
    <row r="233" spans="1:15" x14ac:dyDescent="0.25">
      <c r="A233" s="122" t="s">
        <v>358</v>
      </c>
      <c r="C233" s="5" t="s">
        <v>2001</v>
      </c>
      <c r="E233" s="11">
        <f>VLOOKUP(A233,TB!TB1_1,5,FALSE)</f>
        <v>0</v>
      </c>
      <c r="F233" s="17">
        <f t="shared" si="148"/>
        <v>0</v>
      </c>
      <c r="G233" s="17"/>
      <c r="H233" s="11">
        <f>VLOOKUP(A233,TB!TB,5,FALSE)</f>
        <v>0</v>
      </c>
      <c r="I233" s="17">
        <f t="shared" si="149"/>
        <v>0</v>
      </c>
      <c r="J233" s="17"/>
      <c r="K233" s="11">
        <f>VLOOKUP(A233,TB!TB1_1,4,FALSE)</f>
        <v>0</v>
      </c>
      <c r="L233" s="17">
        <f t="shared" si="150"/>
        <v>0</v>
      </c>
      <c r="N233" s="11">
        <f>VLOOKUP(A233,TB!TB,4,FALSE)</f>
        <v>0</v>
      </c>
      <c r="O233" s="17">
        <f t="shared" si="151"/>
        <v>0</v>
      </c>
    </row>
    <row r="234" spans="1:15" x14ac:dyDescent="0.25">
      <c r="A234" s="122" t="s">
        <v>842</v>
      </c>
      <c r="C234" s="5" t="s">
        <v>2002</v>
      </c>
      <c r="E234" s="11">
        <f>VLOOKUP(A234,TB!TB1_1,5,FALSE)</f>
        <v>0</v>
      </c>
      <c r="F234" s="17">
        <f t="shared" si="148"/>
        <v>0</v>
      </c>
      <c r="G234" s="17"/>
      <c r="H234" s="11">
        <f>VLOOKUP(A234,TB!TB,5,FALSE)</f>
        <v>0</v>
      </c>
      <c r="I234" s="17">
        <f t="shared" si="149"/>
        <v>0</v>
      </c>
      <c r="J234" s="17"/>
      <c r="K234" s="11">
        <f>VLOOKUP(A234,TB!TB1_1,4,FALSE)</f>
        <v>0</v>
      </c>
      <c r="L234" s="17">
        <f t="shared" si="150"/>
        <v>0</v>
      </c>
      <c r="N234" s="11">
        <f>VLOOKUP(A234,TB!TB,4,FALSE)</f>
        <v>0</v>
      </c>
      <c r="O234" s="17">
        <f t="shared" si="151"/>
        <v>0</v>
      </c>
    </row>
    <row r="235" spans="1:15" x14ac:dyDescent="0.25">
      <c r="A235" s="122" t="s">
        <v>844</v>
      </c>
      <c r="C235" s="5" t="s">
        <v>2003</v>
      </c>
      <c r="E235" s="11">
        <f>VLOOKUP(A235,TB!TB1_1,5,FALSE)</f>
        <v>0</v>
      </c>
      <c r="F235" s="17">
        <f t="shared" si="148"/>
        <v>0</v>
      </c>
      <c r="G235" s="17"/>
      <c r="H235" s="11">
        <f>VLOOKUP(A235,TB!TB,5,FALSE)</f>
        <v>0</v>
      </c>
      <c r="I235" s="17">
        <f t="shared" si="149"/>
        <v>0</v>
      </c>
      <c r="J235" s="17"/>
      <c r="K235" s="11">
        <f>VLOOKUP(A235,TB!TB1_1,4,FALSE)</f>
        <v>0</v>
      </c>
      <c r="L235" s="17">
        <f t="shared" si="150"/>
        <v>0</v>
      </c>
      <c r="N235" s="11">
        <f>VLOOKUP(A235,TB!TB,4,FALSE)</f>
        <v>0</v>
      </c>
      <c r="O235" s="17">
        <f t="shared" si="151"/>
        <v>0</v>
      </c>
    </row>
    <row r="236" spans="1:15" x14ac:dyDescent="0.25">
      <c r="A236" s="122" t="s">
        <v>359</v>
      </c>
      <c r="C236" s="5" t="s">
        <v>2004</v>
      </c>
      <c r="E236" s="11">
        <f>VLOOKUP(A236,TB!TB1_1,5,FALSE)</f>
        <v>0</v>
      </c>
      <c r="F236" s="17">
        <f t="shared" si="148"/>
        <v>0</v>
      </c>
      <c r="G236" s="17"/>
      <c r="H236" s="11">
        <f>VLOOKUP(A236,TB!TB,5,FALSE)</f>
        <v>0</v>
      </c>
      <c r="I236" s="17">
        <f t="shared" si="149"/>
        <v>0</v>
      </c>
      <c r="J236" s="17"/>
      <c r="K236" s="11">
        <f>VLOOKUP(A236,TB!TB1_1,4,FALSE)</f>
        <v>0</v>
      </c>
      <c r="L236" s="17">
        <f t="shared" si="150"/>
        <v>0</v>
      </c>
      <c r="N236" s="11">
        <f>VLOOKUP(A236,TB!TB,4,FALSE)</f>
        <v>0</v>
      </c>
      <c r="O236" s="17">
        <f t="shared" si="151"/>
        <v>0</v>
      </c>
    </row>
    <row r="237" spans="1:15" x14ac:dyDescent="0.25">
      <c r="A237" s="122" t="s">
        <v>845</v>
      </c>
      <c r="C237" s="5" t="s">
        <v>2005</v>
      </c>
      <c r="E237" s="11">
        <f>VLOOKUP(A237,TB!TB1_1,5,FALSE)</f>
        <v>0</v>
      </c>
      <c r="F237" s="17">
        <f t="shared" si="148"/>
        <v>0</v>
      </c>
      <c r="G237" s="17"/>
      <c r="H237" s="11">
        <f>VLOOKUP(A237,TB!TB,5,FALSE)</f>
        <v>0</v>
      </c>
      <c r="I237" s="17">
        <f t="shared" si="149"/>
        <v>0</v>
      </c>
      <c r="J237" s="17"/>
      <c r="K237" s="11">
        <f>VLOOKUP(A237,TB!TB1_1,4,FALSE)</f>
        <v>0</v>
      </c>
      <c r="L237" s="17">
        <f t="shared" si="150"/>
        <v>0</v>
      </c>
      <c r="N237" s="11">
        <f>VLOOKUP(A237,TB!TB,4,FALSE)</f>
        <v>0</v>
      </c>
      <c r="O237" s="17">
        <f t="shared" si="151"/>
        <v>0</v>
      </c>
    </row>
    <row r="238" spans="1:15" x14ac:dyDescent="0.25">
      <c r="A238" s="122" t="s">
        <v>361</v>
      </c>
      <c r="C238" s="5" t="s">
        <v>2006</v>
      </c>
      <c r="E238" s="11">
        <f>VLOOKUP(A238,TB!TB1_1,5,FALSE)</f>
        <v>0</v>
      </c>
      <c r="F238" s="17">
        <f t="shared" ref="F238:F270" si="160">IF(E$160,E238/E$160,0)</f>
        <v>0</v>
      </c>
      <c r="G238" s="17"/>
      <c r="H238" s="11">
        <f>VLOOKUP(A238,TB!TB,5,FALSE)</f>
        <v>0</v>
      </c>
      <c r="I238" s="17">
        <f t="shared" ref="I238:I270" si="161">IF(H$160,H238/H$160,0)</f>
        <v>0</v>
      </c>
      <c r="J238" s="17"/>
      <c r="K238" s="11">
        <f>VLOOKUP(A238,TB!TB1_1,4,FALSE)</f>
        <v>0</v>
      </c>
      <c r="L238" s="17">
        <f t="shared" ref="L238:L270" si="162">IF(K$160,K238/K$160,0)</f>
        <v>0</v>
      </c>
      <c r="N238" s="11">
        <f>VLOOKUP(A238,TB!TB,4,FALSE)</f>
        <v>0</v>
      </c>
      <c r="O238" s="17">
        <f t="shared" ref="O238:O270" si="163">IF(N$160,N238/N$160,0)</f>
        <v>0</v>
      </c>
    </row>
    <row r="239" spans="1:15" x14ac:dyDescent="0.25">
      <c r="A239" s="123" t="s">
        <v>1410</v>
      </c>
      <c r="C239" s="5" t="s">
        <v>2007</v>
      </c>
      <c r="E239" s="11">
        <f>VLOOKUP(A239,TB!TB1_1,5,FALSE)</f>
        <v>0</v>
      </c>
      <c r="F239" s="17">
        <f t="shared" ref="F239" si="164">IF(E$160,E239/E$160,0)</f>
        <v>0</v>
      </c>
      <c r="G239" s="17"/>
      <c r="H239" s="11">
        <f>VLOOKUP(A239,TB!TB,5,FALSE)</f>
        <v>0</v>
      </c>
      <c r="I239" s="17">
        <f t="shared" ref="I239" si="165">IF(H$160,H239/H$160,0)</f>
        <v>0</v>
      </c>
      <c r="J239" s="17"/>
      <c r="K239" s="11">
        <f>VLOOKUP(A239,TB!TB1_1,4,FALSE)</f>
        <v>0</v>
      </c>
      <c r="L239" s="17">
        <f t="shared" ref="L239" si="166">IF(K$160,K239/K$160,0)</f>
        <v>0</v>
      </c>
      <c r="N239" s="11">
        <f>VLOOKUP(A239,TB!TB,4,FALSE)</f>
        <v>0</v>
      </c>
      <c r="O239" s="17">
        <f t="shared" ref="O239" si="167">IF(N$160,N239/N$160,0)</f>
        <v>0</v>
      </c>
    </row>
    <row r="240" spans="1:15" x14ac:dyDescent="0.25">
      <c r="A240" s="122" t="s">
        <v>363</v>
      </c>
      <c r="C240" s="5" t="s">
        <v>2008</v>
      </c>
      <c r="E240" s="11">
        <f>VLOOKUP(A240,TB!TB1_1,5,FALSE)</f>
        <v>0</v>
      </c>
      <c r="F240" s="17">
        <f t="shared" si="160"/>
        <v>0</v>
      </c>
      <c r="G240" s="17"/>
      <c r="H240" s="11">
        <f>VLOOKUP(A240,TB!TB,5,FALSE)</f>
        <v>0</v>
      </c>
      <c r="I240" s="17">
        <f t="shared" si="161"/>
        <v>0</v>
      </c>
      <c r="J240" s="17"/>
      <c r="K240" s="11">
        <f>VLOOKUP(A240,TB!TB1_1,4,FALSE)</f>
        <v>0</v>
      </c>
      <c r="L240" s="17">
        <f t="shared" si="162"/>
        <v>0</v>
      </c>
      <c r="N240" s="11">
        <f>VLOOKUP(A240,TB!TB,4,FALSE)</f>
        <v>0</v>
      </c>
      <c r="O240" s="17">
        <f t="shared" si="163"/>
        <v>0</v>
      </c>
    </row>
    <row r="241" spans="1:15" x14ac:dyDescent="0.25">
      <c r="A241" s="122" t="s">
        <v>847</v>
      </c>
      <c r="C241" s="5" t="s">
        <v>2009</v>
      </c>
      <c r="E241" s="11">
        <f>VLOOKUP(A241,TB!TB1_1,5,FALSE)</f>
        <v>0</v>
      </c>
      <c r="F241" s="17">
        <f t="shared" si="160"/>
        <v>0</v>
      </c>
      <c r="G241" s="17"/>
      <c r="H241" s="11">
        <f>VLOOKUP(A241,TB!TB,5,FALSE)</f>
        <v>0</v>
      </c>
      <c r="I241" s="17">
        <f t="shared" si="161"/>
        <v>0</v>
      </c>
      <c r="J241" s="17"/>
      <c r="K241" s="11">
        <f>VLOOKUP(A241,TB!TB1_1,4,FALSE)</f>
        <v>0</v>
      </c>
      <c r="L241" s="17">
        <f t="shared" si="162"/>
        <v>0</v>
      </c>
      <c r="N241" s="11">
        <f>VLOOKUP(A241,TB!TB,4,FALSE)</f>
        <v>0</v>
      </c>
      <c r="O241" s="17">
        <f t="shared" si="163"/>
        <v>0</v>
      </c>
    </row>
    <row r="242" spans="1:15" x14ac:dyDescent="0.25">
      <c r="A242" s="122" t="s">
        <v>365</v>
      </c>
      <c r="C242" s="5" t="s">
        <v>2010</v>
      </c>
      <c r="E242" s="11">
        <f>VLOOKUP(A242,TB!TB1_1,5,FALSE)</f>
        <v>0</v>
      </c>
      <c r="F242" s="17">
        <f t="shared" si="160"/>
        <v>0</v>
      </c>
      <c r="G242" s="17"/>
      <c r="H242" s="11">
        <f>VLOOKUP(A242,TB!TB,5,FALSE)</f>
        <v>0</v>
      </c>
      <c r="I242" s="17">
        <f t="shared" si="161"/>
        <v>0</v>
      </c>
      <c r="J242" s="17"/>
      <c r="K242" s="11">
        <f>VLOOKUP(A242,TB!TB1_1,4,FALSE)</f>
        <v>0</v>
      </c>
      <c r="L242" s="17">
        <f t="shared" si="162"/>
        <v>0</v>
      </c>
      <c r="N242" s="11">
        <f>VLOOKUP(A242,TB!TB,4,FALSE)</f>
        <v>0</v>
      </c>
      <c r="O242" s="17">
        <f t="shared" si="163"/>
        <v>0</v>
      </c>
    </row>
    <row r="243" spans="1:15" x14ac:dyDescent="0.25">
      <c r="A243" s="122" t="s">
        <v>848</v>
      </c>
      <c r="C243" s="5" t="s">
        <v>2011</v>
      </c>
      <c r="E243" s="11">
        <f>VLOOKUP(A243,TB!TB1_1,5,FALSE)</f>
        <v>0</v>
      </c>
      <c r="F243" s="17">
        <f t="shared" si="160"/>
        <v>0</v>
      </c>
      <c r="G243" s="17"/>
      <c r="H243" s="11">
        <f>VLOOKUP(A243,TB!TB,5,FALSE)</f>
        <v>0</v>
      </c>
      <c r="I243" s="17">
        <f t="shared" si="161"/>
        <v>0</v>
      </c>
      <c r="J243" s="17"/>
      <c r="K243" s="11">
        <f>VLOOKUP(A243,TB!TB1_1,4,FALSE)</f>
        <v>0</v>
      </c>
      <c r="L243" s="17">
        <f t="shared" si="162"/>
        <v>0</v>
      </c>
      <c r="N243" s="11">
        <f>VLOOKUP(A243,TB!TB,4,FALSE)</f>
        <v>0</v>
      </c>
      <c r="O243" s="17">
        <f t="shared" si="163"/>
        <v>0</v>
      </c>
    </row>
    <row r="244" spans="1:15" x14ac:dyDescent="0.25">
      <c r="A244" s="122" t="s">
        <v>367</v>
      </c>
      <c r="C244" s="5" t="s">
        <v>2012</v>
      </c>
      <c r="E244" s="11">
        <f>VLOOKUP(A244,TB!TB1_1,5,FALSE)</f>
        <v>0</v>
      </c>
      <c r="F244" s="17">
        <f t="shared" si="160"/>
        <v>0</v>
      </c>
      <c r="G244" s="17"/>
      <c r="H244" s="11">
        <f>VLOOKUP(A244,TB!TB,5,FALSE)</f>
        <v>0</v>
      </c>
      <c r="I244" s="17">
        <f t="shared" si="161"/>
        <v>0</v>
      </c>
      <c r="J244" s="17"/>
      <c r="K244" s="11">
        <f>VLOOKUP(A244,TB!TB1_1,4,FALSE)</f>
        <v>0</v>
      </c>
      <c r="L244" s="17">
        <f t="shared" si="162"/>
        <v>0</v>
      </c>
      <c r="N244" s="11">
        <f>VLOOKUP(A244,TB!TB,4,FALSE)</f>
        <v>0</v>
      </c>
      <c r="O244" s="17">
        <f t="shared" si="163"/>
        <v>0</v>
      </c>
    </row>
    <row r="245" spans="1:15" x14ac:dyDescent="0.25">
      <c r="A245" s="122" t="s">
        <v>849</v>
      </c>
      <c r="C245" s="5" t="s">
        <v>2013</v>
      </c>
      <c r="E245" s="11">
        <f>VLOOKUP(A245,TB!TB1_1,5,FALSE)</f>
        <v>0</v>
      </c>
      <c r="F245" s="17">
        <f t="shared" si="160"/>
        <v>0</v>
      </c>
      <c r="G245" s="17"/>
      <c r="H245" s="11">
        <f>VLOOKUP(A245,TB!TB,5,FALSE)</f>
        <v>0</v>
      </c>
      <c r="I245" s="17">
        <f t="shared" si="161"/>
        <v>0</v>
      </c>
      <c r="J245" s="17"/>
      <c r="K245" s="11">
        <f>VLOOKUP(A245,TB!TB1_1,4,FALSE)</f>
        <v>0</v>
      </c>
      <c r="L245" s="17">
        <f t="shared" si="162"/>
        <v>0</v>
      </c>
      <c r="N245" s="11">
        <f>VLOOKUP(A245,TB!TB,4,FALSE)</f>
        <v>0</v>
      </c>
      <c r="O245" s="17">
        <f t="shared" si="163"/>
        <v>0</v>
      </c>
    </row>
    <row r="246" spans="1:15" x14ac:dyDescent="0.25">
      <c r="A246" s="122" t="s">
        <v>369</v>
      </c>
      <c r="C246" s="5" t="s">
        <v>2014</v>
      </c>
      <c r="E246" s="11">
        <f>VLOOKUP(A246,TB!TB1_1,5,FALSE)</f>
        <v>0</v>
      </c>
      <c r="F246" s="17">
        <f t="shared" si="160"/>
        <v>0</v>
      </c>
      <c r="G246" s="17"/>
      <c r="H246" s="11">
        <f>VLOOKUP(A246,TB!TB,5,FALSE)</f>
        <v>0</v>
      </c>
      <c r="I246" s="17">
        <f t="shared" si="161"/>
        <v>0</v>
      </c>
      <c r="J246" s="17"/>
      <c r="K246" s="11">
        <f>VLOOKUP(A246,TB!TB1_1,4,FALSE)</f>
        <v>0</v>
      </c>
      <c r="L246" s="17">
        <f t="shared" si="162"/>
        <v>0</v>
      </c>
      <c r="N246" s="11">
        <f>VLOOKUP(A246,TB!TB,4,FALSE)</f>
        <v>0</v>
      </c>
      <c r="O246" s="17">
        <f t="shared" si="163"/>
        <v>0</v>
      </c>
    </row>
    <row r="247" spans="1:15" x14ac:dyDescent="0.25">
      <c r="A247" s="122" t="s">
        <v>850</v>
      </c>
      <c r="C247" s="5" t="s">
        <v>2015</v>
      </c>
      <c r="E247" s="11">
        <f>VLOOKUP(A247,TB!TB1_1,5,FALSE)</f>
        <v>0</v>
      </c>
      <c r="F247" s="17">
        <f t="shared" si="160"/>
        <v>0</v>
      </c>
      <c r="G247" s="17"/>
      <c r="H247" s="11">
        <f>VLOOKUP(A247,TB!TB,5,FALSE)</f>
        <v>7300</v>
      </c>
      <c r="I247" s="17">
        <f t="shared" si="161"/>
        <v>3.3120501745293913E-3</v>
      </c>
      <c r="J247" s="17"/>
      <c r="K247" s="11">
        <f>VLOOKUP(A247,TB!TB1_1,4,FALSE)</f>
        <v>0</v>
      </c>
      <c r="L247" s="17">
        <f t="shared" si="162"/>
        <v>0</v>
      </c>
      <c r="N247" s="11">
        <f>VLOOKUP(A247,TB!TB,4,FALSE)</f>
        <v>7300</v>
      </c>
      <c r="O247" s="17">
        <f t="shared" si="163"/>
        <v>3.3120501745293913E-3</v>
      </c>
    </row>
    <row r="248" spans="1:15" x14ac:dyDescent="0.25">
      <c r="A248" s="122" t="s">
        <v>371</v>
      </c>
      <c r="C248" s="5" t="s">
        <v>2016</v>
      </c>
      <c r="E248" s="11">
        <f>VLOOKUP(A248,TB!TB1_1,5,FALSE)</f>
        <v>0</v>
      </c>
      <c r="F248" s="17">
        <f t="shared" si="160"/>
        <v>0</v>
      </c>
      <c r="G248" s="17"/>
      <c r="H248" s="11">
        <f>VLOOKUP(A248,TB!TB,5,FALSE)</f>
        <v>0</v>
      </c>
      <c r="I248" s="17">
        <f t="shared" si="161"/>
        <v>0</v>
      </c>
      <c r="J248" s="17"/>
      <c r="K248" s="11">
        <f>VLOOKUP(A248,TB!TB1_1,4,FALSE)</f>
        <v>0</v>
      </c>
      <c r="L248" s="17">
        <f t="shared" si="162"/>
        <v>0</v>
      </c>
      <c r="N248" s="11">
        <f>VLOOKUP(A248,TB!TB,4,FALSE)</f>
        <v>0</v>
      </c>
      <c r="O248" s="17">
        <f t="shared" si="163"/>
        <v>0</v>
      </c>
    </row>
    <row r="249" spans="1:15" x14ac:dyDescent="0.25">
      <c r="A249" s="122" t="s">
        <v>851</v>
      </c>
      <c r="C249" s="5" t="s">
        <v>2017</v>
      </c>
      <c r="E249" s="11">
        <f>VLOOKUP(A249,TB!TB1_1,5,FALSE)</f>
        <v>0</v>
      </c>
      <c r="F249" s="17">
        <f t="shared" si="160"/>
        <v>0</v>
      </c>
      <c r="G249" s="17"/>
      <c r="H249" s="11">
        <f>VLOOKUP(A249,TB!TB,5,FALSE)</f>
        <v>0</v>
      </c>
      <c r="I249" s="17">
        <f t="shared" si="161"/>
        <v>0</v>
      </c>
      <c r="J249" s="17"/>
      <c r="K249" s="11">
        <f>VLOOKUP(A249,TB!TB1_1,4,FALSE)</f>
        <v>0</v>
      </c>
      <c r="L249" s="17">
        <f t="shared" si="162"/>
        <v>0</v>
      </c>
      <c r="N249" s="11">
        <f>VLOOKUP(A249,TB!TB,4,FALSE)</f>
        <v>0</v>
      </c>
      <c r="O249" s="17">
        <f t="shared" si="163"/>
        <v>0</v>
      </c>
    </row>
    <row r="250" spans="1:15" x14ac:dyDescent="0.25">
      <c r="A250" s="122" t="s">
        <v>373</v>
      </c>
      <c r="C250" s="5" t="s">
        <v>2018</v>
      </c>
      <c r="E250" s="11">
        <f>VLOOKUP(A250,TB!TB1_1,5,FALSE)</f>
        <v>0</v>
      </c>
      <c r="F250" s="17">
        <f t="shared" si="160"/>
        <v>0</v>
      </c>
      <c r="G250" s="17"/>
      <c r="H250" s="11">
        <f>VLOOKUP(A250,TB!TB,5,FALSE)</f>
        <v>21007.8</v>
      </c>
      <c r="I250" s="17">
        <f t="shared" si="161"/>
        <v>9.5313544734902111E-3</v>
      </c>
      <c r="J250" s="17"/>
      <c r="K250" s="11">
        <f>VLOOKUP(A250,TB!TB1_1,4,FALSE)</f>
        <v>0</v>
      </c>
      <c r="L250" s="17">
        <f t="shared" si="162"/>
        <v>0</v>
      </c>
      <c r="N250" s="11">
        <f>VLOOKUP(A250,TB!TB,4,FALSE)</f>
        <v>21007.8</v>
      </c>
      <c r="O250" s="17">
        <f t="shared" si="163"/>
        <v>9.5313544734902111E-3</v>
      </c>
    </row>
    <row r="251" spans="1:15" x14ac:dyDescent="0.25">
      <c r="A251" s="122" t="s">
        <v>852</v>
      </c>
      <c r="C251" s="5" t="s">
        <v>2019</v>
      </c>
      <c r="E251" s="11">
        <f>VLOOKUP(A251,TB!TB1_1,5,FALSE)</f>
        <v>0</v>
      </c>
      <c r="F251" s="17">
        <f t="shared" si="160"/>
        <v>0</v>
      </c>
      <c r="G251" s="17"/>
      <c r="H251" s="11">
        <f>VLOOKUP(A251,TB!TB,5,FALSE)</f>
        <v>0</v>
      </c>
      <c r="I251" s="17">
        <f t="shared" si="161"/>
        <v>0</v>
      </c>
      <c r="J251" s="17"/>
      <c r="K251" s="11">
        <f>VLOOKUP(A251,TB!TB1_1,4,FALSE)</f>
        <v>0</v>
      </c>
      <c r="L251" s="17">
        <f t="shared" si="162"/>
        <v>0</v>
      </c>
      <c r="N251" s="11">
        <f>VLOOKUP(A251,TB!TB,4,FALSE)</f>
        <v>0</v>
      </c>
      <c r="O251" s="17">
        <f t="shared" si="163"/>
        <v>0</v>
      </c>
    </row>
    <row r="252" spans="1:15" x14ac:dyDescent="0.25">
      <c r="A252" s="122" t="s">
        <v>375</v>
      </c>
      <c r="C252" s="5" t="s">
        <v>2020</v>
      </c>
      <c r="E252" s="11">
        <f>VLOOKUP(A252,TB!TB1_1,5,FALSE)</f>
        <v>0</v>
      </c>
      <c r="F252" s="17">
        <f t="shared" si="160"/>
        <v>0</v>
      </c>
      <c r="G252" s="17"/>
      <c r="H252" s="11">
        <f>VLOOKUP(A252,TB!TB,5,FALSE)</f>
        <v>0</v>
      </c>
      <c r="I252" s="17">
        <f t="shared" si="161"/>
        <v>0</v>
      </c>
      <c r="J252" s="17"/>
      <c r="K252" s="11">
        <f>VLOOKUP(A252,TB!TB1_1,4,FALSE)</f>
        <v>0</v>
      </c>
      <c r="L252" s="17">
        <f t="shared" si="162"/>
        <v>0</v>
      </c>
      <c r="N252" s="11">
        <f>VLOOKUP(A252,TB!TB,4,FALSE)</f>
        <v>0</v>
      </c>
      <c r="O252" s="17">
        <f t="shared" si="163"/>
        <v>0</v>
      </c>
    </row>
    <row r="253" spans="1:15" x14ac:dyDescent="0.25">
      <c r="A253" s="122" t="s">
        <v>853</v>
      </c>
      <c r="C253" s="5" t="s">
        <v>2021</v>
      </c>
      <c r="E253" s="11">
        <f>VLOOKUP(A253,TB!TB1_1,5,FALSE)</f>
        <v>0</v>
      </c>
      <c r="F253" s="17">
        <f t="shared" si="160"/>
        <v>0</v>
      </c>
      <c r="G253" s="17"/>
      <c r="H253" s="11">
        <f>VLOOKUP(A253,TB!TB,5,FALSE)</f>
        <v>0</v>
      </c>
      <c r="I253" s="17">
        <f t="shared" si="161"/>
        <v>0</v>
      </c>
      <c r="J253" s="17"/>
      <c r="K253" s="11">
        <f>VLOOKUP(A253,TB!TB1_1,4,FALSE)</f>
        <v>0</v>
      </c>
      <c r="L253" s="17">
        <f t="shared" si="162"/>
        <v>0</v>
      </c>
      <c r="N253" s="11">
        <f>VLOOKUP(A253,TB!TB,4,FALSE)</f>
        <v>0</v>
      </c>
      <c r="O253" s="17">
        <f t="shared" si="163"/>
        <v>0</v>
      </c>
    </row>
    <row r="254" spans="1:15" x14ac:dyDescent="0.25">
      <c r="A254" s="123" t="s">
        <v>1186</v>
      </c>
      <c r="C254" s="5" t="s">
        <v>1326</v>
      </c>
      <c r="E254" s="11">
        <f>VLOOKUP(A254,TB!TB1_1,5,FALSE)</f>
        <v>0</v>
      </c>
      <c r="F254" s="17">
        <f t="shared" si="160"/>
        <v>0</v>
      </c>
      <c r="G254" s="17"/>
      <c r="H254" s="11">
        <f>VLOOKUP(A254,TB!TB,5,FALSE)</f>
        <v>-35903.22</v>
      </c>
      <c r="I254" s="17">
        <f t="shared" si="161"/>
        <v>-1.6289488502351662E-2</v>
      </c>
      <c r="J254" s="17"/>
      <c r="K254" s="11">
        <f>VLOOKUP(A254,TB!TB1_1,4,FALSE)</f>
        <v>0</v>
      </c>
      <c r="L254" s="17">
        <f t="shared" si="162"/>
        <v>0</v>
      </c>
      <c r="N254" s="11">
        <f>VLOOKUP(A254,TB!TB,4,FALSE)</f>
        <v>-35903.22</v>
      </c>
      <c r="O254" s="17">
        <f t="shared" si="163"/>
        <v>-1.6289488502351662E-2</v>
      </c>
    </row>
    <row r="255" spans="1:15" x14ac:dyDescent="0.25">
      <c r="A255" s="122" t="s">
        <v>377</v>
      </c>
      <c r="C255" s="5" t="s">
        <v>2022</v>
      </c>
      <c r="E255" s="11">
        <f>VLOOKUP(A255,TB!TB1_1,5,FALSE)</f>
        <v>0</v>
      </c>
      <c r="F255" s="17">
        <f t="shared" si="160"/>
        <v>0</v>
      </c>
      <c r="G255" s="17"/>
      <c r="H255" s="11">
        <f>VLOOKUP(A255,TB!TB,5,FALSE)</f>
        <v>0</v>
      </c>
      <c r="I255" s="17">
        <f t="shared" si="161"/>
        <v>0</v>
      </c>
      <c r="J255" s="17"/>
      <c r="K255" s="11">
        <f>VLOOKUP(A255,TB!TB1_1,4,FALSE)</f>
        <v>0</v>
      </c>
      <c r="L255" s="17">
        <f t="shared" si="162"/>
        <v>0</v>
      </c>
      <c r="N255" s="11">
        <f>VLOOKUP(A255,TB!TB,4,FALSE)</f>
        <v>0</v>
      </c>
      <c r="O255" s="17">
        <f t="shared" si="163"/>
        <v>0</v>
      </c>
    </row>
    <row r="256" spans="1:15" x14ac:dyDescent="0.25">
      <c r="A256" s="122" t="s">
        <v>854</v>
      </c>
      <c r="C256" s="5" t="s">
        <v>2023</v>
      </c>
      <c r="E256" s="11">
        <f>VLOOKUP(A256,TB!TB1_1,5,FALSE)</f>
        <v>0</v>
      </c>
      <c r="F256" s="17">
        <f t="shared" si="160"/>
        <v>0</v>
      </c>
      <c r="G256" s="17"/>
      <c r="H256" s="11">
        <f>VLOOKUP(A256,TB!TB,5,FALSE)</f>
        <v>0</v>
      </c>
      <c r="I256" s="17">
        <f t="shared" si="161"/>
        <v>0</v>
      </c>
      <c r="J256" s="17"/>
      <c r="K256" s="11">
        <f>VLOOKUP(A256,TB!TB1_1,4,FALSE)</f>
        <v>0</v>
      </c>
      <c r="L256" s="17">
        <f t="shared" si="162"/>
        <v>0</v>
      </c>
      <c r="N256" s="11">
        <f>VLOOKUP(A256,TB!TB,4,FALSE)</f>
        <v>0</v>
      </c>
      <c r="O256" s="17">
        <f t="shared" si="163"/>
        <v>0</v>
      </c>
    </row>
    <row r="257" spans="1:15" x14ac:dyDescent="0.25">
      <c r="A257" s="122" t="s">
        <v>379</v>
      </c>
      <c r="C257" s="5" t="s">
        <v>2024</v>
      </c>
      <c r="E257" s="11">
        <f>VLOOKUP(A257,TB!TB1_1,5,FALSE)</f>
        <v>450.52</v>
      </c>
      <c r="F257" s="17">
        <f t="shared" si="160"/>
        <v>1.5229196586019232E-4</v>
      </c>
      <c r="G257" s="17"/>
      <c r="H257" s="11">
        <f>VLOOKUP(A257,TB!TB,5,FALSE)</f>
        <v>-1374.23</v>
      </c>
      <c r="I257" s="17">
        <f t="shared" si="161"/>
        <v>-6.2349571388267471E-4</v>
      </c>
      <c r="J257" s="17"/>
      <c r="K257" s="11">
        <f>VLOOKUP(A257,TB!TB1_1,4,FALSE)</f>
        <v>450.52</v>
      </c>
      <c r="L257" s="17">
        <f t="shared" si="162"/>
        <v>1.5229196586019232E-4</v>
      </c>
      <c r="N257" s="11">
        <f>VLOOKUP(A257,TB!TB,4,FALSE)</f>
        <v>-1374.23</v>
      </c>
      <c r="O257" s="17">
        <f t="shared" si="163"/>
        <v>-6.2349571388267471E-4</v>
      </c>
    </row>
    <row r="258" spans="1:15" x14ac:dyDescent="0.25">
      <c r="A258" s="122" t="s">
        <v>855</v>
      </c>
      <c r="C258" s="5" t="s">
        <v>2025</v>
      </c>
      <c r="E258" s="11">
        <f>VLOOKUP(A258,TB!TB1_1,5,FALSE)</f>
        <v>0</v>
      </c>
      <c r="F258" s="17">
        <f t="shared" si="160"/>
        <v>0</v>
      </c>
      <c r="G258" s="17"/>
      <c r="H258" s="11">
        <f>VLOOKUP(A258,TB!TB,5,FALSE)</f>
        <v>0</v>
      </c>
      <c r="I258" s="17">
        <f t="shared" si="161"/>
        <v>0</v>
      </c>
      <c r="J258" s="17"/>
      <c r="K258" s="11">
        <f>VLOOKUP(A258,TB!TB1_1,4,FALSE)</f>
        <v>0</v>
      </c>
      <c r="L258" s="17">
        <f t="shared" si="162"/>
        <v>0</v>
      </c>
      <c r="N258" s="11">
        <f>VLOOKUP(A258,TB!TB,4,FALSE)</f>
        <v>0</v>
      </c>
      <c r="O258" s="17">
        <f t="shared" si="163"/>
        <v>0</v>
      </c>
    </row>
    <row r="259" spans="1:15" x14ac:dyDescent="0.25">
      <c r="A259" s="122" t="s">
        <v>381</v>
      </c>
      <c r="C259" s="5" t="s">
        <v>2026</v>
      </c>
      <c r="E259" s="11">
        <f>VLOOKUP(A259,TB!TB1_1,5,FALSE)</f>
        <v>421.74</v>
      </c>
      <c r="F259" s="17">
        <f t="shared" si="160"/>
        <v>1.4256329060169915E-4</v>
      </c>
      <c r="G259" s="17"/>
      <c r="H259" s="11">
        <f>VLOOKUP(A259,TB!TB,5,FALSE)</f>
        <v>-1264.71</v>
      </c>
      <c r="I259" s="17">
        <f t="shared" si="161"/>
        <v>-5.7380588715466661E-4</v>
      </c>
      <c r="J259" s="17"/>
      <c r="K259" s="11">
        <f>VLOOKUP(A259,TB!TB1_1,4,FALSE)</f>
        <v>421.74</v>
      </c>
      <c r="L259" s="17">
        <f t="shared" si="162"/>
        <v>1.4256329060169915E-4</v>
      </c>
      <c r="N259" s="11">
        <f>VLOOKUP(A259,TB!TB,4,FALSE)</f>
        <v>-1264.71</v>
      </c>
      <c r="O259" s="17">
        <f t="shared" si="163"/>
        <v>-5.7380588715466661E-4</v>
      </c>
    </row>
    <row r="260" spans="1:15" x14ac:dyDescent="0.25">
      <c r="A260" s="122" t="s">
        <v>856</v>
      </c>
      <c r="C260" s="5" t="s">
        <v>2027</v>
      </c>
      <c r="E260" s="11">
        <f>VLOOKUP(A260,TB!TB1_1,5,FALSE)</f>
        <v>0</v>
      </c>
      <c r="F260" s="17">
        <f t="shared" si="160"/>
        <v>0</v>
      </c>
      <c r="G260" s="17"/>
      <c r="H260" s="11">
        <f>VLOOKUP(A260,TB!TB,5,FALSE)</f>
        <v>0</v>
      </c>
      <c r="I260" s="17">
        <f t="shared" si="161"/>
        <v>0</v>
      </c>
      <c r="J260" s="17"/>
      <c r="K260" s="11">
        <f>VLOOKUP(A260,TB!TB1_1,4,FALSE)</f>
        <v>0</v>
      </c>
      <c r="L260" s="17">
        <f t="shared" si="162"/>
        <v>0</v>
      </c>
      <c r="N260" s="11">
        <f>VLOOKUP(A260,TB!TB,4,FALSE)</f>
        <v>0</v>
      </c>
      <c r="O260" s="17">
        <f t="shared" si="163"/>
        <v>0</v>
      </c>
    </row>
    <row r="261" spans="1:15" x14ac:dyDescent="0.25">
      <c r="A261" s="122" t="s">
        <v>383</v>
      </c>
      <c r="C261" s="5" t="s">
        <v>1941</v>
      </c>
      <c r="E261" s="11">
        <f>VLOOKUP(A261,TB!TB1_1,5,FALSE)</f>
        <v>12935.75</v>
      </c>
      <c r="F261" s="17">
        <f t="shared" si="160"/>
        <v>4.3727488177572197E-3</v>
      </c>
      <c r="G261" s="17"/>
      <c r="H261" s="11">
        <f>VLOOKUP(A261,TB!TB,5,FALSE)</f>
        <v>8764.75</v>
      </c>
      <c r="I261" s="17">
        <f t="shared" si="161"/>
        <v>3.9766153105762307E-3</v>
      </c>
      <c r="J261" s="17"/>
      <c r="K261" s="11">
        <f>VLOOKUP(A261,TB!TB1_1,4,FALSE)</f>
        <v>12935.75</v>
      </c>
      <c r="L261" s="17">
        <f t="shared" si="162"/>
        <v>4.3727488177572197E-3</v>
      </c>
      <c r="N261" s="11">
        <f>VLOOKUP(A261,TB!TB,4,FALSE)</f>
        <v>8764.75</v>
      </c>
      <c r="O261" s="17">
        <f t="shared" si="163"/>
        <v>3.9766153105762307E-3</v>
      </c>
    </row>
    <row r="262" spans="1:15" x14ac:dyDescent="0.25">
      <c r="A262" s="122" t="s">
        <v>857</v>
      </c>
      <c r="C262" s="5" t="s">
        <v>1942</v>
      </c>
      <c r="E262" s="11">
        <f>VLOOKUP(A262,TB!TB1_1,5,FALSE)</f>
        <v>0</v>
      </c>
      <c r="F262" s="17">
        <f t="shared" si="160"/>
        <v>0</v>
      </c>
      <c r="G262" s="17"/>
      <c r="H262" s="11">
        <f>VLOOKUP(A262,TB!TB,5,FALSE)</f>
        <v>987.84</v>
      </c>
      <c r="I262" s="17">
        <f t="shared" si="161"/>
        <v>4.4818844443933069E-4</v>
      </c>
      <c r="J262" s="17"/>
      <c r="K262" s="11">
        <f>VLOOKUP(A262,TB!TB1_1,4,FALSE)</f>
        <v>0</v>
      </c>
      <c r="L262" s="17">
        <f t="shared" si="162"/>
        <v>0</v>
      </c>
      <c r="N262" s="11">
        <f>VLOOKUP(A262,TB!TB,4,FALSE)</f>
        <v>987.84</v>
      </c>
      <c r="O262" s="17">
        <f t="shared" si="163"/>
        <v>4.4818844443933069E-4</v>
      </c>
    </row>
    <row r="263" spans="1:15" x14ac:dyDescent="0.25">
      <c r="A263" s="122" t="s">
        <v>384</v>
      </c>
      <c r="C263" s="5" t="s">
        <v>1943</v>
      </c>
      <c r="E263" s="11">
        <f>VLOOKUP(A263,TB!TB1_1,5,FALSE)</f>
        <v>10271</v>
      </c>
      <c r="F263" s="17">
        <f t="shared" si="160"/>
        <v>3.4719674628208188E-3</v>
      </c>
      <c r="G263" s="17"/>
      <c r="H263" s="11">
        <f>VLOOKUP(A263,TB!TB,5,FALSE)</f>
        <v>4558.25</v>
      </c>
      <c r="I263" s="17">
        <f t="shared" si="161"/>
        <v>2.0681031106915887E-3</v>
      </c>
      <c r="J263" s="17"/>
      <c r="K263" s="11">
        <f>VLOOKUP(A263,TB!TB1_1,4,FALSE)</f>
        <v>10271</v>
      </c>
      <c r="L263" s="17">
        <f t="shared" si="162"/>
        <v>3.4719674628208188E-3</v>
      </c>
      <c r="N263" s="11">
        <f>VLOOKUP(A263,TB!TB,4,FALSE)</f>
        <v>4558.25</v>
      </c>
      <c r="O263" s="17">
        <f t="shared" si="163"/>
        <v>2.0681031106915887E-3</v>
      </c>
    </row>
    <row r="264" spans="1:15" x14ac:dyDescent="0.25">
      <c r="A264" s="122" t="s">
        <v>858</v>
      </c>
      <c r="C264" s="5" t="s">
        <v>1944</v>
      </c>
      <c r="E264" s="11">
        <f>VLOOKUP(A264,TB!TB1_1,5,FALSE)</f>
        <v>0</v>
      </c>
      <c r="F264" s="17">
        <f t="shared" si="160"/>
        <v>0</v>
      </c>
      <c r="G264" s="17"/>
      <c r="H264" s="11">
        <f>VLOOKUP(A264,TB!TB,5,FALSE)</f>
        <v>0</v>
      </c>
      <c r="I264" s="17">
        <f t="shared" si="161"/>
        <v>0</v>
      </c>
      <c r="J264" s="17"/>
      <c r="K264" s="11">
        <f>VLOOKUP(A264,TB!TB1_1,4,FALSE)</f>
        <v>0</v>
      </c>
      <c r="L264" s="17">
        <f t="shared" si="162"/>
        <v>0</v>
      </c>
      <c r="N264" s="11">
        <f>VLOOKUP(A264,TB!TB,4,FALSE)</f>
        <v>0</v>
      </c>
      <c r="O264" s="17">
        <f t="shared" si="163"/>
        <v>0</v>
      </c>
    </row>
    <row r="265" spans="1:15" x14ac:dyDescent="0.25">
      <c r="A265" s="122" t="s">
        <v>385</v>
      </c>
      <c r="C265" s="5" t="s">
        <v>2028</v>
      </c>
      <c r="E265" s="11">
        <f>VLOOKUP(A265,TB!TB1_1,5,FALSE)</f>
        <v>9374</v>
      </c>
      <c r="F265" s="17">
        <f t="shared" si="160"/>
        <v>3.1687491964251147E-3</v>
      </c>
      <c r="G265" s="17"/>
      <c r="H265" s="11">
        <f>VLOOKUP(A265,TB!TB,5,FALSE)</f>
        <v>7600</v>
      </c>
      <c r="I265" s="17">
        <f t="shared" si="161"/>
        <v>3.4481618255374482E-3</v>
      </c>
      <c r="J265" s="17"/>
      <c r="K265" s="11">
        <f>VLOOKUP(A265,TB!TB1_1,4,FALSE)</f>
        <v>9374</v>
      </c>
      <c r="L265" s="17">
        <f t="shared" si="162"/>
        <v>3.1687491964251147E-3</v>
      </c>
      <c r="N265" s="11">
        <f>VLOOKUP(A265,TB!TB,4,FALSE)</f>
        <v>7600</v>
      </c>
      <c r="O265" s="17">
        <f t="shared" si="163"/>
        <v>3.4481618255374482E-3</v>
      </c>
    </row>
    <row r="266" spans="1:15" x14ac:dyDescent="0.25">
      <c r="A266" s="122" t="s">
        <v>859</v>
      </c>
      <c r="C266" s="5" t="s">
        <v>2029</v>
      </c>
      <c r="E266" s="11">
        <f>VLOOKUP(A266,TB!TB1_1,5,FALSE)</f>
        <v>0</v>
      </c>
      <c r="F266" s="17">
        <f t="shared" si="160"/>
        <v>0</v>
      </c>
      <c r="G266" s="17"/>
      <c r="H266" s="11">
        <f>VLOOKUP(A266,TB!TB,5,FALSE)</f>
        <v>0</v>
      </c>
      <c r="I266" s="17">
        <f t="shared" si="161"/>
        <v>0</v>
      </c>
      <c r="J266" s="17"/>
      <c r="K266" s="11">
        <f>VLOOKUP(A266,TB!TB1_1,4,FALSE)</f>
        <v>0</v>
      </c>
      <c r="L266" s="17">
        <f t="shared" si="162"/>
        <v>0</v>
      </c>
      <c r="N266" s="11">
        <f>VLOOKUP(A266,TB!TB,4,FALSE)</f>
        <v>0</v>
      </c>
      <c r="O266" s="17">
        <f t="shared" si="163"/>
        <v>0</v>
      </c>
    </row>
    <row r="267" spans="1:15" x14ac:dyDescent="0.25">
      <c r="A267" s="122" t="s">
        <v>387</v>
      </c>
      <c r="C267" s="5" t="s">
        <v>2030</v>
      </c>
      <c r="E267" s="11">
        <f>VLOOKUP(A267,TB!TB1_1,5,FALSE)</f>
        <v>0</v>
      </c>
      <c r="F267" s="17">
        <f t="shared" si="160"/>
        <v>0</v>
      </c>
      <c r="G267" s="17"/>
      <c r="H267" s="11">
        <f>VLOOKUP(A267,TB!TB,5,FALSE)</f>
        <v>0</v>
      </c>
      <c r="I267" s="17">
        <f t="shared" si="161"/>
        <v>0</v>
      </c>
      <c r="J267" s="17"/>
      <c r="K267" s="11">
        <f>VLOOKUP(A267,TB!TB1_1,4,FALSE)</f>
        <v>0</v>
      </c>
      <c r="L267" s="17">
        <f t="shared" si="162"/>
        <v>0</v>
      </c>
      <c r="N267" s="11">
        <f>VLOOKUP(A267,TB!TB,4,FALSE)</f>
        <v>0</v>
      </c>
      <c r="O267" s="17">
        <f t="shared" si="163"/>
        <v>0</v>
      </c>
    </row>
    <row r="268" spans="1:15" x14ac:dyDescent="0.25">
      <c r="A268" s="122" t="s">
        <v>860</v>
      </c>
      <c r="C268" s="5" t="s">
        <v>2031</v>
      </c>
      <c r="E268" s="11">
        <f>VLOOKUP(A268,TB!TB1_1,5,FALSE)</f>
        <v>0</v>
      </c>
      <c r="F268" s="17">
        <f t="shared" si="160"/>
        <v>0</v>
      </c>
      <c r="G268" s="17"/>
      <c r="H268" s="11">
        <f>VLOOKUP(A268,TB!TB,5,FALSE)</f>
        <v>0</v>
      </c>
      <c r="I268" s="17">
        <f t="shared" si="161"/>
        <v>0</v>
      </c>
      <c r="J268" s="17"/>
      <c r="K268" s="11">
        <f>VLOOKUP(A268,TB!TB1_1,4,FALSE)</f>
        <v>0</v>
      </c>
      <c r="L268" s="17">
        <f t="shared" si="162"/>
        <v>0</v>
      </c>
      <c r="N268" s="11">
        <f>VLOOKUP(A268,TB!TB,4,FALSE)</f>
        <v>0</v>
      </c>
      <c r="O268" s="17">
        <f t="shared" si="163"/>
        <v>0</v>
      </c>
    </row>
    <row r="269" spans="1:15" x14ac:dyDescent="0.25">
      <c r="A269" s="122" t="s">
        <v>389</v>
      </c>
      <c r="C269" s="5" t="s">
        <v>2032</v>
      </c>
      <c r="E269" s="11">
        <f>VLOOKUP(A269,TB!TB1_1,5,FALSE)</f>
        <v>0</v>
      </c>
      <c r="F269" s="17">
        <f t="shared" si="160"/>
        <v>0</v>
      </c>
      <c r="G269" s="17"/>
      <c r="H269" s="11">
        <f>VLOOKUP(A269,TB!TB,5,FALSE)</f>
        <v>0</v>
      </c>
      <c r="I269" s="17">
        <f t="shared" si="161"/>
        <v>0</v>
      </c>
      <c r="J269" s="17"/>
      <c r="K269" s="11">
        <f>VLOOKUP(A269,TB!TB1_1,4,FALSE)</f>
        <v>0</v>
      </c>
      <c r="L269" s="17">
        <f t="shared" si="162"/>
        <v>0</v>
      </c>
      <c r="N269" s="11">
        <f>VLOOKUP(A269,TB!TB,4,FALSE)</f>
        <v>0</v>
      </c>
      <c r="O269" s="17">
        <f t="shared" si="163"/>
        <v>0</v>
      </c>
    </row>
    <row r="270" spans="1:15" x14ac:dyDescent="0.25">
      <c r="A270" s="122" t="s">
        <v>861</v>
      </c>
      <c r="C270" s="5" t="s">
        <v>2033</v>
      </c>
      <c r="E270" s="11">
        <f>VLOOKUP(A270,TB!TB1_1,5,FALSE)</f>
        <v>0</v>
      </c>
      <c r="F270" s="17">
        <f t="shared" si="160"/>
        <v>0</v>
      </c>
      <c r="G270" s="17"/>
      <c r="H270" s="11">
        <f>VLOOKUP(A270,TB!TB,5,FALSE)</f>
        <v>0</v>
      </c>
      <c r="I270" s="17">
        <f t="shared" si="161"/>
        <v>0</v>
      </c>
      <c r="J270" s="17"/>
      <c r="K270" s="11">
        <f>VLOOKUP(A270,TB!TB1_1,4,FALSE)</f>
        <v>0</v>
      </c>
      <c r="L270" s="17">
        <f t="shared" si="162"/>
        <v>0</v>
      </c>
      <c r="N270" s="11">
        <f>VLOOKUP(A270,TB!TB,4,FALSE)</f>
        <v>0</v>
      </c>
      <c r="O270" s="17">
        <f t="shared" si="163"/>
        <v>0</v>
      </c>
    </row>
    <row r="271" spans="1:15" x14ac:dyDescent="0.25">
      <c r="A271" s="122" t="s">
        <v>391</v>
      </c>
      <c r="C271" s="5" t="s">
        <v>2034</v>
      </c>
      <c r="E271" s="11">
        <f>VLOOKUP(A271,TB!TB1_1,5,FALSE)</f>
        <v>0</v>
      </c>
      <c r="F271" s="17">
        <f t="shared" ref="F271:F310" si="168">IF(E$160,E271/E$160,0)</f>
        <v>0</v>
      </c>
      <c r="G271" s="17"/>
      <c r="H271" s="11">
        <f>VLOOKUP(A271,TB!TB,5,FALSE)</f>
        <v>0</v>
      </c>
      <c r="I271" s="17">
        <f t="shared" ref="I271:I310" si="169">IF(H$160,H271/H$160,0)</f>
        <v>0</v>
      </c>
      <c r="J271" s="17"/>
      <c r="K271" s="11">
        <f>VLOOKUP(A271,TB!TB1_1,4,FALSE)</f>
        <v>0</v>
      </c>
      <c r="L271" s="17">
        <f t="shared" ref="L271:L310" si="170">IF(K$160,K271/K$160,0)</f>
        <v>0</v>
      </c>
      <c r="N271" s="11">
        <f>VLOOKUP(A271,TB!TB,4,FALSE)</f>
        <v>0</v>
      </c>
      <c r="O271" s="17">
        <f t="shared" ref="O271:O310" si="171">IF(N$160,N271/N$160,0)</f>
        <v>0</v>
      </c>
    </row>
    <row r="272" spans="1:15" x14ac:dyDescent="0.25">
      <c r="A272" s="122" t="s">
        <v>393</v>
      </c>
      <c r="C272" s="5" t="s">
        <v>2035</v>
      </c>
      <c r="E272" s="11">
        <f>VLOOKUP(A272,TB!TB1_1,5,FALSE)</f>
        <v>3418.2</v>
      </c>
      <c r="F272" s="17">
        <f t="shared" si="168"/>
        <v>1.1554745576296487E-3</v>
      </c>
      <c r="G272" s="17"/>
      <c r="H272" s="11">
        <f>VLOOKUP(A272,TB!TB,5,FALSE)</f>
        <v>11441.65</v>
      </c>
      <c r="I272" s="17">
        <f t="shared" si="169"/>
        <v>5.1911395725211243E-3</v>
      </c>
      <c r="J272" s="17"/>
      <c r="K272" s="11">
        <f>VLOOKUP(A272,TB!TB1_1,4,FALSE)</f>
        <v>3418.2</v>
      </c>
      <c r="L272" s="17">
        <f t="shared" si="170"/>
        <v>1.1554745576296487E-3</v>
      </c>
      <c r="N272" s="11">
        <f>VLOOKUP(A272,TB!TB,4,FALSE)</f>
        <v>11441.65</v>
      </c>
      <c r="O272" s="17">
        <f t="shared" si="171"/>
        <v>5.1911395725211243E-3</v>
      </c>
    </row>
    <row r="273" spans="1:15" x14ac:dyDescent="0.25">
      <c r="A273" s="122" t="s">
        <v>862</v>
      </c>
      <c r="C273" s="5" t="s">
        <v>2036</v>
      </c>
      <c r="E273" s="11">
        <f>VLOOKUP(A273,TB!TB1_1,5,FALSE)</f>
        <v>0</v>
      </c>
      <c r="F273" s="17">
        <f t="shared" si="168"/>
        <v>0</v>
      </c>
      <c r="G273" s="17"/>
      <c r="H273" s="11">
        <f>VLOOKUP(A273,TB!TB,5,FALSE)</f>
        <v>0</v>
      </c>
      <c r="I273" s="17">
        <f t="shared" si="169"/>
        <v>0</v>
      </c>
      <c r="J273" s="17"/>
      <c r="K273" s="11">
        <f>VLOOKUP(A273,TB!TB1_1,4,FALSE)</f>
        <v>0</v>
      </c>
      <c r="L273" s="17">
        <f t="shared" si="170"/>
        <v>0</v>
      </c>
      <c r="N273" s="11">
        <f>VLOOKUP(A273,TB!TB,4,FALSE)</f>
        <v>0</v>
      </c>
      <c r="O273" s="17">
        <f t="shared" si="171"/>
        <v>0</v>
      </c>
    </row>
    <row r="274" spans="1:15" x14ac:dyDescent="0.25">
      <c r="A274" s="122" t="s">
        <v>863</v>
      </c>
      <c r="C274" s="5" t="s">
        <v>2037</v>
      </c>
      <c r="E274" s="11">
        <f>VLOOKUP(A274,TB!TB1_1,5,FALSE)</f>
        <v>2415.2199999999998</v>
      </c>
      <c r="F274" s="17">
        <f t="shared" si="168"/>
        <v>8.1643123897907671E-4</v>
      </c>
      <c r="G274" s="17"/>
      <c r="H274" s="11">
        <f>VLOOKUP(A274,TB!TB,5,FALSE)</f>
        <v>1516.47</v>
      </c>
      <c r="I274" s="17">
        <f t="shared" si="169"/>
        <v>6.8803078468062816E-4</v>
      </c>
      <c r="J274" s="17"/>
      <c r="K274" s="11">
        <f>VLOOKUP(A274,TB!TB1_1,4,FALSE)</f>
        <v>2415.2199999999998</v>
      </c>
      <c r="L274" s="17">
        <f t="shared" si="170"/>
        <v>8.1643123897907671E-4</v>
      </c>
      <c r="N274" s="11">
        <f>VLOOKUP(A274,TB!TB,4,FALSE)</f>
        <v>1516.47</v>
      </c>
      <c r="O274" s="17">
        <f t="shared" si="171"/>
        <v>6.8803078468062816E-4</v>
      </c>
    </row>
    <row r="275" spans="1:15" x14ac:dyDescent="0.25">
      <c r="A275" s="123" t="s">
        <v>1242</v>
      </c>
      <c r="C275" s="5" t="s">
        <v>2038</v>
      </c>
      <c r="E275" s="11">
        <f>VLOOKUP(A275,TB!TB1_1,5,FALSE)</f>
        <v>25127.84</v>
      </c>
      <c r="F275" s="17">
        <f t="shared" ref="F275" si="172">IF(E$160,E275/E$160,0)</f>
        <v>8.494113804981742E-3</v>
      </c>
      <c r="G275" s="17"/>
      <c r="H275" s="11">
        <f>VLOOKUP(A275,TB!TB,5,FALSE)</f>
        <v>20198.29</v>
      </c>
      <c r="I275" s="17">
        <f t="shared" ref="I275" si="173">IF(H$160,H275/H$160,0)</f>
        <v>9.1640753314651043E-3</v>
      </c>
      <c r="J275" s="17"/>
      <c r="K275" s="11">
        <f>VLOOKUP(A275,TB!TB1_1,4,FALSE)</f>
        <v>25127.84</v>
      </c>
      <c r="L275" s="17">
        <f t="shared" ref="L275" si="174">IF(K$160,K275/K$160,0)</f>
        <v>8.494113804981742E-3</v>
      </c>
      <c r="N275" s="11">
        <f>VLOOKUP(A275,TB!TB,4,FALSE)</f>
        <v>20198.29</v>
      </c>
      <c r="O275" s="17">
        <f t="shared" ref="O275" si="175">IF(N$160,N275/N$160,0)</f>
        <v>9.1640753314651043E-3</v>
      </c>
    </row>
    <row r="276" spans="1:15" x14ac:dyDescent="0.25">
      <c r="A276" s="122" t="s">
        <v>395</v>
      </c>
      <c r="C276" s="5" t="s">
        <v>396</v>
      </c>
      <c r="E276" s="11">
        <f>VLOOKUP(A276,TB!TB1_1,5,FALSE)</f>
        <v>5532.76</v>
      </c>
      <c r="F276" s="17">
        <f t="shared" si="168"/>
        <v>1.8702719014308746E-3</v>
      </c>
      <c r="G276" s="17"/>
      <c r="H276" s="11">
        <f>VLOOKUP(A276,TB!TB,5,FALSE)</f>
        <v>7920.08</v>
      </c>
      <c r="I276" s="17">
        <f t="shared" si="169"/>
        <v>3.5933838830529783E-3</v>
      </c>
      <c r="J276" s="17"/>
      <c r="K276" s="11">
        <f>VLOOKUP(A276,TB!TB1_1,4,FALSE)</f>
        <v>5532.76</v>
      </c>
      <c r="L276" s="17">
        <f t="shared" si="170"/>
        <v>1.8702719014308746E-3</v>
      </c>
      <c r="N276" s="11">
        <f>VLOOKUP(A276,TB!TB,4,FALSE)</f>
        <v>7920.08</v>
      </c>
      <c r="O276" s="17">
        <f t="shared" si="171"/>
        <v>3.5933838830529783E-3</v>
      </c>
    </row>
    <row r="277" spans="1:15" x14ac:dyDescent="0.25">
      <c r="A277" s="122" t="s">
        <v>864</v>
      </c>
      <c r="C277" s="5" t="s">
        <v>396</v>
      </c>
      <c r="E277" s="11">
        <f>VLOOKUP(A277,TB!TB1_1,5,FALSE)</f>
        <v>0</v>
      </c>
      <c r="F277" s="17">
        <f t="shared" si="168"/>
        <v>0</v>
      </c>
      <c r="G277" s="17"/>
      <c r="H277" s="11">
        <f>VLOOKUP(A277,TB!TB,5,FALSE)</f>
        <v>0</v>
      </c>
      <c r="I277" s="17">
        <f t="shared" si="169"/>
        <v>0</v>
      </c>
      <c r="J277" s="17"/>
      <c r="K277" s="11">
        <f>VLOOKUP(A277,TB!TB1_1,4,FALSE)</f>
        <v>0</v>
      </c>
      <c r="L277" s="17">
        <f t="shared" si="170"/>
        <v>0</v>
      </c>
      <c r="N277" s="11">
        <f>VLOOKUP(A277,TB!TB,4,FALSE)</f>
        <v>0</v>
      </c>
      <c r="O277" s="17">
        <f t="shared" si="171"/>
        <v>0</v>
      </c>
    </row>
    <row r="278" spans="1:15" x14ac:dyDescent="0.25">
      <c r="A278" s="122" t="s">
        <v>397</v>
      </c>
      <c r="C278" s="5" t="s">
        <v>398</v>
      </c>
      <c r="E278" s="11">
        <f>VLOOKUP(A278,TB!TB1_1,5,FALSE)</f>
        <v>604.25</v>
      </c>
      <c r="F278" s="17">
        <f t="shared" si="168"/>
        <v>2.0425823575206695E-4</v>
      </c>
      <c r="G278" s="17"/>
      <c r="H278" s="11">
        <f>VLOOKUP(A278,TB!TB,5,FALSE)</f>
        <v>0</v>
      </c>
      <c r="I278" s="17">
        <f t="shared" si="169"/>
        <v>0</v>
      </c>
      <c r="J278" s="17"/>
      <c r="K278" s="11">
        <f>VLOOKUP(A278,TB!TB1_1,4,FALSE)</f>
        <v>604.25</v>
      </c>
      <c r="L278" s="17">
        <f t="shared" si="170"/>
        <v>2.0425823575206695E-4</v>
      </c>
      <c r="N278" s="11">
        <f>VLOOKUP(A278,TB!TB,4,FALSE)</f>
        <v>0</v>
      </c>
      <c r="O278" s="17">
        <f t="shared" si="171"/>
        <v>0</v>
      </c>
    </row>
    <row r="279" spans="1:15" x14ac:dyDescent="0.25">
      <c r="A279" s="123" t="s">
        <v>1406</v>
      </c>
      <c r="C279" s="5" t="s">
        <v>1451</v>
      </c>
      <c r="E279" s="11">
        <f>VLOOKUP(A279,TB!TB1_1,5,FALSE)</f>
        <v>0</v>
      </c>
      <c r="F279" s="17">
        <f t="shared" ref="F279" si="176">IF(E$160,E279/E$160,0)</f>
        <v>0</v>
      </c>
      <c r="G279" s="17"/>
      <c r="H279" s="11">
        <f>VLOOKUP(A279,TB!TB,5,FALSE)</f>
        <v>0</v>
      </c>
      <c r="I279" s="17">
        <f t="shared" ref="I279" si="177">IF(H$160,H279/H$160,0)</f>
        <v>0</v>
      </c>
      <c r="J279" s="17"/>
      <c r="K279" s="11">
        <f>VLOOKUP(A279,TB!TB1_1,4,FALSE)</f>
        <v>0</v>
      </c>
      <c r="L279" s="17">
        <f t="shared" ref="L279" si="178">IF(K$160,K279/K$160,0)</f>
        <v>0</v>
      </c>
      <c r="N279" s="11">
        <f>VLOOKUP(A279,TB!TB,4,FALSE)</f>
        <v>0</v>
      </c>
      <c r="O279" s="17">
        <f t="shared" ref="O279" si="179">IF(N$160,N279/N$160,0)</f>
        <v>0</v>
      </c>
    </row>
    <row r="280" spans="1:15" x14ac:dyDescent="0.25">
      <c r="A280" s="122" t="s">
        <v>399</v>
      </c>
      <c r="C280" s="5" t="s">
        <v>1047</v>
      </c>
      <c r="E280" s="11">
        <f>VLOOKUP(A280,TB!TB1_1,5,FALSE)</f>
        <v>0</v>
      </c>
      <c r="F280" s="17">
        <f t="shared" si="168"/>
        <v>0</v>
      </c>
      <c r="G280" s="17"/>
      <c r="H280" s="11">
        <f>VLOOKUP(A280,TB!TB,5,FALSE)</f>
        <v>16615.88</v>
      </c>
      <c r="I280" s="17">
        <f t="shared" si="169"/>
        <v>7.538716199172524E-3</v>
      </c>
      <c r="J280" s="17"/>
      <c r="K280" s="11">
        <f>VLOOKUP(A280,TB!TB1_1,4,FALSE)</f>
        <v>0</v>
      </c>
      <c r="L280" s="17">
        <f t="shared" si="170"/>
        <v>0</v>
      </c>
      <c r="N280" s="11">
        <f>VLOOKUP(A280,TB!TB,4,FALSE)</f>
        <v>16615.88</v>
      </c>
      <c r="O280" s="17">
        <f t="shared" si="171"/>
        <v>7.538716199172524E-3</v>
      </c>
    </row>
    <row r="281" spans="1:15" x14ac:dyDescent="0.25">
      <c r="A281" s="122" t="s">
        <v>400</v>
      </c>
      <c r="C281" s="5" t="s">
        <v>1047</v>
      </c>
      <c r="E281" s="11">
        <f>VLOOKUP(A281,TB!TB1_1,5,FALSE)</f>
        <v>447.97</v>
      </c>
      <c r="F281" s="17">
        <f t="shared" si="168"/>
        <v>1.5142997413298046E-4</v>
      </c>
      <c r="G281" s="17"/>
      <c r="H281" s="11">
        <f>VLOOKUP(A281,TB!TB,5,FALSE)</f>
        <v>1515.64</v>
      </c>
      <c r="I281" s="17">
        <f t="shared" si="169"/>
        <v>6.8765420911283924E-4</v>
      </c>
      <c r="J281" s="17"/>
      <c r="K281" s="11">
        <f>VLOOKUP(A281,TB!TB1_1,4,FALSE)</f>
        <v>447.97</v>
      </c>
      <c r="L281" s="17">
        <f t="shared" si="170"/>
        <v>1.5142997413298046E-4</v>
      </c>
      <c r="N281" s="11">
        <f>VLOOKUP(A281,TB!TB,4,FALSE)</f>
        <v>1515.64</v>
      </c>
      <c r="O281" s="17">
        <f t="shared" si="171"/>
        <v>6.8765420911283924E-4</v>
      </c>
    </row>
    <row r="282" spans="1:15" x14ac:dyDescent="0.25">
      <c r="A282" s="122" t="s">
        <v>866</v>
      </c>
      <c r="C282" s="5" t="s">
        <v>1047</v>
      </c>
      <c r="E282" s="11">
        <f>VLOOKUP(A282,TB!TB1_1,5,FALSE)</f>
        <v>0</v>
      </c>
      <c r="F282" s="17">
        <f t="shared" si="168"/>
        <v>0</v>
      </c>
      <c r="G282" s="17"/>
      <c r="H282" s="11">
        <f>VLOOKUP(A282,TB!TB,5,FALSE)</f>
        <v>0</v>
      </c>
      <c r="I282" s="17">
        <f t="shared" si="169"/>
        <v>0</v>
      </c>
      <c r="J282" s="17"/>
      <c r="K282" s="11">
        <f>VLOOKUP(A282,TB!TB1_1,4,FALSE)</f>
        <v>0</v>
      </c>
      <c r="L282" s="17">
        <f t="shared" si="170"/>
        <v>0</v>
      </c>
      <c r="N282" s="11">
        <f>VLOOKUP(A282,TB!TB,4,FALSE)</f>
        <v>0</v>
      </c>
      <c r="O282" s="17">
        <f t="shared" si="171"/>
        <v>0</v>
      </c>
    </row>
    <row r="283" spans="1:15" x14ac:dyDescent="0.25">
      <c r="A283" s="122" t="s">
        <v>401</v>
      </c>
      <c r="C283" s="5" t="s">
        <v>1330</v>
      </c>
      <c r="E283" s="11">
        <f>VLOOKUP(A283,TB!TB1_1,5,FALSE)</f>
        <v>0</v>
      </c>
      <c r="F283" s="17">
        <f t="shared" si="168"/>
        <v>0</v>
      </c>
      <c r="G283" s="17"/>
      <c r="H283" s="11">
        <f>VLOOKUP(A283,TB!TB,5,FALSE)</f>
        <v>0</v>
      </c>
      <c r="I283" s="17">
        <f t="shared" si="169"/>
        <v>0</v>
      </c>
      <c r="J283" s="17"/>
      <c r="K283" s="11">
        <f>VLOOKUP(A283,TB!TB1_1,4,FALSE)</f>
        <v>0</v>
      </c>
      <c r="L283" s="17">
        <f t="shared" si="170"/>
        <v>0</v>
      </c>
      <c r="N283" s="11">
        <f>VLOOKUP(A283,TB!TB,4,FALSE)</f>
        <v>0</v>
      </c>
      <c r="O283" s="17">
        <f t="shared" si="171"/>
        <v>0</v>
      </c>
    </row>
    <row r="284" spans="1:15" x14ac:dyDescent="0.25">
      <c r="A284" s="123" t="s">
        <v>1408</v>
      </c>
      <c r="C284" s="5" t="s">
        <v>1452</v>
      </c>
      <c r="E284" s="11">
        <f>VLOOKUP(A284,TB!TB1_1,5,FALSE)</f>
        <v>0</v>
      </c>
      <c r="F284" s="17">
        <f t="shared" ref="F284" si="180">IF(E$160,E284/E$160,0)</f>
        <v>0</v>
      </c>
      <c r="G284" s="17"/>
      <c r="H284" s="11">
        <f>VLOOKUP(A284,TB!TB,5,FALSE)</f>
        <v>0</v>
      </c>
      <c r="I284" s="17">
        <f t="shared" ref="I284" si="181">IF(H$160,H284/H$160,0)</f>
        <v>0</v>
      </c>
      <c r="J284" s="17"/>
      <c r="K284" s="11">
        <f>VLOOKUP(A284,TB!TB1_1,4,FALSE)</f>
        <v>0</v>
      </c>
      <c r="L284" s="17">
        <f t="shared" ref="L284" si="182">IF(K$160,K284/K$160,0)</f>
        <v>0</v>
      </c>
      <c r="N284" s="11">
        <f>VLOOKUP(A284,TB!TB,4,FALSE)</f>
        <v>0</v>
      </c>
      <c r="O284" s="17">
        <f t="shared" ref="O284" si="183">IF(N$160,N284/N$160,0)</f>
        <v>0</v>
      </c>
    </row>
    <row r="285" spans="1:15" x14ac:dyDescent="0.25">
      <c r="A285" s="122" t="s">
        <v>402</v>
      </c>
      <c r="C285" s="5" t="s">
        <v>403</v>
      </c>
      <c r="E285" s="11">
        <f>VLOOKUP(A285,TB!TB1_1,5,FALSE)</f>
        <v>0</v>
      </c>
      <c r="F285" s="17">
        <f t="shared" si="168"/>
        <v>0</v>
      </c>
      <c r="G285" s="17"/>
      <c r="H285" s="11">
        <f>VLOOKUP(A285,TB!TB,5,FALSE)</f>
        <v>0</v>
      </c>
      <c r="I285" s="17">
        <f t="shared" si="169"/>
        <v>0</v>
      </c>
      <c r="J285" s="17"/>
      <c r="K285" s="11">
        <f>VLOOKUP(A285,TB!TB1_1,4,FALSE)</f>
        <v>0</v>
      </c>
      <c r="L285" s="17">
        <f t="shared" si="170"/>
        <v>0</v>
      </c>
      <c r="N285" s="11">
        <f>VLOOKUP(A285,TB!TB,4,FALSE)</f>
        <v>0</v>
      </c>
      <c r="O285" s="17">
        <f t="shared" si="171"/>
        <v>0</v>
      </c>
    </row>
    <row r="286" spans="1:15" x14ac:dyDescent="0.25">
      <c r="A286" s="122" t="s">
        <v>867</v>
      </c>
      <c r="C286" s="5" t="s">
        <v>403</v>
      </c>
      <c r="E286" s="11">
        <f>VLOOKUP(A286,TB!TB1_1,5,FALSE)</f>
        <v>0</v>
      </c>
      <c r="F286" s="17">
        <f t="shared" si="168"/>
        <v>0</v>
      </c>
      <c r="G286" s="17"/>
      <c r="H286" s="11">
        <f>VLOOKUP(A286,TB!TB,5,FALSE)</f>
        <v>0</v>
      </c>
      <c r="I286" s="17">
        <f t="shared" si="169"/>
        <v>0</v>
      </c>
      <c r="J286" s="17"/>
      <c r="K286" s="11">
        <f>VLOOKUP(A286,TB!TB1_1,4,FALSE)</f>
        <v>0</v>
      </c>
      <c r="L286" s="17">
        <f t="shared" si="170"/>
        <v>0</v>
      </c>
      <c r="N286" s="11">
        <f>VLOOKUP(A286,TB!TB,4,FALSE)</f>
        <v>0</v>
      </c>
      <c r="O286" s="17">
        <f t="shared" si="171"/>
        <v>0</v>
      </c>
    </row>
    <row r="287" spans="1:15" x14ac:dyDescent="0.25">
      <c r="A287" s="122" t="s">
        <v>404</v>
      </c>
      <c r="C287" s="5" t="s">
        <v>405</v>
      </c>
      <c r="E287" s="11">
        <f>VLOOKUP(A287,TB!TB1_1,5,FALSE)</f>
        <v>0</v>
      </c>
      <c r="F287" s="17">
        <f t="shared" si="168"/>
        <v>0</v>
      </c>
      <c r="G287" s="17"/>
      <c r="H287" s="11">
        <f>VLOOKUP(A287,TB!TB,5,FALSE)</f>
        <v>0</v>
      </c>
      <c r="I287" s="17">
        <f t="shared" si="169"/>
        <v>0</v>
      </c>
      <c r="J287" s="17"/>
      <c r="K287" s="11">
        <f>VLOOKUP(A287,TB!TB1_1,4,FALSE)</f>
        <v>0</v>
      </c>
      <c r="L287" s="17">
        <f t="shared" si="170"/>
        <v>0</v>
      </c>
      <c r="N287" s="11">
        <f>VLOOKUP(A287,TB!TB,4,FALSE)</f>
        <v>0</v>
      </c>
      <c r="O287" s="17">
        <f t="shared" si="171"/>
        <v>0</v>
      </c>
    </row>
    <row r="288" spans="1:15" x14ac:dyDescent="0.25">
      <c r="A288" s="123" t="s">
        <v>1409</v>
      </c>
      <c r="C288" s="5" t="s">
        <v>1453</v>
      </c>
      <c r="E288" s="11">
        <f>VLOOKUP(A288,TB!TB1_1,5,FALSE)</f>
        <v>0</v>
      </c>
      <c r="F288" s="17">
        <f t="shared" ref="F288" si="184">IF(E$160,E288/E$160,0)</f>
        <v>0</v>
      </c>
      <c r="G288" s="17"/>
      <c r="H288" s="11">
        <f>VLOOKUP(A288,TB!TB,5,FALSE)</f>
        <v>0</v>
      </c>
      <c r="I288" s="17">
        <f t="shared" ref="I288" si="185">IF(H$160,H288/H$160,0)</f>
        <v>0</v>
      </c>
      <c r="J288" s="17"/>
      <c r="K288" s="11">
        <f>VLOOKUP(A288,TB!TB1_1,4,FALSE)</f>
        <v>0</v>
      </c>
      <c r="L288" s="17">
        <f t="shared" ref="L288" si="186">IF(K$160,K288/K$160,0)</f>
        <v>0</v>
      </c>
      <c r="N288" s="11">
        <f>VLOOKUP(A288,TB!TB,4,FALSE)</f>
        <v>0</v>
      </c>
      <c r="O288" s="17">
        <f t="shared" ref="O288" si="187">IF(N$160,N288/N$160,0)</f>
        <v>0</v>
      </c>
    </row>
    <row r="289" spans="1:15" x14ac:dyDescent="0.25">
      <c r="A289" s="122" t="s">
        <v>406</v>
      </c>
      <c r="C289" s="5" t="s">
        <v>407</v>
      </c>
      <c r="E289" s="11">
        <f>VLOOKUP(A289,TB!TB1_1,5,FALSE)</f>
        <v>0</v>
      </c>
      <c r="F289" s="17">
        <f t="shared" si="168"/>
        <v>0</v>
      </c>
      <c r="G289" s="17"/>
      <c r="H289" s="11">
        <f>VLOOKUP(A289,TB!TB,5,FALSE)</f>
        <v>0</v>
      </c>
      <c r="I289" s="17">
        <f t="shared" si="169"/>
        <v>0</v>
      </c>
      <c r="J289" s="17"/>
      <c r="K289" s="11">
        <f>VLOOKUP(A289,TB!TB1_1,4,FALSE)</f>
        <v>0</v>
      </c>
      <c r="L289" s="17">
        <f t="shared" si="170"/>
        <v>0</v>
      </c>
      <c r="N289" s="11">
        <f>VLOOKUP(A289,TB!TB,4,FALSE)</f>
        <v>0</v>
      </c>
      <c r="O289" s="17">
        <f t="shared" si="171"/>
        <v>0</v>
      </c>
    </row>
    <row r="290" spans="1:15" x14ac:dyDescent="0.25">
      <c r="A290" s="123" t="s">
        <v>1180</v>
      </c>
      <c r="C290" s="5" t="s">
        <v>2048</v>
      </c>
      <c r="E290" s="11">
        <f>VLOOKUP(A290,TB!TB1_1,5,FALSE)</f>
        <v>0</v>
      </c>
      <c r="F290" s="17">
        <f t="shared" ref="F290" si="188">IF(E$160,E290/E$160,0)</f>
        <v>0</v>
      </c>
      <c r="G290" s="17"/>
      <c r="H290" s="11">
        <f>VLOOKUP(A290,TB!TB,5,FALSE)</f>
        <v>0</v>
      </c>
      <c r="I290" s="17">
        <f t="shared" ref="I290" si="189">IF(H$160,H290/H$160,0)</f>
        <v>0</v>
      </c>
      <c r="J290" s="17"/>
      <c r="K290" s="11">
        <f>VLOOKUP(A290,TB!TB1_1,4,FALSE)</f>
        <v>0</v>
      </c>
      <c r="L290" s="17">
        <f t="shared" ref="L290" si="190">IF(K$160,K290/K$160,0)</f>
        <v>0</v>
      </c>
      <c r="N290" s="11">
        <f>VLOOKUP(A290,TB!TB,4,FALSE)</f>
        <v>0</v>
      </c>
      <c r="O290" s="17">
        <f t="shared" ref="O290" si="191">IF(N$160,N290/N$160,0)</f>
        <v>0</v>
      </c>
    </row>
    <row r="291" spans="1:15" x14ac:dyDescent="0.25">
      <c r="A291" s="123" t="s">
        <v>1502</v>
      </c>
      <c r="C291" s="5" t="s">
        <v>2049</v>
      </c>
      <c r="E291" s="11">
        <f>VLOOKUP(A291,TB!TB1_1,5,FALSE)</f>
        <v>0</v>
      </c>
      <c r="F291" s="17">
        <f t="shared" ref="F291" si="192">IF(E$160,E291/E$160,0)</f>
        <v>0</v>
      </c>
      <c r="G291" s="17"/>
      <c r="H291" s="11">
        <f>VLOOKUP(A291,TB!TB,5,FALSE)</f>
        <v>0</v>
      </c>
      <c r="I291" s="17">
        <f t="shared" ref="I291" si="193">IF(H$160,H291/H$160,0)</f>
        <v>0</v>
      </c>
      <c r="J291" s="17"/>
      <c r="K291" s="11">
        <f>VLOOKUP(A291,TB!TB1_1,4,FALSE)</f>
        <v>0</v>
      </c>
      <c r="L291" s="17">
        <f t="shared" ref="L291" si="194">IF(K$160,K291/K$160,0)</f>
        <v>0</v>
      </c>
      <c r="N291" s="11">
        <f>VLOOKUP(A291,TB!TB,4,FALSE)</f>
        <v>0</v>
      </c>
      <c r="O291" s="17">
        <f t="shared" ref="O291" si="195">IF(N$160,N291/N$160,0)</f>
        <v>0</v>
      </c>
    </row>
    <row r="292" spans="1:15" x14ac:dyDescent="0.25">
      <c r="A292" s="122" t="s">
        <v>408</v>
      </c>
      <c r="C292" s="5" t="s">
        <v>407</v>
      </c>
      <c r="E292" s="11">
        <f>VLOOKUP(A292,TB!TB1_1,5,FALSE)</f>
        <v>702</v>
      </c>
      <c r="F292" s="17">
        <f t="shared" si="168"/>
        <v>2.373012519618552E-4</v>
      </c>
      <c r="G292" s="17"/>
      <c r="H292" s="11">
        <f>VLOOKUP(A292,TB!TB,5,FALSE)</f>
        <v>0</v>
      </c>
      <c r="I292" s="17">
        <f t="shared" si="169"/>
        <v>0</v>
      </c>
      <c r="J292" s="17"/>
      <c r="K292" s="11">
        <f>VLOOKUP(A292,TB!TB1_1,4,FALSE)</f>
        <v>702</v>
      </c>
      <c r="L292" s="17">
        <f t="shared" si="170"/>
        <v>2.373012519618552E-4</v>
      </c>
      <c r="N292" s="11">
        <f>VLOOKUP(A292,TB!TB,4,FALSE)</f>
        <v>0</v>
      </c>
      <c r="O292" s="17">
        <f t="shared" si="171"/>
        <v>0</v>
      </c>
    </row>
    <row r="293" spans="1:15" x14ac:dyDescent="0.25">
      <c r="A293" s="122" t="s">
        <v>869</v>
      </c>
      <c r="C293" s="5" t="s">
        <v>407</v>
      </c>
      <c r="E293" s="11">
        <f>VLOOKUP(A293,TB!TB1_1,5,FALSE)</f>
        <v>0</v>
      </c>
      <c r="F293" s="17">
        <f t="shared" si="168"/>
        <v>0</v>
      </c>
      <c r="G293" s="17"/>
      <c r="H293" s="11">
        <f>VLOOKUP(A293,TB!TB,5,FALSE)</f>
        <v>0</v>
      </c>
      <c r="I293" s="17">
        <f t="shared" si="169"/>
        <v>0</v>
      </c>
      <c r="J293" s="17"/>
      <c r="K293" s="11">
        <f>VLOOKUP(A293,TB!TB1_1,4,FALSE)</f>
        <v>0</v>
      </c>
      <c r="L293" s="17">
        <f t="shared" si="170"/>
        <v>0</v>
      </c>
      <c r="N293" s="11">
        <f>VLOOKUP(A293,TB!TB,4,FALSE)</f>
        <v>0</v>
      </c>
      <c r="O293" s="17">
        <f t="shared" si="171"/>
        <v>0</v>
      </c>
    </row>
    <row r="294" spans="1:15" x14ac:dyDescent="0.25">
      <c r="A294" s="122" t="s">
        <v>409</v>
      </c>
      <c r="C294" s="5" t="s">
        <v>1488</v>
      </c>
      <c r="E294" s="11">
        <f>VLOOKUP(A294,TB!TB1_1,5,FALSE)</f>
        <v>0</v>
      </c>
      <c r="F294" s="17">
        <f t="shared" si="168"/>
        <v>0</v>
      </c>
      <c r="G294" s="17"/>
      <c r="H294" s="11">
        <f>VLOOKUP(A294,TB!TB,5,FALSE)</f>
        <v>0</v>
      </c>
      <c r="I294" s="17">
        <f t="shared" si="169"/>
        <v>0</v>
      </c>
      <c r="J294" s="17"/>
      <c r="K294" s="11">
        <f>VLOOKUP(A294,TB!TB1_1,4,FALSE)</f>
        <v>0</v>
      </c>
      <c r="L294" s="17">
        <f t="shared" si="170"/>
        <v>0</v>
      </c>
      <c r="N294" s="11">
        <f>VLOOKUP(A294,TB!TB,4,FALSE)</f>
        <v>0</v>
      </c>
      <c r="O294" s="17">
        <f t="shared" si="171"/>
        <v>0</v>
      </c>
    </row>
    <row r="295" spans="1:15" x14ac:dyDescent="0.25">
      <c r="A295" s="123" t="s">
        <v>1407</v>
      </c>
      <c r="C295" s="5" t="s">
        <v>1487</v>
      </c>
      <c r="E295" s="11">
        <v>0</v>
      </c>
      <c r="F295" s="17">
        <f t="shared" ref="F295" si="196">IF(E$160,E295/E$160,0)</f>
        <v>0</v>
      </c>
      <c r="G295" s="17"/>
      <c r="H295" s="11">
        <f>VLOOKUP(A295,TB!TB,5,FALSE)</f>
        <v>0</v>
      </c>
      <c r="I295" s="17">
        <f t="shared" ref="I295" si="197">IF(H$160,H295/H$160,0)</f>
        <v>0</v>
      </c>
      <c r="J295" s="17"/>
      <c r="K295" s="11">
        <v>0</v>
      </c>
      <c r="L295" s="17">
        <f t="shared" ref="L295" si="198">IF(K$160,K295/K$160,0)</f>
        <v>0</v>
      </c>
      <c r="N295" s="11">
        <f>VLOOKUP(A295,TB!TB,4,FALSE)</f>
        <v>0</v>
      </c>
      <c r="O295" s="17">
        <f t="shared" ref="O295" si="199">IF(N$160,N295/N$160,0)</f>
        <v>0</v>
      </c>
    </row>
    <row r="296" spans="1:15" x14ac:dyDescent="0.25">
      <c r="A296" s="122" t="s">
        <v>410</v>
      </c>
      <c r="C296" s="5" t="s">
        <v>411</v>
      </c>
      <c r="E296" s="11">
        <f>VLOOKUP(A296,TB!TB1_1,5,FALSE)</f>
        <v>0</v>
      </c>
      <c r="F296" s="17">
        <f t="shared" si="168"/>
        <v>0</v>
      </c>
      <c r="G296" s="17"/>
      <c r="H296" s="11">
        <f>VLOOKUP(A296,TB!TB,5,FALSE)</f>
        <v>0</v>
      </c>
      <c r="I296" s="17">
        <f t="shared" si="169"/>
        <v>0</v>
      </c>
      <c r="J296" s="17"/>
      <c r="K296" s="11">
        <f>VLOOKUP(A296,TB!TB1_1,4,FALSE)</f>
        <v>0</v>
      </c>
      <c r="L296" s="17">
        <f t="shared" si="170"/>
        <v>0</v>
      </c>
      <c r="N296" s="11">
        <f>VLOOKUP(A296,TB!TB,4,FALSE)</f>
        <v>0</v>
      </c>
      <c r="O296" s="17">
        <f t="shared" si="171"/>
        <v>0</v>
      </c>
    </row>
    <row r="297" spans="1:15" x14ac:dyDescent="0.25">
      <c r="A297" s="122" t="s">
        <v>870</v>
      </c>
      <c r="C297" s="5" t="s">
        <v>411</v>
      </c>
      <c r="E297" s="11">
        <f>VLOOKUP(A297,TB!TB1_1,5,FALSE)</f>
        <v>0</v>
      </c>
      <c r="F297" s="17">
        <f t="shared" si="168"/>
        <v>0</v>
      </c>
      <c r="G297" s="17"/>
      <c r="H297" s="11">
        <f>VLOOKUP(A297,TB!TB,5,FALSE)</f>
        <v>0</v>
      </c>
      <c r="I297" s="17">
        <f t="shared" si="169"/>
        <v>0</v>
      </c>
      <c r="J297" s="17"/>
      <c r="K297" s="11">
        <f>VLOOKUP(A297,TB!TB1_1,4,FALSE)</f>
        <v>0</v>
      </c>
      <c r="L297" s="17">
        <f t="shared" si="170"/>
        <v>0</v>
      </c>
      <c r="N297" s="11">
        <f>VLOOKUP(A297,TB!TB,4,FALSE)</f>
        <v>0</v>
      </c>
      <c r="O297" s="17">
        <f t="shared" si="171"/>
        <v>0</v>
      </c>
    </row>
    <row r="298" spans="1:15" x14ac:dyDescent="0.25">
      <c r="A298" s="122" t="s">
        <v>412</v>
      </c>
      <c r="C298" s="5" t="s">
        <v>413</v>
      </c>
      <c r="E298" s="11">
        <f>VLOOKUP(A298,TB!TB1_1,5,FALSE)</f>
        <v>67787.759999999995</v>
      </c>
      <c r="F298" s="17">
        <f t="shared" si="168"/>
        <v>2.2914701304401378E-2</v>
      </c>
      <c r="G298" s="17"/>
      <c r="H298" s="11">
        <f>VLOOKUP(A298,TB!TB,5,FALSE)</f>
        <v>40203.47</v>
      </c>
      <c r="I298" s="17">
        <f t="shared" si="169"/>
        <v>1.8240535593176323E-2</v>
      </c>
      <c r="J298" s="17"/>
      <c r="K298" s="11">
        <f>VLOOKUP(A298,TB!TB1_1,4,FALSE)</f>
        <v>67787.759999999995</v>
      </c>
      <c r="L298" s="17">
        <f t="shared" si="170"/>
        <v>2.2914701304401378E-2</v>
      </c>
      <c r="N298" s="11">
        <f>VLOOKUP(A298,TB!TB,4,FALSE)</f>
        <v>40203.47</v>
      </c>
      <c r="O298" s="17">
        <f t="shared" si="171"/>
        <v>1.8240535593176323E-2</v>
      </c>
    </row>
    <row r="299" spans="1:15" x14ac:dyDescent="0.25">
      <c r="A299" s="122" t="s">
        <v>871</v>
      </c>
      <c r="C299" s="5" t="s">
        <v>413</v>
      </c>
      <c r="E299" s="11">
        <f>VLOOKUP(A299,TB!TB1_1,5,FALSE)</f>
        <v>0</v>
      </c>
      <c r="F299" s="17">
        <f t="shared" si="168"/>
        <v>0</v>
      </c>
      <c r="G299" s="17"/>
      <c r="H299" s="11">
        <f>VLOOKUP(A299,TB!TB,5,FALSE)</f>
        <v>0</v>
      </c>
      <c r="I299" s="17">
        <f t="shared" si="169"/>
        <v>0</v>
      </c>
      <c r="J299" s="17"/>
      <c r="K299" s="11">
        <f>VLOOKUP(A299,TB!TB1_1,4,FALSE)</f>
        <v>0</v>
      </c>
      <c r="L299" s="17">
        <f t="shared" si="170"/>
        <v>0</v>
      </c>
      <c r="N299" s="11">
        <f>VLOOKUP(A299,TB!TB,4,FALSE)</f>
        <v>0</v>
      </c>
      <c r="O299" s="17">
        <f t="shared" si="171"/>
        <v>0</v>
      </c>
    </row>
    <row r="300" spans="1:15" x14ac:dyDescent="0.25">
      <c r="A300" s="122" t="s">
        <v>414</v>
      </c>
      <c r="C300" s="5" t="s">
        <v>415</v>
      </c>
      <c r="E300" s="11">
        <f>VLOOKUP(A300,TB!TB1_1,5,FALSE)</f>
        <v>16431.53</v>
      </c>
      <c r="F300" s="17">
        <f t="shared" si="168"/>
        <v>5.5544482060523965E-3</v>
      </c>
      <c r="G300" s="17"/>
      <c r="H300" s="11">
        <f>VLOOKUP(A300,TB!TB,5,FALSE)</f>
        <v>1846</v>
      </c>
      <c r="I300" s="17">
        <f t="shared" si="169"/>
        <v>8.3754035920291178E-4</v>
      </c>
      <c r="J300" s="17"/>
      <c r="K300" s="11">
        <f>VLOOKUP(A300,TB!TB1_1,4,FALSE)</f>
        <v>16431.53</v>
      </c>
      <c r="L300" s="17">
        <f t="shared" si="170"/>
        <v>5.5544482060523965E-3</v>
      </c>
      <c r="N300" s="11">
        <f>VLOOKUP(A300,TB!TB,4,FALSE)</f>
        <v>1846</v>
      </c>
      <c r="O300" s="17">
        <f t="shared" si="171"/>
        <v>8.3754035920291178E-4</v>
      </c>
    </row>
    <row r="301" spans="1:15" x14ac:dyDescent="0.25">
      <c r="A301" s="122" t="s">
        <v>872</v>
      </c>
      <c r="C301" s="5" t="s">
        <v>415</v>
      </c>
      <c r="E301" s="11">
        <f>VLOOKUP(A301,TB!TB1_1,5,FALSE)</f>
        <v>0</v>
      </c>
      <c r="F301" s="17">
        <f t="shared" si="168"/>
        <v>0</v>
      </c>
      <c r="G301" s="17"/>
      <c r="H301" s="11">
        <f>VLOOKUP(A301,TB!TB,5,FALSE)</f>
        <v>0</v>
      </c>
      <c r="I301" s="17">
        <f t="shared" si="169"/>
        <v>0</v>
      </c>
      <c r="J301" s="17"/>
      <c r="K301" s="11">
        <f>VLOOKUP(A301,TB!TB1_1,4,FALSE)</f>
        <v>0</v>
      </c>
      <c r="L301" s="17">
        <f t="shared" si="170"/>
        <v>0</v>
      </c>
      <c r="N301" s="11">
        <f>VLOOKUP(A301,TB!TB,4,FALSE)</f>
        <v>0</v>
      </c>
      <c r="O301" s="17">
        <f t="shared" si="171"/>
        <v>0</v>
      </c>
    </row>
    <row r="302" spans="1:15" x14ac:dyDescent="0.25">
      <c r="A302" s="122" t="s">
        <v>416</v>
      </c>
      <c r="C302" s="5" t="s">
        <v>2050</v>
      </c>
      <c r="E302" s="11">
        <f>VLOOKUP(A302,TB!TB1_1,5,FALSE)</f>
        <v>26362.720000000001</v>
      </c>
      <c r="F302" s="17">
        <f t="shared" si="168"/>
        <v>8.9115476654128764E-3</v>
      </c>
      <c r="G302" s="17"/>
      <c r="H302" s="11">
        <f>VLOOKUP(A302,TB!TB,5,FALSE)</f>
        <v>22625.759999999998</v>
      </c>
      <c r="I302" s="17">
        <f t="shared" si="169"/>
        <v>1.0265431829706864E-2</v>
      </c>
      <c r="J302" s="17"/>
      <c r="K302" s="11">
        <f>VLOOKUP(A302,TB!TB1_1,4,FALSE)</f>
        <v>26362.720000000001</v>
      </c>
      <c r="L302" s="17">
        <f t="shared" si="170"/>
        <v>8.9115476654128764E-3</v>
      </c>
      <c r="N302" s="11">
        <f>VLOOKUP(A302,TB!TB,4,FALSE)</f>
        <v>22625.759999999998</v>
      </c>
      <c r="O302" s="17">
        <f t="shared" si="171"/>
        <v>1.0265431829706864E-2</v>
      </c>
    </row>
    <row r="303" spans="1:15" s="119" customFormat="1" x14ac:dyDescent="0.25">
      <c r="A303" s="124" t="s">
        <v>873</v>
      </c>
      <c r="C303" s="119" t="s">
        <v>2051</v>
      </c>
      <c r="E303" s="120">
        <f>VLOOKUP(A303,TB!TB1_1,5,FALSE)</f>
        <v>12518.34</v>
      </c>
      <c r="F303" s="121">
        <f t="shared" ref="F303" si="200">IF(E$160,E303/E$160,0)</f>
        <v>4.2316492229119238E-3</v>
      </c>
      <c r="G303" s="121"/>
      <c r="H303" s="120">
        <f>VLOOKUP(A303,TB!TB,5,FALSE)</f>
        <v>0</v>
      </c>
      <c r="I303" s="121">
        <f t="shared" ref="I303" si="201">IF(H$160,H303/H$160,0)</f>
        <v>0</v>
      </c>
      <c r="J303" s="121"/>
      <c r="K303" s="120">
        <f>VLOOKUP(A303,TB!TB1_1,4,FALSE)</f>
        <v>12518.34</v>
      </c>
      <c r="L303" s="121">
        <f t="shared" ref="L303" si="202">IF(K$160,K303/K$160,0)</f>
        <v>4.2316492229119238E-3</v>
      </c>
      <c r="N303" s="120">
        <f>VLOOKUP(A303,TB!TB,4,FALSE)</f>
        <v>0</v>
      </c>
      <c r="O303" s="121">
        <f t="shared" ref="O303" si="203">IF(N$160,N303/N$160,0)</f>
        <v>0</v>
      </c>
    </row>
    <row r="304" spans="1:15" x14ac:dyDescent="0.25">
      <c r="A304" s="5" t="s">
        <v>441</v>
      </c>
      <c r="C304" s="5" t="s">
        <v>442</v>
      </c>
      <c r="E304" s="11">
        <f>VLOOKUP(A304,TB!TB1_1,5,FALSE)</f>
        <v>6216.35</v>
      </c>
      <c r="F304" s="17">
        <f t="shared" si="168"/>
        <v>2.1013499111582315E-3</v>
      </c>
      <c r="G304" s="17"/>
      <c r="H304" s="11">
        <f>VLOOKUP(A304,TB!TB,5,FALSE)</f>
        <v>7044.8</v>
      </c>
      <c r="I304" s="17">
        <f t="shared" si="169"/>
        <v>3.1962645300718708E-3</v>
      </c>
      <c r="J304" s="17"/>
      <c r="K304" s="11">
        <f>VLOOKUP(A304,TB!TB1_1,4,FALSE)</f>
        <v>6216.35</v>
      </c>
      <c r="L304" s="17">
        <f t="shared" si="170"/>
        <v>2.1013499111582315E-3</v>
      </c>
      <c r="N304" s="11">
        <f>VLOOKUP(A304,TB!TB,4,FALSE)</f>
        <v>7044.8</v>
      </c>
      <c r="O304" s="17">
        <f t="shared" si="171"/>
        <v>3.1962645300718708E-3</v>
      </c>
    </row>
    <row r="305" spans="1:16" x14ac:dyDescent="0.25">
      <c r="A305" s="5" t="s">
        <v>883</v>
      </c>
      <c r="C305" s="5" t="s">
        <v>442</v>
      </c>
      <c r="E305" s="11">
        <f>VLOOKUP(A305,TB!TB1_1,5,FALSE)</f>
        <v>0</v>
      </c>
      <c r="F305" s="17">
        <f t="shared" si="168"/>
        <v>0</v>
      </c>
      <c r="G305" s="17"/>
      <c r="H305" s="11">
        <f>VLOOKUP(A305,TB!TB,5,FALSE)</f>
        <v>0</v>
      </c>
      <c r="I305" s="17">
        <f t="shared" si="169"/>
        <v>0</v>
      </c>
      <c r="J305" s="17"/>
      <c r="K305" s="11">
        <f>VLOOKUP(A305,TB!TB1_1,4,FALSE)</f>
        <v>0</v>
      </c>
      <c r="L305" s="17">
        <f t="shared" si="170"/>
        <v>0</v>
      </c>
      <c r="N305" s="11">
        <f>VLOOKUP(A305,TB!TB,4,FALSE)</f>
        <v>0</v>
      </c>
      <c r="O305" s="17">
        <f t="shared" si="171"/>
        <v>0</v>
      </c>
    </row>
    <row r="306" spans="1:16" x14ac:dyDescent="0.25">
      <c r="A306" s="5" t="s">
        <v>556</v>
      </c>
      <c r="C306" s="5" t="s">
        <v>1333</v>
      </c>
      <c r="E306" s="11">
        <f>VLOOKUP(A306,TB!TB1_1,5,FALSE)</f>
        <v>52150</v>
      </c>
      <c r="F306" s="17">
        <f t="shared" si="168"/>
        <v>1.7628575911411322E-2</v>
      </c>
      <c r="G306" s="17"/>
      <c r="H306" s="11">
        <f>VLOOKUP(A306,TB!TB,5,FALSE)</f>
        <v>24450</v>
      </c>
      <c r="I306" s="17">
        <f t="shared" si="169"/>
        <v>1.109309955715666E-2</v>
      </c>
      <c r="J306" s="17"/>
      <c r="K306" s="11">
        <f>VLOOKUP(A306,TB!TB1_1,4,FALSE)</f>
        <v>52150</v>
      </c>
      <c r="L306" s="17">
        <f t="shared" si="170"/>
        <v>1.7628575911411322E-2</v>
      </c>
      <c r="N306" s="11">
        <f>VLOOKUP(A306,TB!TB,4,FALSE)</f>
        <v>24450</v>
      </c>
      <c r="O306" s="17">
        <f t="shared" si="171"/>
        <v>1.109309955715666E-2</v>
      </c>
    </row>
    <row r="307" spans="1:16" x14ac:dyDescent="0.25">
      <c r="A307" s="5" t="s">
        <v>558</v>
      </c>
      <c r="C307" s="5" t="s">
        <v>1334</v>
      </c>
      <c r="E307" s="11">
        <f>VLOOKUP(A307,TB!TB1_1,5,FALSE)</f>
        <v>0</v>
      </c>
      <c r="F307" s="17">
        <f t="shared" si="168"/>
        <v>0</v>
      </c>
      <c r="G307" s="17"/>
      <c r="H307" s="11">
        <f>VLOOKUP(A307,TB!TB,5,FALSE)</f>
        <v>0</v>
      </c>
      <c r="I307" s="17">
        <f t="shared" si="169"/>
        <v>0</v>
      </c>
      <c r="J307" s="17"/>
      <c r="K307" s="11">
        <f>VLOOKUP(A307,TB!TB1_1,4,FALSE)</f>
        <v>0</v>
      </c>
      <c r="L307" s="17">
        <f t="shared" si="170"/>
        <v>0</v>
      </c>
      <c r="N307" s="11">
        <f>VLOOKUP(A307,TB!TB,4,FALSE)</f>
        <v>0</v>
      </c>
      <c r="O307" s="17">
        <f t="shared" si="171"/>
        <v>0</v>
      </c>
    </row>
    <row r="308" spans="1:16" x14ac:dyDescent="0.25">
      <c r="A308" s="5" t="s">
        <v>568</v>
      </c>
      <c r="C308" s="5" t="s">
        <v>1339</v>
      </c>
      <c r="E308" s="11">
        <f>VLOOKUP(A308,TB!TB1_1,5,FALSE)</f>
        <v>0</v>
      </c>
      <c r="F308" s="17">
        <f t="shared" si="168"/>
        <v>0</v>
      </c>
      <c r="G308" s="17"/>
      <c r="H308" s="11">
        <f>VLOOKUP(A308,TB!TB,5,FALSE)</f>
        <v>0</v>
      </c>
      <c r="I308" s="17">
        <f t="shared" si="169"/>
        <v>0</v>
      </c>
      <c r="J308" s="17"/>
      <c r="K308" s="11">
        <f>VLOOKUP(A308,TB!TB1_1,4,FALSE)</f>
        <v>0</v>
      </c>
      <c r="L308" s="17">
        <f t="shared" si="170"/>
        <v>0</v>
      </c>
      <c r="N308" s="11">
        <f>VLOOKUP(A308,TB!TB,4,FALSE)</f>
        <v>0</v>
      </c>
      <c r="O308" s="17">
        <f t="shared" si="171"/>
        <v>0</v>
      </c>
    </row>
    <row r="309" spans="1:16" x14ac:dyDescent="0.25">
      <c r="A309" s="5" t="s">
        <v>560</v>
      </c>
      <c r="C309" s="5" t="s">
        <v>1342</v>
      </c>
      <c r="E309" s="11">
        <f>VLOOKUP(A309,TB!TB1_1,5,FALSE)</f>
        <v>1620.05</v>
      </c>
      <c r="F309" s="17">
        <f t="shared" si="168"/>
        <v>5.4763517555670013E-4</v>
      </c>
      <c r="G309" s="17"/>
      <c r="H309" s="11">
        <f>VLOOKUP(A309,TB!TB,5,FALSE)</f>
        <v>15044.6</v>
      </c>
      <c r="I309" s="17">
        <f t="shared" si="169"/>
        <v>6.8258178158527236E-3</v>
      </c>
      <c r="J309" s="17"/>
      <c r="K309" s="11">
        <f>VLOOKUP(A309,TB!TB1_1,4,FALSE)</f>
        <v>1620.05</v>
      </c>
      <c r="L309" s="17">
        <f t="shared" si="170"/>
        <v>5.4763517555670013E-4</v>
      </c>
      <c r="N309" s="11">
        <f>VLOOKUP(A309,TB!TB,4,FALSE)</f>
        <v>15044.6</v>
      </c>
      <c r="O309" s="17">
        <f t="shared" si="171"/>
        <v>6.8258178158527236E-3</v>
      </c>
    </row>
    <row r="310" spans="1:16" x14ac:dyDescent="0.25">
      <c r="A310" s="5" t="s">
        <v>925</v>
      </c>
      <c r="C310" s="5" t="s">
        <v>1341</v>
      </c>
      <c r="E310" s="11">
        <f>VLOOKUP(A310,TB!TB1_1,5,FALSE)</f>
        <v>925</v>
      </c>
      <c r="F310" s="17">
        <f t="shared" si="168"/>
        <v>3.1268327359646164E-4</v>
      </c>
      <c r="G310" s="17"/>
      <c r="H310" s="11">
        <f>VLOOKUP(A310,TB!TB,5,FALSE)</f>
        <v>3375</v>
      </c>
      <c r="I310" s="17">
        <f t="shared" si="169"/>
        <v>1.5312560738406432E-3</v>
      </c>
      <c r="J310" s="17"/>
      <c r="K310" s="11">
        <f>VLOOKUP(A310,TB!TB1_1,4,FALSE)</f>
        <v>925</v>
      </c>
      <c r="L310" s="17">
        <f t="shared" si="170"/>
        <v>3.1268327359646164E-4</v>
      </c>
      <c r="N310" s="11">
        <f>VLOOKUP(A310,TB!TB,4,FALSE)</f>
        <v>3375</v>
      </c>
      <c r="O310" s="17">
        <f t="shared" si="171"/>
        <v>1.5312560738406432E-3</v>
      </c>
    </row>
    <row r="311" spans="1:16" x14ac:dyDescent="0.25">
      <c r="A311" s="5" t="s">
        <v>561</v>
      </c>
      <c r="C311" s="5" t="s">
        <v>1336</v>
      </c>
      <c r="E311" s="11">
        <f>VLOOKUP(A311,TB!TB1_1,5,FALSE)</f>
        <v>275.04000000000002</v>
      </c>
      <c r="F311" s="17">
        <f t="shared" ref="F311:F320" si="204">IF(E$160,E311/E$160,0)</f>
        <v>9.2973413589157638E-5</v>
      </c>
      <c r="G311" s="17"/>
      <c r="H311" s="11">
        <f>VLOOKUP(A311,TB!TB,5,FALSE)</f>
        <v>0</v>
      </c>
      <c r="I311" s="17">
        <f t="shared" ref="I311:I320" si="205">IF(H$160,H311/H$160,0)</f>
        <v>0</v>
      </c>
      <c r="J311" s="17"/>
      <c r="K311" s="11">
        <f>VLOOKUP(A311,TB!TB1_1,4,FALSE)</f>
        <v>275.04000000000002</v>
      </c>
      <c r="L311" s="17">
        <f t="shared" ref="L311:L320" si="206">IF(K$160,K311/K$160,0)</f>
        <v>9.2973413589157638E-5</v>
      </c>
      <c r="N311" s="11">
        <f>VLOOKUP(A311,TB!TB,4,FALSE)</f>
        <v>0</v>
      </c>
      <c r="O311" s="17">
        <f t="shared" ref="O311:O320" si="207">IF(N$160,N311/N$160,0)</f>
        <v>0</v>
      </c>
    </row>
    <row r="312" spans="1:16" x14ac:dyDescent="0.25">
      <c r="A312" s="83" t="s">
        <v>1413</v>
      </c>
      <c r="C312" s="5" t="s">
        <v>1468</v>
      </c>
      <c r="E312" s="11">
        <f>VLOOKUP(A312,TB!TB1_1,5,FALSE)</f>
        <v>1264.42</v>
      </c>
      <c r="F312" s="17">
        <f t="shared" ref="F312" si="208">IF(E$160,E312/E$160,0)</f>
        <v>4.2741944302793298E-4</v>
      </c>
      <c r="G312" s="17"/>
      <c r="H312" s="11">
        <f>VLOOKUP(A312,TB!TB,5,FALSE)</f>
        <v>17279.259999999998</v>
      </c>
      <c r="I312" s="17">
        <f t="shared" ref="I312" si="209">IF(H$160,H312/H$160,0)</f>
        <v>7.8396953559916049E-3</v>
      </c>
      <c r="J312" s="17"/>
      <c r="K312" s="11">
        <f>VLOOKUP(A312,TB!TB1_1,4,FALSE)</f>
        <v>1264.42</v>
      </c>
      <c r="L312" s="17">
        <f t="shared" ref="L312" si="210">IF(K$160,K312/K$160,0)</f>
        <v>4.2741944302793298E-4</v>
      </c>
      <c r="N312" s="11">
        <f>VLOOKUP(A312,TB!TB,4,FALSE)</f>
        <v>17279.259999999998</v>
      </c>
      <c r="O312" s="17">
        <f t="shared" ref="O312" si="211">IF(N$160,N312/N$160,0)</f>
        <v>7.8396953559916049E-3</v>
      </c>
    </row>
    <row r="313" spans="1:16" x14ac:dyDescent="0.25">
      <c r="A313" s="5" t="s">
        <v>562</v>
      </c>
      <c r="C313" s="5" t="s">
        <v>1337</v>
      </c>
      <c r="E313" s="11">
        <f>VLOOKUP(A313,TB!TB1_1,5,FALSE)</f>
        <v>9298.36</v>
      </c>
      <c r="F313" s="17">
        <f t="shared" si="204"/>
        <v>3.143180155544211E-3</v>
      </c>
      <c r="G313" s="17"/>
      <c r="H313" s="11">
        <f>VLOOKUP(A313,TB!TB,5,FALSE)</f>
        <v>10068.51</v>
      </c>
      <c r="I313" s="17">
        <f t="shared" si="205"/>
        <v>4.5681383976371127E-3</v>
      </c>
      <c r="J313" s="17"/>
      <c r="K313" s="11">
        <f>VLOOKUP(A313,TB!TB1_1,4,FALSE)</f>
        <v>9298.36</v>
      </c>
      <c r="L313" s="17">
        <f t="shared" si="206"/>
        <v>3.143180155544211E-3</v>
      </c>
      <c r="N313" s="11">
        <f>VLOOKUP(A313,TB!TB,4,FALSE)</f>
        <v>10068.51</v>
      </c>
      <c r="O313" s="17">
        <f t="shared" si="207"/>
        <v>4.5681383976371127E-3</v>
      </c>
    </row>
    <row r="314" spans="1:16" x14ac:dyDescent="0.25">
      <c r="A314" s="5" t="s">
        <v>695</v>
      </c>
      <c r="C314" s="5" t="s">
        <v>698</v>
      </c>
      <c r="E314" s="11">
        <f>VLOOKUP(A314,TB!TB1_1,5,FALSE)</f>
        <v>0</v>
      </c>
      <c r="F314" s="17">
        <f t="shared" si="204"/>
        <v>0</v>
      </c>
      <c r="G314" s="17"/>
      <c r="H314" s="11">
        <f>VLOOKUP(A314,TB!TB,5,FALSE)</f>
        <v>0</v>
      </c>
      <c r="I314" s="17">
        <f t="shared" si="205"/>
        <v>0</v>
      </c>
      <c r="J314" s="17"/>
      <c r="K314" s="11">
        <f>VLOOKUP(A314,TB!TB1_1,4,FALSE)</f>
        <v>0</v>
      </c>
      <c r="L314" s="17">
        <f t="shared" si="206"/>
        <v>0</v>
      </c>
      <c r="N314" s="11">
        <f>VLOOKUP(A314,TB!TB,4,FALSE)</f>
        <v>0</v>
      </c>
      <c r="O314" s="17">
        <f t="shared" si="207"/>
        <v>0</v>
      </c>
    </row>
    <row r="315" spans="1:16" x14ac:dyDescent="0.25">
      <c r="A315" s="5" t="s">
        <v>704</v>
      </c>
      <c r="C315" s="5" t="s">
        <v>698</v>
      </c>
      <c r="E315" s="11">
        <f>VLOOKUP(A315,TB!TB1_1,5,FALSE)</f>
        <v>0</v>
      </c>
      <c r="F315" s="17">
        <f t="shared" si="204"/>
        <v>0</v>
      </c>
      <c r="G315" s="17"/>
      <c r="H315" s="11">
        <f>VLOOKUP(A315,TB!TB,5,FALSE)</f>
        <v>0</v>
      </c>
      <c r="I315" s="17">
        <f t="shared" si="205"/>
        <v>0</v>
      </c>
      <c r="J315" s="17"/>
      <c r="K315" s="11">
        <f>VLOOKUP(A315,TB!TB1_1,4,FALSE)</f>
        <v>0</v>
      </c>
      <c r="L315" s="17">
        <f t="shared" si="206"/>
        <v>0</v>
      </c>
      <c r="N315" s="11">
        <f>VLOOKUP(A315,TB!TB,4,FALSE)</f>
        <v>0</v>
      </c>
      <c r="O315" s="17">
        <f t="shared" si="207"/>
        <v>0</v>
      </c>
    </row>
    <row r="316" spans="1:16" x14ac:dyDescent="0.25">
      <c r="A316" s="5" t="s">
        <v>716</v>
      </c>
      <c r="C316" s="5" t="s">
        <v>717</v>
      </c>
      <c r="E316" s="11">
        <f>VLOOKUP(A316,TB!TB1_1,5,FALSE)</f>
        <v>150029.43</v>
      </c>
      <c r="F316" s="17">
        <f t="shared" si="204"/>
        <v>5.0715344116985063E-2</v>
      </c>
      <c r="G316" s="17"/>
      <c r="H316" s="11">
        <f>VLOOKUP(A316,TB!TB,5,FALSE)</f>
        <v>158229.53</v>
      </c>
      <c r="I316" s="17">
        <f t="shared" si="205"/>
        <v>7.1789608555096376E-2</v>
      </c>
      <c r="J316" s="17"/>
      <c r="K316" s="11">
        <f>VLOOKUP(A316,TB!TB1_1,4,FALSE)</f>
        <v>150029.43</v>
      </c>
      <c r="L316" s="17">
        <f t="shared" si="206"/>
        <v>5.0715344116985063E-2</v>
      </c>
      <c r="N316" s="11">
        <f>VLOOKUP(A316,TB!TB,4,FALSE)</f>
        <v>158229.53</v>
      </c>
      <c r="O316" s="17">
        <f t="shared" si="207"/>
        <v>7.1789608555096376E-2</v>
      </c>
    </row>
    <row r="317" spans="1:16" x14ac:dyDescent="0.25">
      <c r="A317" s="5" t="s">
        <v>718</v>
      </c>
      <c r="C317" s="5" t="s">
        <v>719</v>
      </c>
      <c r="E317" s="11">
        <f>VLOOKUP(A317,TB!TB1_1,5,FALSE)</f>
        <v>32959.25</v>
      </c>
      <c r="F317" s="17">
        <f t="shared" si="204"/>
        <v>1.1141412092199111E-2</v>
      </c>
      <c r="G317" s="17"/>
      <c r="H317" s="11">
        <f>VLOOKUP(A317,TB!TB,5,FALSE)</f>
        <v>19951.97</v>
      </c>
      <c r="I317" s="17">
        <f t="shared" si="205"/>
        <v>9.0523185918774222E-3</v>
      </c>
      <c r="J317" s="17"/>
      <c r="K317" s="11">
        <f>VLOOKUP(A317,TB!TB1_1,4,FALSE)</f>
        <v>32959.25</v>
      </c>
      <c r="L317" s="17">
        <f t="shared" si="206"/>
        <v>1.1141412092199111E-2</v>
      </c>
      <c r="N317" s="11">
        <f>VLOOKUP(A317,TB!TB,4,FALSE)</f>
        <v>19951.97</v>
      </c>
      <c r="O317" s="17">
        <f t="shared" si="207"/>
        <v>9.0523185918774222E-3</v>
      </c>
    </row>
    <row r="318" spans="1:16" x14ac:dyDescent="0.25">
      <c r="A318" s="5" t="s">
        <v>981</v>
      </c>
      <c r="C318" s="5" t="s">
        <v>719</v>
      </c>
      <c r="E318" s="11">
        <f>VLOOKUP(A318,TB!TB1_1,5,FALSE)</f>
        <v>0</v>
      </c>
      <c r="F318" s="17">
        <f t="shared" si="204"/>
        <v>0</v>
      </c>
      <c r="G318" s="17"/>
      <c r="H318" s="11">
        <f>VLOOKUP(A318,TB!TB,5,FALSE)</f>
        <v>0</v>
      </c>
      <c r="I318" s="17">
        <f t="shared" si="205"/>
        <v>0</v>
      </c>
      <c r="J318" s="17"/>
      <c r="K318" s="11">
        <f>VLOOKUP(A318,TB!TB1_1,4,FALSE)</f>
        <v>0</v>
      </c>
      <c r="L318" s="17">
        <f t="shared" si="206"/>
        <v>0</v>
      </c>
      <c r="N318" s="11">
        <f>VLOOKUP(A318,TB!TB,4,FALSE)</f>
        <v>0</v>
      </c>
      <c r="O318" s="17">
        <f t="shared" si="207"/>
        <v>0</v>
      </c>
    </row>
    <row r="319" spans="1:16" x14ac:dyDescent="0.25">
      <c r="A319" s="5" t="s">
        <v>723</v>
      </c>
      <c r="C319" s="5" t="s">
        <v>724</v>
      </c>
      <c r="E319" s="59">
        <f>VLOOKUP(A319,TB!TB1_1,5,FALSE)</f>
        <v>29396.560000000001</v>
      </c>
      <c r="F319" s="90">
        <f t="shared" si="204"/>
        <v>9.9370947170538387E-3</v>
      </c>
      <c r="G319" s="90"/>
      <c r="H319" s="59">
        <f>VLOOKUP(A319,TB!TB,5,FALSE)</f>
        <v>50355.26</v>
      </c>
      <c r="I319" s="90">
        <f t="shared" si="205"/>
        <v>2.2846458585133272E-2</v>
      </c>
      <c r="J319" s="90"/>
      <c r="K319" s="59">
        <f>VLOOKUP(A319,TB!TB1_1,4,FALSE)</f>
        <v>29396.560000000001</v>
      </c>
      <c r="L319" s="90">
        <f t="shared" si="206"/>
        <v>9.9370947170538387E-3</v>
      </c>
      <c r="M319" s="85"/>
      <c r="N319" s="59">
        <f>VLOOKUP(A319,TB!TB,4,FALSE)</f>
        <v>50355.26</v>
      </c>
      <c r="O319" s="90">
        <f t="shared" si="207"/>
        <v>2.2846458585133272E-2</v>
      </c>
      <c r="P319" s="85"/>
    </row>
    <row r="320" spans="1:16" ht="15.75" x14ac:dyDescent="0.25">
      <c r="C320" s="23" t="s">
        <v>1210</v>
      </c>
      <c r="E320" s="91">
        <f>SUM(E164:E319)</f>
        <v>2200546.75</v>
      </c>
      <c r="F320" s="92">
        <f t="shared" si="204"/>
        <v>0.74386395836978858</v>
      </c>
      <c r="G320" s="92"/>
      <c r="H320" s="91">
        <f>SUM(H164:H319)</f>
        <v>1387547.5900000003</v>
      </c>
      <c r="I320" s="92">
        <f t="shared" si="205"/>
        <v>0.62953797775716946</v>
      </c>
      <c r="J320" s="92"/>
      <c r="K320" s="91">
        <f>SUM(K164:K319)</f>
        <v>2200546.75</v>
      </c>
      <c r="L320" s="92">
        <f t="shared" si="206"/>
        <v>0.74386395836978858</v>
      </c>
      <c r="M320" s="93"/>
      <c r="N320" s="91">
        <f>SUM(N164:N319)</f>
        <v>1387547.5900000003</v>
      </c>
      <c r="O320" s="92">
        <f t="shared" si="207"/>
        <v>0.62953797775716946</v>
      </c>
      <c r="P320" s="93"/>
    </row>
    <row r="321" spans="1:16" x14ac:dyDescent="0.25">
      <c r="E321" s="27"/>
      <c r="F321" s="27"/>
      <c r="G321" s="27"/>
      <c r="H321" s="27"/>
      <c r="I321" s="34"/>
      <c r="J321" s="27"/>
      <c r="K321" s="27"/>
      <c r="L321" s="27"/>
      <c r="M321" s="27"/>
      <c r="N321" s="27"/>
      <c r="O321" s="27"/>
      <c r="P321" s="27"/>
    </row>
    <row r="322" spans="1:16" ht="18.75" x14ac:dyDescent="0.3">
      <c r="C322" s="14" t="s">
        <v>1004</v>
      </c>
      <c r="E322" s="12">
        <f>E160-E320</f>
        <v>757718.29999999935</v>
      </c>
      <c r="F322" s="17">
        <f>E322/E$160</f>
        <v>0.25613604163021142</v>
      </c>
      <c r="G322" s="17"/>
      <c r="H322" s="12">
        <f>H160-H320</f>
        <v>816525.29999999981</v>
      </c>
      <c r="I322" s="32">
        <f>H322/H$160</f>
        <v>0.37046202224283054</v>
      </c>
      <c r="J322" s="17"/>
      <c r="K322" s="12">
        <f>K160-K320</f>
        <v>757718.29999999935</v>
      </c>
      <c r="L322" s="17">
        <f>K322/K$160</f>
        <v>0.25613604163021142</v>
      </c>
      <c r="M322" s="13"/>
      <c r="N322" s="12">
        <f>N160-N320</f>
        <v>816525.29999999981</v>
      </c>
      <c r="O322" s="32">
        <f>N322/N$160</f>
        <v>0.37046202224283054</v>
      </c>
      <c r="P322" s="13"/>
    </row>
    <row r="323" spans="1:16" ht="18.75" x14ac:dyDescent="0.3">
      <c r="C323" s="14"/>
      <c r="H323" s="11"/>
      <c r="I323" s="17"/>
      <c r="N323" s="11"/>
      <c r="O323" s="17"/>
    </row>
    <row r="324" spans="1:16" ht="15.75" x14ac:dyDescent="0.25">
      <c r="C324" s="7" t="s">
        <v>1006</v>
      </c>
      <c r="E324" s="8" t="s">
        <v>4</v>
      </c>
      <c r="H324" s="8" t="s">
        <v>4</v>
      </c>
      <c r="K324" s="8" t="s">
        <v>3</v>
      </c>
      <c r="L324" s="8"/>
      <c r="M324" s="8"/>
      <c r="N324" s="8" t="s">
        <v>3</v>
      </c>
    </row>
    <row r="325" spans="1:16" ht="15.75" x14ac:dyDescent="0.25">
      <c r="C325" s="7"/>
      <c r="E325" s="8">
        <f>E4</f>
        <v>2025</v>
      </c>
      <c r="F325" s="16" t="s">
        <v>1005</v>
      </c>
      <c r="G325" s="16"/>
      <c r="H325" s="8">
        <f>H4</f>
        <v>2026</v>
      </c>
      <c r="I325" s="16" t="s">
        <v>1005</v>
      </c>
      <c r="J325" s="16"/>
      <c r="K325" s="8">
        <f>K4</f>
        <v>2025</v>
      </c>
      <c r="L325" s="16" t="s">
        <v>1005</v>
      </c>
      <c r="M325" s="8"/>
      <c r="N325" s="8">
        <f>N4</f>
        <v>2026</v>
      </c>
      <c r="O325" s="16" t="s">
        <v>1005</v>
      </c>
    </row>
    <row r="326" spans="1:16" x14ac:dyDescent="0.25">
      <c r="A326" s="5" t="s">
        <v>418</v>
      </c>
      <c r="C326" s="5" t="s">
        <v>1557</v>
      </c>
      <c r="E326" s="11">
        <f>VLOOKUP(A326,TB!TB1_1,5,FALSE)</f>
        <v>0</v>
      </c>
      <c r="F326" s="17">
        <f t="shared" ref="F326:F408" si="212">IF(E$160,E326/E$160,0)</f>
        <v>0</v>
      </c>
      <c r="G326" s="17"/>
      <c r="H326" s="11">
        <f>VLOOKUP(A326,TB!TB,5,FALSE)</f>
        <v>0</v>
      </c>
      <c r="I326" s="17">
        <f t="shared" ref="I326:I408" si="213">IF(H$160,H326/H$160,0)</f>
        <v>0</v>
      </c>
      <c r="J326" s="17"/>
      <c r="K326" s="11">
        <f>VLOOKUP(A326,TB!TB1_1,4,FALSE)</f>
        <v>0</v>
      </c>
      <c r="L326" s="17">
        <f t="shared" ref="L326:L408" si="214">IF(K$160,K326/K$160,0)</f>
        <v>0</v>
      </c>
      <c r="N326" s="11">
        <f>VLOOKUP(A326,TB!TB,4,FALSE)</f>
        <v>0</v>
      </c>
      <c r="O326" s="17">
        <f t="shared" ref="O326:O408" si="215">IF(N$160,N326/N$160,0)</f>
        <v>0</v>
      </c>
    </row>
    <row r="327" spans="1:16" x14ac:dyDescent="0.25">
      <c r="A327" s="5" t="s">
        <v>421</v>
      </c>
      <c r="C327" s="5" t="s">
        <v>1558</v>
      </c>
      <c r="E327" s="11">
        <f>VLOOKUP(A327,TB!TB1_1,5,FALSE)</f>
        <v>0</v>
      </c>
      <c r="F327" s="17">
        <f t="shared" si="212"/>
        <v>0</v>
      </c>
      <c r="G327" s="17"/>
      <c r="H327" s="11">
        <f>VLOOKUP(A327,TB!TB,5,FALSE)</f>
        <v>0</v>
      </c>
      <c r="I327" s="17">
        <f t="shared" si="213"/>
        <v>0</v>
      </c>
      <c r="J327" s="17"/>
      <c r="K327" s="11">
        <f>VLOOKUP(A327,TB!TB1_1,4,FALSE)</f>
        <v>0</v>
      </c>
      <c r="L327" s="17">
        <f t="shared" si="214"/>
        <v>0</v>
      </c>
      <c r="N327" s="11">
        <f>VLOOKUP(A327,TB!TB,4,FALSE)</f>
        <v>0</v>
      </c>
      <c r="O327" s="17">
        <f t="shared" si="215"/>
        <v>0</v>
      </c>
    </row>
    <row r="328" spans="1:16" x14ac:dyDescent="0.25">
      <c r="A328" s="5" t="s">
        <v>874</v>
      </c>
      <c r="C328" s="5" t="s">
        <v>1559</v>
      </c>
      <c r="E328" s="11">
        <f>VLOOKUP(A328,TB!TB1_1,5,FALSE)</f>
        <v>0</v>
      </c>
      <c r="F328" s="17">
        <f t="shared" si="212"/>
        <v>0</v>
      </c>
      <c r="G328" s="17"/>
      <c r="H328" s="11">
        <f>VLOOKUP(A328,TB!TB,5,FALSE)</f>
        <v>0</v>
      </c>
      <c r="I328" s="17">
        <f t="shared" si="213"/>
        <v>0</v>
      </c>
      <c r="J328" s="17"/>
      <c r="K328" s="11">
        <f>VLOOKUP(A328,TB!TB1_1,4,FALSE)</f>
        <v>0</v>
      </c>
      <c r="L328" s="17">
        <f t="shared" si="214"/>
        <v>0</v>
      </c>
      <c r="N328" s="11">
        <f>VLOOKUP(A328,TB!TB,4,FALSE)</f>
        <v>0</v>
      </c>
      <c r="O328" s="17">
        <f t="shared" si="215"/>
        <v>0</v>
      </c>
    </row>
    <row r="329" spans="1:16" x14ac:dyDescent="0.25">
      <c r="A329" s="5" t="s">
        <v>423</v>
      </c>
      <c r="C329" s="5" t="s">
        <v>1560</v>
      </c>
      <c r="E329" s="11">
        <f>VLOOKUP(A329,TB!TB1_1,5,FALSE)</f>
        <v>0</v>
      </c>
      <c r="F329" s="17">
        <f t="shared" si="212"/>
        <v>0</v>
      </c>
      <c r="G329" s="17"/>
      <c r="H329" s="11">
        <f>VLOOKUP(A329,TB!TB,5,FALSE)</f>
        <v>0</v>
      </c>
      <c r="I329" s="17">
        <f t="shared" si="213"/>
        <v>0</v>
      </c>
      <c r="J329" s="17"/>
      <c r="K329" s="11">
        <f>VLOOKUP(A329,TB!TB1_1,4,FALSE)</f>
        <v>0</v>
      </c>
      <c r="L329" s="17">
        <f t="shared" si="214"/>
        <v>0</v>
      </c>
      <c r="N329" s="11">
        <f>VLOOKUP(A329,TB!TB,4,FALSE)</f>
        <v>0</v>
      </c>
      <c r="O329" s="17">
        <f t="shared" si="215"/>
        <v>0</v>
      </c>
    </row>
    <row r="330" spans="1:16" x14ac:dyDescent="0.25">
      <c r="A330" s="5" t="s">
        <v>875</v>
      </c>
      <c r="C330" s="5" t="s">
        <v>1561</v>
      </c>
      <c r="E330" s="11">
        <f>VLOOKUP(A330,TB!TB1_1,5,FALSE)</f>
        <v>0</v>
      </c>
      <c r="F330" s="17">
        <f t="shared" si="212"/>
        <v>0</v>
      </c>
      <c r="G330" s="17"/>
      <c r="H330" s="11">
        <f>VLOOKUP(A330,TB!TB,5,FALSE)</f>
        <v>0</v>
      </c>
      <c r="I330" s="17">
        <f t="shared" si="213"/>
        <v>0</v>
      </c>
      <c r="J330" s="17"/>
      <c r="K330" s="11">
        <f>VLOOKUP(A330,TB!TB1_1,4,FALSE)</f>
        <v>0</v>
      </c>
      <c r="L330" s="17">
        <f t="shared" si="214"/>
        <v>0</v>
      </c>
      <c r="N330" s="11">
        <f>VLOOKUP(A330,TB!TB,4,FALSE)</f>
        <v>0</v>
      </c>
      <c r="O330" s="17">
        <f t="shared" si="215"/>
        <v>0</v>
      </c>
    </row>
    <row r="331" spans="1:16" x14ac:dyDescent="0.25">
      <c r="A331" s="5" t="s">
        <v>425</v>
      </c>
      <c r="C331" s="5" t="s">
        <v>1562</v>
      </c>
      <c r="E331" s="11">
        <f>VLOOKUP(A331,TB!TB1_1,5,FALSE)</f>
        <v>0</v>
      </c>
      <c r="F331" s="17">
        <f t="shared" si="212"/>
        <v>0</v>
      </c>
      <c r="G331" s="17"/>
      <c r="H331" s="11">
        <f>VLOOKUP(A331,TB!TB,5,FALSE)</f>
        <v>0</v>
      </c>
      <c r="I331" s="17">
        <f t="shared" si="213"/>
        <v>0</v>
      </c>
      <c r="J331" s="17"/>
      <c r="K331" s="11">
        <f>VLOOKUP(A331,TB!TB1_1,4,FALSE)</f>
        <v>0</v>
      </c>
      <c r="L331" s="17">
        <f t="shared" si="214"/>
        <v>0</v>
      </c>
      <c r="N331" s="11">
        <f>VLOOKUP(A331,TB!TB,4,FALSE)</f>
        <v>0</v>
      </c>
      <c r="O331" s="17">
        <f t="shared" si="215"/>
        <v>0</v>
      </c>
    </row>
    <row r="332" spans="1:16" x14ac:dyDescent="0.25">
      <c r="A332" s="83" t="s">
        <v>1414</v>
      </c>
      <c r="C332" s="5" t="s">
        <v>1563</v>
      </c>
      <c r="E332" s="11">
        <f>VLOOKUP(A332,TB!TB1_1,5,FALSE)</f>
        <v>0</v>
      </c>
      <c r="F332" s="17">
        <f t="shared" ref="F332" si="216">IF(E$160,E332/E$160,0)</f>
        <v>0</v>
      </c>
      <c r="G332" s="17"/>
      <c r="H332" s="11">
        <f>VLOOKUP(A332,TB!TB,5,FALSE)</f>
        <v>0</v>
      </c>
      <c r="I332" s="17">
        <f t="shared" ref="I332" si="217">IF(H$160,H332/H$160,0)</f>
        <v>0</v>
      </c>
      <c r="J332" s="17"/>
      <c r="K332" s="11">
        <f>VLOOKUP(A332,TB!TB1_1,4,FALSE)</f>
        <v>0</v>
      </c>
      <c r="L332" s="17">
        <f t="shared" ref="L332" si="218">IF(K$160,K332/K$160,0)</f>
        <v>0</v>
      </c>
      <c r="N332" s="11">
        <f>VLOOKUP(A332,TB!TB,4,FALSE)</f>
        <v>0</v>
      </c>
      <c r="O332" s="17">
        <f t="shared" ref="O332" si="219">IF(N$160,N332/N$160,0)</f>
        <v>0</v>
      </c>
    </row>
    <row r="333" spans="1:16" x14ac:dyDescent="0.25">
      <c r="A333" s="5" t="s">
        <v>427</v>
      </c>
      <c r="C333" s="5" t="s">
        <v>1564</v>
      </c>
      <c r="E333" s="11">
        <f>VLOOKUP(A333,TB!TB1_1,5,FALSE)</f>
        <v>0</v>
      </c>
      <c r="F333" s="17">
        <f t="shared" si="212"/>
        <v>0</v>
      </c>
      <c r="G333" s="17"/>
      <c r="H333" s="11">
        <f>VLOOKUP(A333,TB!TB,5,FALSE)</f>
        <v>0</v>
      </c>
      <c r="I333" s="17">
        <f t="shared" si="213"/>
        <v>0</v>
      </c>
      <c r="J333" s="17"/>
      <c r="K333" s="11">
        <f>VLOOKUP(A333,TB!TB1_1,4,FALSE)</f>
        <v>0</v>
      </c>
      <c r="L333" s="17">
        <f t="shared" si="214"/>
        <v>0</v>
      </c>
      <c r="N333" s="11">
        <f>VLOOKUP(A333,TB!TB,4,FALSE)</f>
        <v>0</v>
      </c>
      <c r="O333" s="17">
        <f t="shared" si="215"/>
        <v>0</v>
      </c>
    </row>
    <row r="334" spans="1:16" x14ac:dyDescent="0.25">
      <c r="A334" s="5" t="s">
        <v>877</v>
      </c>
      <c r="C334" s="5" t="s">
        <v>1565</v>
      </c>
      <c r="E334" s="11">
        <f>VLOOKUP(A334,TB!TB1_1,5,FALSE)</f>
        <v>0</v>
      </c>
      <c r="F334" s="17">
        <f t="shared" si="212"/>
        <v>0</v>
      </c>
      <c r="G334" s="17"/>
      <c r="H334" s="11">
        <f>VLOOKUP(A334,TB!TB,5,FALSE)</f>
        <v>0</v>
      </c>
      <c r="I334" s="17">
        <f t="shared" si="213"/>
        <v>0</v>
      </c>
      <c r="J334" s="17"/>
      <c r="K334" s="11">
        <f>VLOOKUP(A334,TB!TB1_1,4,FALSE)</f>
        <v>0</v>
      </c>
      <c r="L334" s="17">
        <f t="shared" si="214"/>
        <v>0</v>
      </c>
      <c r="N334" s="11">
        <f>VLOOKUP(A334,TB!TB,4,FALSE)</f>
        <v>0</v>
      </c>
      <c r="O334" s="17">
        <f t="shared" si="215"/>
        <v>0</v>
      </c>
    </row>
    <row r="335" spans="1:16" x14ac:dyDescent="0.25">
      <c r="A335" s="5" t="s">
        <v>429</v>
      </c>
      <c r="C335" s="5" t="s">
        <v>1566</v>
      </c>
      <c r="E335" s="11">
        <f>VLOOKUP(A335,TB!TB1_1,5,FALSE)</f>
        <v>9960</v>
      </c>
      <c r="F335" s="17">
        <f t="shared" si="212"/>
        <v>3.3668382756981163E-3</v>
      </c>
      <c r="G335" s="17"/>
      <c r="H335" s="11">
        <f>VLOOKUP(A335,TB!TB,5,FALSE)</f>
        <v>10870.02</v>
      </c>
      <c r="I335" s="17">
        <f t="shared" si="213"/>
        <v>4.9317878956353393E-3</v>
      </c>
      <c r="J335" s="17"/>
      <c r="K335" s="11">
        <f>VLOOKUP(A335,TB!TB1_1,4,FALSE)</f>
        <v>9960</v>
      </c>
      <c r="L335" s="17">
        <f t="shared" si="214"/>
        <v>3.3668382756981163E-3</v>
      </c>
      <c r="N335" s="11">
        <f>VLOOKUP(A335,TB!TB,4,FALSE)</f>
        <v>10870.02</v>
      </c>
      <c r="O335" s="17">
        <f t="shared" si="215"/>
        <v>4.9317878956353393E-3</v>
      </c>
    </row>
    <row r="336" spans="1:16" x14ac:dyDescent="0.25">
      <c r="A336" s="5" t="s">
        <v>878</v>
      </c>
      <c r="C336" s="5" t="s">
        <v>1567</v>
      </c>
      <c r="E336" s="11">
        <f>VLOOKUP(A336,TB!TB1_1,5,FALSE)</f>
        <v>0</v>
      </c>
      <c r="F336" s="17">
        <f t="shared" si="212"/>
        <v>0</v>
      </c>
      <c r="G336" s="17"/>
      <c r="H336" s="11">
        <f>VLOOKUP(A336,TB!TB,5,FALSE)</f>
        <v>0</v>
      </c>
      <c r="I336" s="17">
        <f t="shared" si="213"/>
        <v>0</v>
      </c>
      <c r="J336" s="17"/>
      <c r="K336" s="11">
        <f>VLOOKUP(A336,TB!TB1_1,4,FALSE)</f>
        <v>0</v>
      </c>
      <c r="L336" s="17">
        <f t="shared" si="214"/>
        <v>0</v>
      </c>
      <c r="N336" s="11">
        <f>VLOOKUP(A336,TB!TB,4,FALSE)</f>
        <v>0</v>
      </c>
      <c r="O336" s="17">
        <f t="shared" si="215"/>
        <v>0</v>
      </c>
    </row>
    <row r="337" spans="1:15" x14ac:dyDescent="0.25">
      <c r="A337" s="5" t="s">
        <v>431</v>
      </c>
      <c r="C337" s="5" t="s">
        <v>1568</v>
      </c>
      <c r="E337" s="11">
        <f>VLOOKUP(A337,TB!TB1_1,5,FALSE)</f>
        <v>18000</v>
      </c>
      <c r="F337" s="17">
        <f t="shared" si="212"/>
        <v>6.0846474862014154E-3</v>
      </c>
      <c r="G337" s="17"/>
      <c r="H337" s="11">
        <f>VLOOKUP(A337,TB!TB,5,FALSE)</f>
        <v>46153.86</v>
      </c>
      <c r="I337" s="17">
        <f t="shared" si="213"/>
        <v>2.0940260283315765E-2</v>
      </c>
      <c r="J337" s="17"/>
      <c r="K337" s="11">
        <f>VLOOKUP(A337,TB!TB1_1,4,FALSE)</f>
        <v>18000</v>
      </c>
      <c r="L337" s="17">
        <f t="shared" si="214"/>
        <v>6.0846474862014154E-3</v>
      </c>
      <c r="N337" s="11">
        <f>VLOOKUP(A337,TB!TB,4,FALSE)</f>
        <v>46153.86</v>
      </c>
      <c r="O337" s="17">
        <f t="shared" si="215"/>
        <v>2.0940260283315765E-2</v>
      </c>
    </row>
    <row r="338" spans="1:15" x14ac:dyDescent="0.25">
      <c r="A338" s="5" t="s">
        <v>432</v>
      </c>
      <c r="C338" s="5" t="s">
        <v>1569</v>
      </c>
      <c r="E338" s="11">
        <f>VLOOKUP(A338,TB!TB1_1,5,FALSE)</f>
        <v>0</v>
      </c>
      <c r="F338" s="17">
        <f t="shared" si="212"/>
        <v>0</v>
      </c>
      <c r="G338" s="17"/>
      <c r="H338" s="11">
        <f>VLOOKUP(A338,TB!TB,5,FALSE)</f>
        <v>0</v>
      </c>
      <c r="I338" s="17">
        <f t="shared" si="213"/>
        <v>0</v>
      </c>
      <c r="J338" s="17"/>
      <c r="K338" s="11">
        <f>VLOOKUP(A338,TB!TB1_1,4,FALSE)</f>
        <v>0</v>
      </c>
      <c r="L338" s="17">
        <f t="shared" si="214"/>
        <v>0</v>
      </c>
      <c r="N338" s="11">
        <f>VLOOKUP(A338,TB!TB,4,FALSE)</f>
        <v>0</v>
      </c>
      <c r="O338" s="17">
        <f t="shared" si="215"/>
        <v>0</v>
      </c>
    </row>
    <row r="339" spans="1:15" x14ac:dyDescent="0.25">
      <c r="A339" s="5" t="s">
        <v>879</v>
      </c>
      <c r="C339" s="5" t="s">
        <v>1570</v>
      </c>
      <c r="E339" s="11">
        <f>VLOOKUP(A339,TB!TB1_1,5,FALSE)</f>
        <v>0</v>
      </c>
      <c r="F339" s="17">
        <f t="shared" si="212"/>
        <v>0</v>
      </c>
      <c r="G339" s="17"/>
      <c r="H339" s="11">
        <f>VLOOKUP(A339,TB!TB,5,FALSE)</f>
        <v>0</v>
      </c>
      <c r="I339" s="17">
        <f t="shared" si="213"/>
        <v>0</v>
      </c>
      <c r="J339" s="17"/>
      <c r="K339" s="11">
        <f>VLOOKUP(A339,TB!TB1_1,4,FALSE)</f>
        <v>0</v>
      </c>
      <c r="L339" s="17">
        <f t="shared" si="214"/>
        <v>0</v>
      </c>
      <c r="N339" s="11">
        <f>VLOOKUP(A339,TB!TB,4,FALSE)</f>
        <v>0</v>
      </c>
      <c r="O339" s="17">
        <f t="shared" si="215"/>
        <v>0</v>
      </c>
    </row>
    <row r="340" spans="1:15" x14ac:dyDescent="0.25">
      <c r="A340" s="5" t="s">
        <v>434</v>
      </c>
      <c r="C340" s="5" t="s">
        <v>1556</v>
      </c>
      <c r="E340" s="11">
        <f>VLOOKUP(A340,TB!TB1_1,5,FALSE)</f>
        <v>0</v>
      </c>
      <c r="F340" s="17">
        <f t="shared" si="212"/>
        <v>0</v>
      </c>
      <c r="G340" s="17"/>
      <c r="H340" s="11">
        <f>VLOOKUP(A340,TB!TB,5,FALSE)</f>
        <v>0</v>
      </c>
      <c r="I340" s="17">
        <f t="shared" si="213"/>
        <v>0</v>
      </c>
      <c r="J340" s="17"/>
      <c r="K340" s="11">
        <f>VLOOKUP(A340,TB!TB1_1,4,FALSE)</f>
        <v>0</v>
      </c>
      <c r="L340" s="17">
        <f t="shared" si="214"/>
        <v>0</v>
      </c>
      <c r="N340" s="11">
        <f>VLOOKUP(A340,TB!TB,4,FALSE)</f>
        <v>0</v>
      </c>
      <c r="O340" s="17">
        <f t="shared" si="215"/>
        <v>0</v>
      </c>
    </row>
    <row r="341" spans="1:15" x14ac:dyDescent="0.25">
      <c r="A341" s="5" t="s">
        <v>436</v>
      </c>
      <c r="C341" s="5" t="s">
        <v>1555</v>
      </c>
      <c r="E341" s="11">
        <f>VLOOKUP(A341,TB!TB1_1,5,FALSE)</f>
        <v>46104.61</v>
      </c>
      <c r="F341" s="17">
        <f t="shared" si="212"/>
        <v>1.5585016629933146E-2</v>
      </c>
      <c r="G341" s="17"/>
      <c r="H341" s="11">
        <f>VLOOKUP(A341,TB!TB,5,FALSE)</f>
        <v>58879.199999999997</v>
      </c>
      <c r="I341" s="17">
        <f t="shared" si="213"/>
        <v>2.671381707344533E-2</v>
      </c>
      <c r="J341" s="17"/>
      <c r="K341" s="11">
        <f>VLOOKUP(A341,TB!TB1_1,4,FALSE)</f>
        <v>46104.61</v>
      </c>
      <c r="L341" s="17">
        <f t="shared" si="214"/>
        <v>1.5585016629933146E-2</v>
      </c>
      <c r="N341" s="11">
        <f>VLOOKUP(A341,TB!TB,4,FALSE)</f>
        <v>58879.199999999997</v>
      </c>
      <c r="O341" s="17">
        <f t="shared" si="215"/>
        <v>2.671381707344533E-2</v>
      </c>
    </row>
    <row r="342" spans="1:15" x14ac:dyDescent="0.25">
      <c r="A342" s="5" t="s">
        <v>880</v>
      </c>
      <c r="C342" s="5" t="s">
        <v>1554</v>
      </c>
      <c r="E342" s="11">
        <f>VLOOKUP(A342,TB!TB1_1,5,FALSE)</f>
        <v>18800</v>
      </c>
      <c r="F342" s="17">
        <f t="shared" si="212"/>
        <v>6.3550762633659223E-3</v>
      </c>
      <c r="G342" s="17"/>
      <c r="H342" s="11">
        <f>VLOOKUP(A342,TB!TB,5,FALSE)</f>
        <v>19200</v>
      </c>
      <c r="I342" s="17">
        <f t="shared" si="213"/>
        <v>8.7111456645156595E-3</v>
      </c>
      <c r="J342" s="17"/>
      <c r="K342" s="11">
        <f>VLOOKUP(A342,TB!TB1_1,4,FALSE)</f>
        <v>18800</v>
      </c>
      <c r="L342" s="17">
        <f t="shared" si="214"/>
        <v>6.3550762633659223E-3</v>
      </c>
      <c r="N342" s="11">
        <f>VLOOKUP(A342,TB!TB,4,FALSE)</f>
        <v>19200</v>
      </c>
      <c r="O342" s="17">
        <f t="shared" si="215"/>
        <v>8.7111456645156595E-3</v>
      </c>
    </row>
    <row r="343" spans="1:15" x14ac:dyDescent="0.25">
      <c r="A343" s="5" t="s">
        <v>438</v>
      </c>
      <c r="C343" s="5" t="s">
        <v>1553</v>
      </c>
      <c r="E343" s="11">
        <f>VLOOKUP(A343,TB!TB1_1,5,FALSE)</f>
        <v>8076</v>
      </c>
      <c r="F343" s="17">
        <f t="shared" si="212"/>
        <v>2.7299785054757018E-3</v>
      </c>
      <c r="G343" s="17"/>
      <c r="H343" s="11">
        <f>VLOOKUP(A343,TB!TB,5,FALSE)</f>
        <v>8076</v>
      </c>
      <c r="I343" s="17">
        <f t="shared" si="213"/>
        <v>3.664125645136899E-3</v>
      </c>
      <c r="J343" s="17"/>
      <c r="K343" s="11">
        <f>VLOOKUP(A343,TB!TB1_1,4,FALSE)</f>
        <v>8076</v>
      </c>
      <c r="L343" s="17">
        <f t="shared" si="214"/>
        <v>2.7299785054757018E-3</v>
      </c>
      <c r="N343" s="11">
        <f>VLOOKUP(A343,TB!TB,4,FALSE)</f>
        <v>8076</v>
      </c>
      <c r="O343" s="17">
        <f t="shared" si="215"/>
        <v>3.664125645136899E-3</v>
      </c>
    </row>
    <row r="344" spans="1:15" x14ac:dyDescent="0.25">
      <c r="A344" s="83" t="s">
        <v>1415</v>
      </c>
      <c r="C344" s="5" t="s">
        <v>1552</v>
      </c>
      <c r="E344" s="11">
        <f>VLOOKUP(A344,TB!TB1_1,5,FALSE)</f>
        <v>11539.2</v>
      </c>
      <c r="F344" s="17">
        <f t="shared" ref="F344" si="220">IF(E$160,E344/E$160,0)</f>
        <v>3.900664681820854E-3</v>
      </c>
      <c r="G344" s="17"/>
      <c r="H344" s="11">
        <f>VLOOKUP(A344,TB!TB,5,FALSE)</f>
        <v>11539.2</v>
      </c>
      <c r="I344" s="17">
        <f t="shared" ref="I344" si="221">IF(H$160,H344/H$160,0)</f>
        <v>5.235398544373911E-3</v>
      </c>
      <c r="J344" s="17"/>
      <c r="K344" s="11">
        <f>VLOOKUP(A344,TB!TB1_1,4,FALSE)</f>
        <v>11539.2</v>
      </c>
      <c r="L344" s="17">
        <f t="shared" ref="L344" si="222">IF(K$160,K344/K$160,0)</f>
        <v>3.900664681820854E-3</v>
      </c>
      <c r="N344" s="11">
        <f>VLOOKUP(A344,TB!TB,4,FALSE)</f>
        <v>11539.2</v>
      </c>
      <c r="O344" s="17">
        <f t="shared" ref="O344" si="223">IF(N$160,N344/N$160,0)</f>
        <v>5.235398544373911E-3</v>
      </c>
    </row>
    <row r="345" spans="1:15" x14ac:dyDescent="0.25">
      <c r="A345" s="5" t="s">
        <v>439</v>
      </c>
      <c r="C345" s="5" t="s">
        <v>1551</v>
      </c>
      <c r="E345" s="11">
        <f>VLOOKUP(A345,TB!TB1_1,5,FALSE)</f>
        <v>35160</v>
      </c>
      <c r="F345" s="17">
        <f t="shared" si="212"/>
        <v>1.1885344756380098E-2</v>
      </c>
      <c r="G345" s="17"/>
      <c r="H345" s="11">
        <f>VLOOKUP(A345,TB!TB,5,FALSE)</f>
        <v>38117.5</v>
      </c>
      <c r="I345" s="17">
        <f t="shared" si="213"/>
        <v>1.7294119524332064E-2</v>
      </c>
      <c r="J345" s="17"/>
      <c r="K345" s="11">
        <f>VLOOKUP(A345,TB!TB1_1,4,FALSE)</f>
        <v>35160</v>
      </c>
      <c r="L345" s="17">
        <f t="shared" si="214"/>
        <v>1.1885344756380098E-2</v>
      </c>
      <c r="N345" s="11">
        <f>VLOOKUP(A345,TB!TB,4,FALSE)</f>
        <v>38117.5</v>
      </c>
      <c r="O345" s="17">
        <f t="shared" si="215"/>
        <v>1.7294119524332064E-2</v>
      </c>
    </row>
    <row r="346" spans="1:15" x14ac:dyDescent="0.25">
      <c r="A346" s="5" t="s">
        <v>882</v>
      </c>
      <c r="C346" s="5" t="s">
        <v>1550</v>
      </c>
      <c r="E346" s="11">
        <f>VLOOKUP(A346,TB!TB1_1,5,FALSE)</f>
        <v>0</v>
      </c>
      <c r="F346" s="17">
        <f t="shared" si="212"/>
        <v>0</v>
      </c>
      <c r="G346" s="17"/>
      <c r="H346" s="11">
        <f>VLOOKUP(A346,TB!TB,5,FALSE)</f>
        <v>0</v>
      </c>
      <c r="I346" s="17">
        <f t="shared" si="213"/>
        <v>0</v>
      </c>
      <c r="J346" s="17"/>
      <c r="K346" s="11">
        <f>VLOOKUP(A346,TB!TB1_1,4,FALSE)</f>
        <v>0</v>
      </c>
      <c r="L346" s="17">
        <f t="shared" si="214"/>
        <v>0</v>
      </c>
      <c r="N346" s="11">
        <f>VLOOKUP(A346,TB!TB,4,FALSE)</f>
        <v>0</v>
      </c>
      <c r="O346" s="17">
        <f t="shared" si="215"/>
        <v>0</v>
      </c>
    </row>
    <row r="347" spans="1:15" x14ac:dyDescent="0.25">
      <c r="A347" s="5" t="s">
        <v>443</v>
      </c>
      <c r="C347" s="5" t="s">
        <v>1549</v>
      </c>
      <c r="E347" s="11">
        <f>VLOOKUP(A347,TB!TB1_1,5,FALSE)</f>
        <v>10240</v>
      </c>
      <c r="F347" s="17">
        <f t="shared" si="212"/>
        <v>3.4614883477056941E-3</v>
      </c>
      <c r="G347" s="17"/>
      <c r="H347" s="11">
        <f>VLOOKUP(A347,TB!TB,5,FALSE)</f>
        <v>11040</v>
      </c>
      <c r="I347" s="17">
        <f t="shared" si="213"/>
        <v>5.0089087570965038E-3</v>
      </c>
      <c r="J347" s="17"/>
      <c r="K347" s="11">
        <f>VLOOKUP(A347,TB!TB1_1,4,FALSE)</f>
        <v>10240</v>
      </c>
      <c r="L347" s="17">
        <f t="shared" si="214"/>
        <v>3.4614883477056941E-3</v>
      </c>
      <c r="N347" s="11">
        <f>VLOOKUP(A347,TB!TB,4,FALSE)</f>
        <v>11040</v>
      </c>
      <c r="O347" s="17">
        <f t="shared" si="215"/>
        <v>5.0089087570965038E-3</v>
      </c>
    </row>
    <row r="348" spans="1:15" x14ac:dyDescent="0.25">
      <c r="A348" s="5" t="s">
        <v>445</v>
      </c>
      <c r="C348" s="5" t="s">
        <v>1548</v>
      </c>
      <c r="E348" s="11">
        <f>VLOOKUP(A348,TB!TB1_1,5,FALSE)</f>
        <v>0</v>
      </c>
      <c r="F348" s="17">
        <f t="shared" si="212"/>
        <v>0</v>
      </c>
      <c r="G348" s="17"/>
      <c r="H348" s="11">
        <f>VLOOKUP(A348,TB!TB,5,FALSE)</f>
        <v>0</v>
      </c>
      <c r="I348" s="17">
        <f t="shared" si="213"/>
        <v>0</v>
      </c>
      <c r="J348" s="17"/>
      <c r="K348" s="11">
        <f>VLOOKUP(A348,TB!TB1_1,4,FALSE)</f>
        <v>0</v>
      </c>
      <c r="L348" s="17">
        <f t="shared" si="214"/>
        <v>0</v>
      </c>
      <c r="N348" s="11">
        <f>VLOOKUP(A348,TB!TB,4,FALSE)</f>
        <v>0</v>
      </c>
      <c r="O348" s="17">
        <f t="shared" si="215"/>
        <v>0</v>
      </c>
    </row>
    <row r="349" spans="1:15" x14ac:dyDescent="0.25">
      <c r="A349" s="5" t="s">
        <v>884</v>
      </c>
      <c r="C349" s="5" t="s">
        <v>1547</v>
      </c>
      <c r="E349" s="11">
        <f>VLOOKUP(A349,TB!TB1_1,5,FALSE)</f>
        <v>0</v>
      </c>
      <c r="F349" s="17">
        <f t="shared" si="212"/>
        <v>0</v>
      </c>
      <c r="G349" s="17"/>
      <c r="H349" s="11">
        <f>VLOOKUP(A349,TB!TB,5,FALSE)</f>
        <v>0</v>
      </c>
      <c r="I349" s="17">
        <f t="shared" si="213"/>
        <v>0</v>
      </c>
      <c r="J349" s="17"/>
      <c r="K349" s="11">
        <f>VLOOKUP(A349,TB!TB1_1,4,FALSE)</f>
        <v>0</v>
      </c>
      <c r="L349" s="17">
        <f t="shared" si="214"/>
        <v>0</v>
      </c>
      <c r="N349" s="11">
        <f>VLOOKUP(A349,TB!TB,4,FALSE)</f>
        <v>0</v>
      </c>
      <c r="O349" s="17">
        <f t="shared" si="215"/>
        <v>0</v>
      </c>
    </row>
    <row r="350" spans="1:15" x14ac:dyDescent="0.25">
      <c r="A350" s="5" t="s">
        <v>447</v>
      </c>
      <c r="C350" s="5" t="s">
        <v>1544</v>
      </c>
      <c r="E350" s="11">
        <f>VLOOKUP(A350,TB!TB1_1,5,FALSE)</f>
        <v>0</v>
      </c>
      <c r="F350" s="17">
        <f t="shared" si="212"/>
        <v>0</v>
      </c>
      <c r="G350" s="17"/>
      <c r="H350" s="11">
        <f>VLOOKUP(A350,TB!TB,5,FALSE)</f>
        <v>0</v>
      </c>
      <c r="I350" s="17">
        <f t="shared" si="213"/>
        <v>0</v>
      </c>
      <c r="J350" s="17"/>
      <c r="K350" s="11">
        <f>VLOOKUP(A350,TB!TB1_1,4,FALSE)</f>
        <v>0</v>
      </c>
      <c r="L350" s="17">
        <f t="shared" si="214"/>
        <v>0</v>
      </c>
      <c r="N350" s="11">
        <f>VLOOKUP(A350,TB!TB,4,FALSE)</f>
        <v>0</v>
      </c>
      <c r="O350" s="17">
        <f t="shared" si="215"/>
        <v>0</v>
      </c>
    </row>
    <row r="351" spans="1:15" x14ac:dyDescent="0.25">
      <c r="A351" s="5" t="s">
        <v>885</v>
      </c>
      <c r="C351" s="5" t="s">
        <v>1543</v>
      </c>
      <c r="E351" s="11">
        <f>VLOOKUP(A351,TB!TB1_1,5,FALSE)</f>
        <v>0</v>
      </c>
      <c r="F351" s="17">
        <f t="shared" si="212"/>
        <v>0</v>
      </c>
      <c r="G351" s="17"/>
      <c r="H351" s="11">
        <f>VLOOKUP(A351,TB!TB,5,FALSE)</f>
        <v>0</v>
      </c>
      <c r="I351" s="17">
        <f t="shared" si="213"/>
        <v>0</v>
      </c>
      <c r="J351" s="17"/>
      <c r="K351" s="11">
        <f>VLOOKUP(A351,TB!TB1_1,4,FALSE)</f>
        <v>0</v>
      </c>
      <c r="L351" s="17">
        <f t="shared" si="214"/>
        <v>0</v>
      </c>
      <c r="N351" s="11">
        <f>VLOOKUP(A351,TB!TB,4,FALSE)</f>
        <v>0</v>
      </c>
      <c r="O351" s="17">
        <f t="shared" si="215"/>
        <v>0</v>
      </c>
    </row>
    <row r="352" spans="1:15" x14ac:dyDescent="0.25">
      <c r="A352" s="5" t="s">
        <v>449</v>
      </c>
      <c r="C352" s="5" t="s">
        <v>1545</v>
      </c>
      <c r="E352" s="11">
        <f>VLOOKUP(A352,TB!TB1_1,5,FALSE)</f>
        <v>0</v>
      </c>
      <c r="F352" s="17">
        <f t="shared" si="212"/>
        <v>0</v>
      </c>
      <c r="G352" s="17"/>
      <c r="H352" s="11">
        <f>VLOOKUP(A352,TB!TB,5,FALSE)</f>
        <v>0</v>
      </c>
      <c r="I352" s="17">
        <f t="shared" si="213"/>
        <v>0</v>
      </c>
      <c r="J352" s="17"/>
      <c r="K352" s="11">
        <f>VLOOKUP(A352,TB!TB1_1,4,FALSE)</f>
        <v>0</v>
      </c>
      <c r="L352" s="17">
        <f t="shared" si="214"/>
        <v>0</v>
      </c>
      <c r="N352" s="11">
        <f>VLOOKUP(A352,TB!TB,4,FALSE)</f>
        <v>0</v>
      </c>
      <c r="O352" s="17">
        <f t="shared" si="215"/>
        <v>0</v>
      </c>
    </row>
    <row r="353" spans="1:15" x14ac:dyDescent="0.25">
      <c r="A353" s="83" t="s">
        <v>1416</v>
      </c>
      <c r="C353" s="5" t="s">
        <v>1546</v>
      </c>
      <c r="E353" s="11">
        <f>VLOOKUP(A353,TB!TB1_1,5,FALSE)</f>
        <v>0</v>
      </c>
      <c r="F353" s="17">
        <f t="shared" ref="F353" si="224">IF(E$160,E353/E$160,0)</f>
        <v>0</v>
      </c>
      <c r="G353" s="17"/>
      <c r="H353" s="11">
        <f>VLOOKUP(A353,TB!TB,5,FALSE)</f>
        <v>0</v>
      </c>
      <c r="I353" s="17">
        <f t="shared" ref="I353" si="225">IF(H$160,H353/H$160,0)</f>
        <v>0</v>
      </c>
      <c r="J353" s="17"/>
      <c r="K353" s="11">
        <f>VLOOKUP(A353,TB!TB1_1,4,FALSE)</f>
        <v>0</v>
      </c>
      <c r="L353" s="17">
        <f t="shared" ref="L353" si="226">IF(K$160,K353/K$160,0)</f>
        <v>0</v>
      </c>
      <c r="N353" s="11">
        <f>VLOOKUP(A353,TB!TB,4,FALSE)</f>
        <v>0</v>
      </c>
      <c r="O353" s="17">
        <f t="shared" ref="O353" si="227">IF(N$160,N353/N$160,0)</f>
        <v>0</v>
      </c>
    </row>
    <row r="354" spans="1:15" x14ac:dyDescent="0.25">
      <c r="A354" s="5" t="s">
        <v>451</v>
      </c>
      <c r="C354" s="5" t="s">
        <v>1542</v>
      </c>
      <c r="E354" s="11">
        <f>VLOOKUP(A354,TB!TB1_1,5,FALSE)</f>
        <v>0</v>
      </c>
      <c r="F354" s="17">
        <f t="shared" si="212"/>
        <v>0</v>
      </c>
      <c r="G354" s="17"/>
      <c r="H354" s="11">
        <f>VLOOKUP(A354,TB!TB,5,FALSE)</f>
        <v>0</v>
      </c>
      <c r="I354" s="17">
        <f t="shared" si="213"/>
        <v>0</v>
      </c>
      <c r="J354" s="17"/>
      <c r="K354" s="11">
        <f>VLOOKUP(A354,TB!TB1_1,4,FALSE)</f>
        <v>0</v>
      </c>
      <c r="L354" s="17">
        <f t="shared" si="214"/>
        <v>0</v>
      </c>
      <c r="N354" s="11">
        <f>VLOOKUP(A354,TB!TB,4,FALSE)</f>
        <v>0</v>
      </c>
      <c r="O354" s="17">
        <f t="shared" si="215"/>
        <v>0</v>
      </c>
    </row>
    <row r="355" spans="1:15" x14ac:dyDescent="0.25">
      <c r="A355" s="5" t="s">
        <v>887</v>
      </c>
      <c r="C355" s="5" t="s">
        <v>1541</v>
      </c>
      <c r="E355" s="11">
        <f>VLOOKUP(A355,TB!TB1_1,5,FALSE)</f>
        <v>0</v>
      </c>
      <c r="F355" s="17">
        <f t="shared" si="212"/>
        <v>0</v>
      </c>
      <c r="G355" s="17"/>
      <c r="H355" s="11">
        <f>VLOOKUP(A355,TB!TB,5,FALSE)</f>
        <v>0</v>
      </c>
      <c r="I355" s="17">
        <f t="shared" si="213"/>
        <v>0</v>
      </c>
      <c r="J355" s="17"/>
      <c r="K355" s="11">
        <f>VLOOKUP(A355,TB!TB1_1,4,FALSE)</f>
        <v>0</v>
      </c>
      <c r="L355" s="17">
        <f t="shared" si="214"/>
        <v>0</v>
      </c>
      <c r="N355" s="11">
        <f>VLOOKUP(A355,TB!TB,4,FALSE)</f>
        <v>0</v>
      </c>
      <c r="O355" s="17">
        <f t="shared" si="215"/>
        <v>0</v>
      </c>
    </row>
    <row r="356" spans="1:15" x14ac:dyDescent="0.25">
      <c r="A356" s="5" t="s">
        <v>453</v>
      </c>
      <c r="C356" s="5" t="s">
        <v>1540</v>
      </c>
      <c r="E356" s="11">
        <f>VLOOKUP(A356,TB!TB1_1,5,FALSE)</f>
        <v>16805.400000000001</v>
      </c>
      <c r="F356" s="17">
        <f t="shared" si="212"/>
        <v>5.680829714700515E-3</v>
      </c>
      <c r="G356" s="17"/>
      <c r="H356" s="11">
        <f>VLOOKUP(A356,TB!TB,5,FALSE)</f>
        <v>16717.38</v>
      </c>
      <c r="I356" s="17">
        <f t="shared" si="213"/>
        <v>7.5847673077635829E-3</v>
      </c>
      <c r="J356" s="17"/>
      <c r="K356" s="11">
        <f>VLOOKUP(A356,TB!TB1_1,4,FALSE)</f>
        <v>16805.400000000001</v>
      </c>
      <c r="L356" s="17">
        <f t="shared" si="214"/>
        <v>5.680829714700515E-3</v>
      </c>
      <c r="N356" s="11">
        <f>VLOOKUP(A356,TB!TB,4,FALSE)</f>
        <v>16717.38</v>
      </c>
      <c r="O356" s="17">
        <f t="shared" si="215"/>
        <v>7.5847673077635829E-3</v>
      </c>
    </row>
    <row r="357" spans="1:15" x14ac:dyDescent="0.25">
      <c r="A357" s="5" t="s">
        <v>888</v>
      </c>
      <c r="C357" s="5" t="s">
        <v>1539</v>
      </c>
      <c r="E357" s="11">
        <f>VLOOKUP(A357,TB!TB1_1,5,FALSE)</f>
        <v>0</v>
      </c>
      <c r="F357" s="17">
        <f t="shared" si="212"/>
        <v>0</v>
      </c>
      <c r="G357" s="17"/>
      <c r="H357" s="11">
        <f>VLOOKUP(A357,TB!TB,5,FALSE)</f>
        <v>0</v>
      </c>
      <c r="I357" s="17">
        <f t="shared" si="213"/>
        <v>0</v>
      </c>
      <c r="J357" s="17"/>
      <c r="K357" s="11">
        <f>VLOOKUP(A357,TB!TB1_1,4,FALSE)</f>
        <v>0</v>
      </c>
      <c r="L357" s="17">
        <f t="shared" si="214"/>
        <v>0</v>
      </c>
      <c r="N357" s="11">
        <f>VLOOKUP(A357,TB!TB,4,FALSE)</f>
        <v>0</v>
      </c>
      <c r="O357" s="17">
        <f t="shared" si="215"/>
        <v>0</v>
      </c>
    </row>
    <row r="358" spans="1:15" x14ac:dyDescent="0.25">
      <c r="A358" s="5" t="s">
        <v>455</v>
      </c>
      <c r="C358" s="5" t="s">
        <v>1538</v>
      </c>
      <c r="E358" s="11">
        <f>VLOOKUP(A358,TB!TB1_1,5,FALSE)</f>
        <v>19892.25</v>
      </c>
      <c r="F358" s="17">
        <f t="shared" si="212"/>
        <v>6.7242960531883394E-3</v>
      </c>
      <c r="G358" s="17"/>
      <c r="H358" s="11">
        <f>VLOOKUP(A358,TB!TB,5,FALSE)</f>
        <v>23972.25</v>
      </c>
      <c r="I358" s="17">
        <f t="shared" si="213"/>
        <v>1.0876341752926328E-2</v>
      </c>
      <c r="J358" s="17"/>
      <c r="K358" s="11">
        <f>VLOOKUP(A358,TB!TB1_1,4,FALSE)</f>
        <v>19892.25</v>
      </c>
      <c r="L358" s="17">
        <f t="shared" si="214"/>
        <v>6.7242960531883394E-3</v>
      </c>
      <c r="N358" s="11">
        <f>VLOOKUP(A358,TB!TB,4,FALSE)</f>
        <v>23972.25</v>
      </c>
      <c r="O358" s="17">
        <f t="shared" si="215"/>
        <v>1.0876341752926328E-2</v>
      </c>
    </row>
    <row r="359" spans="1:15" x14ac:dyDescent="0.25">
      <c r="A359" s="5" t="s">
        <v>457</v>
      </c>
      <c r="C359" s="5" t="s">
        <v>1571</v>
      </c>
      <c r="E359" s="11">
        <f>VLOOKUP(A359,TB!TB1_1,5,FALSE)</f>
        <v>0</v>
      </c>
      <c r="F359" s="17">
        <f t="shared" si="212"/>
        <v>0</v>
      </c>
      <c r="G359" s="17"/>
      <c r="H359" s="11">
        <f>VLOOKUP(A359,TB!TB,5,FALSE)</f>
        <v>0</v>
      </c>
      <c r="I359" s="17">
        <f t="shared" si="213"/>
        <v>0</v>
      </c>
      <c r="J359" s="17"/>
      <c r="K359" s="11">
        <f>VLOOKUP(A359,TB!TB1_1,4,FALSE)</f>
        <v>0</v>
      </c>
      <c r="L359" s="17">
        <f t="shared" si="214"/>
        <v>0</v>
      </c>
      <c r="N359" s="11">
        <f>VLOOKUP(A359,TB!TB,4,FALSE)</f>
        <v>0</v>
      </c>
      <c r="O359" s="17">
        <f t="shared" si="215"/>
        <v>0</v>
      </c>
    </row>
    <row r="360" spans="1:15" x14ac:dyDescent="0.25">
      <c r="A360" s="5" t="s">
        <v>889</v>
      </c>
      <c r="C360" s="5" t="s">
        <v>1572</v>
      </c>
      <c r="E360" s="11">
        <f>VLOOKUP(A360,TB!TB1_1,5,FALSE)</f>
        <v>0</v>
      </c>
      <c r="F360" s="17">
        <f t="shared" si="212"/>
        <v>0</v>
      </c>
      <c r="G360" s="17"/>
      <c r="H360" s="11">
        <f>VLOOKUP(A360,TB!TB,5,FALSE)</f>
        <v>0</v>
      </c>
      <c r="I360" s="17">
        <f t="shared" si="213"/>
        <v>0</v>
      </c>
      <c r="J360" s="17"/>
      <c r="K360" s="11">
        <f>VLOOKUP(A360,TB!TB1_1,4,FALSE)</f>
        <v>0</v>
      </c>
      <c r="L360" s="17">
        <f t="shared" si="214"/>
        <v>0</v>
      </c>
      <c r="N360" s="11">
        <f>VLOOKUP(A360,TB!TB,4,FALSE)</f>
        <v>0</v>
      </c>
      <c r="O360" s="17">
        <f t="shared" si="215"/>
        <v>0</v>
      </c>
    </row>
    <row r="361" spans="1:15" x14ac:dyDescent="0.25">
      <c r="A361" s="5" t="s">
        <v>459</v>
      </c>
      <c r="C361" s="5" t="s">
        <v>1573</v>
      </c>
      <c r="E361" s="11">
        <f>VLOOKUP(A361,TB!TB1_1,5,FALSE)</f>
        <v>7386.62</v>
      </c>
      <c r="F361" s="17">
        <f t="shared" si="212"/>
        <v>2.4969432674736163E-3</v>
      </c>
      <c r="G361" s="17"/>
      <c r="H361" s="11">
        <f>VLOOKUP(A361,TB!TB,5,FALSE)</f>
        <v>0</v>
      </c>
      <c r="I361" s="17">
        <f t="shared" si="213"/>
        <v>0</v>
      </c>
      <c r="J361" s="17"/>
      <c r="K361" s="11">
        <f>VLOOKUP(A361,TB!TB1_1,4,FALSE)</f>
        <v>7386.62</v>
      </c>
      <c r="L361" s="17">
        <f t="shared" si="214"/>
        <v>2.4969432674736163E-3</v>
      </c>
      <c r="N361" s="11">
        <f>VLOOKUP(A361,TB!TB,4,FALSE)</f>
        <v>0</v>
      </c>
      <c r="O361" s="17">
        <f t="shared" si="215"/>
        <v>0</v>
      </c>
    </row>
    <row r="362" spans="1:15" x14ac:dyDescent="0.25">
      <c r="A362" s="83" t="s">
        <v>1503</v>
      </c>
      <c r="C362" s="5" t="s">
        <v>1574</v>
      </c>
      <c r="E362" s="11">
        <f>VLOOKUP(A362,TB!TB1_1,5,FALSE)</f>
        <v>0</v>
      </c>
      <c r="F362" s="17">
        <f t="shared" ref="F362" si="228">IF(E$160,E362/E$160,0)</f>
        <v>0</v>
      </c>
      <c r="G362" s="17"/>
      <c r="H362" s="11">
        <f>VLOOKUP(A362,TB!TB,5,FALSE)</f>
        <v>0</v>
      </c>
      <c r="I362" s="17">
        <f t="shared" ref="I362" si="229">IF(H$160,H362/H$160,0)</f>
        <v>0</v>
      </c>
      <c r="J362" s="17"/>
      <c r="K362" s="11">
        <f>VLOOKUP(A362,TB!TB1_1,4,FALSE)</f>
        <v>0</v>
      </c>
      <c r="L362" s="17">
        <f t="shared" ref="L362" si="230">IF(K$160,K362/K$160,0)</f>
        <v>0</v>
      </c>
      <c r="N362" s="11">
        <f>VLOOKUP(A362,TB!TB,4,FALSE)</f>
        <v>0</v>
      </c>
      <c r="O362" s="17">
        <f t="shared" ref="O362" si="231">IF(N$160,N362/N$160,0)</f>
        <v>0</v>
      </c>
    </row>
    <row r="363" spans="1:15" x14ac:dyDescent="0.25">
      <c r="A363" s="83" t="s">
        <v>1284</v>
      </c>
      <c r="C363" s="5" t="s">
        <v>1294</v>
      </c>
      <c r="E363" s="11">
        <f>VLOOKUP(A363,TB!TB1_1,5,FALSE)</f>
        <v>-11307.87</v>
      </c>
      <c r="F363" s="17">
        <f t="shared" ref="F363" si="232">IF(E$160,E363/E$160,0)</f>
        <v>-3.8224668205440225E-3</v>
      </c>
      <c r="G363" s="17"/>
      <c r="H363" s="11">
        <f>VLOOKUP(A363,TB!TB,5,FALSE)</f>
        <v>0</v>
      </c>
      <c r="I363" s="17">
        <f t="shared" ref="I363" si="233">IF(H$160,H363/H$160,0)</f>
        <v>0</v>
      </c>
      <c r="J363" s="17"/>
      <c r="K363" s="11">
        <f>VLOOKUP(A363,TB!TB1_1,4,FALSE)</f>
        <v>-11307.87</v>
      </c>
      <c r="L363" s="17">
        <f t="shared" ref="L363" si="234">IF(K$160,K363/K$160,0)</f>
        <v>-3.8224668205440225E-3</v>
      </c>
      <c r="N363" s="11">
        <f>VLOOKUP(A363,TB!TB,4,FALSE)</f>
        <v>0</v>
      </c>
      <c r="O363" s="17">
        <f t="shared" ref="O363" si="235">IF(N$160,N363/N$160,0)</f>
        <v>0</v>
      </c>
    </row>
    <row r="364" spans="1:15" x14ac:dyDescent="0.25">
      <c r="A364" s="83" t="s">
        <v>1505</v>
      </c>
      <c r="C364" s="5" t="s">
        <v>1526</v>
      </c>
      <c r="E364" s="11">
        <f>VLOOKUP(A364,TB!TB1_1,5,FALSE)</f>
        <v>-4255.01</v>
      </c>
      <c r="F364" s="17">
        <f t="shared" ref="F364" si="236">IF(E$160,E364/E$160,0)</f>
        <v>-1.438346438903438E-3</v>
      </c>
      <c r="G364" s="17"/>
      <c r="H364" s="11">
        <f>VLOOKUP(A364,TB!TB,5,FALSE)</f>
        <v>0</v>
      </c>
      <c r="I364" s="17">
        <f t="shared" ref="I364" si="237">IF(H$160,H364/H$160,0)</f>
        <v>0</v>
      </c>
      <c r="J364" s="17"/>
      <c r="K364" s="11">
        <f>VLOOKUP(A364,TB!TB1_1,4,FALSE)</f>
        <v>-4255.01</v>
      </c>
      <c r="L364" s="17">
        <f t="shared" ref="L364" si="238">IF(K$160,K364/K$160,0)</f>
        <v>-1.438346438903438E-3</v>
      </c>
      <c r="N364" s="11">
        <f>VLOOKUP(A364,TB!TB,4,FALSE)</f>
        <v>0</v>
      </c>
      <c r="O364" s="17">
        <f t="shared" ref="O364" si="239">IF(N$160,N364/N$160,0)</f>
        <v>0</v>
      </c>
    </row>
    <row r="365" spans="1:15" x14ac:dyDescent="0.25">
      <c r="A365" s="5" t="s">
        <v>460</v>
      </c>
      <c r="C365" s="5" t="s">
        <v>1575</v>
      </c>
      <c r="E365" s="11">
        <f>VLOOKUP(A365,TB!TB1_1,5,FALSE)</f>
        <v>11843.06</v>
      </c>
      <c r="F365" s="17">
        <f t="shared" si="212"/>
        <v>4.0033802921073626E-3</v>
      </c>
      <c r="G365" s="17"/>
      <c r="H365" s="11">
        <f>VLOOKUP(A365,TB!TB,5,FALSE)</f>
        <v>0</v>
      </c>
      <c r="I365" s="17">
        <f t="shared" si="213"/>
        <v>0</v>
      </c>
      <c r="J365" s="17"/>
      <c r="K365" s="11">
        <f>VLOOKUP(A365,TB!TB1_1,4,FALSE)</f>
        <v>11843.06</v>
      </c>
      <c r="L365" s="17">
        <f t="shared" si="214"/>
        <v>4.0033802921073626E-3</v>
      </c>
      <c r="N365" s="11">
        <f>VLOOKUP(A365,TB!TB,4,FALSE)</f>
        <v>0</v>
      </c>
      <c r="O365" s="17">
        <f t="shared" si="215"/>
        <v>0</v>
      </c>
    </row>
    <row r="366" spans="1:15" x14ac:dyDescent="0.25">
      <c r="A366" s="83" t="s">
        <v>1417</v>
      </c>
      <c r="C366" s="5" t="s">
        <v>1576</v>
      </c>
      <c r="E366" s="11">
        <f>VLOOKUP(A366,TB!TB1_1,5,FALSE)</f>
        <v>0</v>
      </c>
      <c r="F366" s="17">
        <f t="shared" ref="F366" si="240">IF(E$160,E366/E$160,0)</f>
        <v>0</v>
      </c>
      <c r="G366" s="17"/>
      <c r="H366" s="11">
        <f>VLOOKUP(A366,TB!TB,5,FALSE)</f>
        <v>0</v>
      </c>
      <c r="I366" s="17">
        <f t="shared" ref="I366" si="241">IF(H$160,H366/H$160,0)</f>
        <v>0</v>
      </c>
      <c r="J366" s="17"/>
      <c r="K366" s="11">
        <f>VLOOKUP(A366,TB!TB1_1,4,FALSE)</f>
        <v>0</v>
      </c>
      <c r="L366" s="17">
        <f t="shared" ref="L366" si="242">IF(K$160,K366/K$160,0)</f>
        <v>0</v>
      </c>
      <c r="N366" s="11">
        <f>VLOOKUP(A366,TB!TB,4,FALSE)</f>
        <v>0</v>
      </c>
      <c r="O366" s="17">
        <f t="shared" ref="O366" si="243">IF(N$160,N366/N$160,0)</f>
        <v>0</v>
      </c>
    </row>
    <row r="367" spans="1:15" x14ac:dyDescent="0.25">
      <c r="A367" s="83" t="s">
        <v>1504</v>
      </c>
      <c r="C367" s="5" t="s">
        <v>1527</v>
      </c>
      <c r="E367" s="11">
        <f>VLOOKUP(A367,TB!TB1_1,5,FALSE)</f>
        <v>-1257.4000000000001</v>
      </c>
      <c r="F367" s="17">
        <f t="shared" ref="F367" si="244">IF(E$160,E367/E$160,0)</f>
        <v>-4.2504643050831443E-4</v>
      </c>
      <c r="G367" s="17"/>
      <c r="H367" s="11">
        <f>VLOOKUP(A367,TB!TB,5,FALSE)</f>
        <v>0</v>
      </c>
      <c r="I367" s="17">
        <f t="shared" ref="I367" si="245">IF(H$160,H367/H$160,0)</f>
        <v>0</v>
      </c>
      <c r="J367" s="17"/>
      <c r="K367" s="11">
        <f>VLOOKUP(A367,TB!TB1_1,4,FALSE)</f>
        <v>-1257.4000000000001</v>
      </c>
      <c r="L367" s="17">
        <f t="shared" ref="L367" si="246">IF(K$160,K367/K$160,0)</f>
        <v>-4.2504643050831443E-4</v>
      </c>
      <c r="N367" s="11">
        <f>VLOOKUP(A367,TB!TB,4,FALSE)</f>
        <v>0</v>
      </c>
      <c r="O367" s="17">
        <f t="shared" ref="O367" si="247">IF(N$160,N367/N$160,0)</f>
        <v>0</v>
      </c>
    </row>
    <row r="368" spans="1:15" x14ac:dyDescent="0.25">
      <c r="A368" s="83" t="s">
        <v>1283</v>
      </c>
      <c r="C368" s="5" t="s">
        <v>1290</v>
      </c>
      <c r="E368" s="11">
        <f>VLOOKUP(A368,TB!TB1_1,5,FALSE)</f>
        <v>0</v>
      </c>
      <c r="F368" s="17">
        <f t="shared" ref="F368" si="248">IF(E$160,E368/E$160,0)</f>
        <v>0</v>
      </c>
      <c r="G368" s="17"/>
      <c r="H368" s="11">
        <f>VLOOKUP(A368,TB!TB,5,FALSE)</f>
        <v>0</v>
      </c>
      <c r="I368" s="17">
        <f t="shared" ref="I368" si="249">IF(H$160,H368/H$160,0)</f>
        <v>0</v>
      </c>
      <c r="J368" s="17"/>
      <c r="K368" s="11">
        <f>VLOOKUP(A368,TB!TB1_1,4,FALSE)</f>
        <v>0</v>
      </c>
      <c r="L368" s="17">
        <f t="shared" ref="L368" si="250">IF(K$160,K368/K$160,0)</f>
        <v>0</v>
      </c>
      <c r="N368" s="11">
        <f>VLOOKUP(A368,TB!TB,4,FALSE)</f>
        <v>0</v>
      </c>
      <c r="O368" s="17">
        <f t="shared" ref="O368" si="251">IF(N$160,N368/N$160,0)</f>
        <v>0</v>
      </c>
    </row>
    <row r="369" spans="1:15" x14ac:dyDescent="0.25">
      <c r="A369" s="83" t="s">
        <v>1418</v>
      </c>
      <c r="C369" s="5" t="s">
        <v>1489</v>
      </c>
      <c r="E369" s="11">
        <f>VLOOKUP(A369,TB!TB1_1,5,FALSE)</f>
        <v>0</v>
      </c>
      <c r="F369" s="17">
        <f t="shared" ref="F369" si="252">IF(E$160,E369/E$160,0)</f>
        <v>0</v>
      </c>
      <c r="G369" s="17"/>
      <c r="H369" s="11">
        <f>VLOOKUP(A369,TB!TB,5,FALSE)</f>
        <v>0</v>
      </c>
      <c r="I369" s="17">
        <f t="shared" ref="I369" si="253">IF(H$160,H369/H$160,0)</f>
        <v>0</v>
      </c>
      <c r="J369" s="17"/>
      <c r="K369" s="11">
        <f>VLOOKUP(A369,TB!TB1_1,4,FALSE)</f>
        <v>0</v>
      </c>
      <c r="L369" s="17">
        <f t="shared" ref="L369" si="254">IF(K$160,K369/K$160,0)</f>
        <v>0</v>
      </c>
      <c r="N369" s="11">
        <f>VLOOKUP(A369,TB!TB,4,FALSE)</f>
        <v>0</v>
      </c>
      <c r="O369" s="17">
        <f t="shared" ref="O369" si="255">IF(N$160,N369/N$160,0)</f>
        <v>0</v>
      </c>
    </row>
    <row r="370" spans="1:15" x14ac:dyDescent="0.25">
      <c r="A370" s="83" t="s">
        <v>1286</v>
      </c>
      <c r="C370" s="5" t="s">
        <v>1291</v>
      </c>
      <c r="E370" s="11">
        <f>VLOOKUP(A370,TB!TB1_1,5,FALSE)</f>
        <v>-27442.51</v>
      </c>
      <c r="F370" s="17">
        <f t="shared" ref="F370" si="256">IF(E$160,E370/E$160,0)</f>
        <v>-9.2765555270309542E-3</v>
      </c>
      <c r="G370" s="17"/>
      <c r="H370" s="11">
        <f>VLOOKUP(A370,TB!TB,5,FALSE)</f>
        <v>0</v>
      </c>
      <c r="I370" s="17">
        <f t="shared" ref="I370" si="257">IF(H$160,H370/H$160,0)</f>
        <v>0</v>
      </c>
      <c r="J370" s="17"/>
      <c r="K370" s="11">
        <f>VLOOKUP(A370,TB!TB1_1,4,FALSE)</f>
        <v>-27442.51</v>
      </c>
      <c r="L370" s="17">
        <f t="shared" ref="L370" si="258">IF(K$160,K370/K$160,0)</f>
        <v>-9.2765555270309542E-3</v>
      </c>
      <c r="N370" s="11">
        <f>VLOOKUP(A370,TB!TB,4,FALSE)</f>
        <v>0</v>
      </c>
      <c r="O370" s="17">
        <f t="shared" ref="O370" si="259">IF(N$160,N370/N$160,0)</f>
        <v>0</v>
      </c>
    </row>
    <row r="371" spans="1:15" x14ac:dyDescent="0.25">
      <c r="A371" s="83" t="s">
        <v>1419</v>
      </c>
      <c r="C371" s="5" t="s">
        <v>1490</v>
      </c>
      <c r="E371" s="11">
        <f>VLOOKUP(A371,TB!TB1_1,5,FALSE)</f>
        <v>0</v>
      </c>
      <c r="F371" s="17">
        <f t="shared" ref="F371:F376" si="260">IF(E$160,E371/E$160,0)</f>
        <v>0</v>
      </c>
      <c r="G371" s="17"/>
      <c r="H371" s="11">
        <f>VLOOKUP(A371,TB!TB,5,FALSE)</f>
        <v>0</v>
      </c>
      <c r="I371" s="17">
        <f t="shared" ref="I371:I376" si="261">IF(H$160,H371/H$160,0)</f>
        <v>0</v>
      </c>
      <c r="J371" s="17"/>
      <c r="K371" s="11">
        <f>VLOOKUP(A371,TB!TB1_1,4,FALSE)</f>
        <v>0</v>
      </c>
      <c r="L371" s="17">
        <f t="shared" ref="L371:L376" si="262">IF(K$160,K371/K$160,0)</f>
        <v>0</v>
      </c>
      <c r="N371" s="11">
        <f>VLOOKUP(A371,TB!TB,4,FALSE)</f>
        <v>0</v>
      </c>
      <c r="O371" s="17">
        <f t="shared" ref="O371:O376" si="263">IF(N$160,N371/N$160,0)</f>
        <v>0</v>
      </c>
    </row>
    <row r="372" spans="1:15" x14ac:dyDescent="0.25">
      <c r="A372" s="83" t="s">
        <v>1289</v>
      </c>
      <c r="C372" s="5" t="s">
        <v>1292</v>
      </c>
      <c r="E372" s="11">
        <f>VLOOKUP(A372,TB!TB1_1,5,FALSE)</f>
        <v>114280.7</v>
      </c>
      <c r="F372" s="17">
        <f t="shared" si="260"/>
        <v>3.8630987443129892E-2</v>
      </c>
      <c r="G372" s="17"/>
      <c r="H372" s="11">
        <f>VLOOKUP(A372,TB!TB,5,FALSE)</f>
        <v>0</v>
      </c>
      <c r="I372" s="17">
        <f t="shared" si="261"/>
        <v>0</v>
      </c>
      <c r="J372" s="17"/>
      <c r="K372" s="11">
        <f>VLOOKUP(A372,TB!TB1_1,4,FALSE)</f>
        <v>114280.7</v>
      </c>
      <c r="L372" s="17">
        <f t="shared" si="262"/>
        <v>3.8630987443129892E-2</v>
      </c>
      <c r="N372" s="11">
        <f>VLOOKUP(A372,TB!TB,4,FALSE)</f>
        <v>0</v>
      </c>
      <c r="O372" s="17">
        <f t="shared" si="263"/>
        <v>0</v>
      </c>
    </row>
    <row r="373" spans="1:15" x14ac:dyDescent="0.25">
      <c r="A373" s="83" t="s">
        <v>1420</v>
      </c>
      <c r="C373" s="5" t="s">
        <v>1491</v>
      </c>
      <c r="E373" s="11">
        <f>VLOOKUP(A373,TB!TB1_1,5,FALSE)</f>
        <v>-4062.24</v>
      </c>
      <c r="F373" s="17">
        <f t="shared" si="260"/>
        <v>-1.3731832446859354E-3</v>
      </c>
      <c r="G373" s="17"/>
      <c r="H373" s="11">
        <f>VLOOKUP(A373,TB!TB,5,FALSE)</f>
        <v>0</v>
      </c>
      <c r="I373" s="17">
        <f t="shared" si="261"/>
        <v>0</v>
      </c>
      <c r="J373" s="17"/>
      <c r="K373" s="11">
        <f>VLOOKUP(A373,TB!TB1_1,4,FALSE)</f>
        <v>-4062.24</v>
      </c>
      <c r="L373" s="17">
        <f t="shared" si="262"/>
        <v>-1.3731832446859354E-3</v>
      </c>
      <c r="N373" s="11">
        <f>VLOOKUP(A373,TB!TB,4,FALSE)</f>
        <v>0</v>
      </c>
      <c r="O373" s="17">
        <f t="shared" si="263"/>
        <v>0</v>
      </c>
    </row>
    <row r="374" spans="1:15" x14ac:dyDescent="0.25">
      <c r="A374" s="5" t="s">
        <v>463</v>
      </c>
      <c r="C374" s="5" t="s">
        <v>1577</v>
      </c>
      <c r="E374" s="11">
        <f>VLOOKUP(A374,TB!TB1_1,5,FALSE)</f>
        <v>0</v>
      </c>
      <c r="F374" s="17">
        <f t="shared" si="260"/>
        <v>0</v>
      </c>
      <c r="G374" s="17"/>
      <c r="H374" s="11">
        <f>VLOOKUP(A374,TB!TB,5,FALSE)</f>
        <v>0</v>
      </c>
      <c r="I374" s="17">
        <f t="shared" si="261"/>
        <v>0</v>
      </c>
      <c r="J374" s="17"/>
      <c r="K374" s="11">
        <f>VLOOKUP(A374,TB!TB1_1,4,FALSE)</f>
        <v>0</v>
      </c>
      <c r="L374" s="17">
        <f t="shared" si="262"/>
        <v>0</v>
      </c>
      <c r="N374" s="11">
        <f>VLOOKUP(A374,TB!TB,4,FALSE)</f>
        <v>0</v>
      </c>
      <c r="O374" s="17">
        <f t="shared" si="263"/>
        <v>0</v>
      </c>
    </row>
    <row r="375" spans="1:15" x14ac:dyDescent="0.25">
      <c r="A375" s="83" t="s">
        <v>1287</v>
      </c>
      <c r="C375" s="5" t="s">
        <v>1293</v>
      </c>
      <c r="E375" s="11">
        <f>VLOOKUP(A375,TB!TB1_1,5,FALSE)</f>
        <v>19564.72</v>
      </c>
      <c r="F375" s="17">
        <f t="shared" si="260"/>
        <v>6.6135791314574756E-3</v>
      </c>
      <c r="G375" s="17"/>
      <c r="H375" s="11">
        <f>VLOOKUP(A375,TB!TB,5,FALSE)</f>
        <v>0</v>
      </c>
      <c r="I375" s="17">
        <f t="shared" si="261"/>
        <v>0</v>
      </c>
      <c r="J375" s="17"/>
      <c r="K375" s="11">
        <f>VLOOKUP(A375,TB!TB1_1,4,FALSE)</f>
        <v>19564.72</v>
      </c>
      <c r="L375" s="17">
        <f t="shared" si="262"/>
        <v>6.6135791314574756E-3</v>
      </c>
      <c r="N375" s="11">
        <f>VLOOKUP(A375,TB!TB,4,FALSE)</f>
        <v>0</v>
      </c>
      <c r="O375" s="17">
        <f t="shared" si="263"/>
        <v>0</v>
      </c>
    </row>
    <row r="376" spans="1:15" x14ac:dyDescent="0.25">
      <c r="A376" s="83" t="s">
        <v>1506</v>
      </c>
      <c r="C376" s="5" t="s">
        <v>1525</v>
      </c>
      <c r="E376" s="11">
        <f>VLOOKUP(A376,TB!TB1_1,5,FALSE)</f>
        <v>8793.67</v>
      </c>
      <c r="F376" s="17">
        <f t="shared" si="260"/>
        <v>2.9725767811102665E-3</v>
      </c>
      <c r="G376" s="17"/>
      <c r="H376" s="11">
        <f>VLOOKUP(A376,TB!TB,5,FALSE)</f>
        <v>0</v>
      </c>
      <c r="I376" s="17">
        <f t="shared" si="261"/>
        <v>0</v>
      </c>
      <c r="J376" s="17"/>
      <c r="K376" s="11">
        <f>VLOOKUP(A376,TB!TB1_1,4,FALSE)</f>
        <v>8793.67</v>
      </c>
      <c r="L376" s="17">
        <f t="shared" si="262"/>
        <v>2.9725767811102665E-3</v>
      </c>
      <c r="N376" s="11">
        <f>VLOOKUP(A376,TB!TB,4,FALSE)</f>
        <v>0</v>
      </c>
      <c r="O376" s="17">
        <f t="shared" si="263"/>
        <v>0</v>
      </c>
    </row>
    <row r="377" spans="1:15" x14ac:dyDescent="0.25">
      <c r="A377" s="5" t="s">
        <v>465</v>
      </c>
      <c r="C377" s="5" t="s">
        <v>1578</v>
      </c>
      <c r="E377" s="11">
        <f>VLOOKUP(A377,TB!TB1_1,5,FALSE)</f>
        <v>0</v>
      </c>
      <c r="F377" s="17">
        <f t="shared" si="212"/>
        <v>0</v>
      </c>
      <c r="G377" s="17"/>
      <c r="H377" s="11">
        <f>VLOOKUP(A377,TB!TB,5,FALSE)</f>
        <v>0</v>
      </c>
      <c r="I377" s="17">
        <f t="shared" si="213"/>
        <v>0</v>
      </c>
      <c r="J377" s="17"/>
      <c r="K377" s="11">
        <f>VLOOKUP(A377,TB!TB1_1,4,FALSE)</f>
        <v>0</v>
      </c>
      <c r="L377" s="17">
        <f t="shared" si="214"/>
        <v>0</v>
      </c>
      <c r="N377" s="11">
        <f>VLOOKUP(A377,TB!TB,4,FALSE)</f>
        <v>0</v>
      </c>
      <c r="O377" s="17">
        <f t="shared" si="215"/>
        <v>0</v>
      </c>
    </row>
    <row r="378" spans="1:15" x14ac:dyDescent="0.25">
      <c r="A378" s="83" t="s">
        <v>1281</v>
      </c>
      <c r="C378" s="5" t="s">
        <v>1295</v>
      </c>
      <c r="E378" s="11">
        <f>VLOOKUP(A378,TB!TB1_1,5,FALSE)</f>
        <v>-13319.9</v>
      </c>
      <c r="F378" s="17">
        <f t="shared" ref="F378" si="264">IF(E$160,E378/E$160,0)</f>
        <v>-4.5026053361919014E-3</v>
      </c>
      <c r="G378" s="17"/>
      <c r="H378" s="11">
        <f>VLOOKUP(A378,TB!TB,5,FALSE)</f>
        <v>0</v>
      </c>
      <c r="I378" s="17">
        <f t="shared" ref="I378" si="265">IF(H$160,H378/H$160,0)</f>
        <v>0</v>
      </c>
      <c r="J378" s="17"/>
      <c r="K378" s="11">
        <f>VLOOKUP(A378,TB!TB1_1,4,FALSE)</f>
        <v>-13319.9</v>
      </c>
      <c r="L378" s="17">
        <f t="shared" ref="L378" si="266">IF(K$160,K378/K$160,0)</f>
        <v>-4.5026053361919014E-3</v>
      </c>
      <c r="N378" s="11">
        <f>VLOOKUP(A378,TB!TB,4,FALSE)</f>
        <v>0</v>
      </c>
      <c r="O378" s="17">
        <f t="shared" ref="O378" si="267">IF(N$160,N378/N$160,0)</f>
        <v>0</v>
      </c>
    </row>
    <row r="379" spans="1:15" x14ac:dyDescent="0.25">
      <c r="A379" s="5" t="s">
        <v>891</v>
      </c>
      <c r="C379" s="5" t="s">
        <v>1579</v>
      </c>
      <c r="E379" s="11">
        <f>VLOOKUP(A379,TB!TB1_1,5,FALSE)</f>
        <v>0</v>
      </c>
      <c r="F379" s="17">
        <f t="shared" si="212"/>
        <v>0</v>
      </c>
      <c r="G379" s="17"/>
      <c r="H379" s="11">
        <f>VLOOKUP(A379,TB!TB,5,FALSE)</f>
        <v>0</v>
      </c>
      <c r="I379" s="17">
        <f t="shared" si="213"/>
        <v>0</v>
      </c>
      <c r="J379" s="17"/>
      <c r="K379" s="11">
        <f>VLOOKUP(A379,TB!TB1_1,4,FALSE)</f>
        <v>0</v>
      </c>
      <c r="L379" s="17">
        <f t="shared" si="214"/>
        <v>0</v>
      </c>
      <c r="N379" s="11">
        <f>VLOOKUP(A379,TB!TB,4,FALSE)</f>
        <v>0</v>
      </c>
      <c r="O379" s="17">
        <f t="shared" si="215"/>
        <v>0</v>
      </c>
    </row>
    <row r="380" spans="1:15" x14ac:dyDescent="0.25">
      <c r="A380" s="5" t="s">
        <v>1044</v>
      </c>
      <c r="C380" s="5" t="s">
        <v>1580</v>
      </c>
      <c r="E380" s="11">
        <f>VLOOKUP(A380,TB!TB1_1,5,FALSE)</f>
        <v>1380.98</v>
      </c>
      <c r="F380" s="17">
        <f t="shared" si="212"/>
        <v>4.668209158608017E-4</v>
      </c>
      <c r="G380" s="17"/>
      <c r="H380" s="11">
        <f>VLOOKUP(A380,TB!TB,5,FALSE)</f>
        <v>1047.78</v>
      </c>
      <c r="I380" s="17">
        <f t="shared" si="213"/>
        <v>4.7538355231074045E-4</v>
      </c>
      <c r="J380" s="17"/>
      <c r="K380" s="11">
        <f>VLOOKUP(A380,TB!TB1_1,4,FALSE)</f>
        <v>1380.98</v>
      </c>
      <c r="L380" s="17">
        <f t="shared" si="214"/>
        <v>4.668209158608017E-4</v>
      </c>
      <c r="N380" s="11">
        <f>VLOOKUP(A380,TB!TB,4,FALSE)</f>
        <v>1047.78</v>
      </c>
      <c r="O380" s="17">
        <f t="shared" si="215"/>
        <v>4.7538355231074045E-4</v>
      </c>
    </row>
    <row r="381" spans="1:15" x14ac:dyDescent="0.25">
      <c r="A381" s="5" t="s">
        <v>1045</v>
      </c>
      <c r="C381" s="5" t="s">
        <v>1581</v>
      </c>
      <c r="E381" s="11">
        <f>VLOOKUP(A381,TB!TB1_1,5,FALSE)</f>
        <v>0</v>
      </c>
      <c r="F381" s="17">
        <f t="shared" si="212"/>
        <v>0</v>
      </c>
      <c r="G381" s="17"/>
      <c r="H381" s="11">
        <f>VLOOKUP(A381,TB!TB,5,FALSE)</f>
        <v>0</v>
      </c>
      <c r="I381" s="17">
        <f t="shared" si="213"/>
        <v>0</v>
      </c>
      <c r="J381" s="17"/>
      <c r="K381" s="11">
        <f>VLOOKUP(A381,TB!TB1_1,4,FALSE)</f>
        <v>0</v>
      </c>
      <c r="L381" s="17">
        <f t="shared" si="214"/>
        <v>0</v>
      </c>
      <c r="N381" s="11">
        <f>VLOOKUP(A381,TB!TB,4,FALSE)</f>
        <v>0</v>
      </c>
      <c r="O381" s="17">
        <f t="shared" si="215"/>
        <v>0</v>
      </c>
    </row>
    <row r="382" spans="1:15" x14ac:dyDescent="0.25">
      <c r="A382" s="5" t="s">
        <v>467</v>
      </c>
      <c r="C382" s="5" t="s">
        <v>1582</v>
      </c>
      <c r="E382" s="11">
        <f>VLOOKUP(A382,TB!TB1_1,5,FALSE)</f>
        <v>0</v>
      </c>
      <c r="F382" s="17">
        <f t="shared" si="212"/>
        <v>0</v>
      </c>
      <c r="G382" s="17"/>
      <c r="H382" s="11">
        <f>VLOOKUP(A382,TB!TB,5,FALSE)</f>
        <v>0</v>
      </c>
      <c r="I382" s="17">
        <f t="shared" si="213"/>
        <v>0</v>
      </c>
      <c r="J382" s="17"/>
      <c r="K382" s="11">
        <f>VLOOKUP(A382,TB!TB1_1,4,FALSE)</f>
        <v>0</v>
      </c>
      <c r="L382" s="17">
        <f t="shared" si="214"/>
        <v>0</v>
      </c>
      <c r="N382" s="11">
        <f>VLOOKUP(A382,TB!TB,4,FALSE)</f>
        <v>0</v>
      </c>
      <c r="O382" s="17">
        <f t="shared" si="215"/>
        <v>0</v>
      </c>
    </row>
    <row r="383" spans="1:15" x14ac:dyDescent="0.25">
      <c r="A383" s="5" t="s">
        <v>892</v>
      </c>
      <c r="C383" s="5" t="s">
        <v>1584</v>
      </c>
      <c r="E383" s="11">
        <f>VLOOKUP(A383,TB!TB1_1,5,FALSE)</f>
        <v>0</v>
      </c>
      <c r="F383" s="17">
        <f t="shared" si="212"/>
        <v>0</v>
      </c>
      <c r="G383" s="17"/>
      <c r="H383" s="11">
        <f>VLOOKUP(A383,TB!TB,5,FALSE)</f>
        <v>0</v>
      </c>
      <c r="I383" s="17">
        <f t="shared" si="213"/>
        <v>0</v>
      </c>
      <c r="J383" s="17"/>
      <c r="K383" s="11">
        <f>VLOOKUP(A383,TB!TB1_1,4,FALSE)</f>
        <v>0</v>
      </c>
      <c r="L383" s="17">
        <f t="shared" si="214"/>
        <v>0</v>
      </c>
      <c r="N383" s="11">
        <f>VLOOKUP(A383,TB!TB,4,FALSE)</f>
        <v>0</v>
      </c>
      <c r="O383" s="17">
        <f t="shared" si="215"/>
        <v>0</v>
      </c>
    </row>
    <row r="384" spans="1:15" x14ac:dyDescent="0.25">
      <c r="A384" s="5" t="s">
        <v>469</v>
      </c>
      <c r="C384" s="5" t="s">
        <v>1583</v>
      </c>
      <c r="E384" s="11">
        <f>VLOOKUP(A384,TB!TB1_1,5,FALSE)</f>
        <v>0</v>
      </c>
      <c r="F384" s="17">
        <f t="shared" si="212"/>
        <v>0</v>
      </c>
      <c r="G384" s="17"/>
      <c r="H384" s="11">
        <f>VLOOKUP(A384,TB!TB,5,FALSE)</f>
        <v>0</v>
      </c>
      <c r="I384" s="17">
        <f t="shared" si="213"/>
        <v>0</v>
      </c>
      <c r="J384" s="17"/>
      <c r="K384" s="11">
        <f>VLOOKUP(A384,TB!TB1_1,4,FALSE)</f>
        <v>0</v>
      </c>
      <c r="L384" s="17">
        <f t="shared" si="214"/>
        <v>0</v>
      </c>
      <c r="N384" s="11">
        <f>VLOOKUP(A384,TB!TB,4,FALSE)</f>
        <v>0</v>
      </c>
      <c r="O384" s="17">
        <f t="shared" si="215"/>
        <v>0</v>
      </c>
    </row>
    <row r="385" spans="1:15" x14ac:dyDescent="0.25">
      <c r="A385" s="5" t="s">
        <v>893</v>
      </c>
      <c r="C385" s="5" t="s">
        <v>1585</v>
      </c>
      <c r="E385" s="11">
        <f>VLOOKUP(A385,TB!TB1_1,5,FALSE)</f>
        <v>0</v>
      </c>
      <c r="F385" s="17">
        <f t="shared" si="212"/>
        <v>0</v>
      </c>
      <c r="G385" s="17"/>
      <c r="H385" s="11">
        <f>VLOOKUP(A385,TB!TB,5,FALSE)</f>
        <v>0</v>
      </c>
      <c r="I385" s="17">
        <f t="shared" si="213"/>
        <v>0</v>
      </c>
      <c r="J385" s="17"/>
      <c r="K385" s="11">
        <f>VLOOKUP(A385,TB!TB1_1,4,FALSE)</f>
        <v>0</v>
      </c>
      <c r="L385" s="17">
        <f t="shared" si="214"/>
        <v>0</v>
      </c>
      <c r="N385" s="11">
        <f>VLOOKUP(A385,TB!TB,4,FALSE)</f>
        <v>0</v>
      </c>
      <c r="O385" s="17">
        <f t="shared" si="215"/>
        <v>0</v>
      </c>
    </row>
    <row r="386" spans="1:15" x14ac:dyDescent="0.25">
      <c r="A386" s="5" t="s">
        <v>471</v>
      </c>
      <c r="C386" s="5" t="s">
        <v>1586</v>
      </c>
      <c r="E386" s="11">
        <f>VLOOKUP(A386,TB!TB1_1,5,FALSE)</f>
        <v>869.82</v>
      </c>
      <c r="F386" s="17">
        <f t="shared" si="212"/>
        <v>2.9403044869153974E-4</v>
      </c>
      <c r="G386" s="17"/>
      <c r="H386" s="11">
        <f>VLOOKUP(A386,TB!TB,5,FALSE)</f>
        <v>1043.52</v>
      </c>
      <c r="I386" s="17">
        <f t="shared" si="213"/>
        <v>4.7345076686642603E-4</v>
      </c>
      <c r="J386" s="17"/>
      <c r="K386" s="11">
        <f>VLOOKUP(A386,TB!TB1_1,4,FALSE)</f>
        <v>869.82</v>
      </c>
      <c r="L386" s="17">
        <f t="shared" si="214"/>
        <v>2.9403044869153974E-4</v>
      </c>
      <c r="N386" s="11">
        <f>VLOOKUP(A386,TB!TB,4,FALSE)</f>
        <v>1043.52</v>
      </c>
      <c r="O386" s="17">
        <f t="shared" si="215"/>
        <v>4.7345076686642603E-4</v>
      </c>
    </row>
    <row r="387" spans="1:15" x14ac:dyDescent="0.25">
      <c r="A387" s="5" t="s">
        <v>473</v>
      </c>
      <c r="C387" s="5" t="s">
        <v>1587</v>
      </c>
      <c r="E387" s="11">
        <f>VLOOKUP(A387,TB!TB1_1,5,FALSE)</f>
        <v>0</v>
      </c>
      <c r="F387" s="17">
        <f t="shared" si="212"/>
        <v>0</v>
      </c>
      <c r="G387" s="17"/>
      <c r="H387" s="11">
        <f>VLOOKUP(A387,TB!TB,5,FALSE)</f>
        <v>0</v>
      </c>
      <c r="I387" s="17">
        <f t="shared" si="213"/>
        <v>0</v>
      </c>
      <c r="J387" s="17"/>
      <c r="K387" s="11">
        <f>VLOOKUP(A387,TB!TB1_1,4,FALSE)</f>
        <v>0</v>
      </c>
      <c r="L387" s="17">
        <f t="shared" si="214"/>
        <v>0</v>
      </c>
      <c r="N387" s="11">
        <f>VLOOKUP(A387,TB!TB,4,FALSE)</f>
        <v>0</v>
      </c>
      <c r="O387" s="17">
        <f t="shared" si="215"/>
        <v>0</v>
      </c>
    </row>
    <row r="388" spans="1:15" x14ac:dyDescent="0.25">
      <c r="A388" s="5" t="s">
        <v>894</v>
      </c>
      <c r="C388" s="5" t="s">
        <v>1588</v>
      </c>
      <c r="E388" s="11">
        <f>VLOOKUP(A388,TB!TB1_1,5,FALSE)</f>
        <v>0</v>
      </c>
      <c r="F388" s="17">
        <f t="shared" si="212"/>
        <v>0</v>
      </c>
      <c r="G388" s="17"/>
      <c r="H388" s="11">
        <f>VLOOKUP(A388,TB!TB,5,FALSE)</f>
        <v>0</v>
      </c>
      <c r="I388" s="17">
        <f t="shared" si="213"/>
        <v>0</v>
      </c>
      <c r="J388" s="17"/>
      <c r="K388" s="11">
        <f>VLOOKUP(A388,TB!TB1_1,4,FALSE)</f>
        <v>0</v>
      </c>
      <c r="L388" s="17">
        <f t="shared" si="214"/>
        <v>0</v>
      </c>
      <c r="N388" s="11">
        <f>VLOOKUP(A388,TB!TB,4,FALSE)</f>
        <v>0</v>
      </c>
      <c r="O388" s="17">
        <f t="shared" si="215"/>
        <v>0</v>
      </c>
    </row>
    <row r="389" spans="1:15" x14ac:dyDescent="0.25">
      <c r="A389" s="5" t="s">
        <v>475</v>
      </c>
      <c r="C389" s="5" t="s">
        <v>1589</v>
      </c>
      <c r="E389" s="11">
        <f>VLOOKUP(A389,TB!TB1_1,5,FALSE)</f>
        <v>5130.59</v>
      </c>
      <c r="F389" s="17">
        <f t="shared" si="212"/>
        <v>1.7343239747905621E-3</v>
      </c>
      <c r="G389" s="17"/>
      <c r="H389" s="11">
        <f>VLOOKUP(A389,TB!TB,5,FALSE)</f>
        <v>6020.88</v>
      </c>
      <c r="I389" s="17">
        <f t="shared" si="213"/>
        <v>2.7317063910713042E-3</v>
      </c>
      <c r="J389" s="17"/>
      <c r="K389" s="11">
        <f>VLOOKUP(A389,TB!TB1_1,4,FALSE)</f>
        <v>5130.59</v>
      </c>
      <c r="L389" s="17">
        <f t="shared" si="214"/>
        <v>1.7343239747905621E-3</v>
      </c>
      <c r="N389" s="11">
        <f>VLOOKUP(A389,TB!TB,4,FALSE)</f>
        <v>6020.88</v>
      </c>
      <c r="O389" s="17">
        <f t="shared" si="215"/>
        <v>2.7317063910713042E-3</v>
      </c>
    </row>
    <row r="390" spans="1:15" x14ac:dyDescent="0.25">
      <c r="A390" s="5" t="s">
        <v>895</v>
      </c>
      <c r="C390" s="5" t="s">
        <v>1590</v>
      </c>
      <c r="E390" s="11">
        <f>VLOOKUP(A390,TB!TB1_1,5,FALSE)</f>
        <v>1534.06</v>
      </c>
      <c r="F390" s="17">
        <f t="shared" si="212"/>
        <v>5.1856746237123011E-4</v>
      </c>
      <c r="G390" s="17"/>
      <c r="H390" s="11">
        <f>VLOOKUP(A390,TB!TB,5,FALSE)</f>
        <v>1812.78</v>
      </c>
      <c r="I390" s="17">
        <f t="shared" si="213"/>
        <v>8.2246826238128621E-4</v>
      </c>
      <c r="J390" s="17"/>
      <c r="K390" s="11">
        <f>VLOOKUP(A390,TB!TB1_1,4,FALSE)</f>
        <v>1534.06</v>
      </c>
      <c r="L390" s="17">
        <f t="shared" si="214"/>
        <v>5.1856746237123011E-4</v>
      </c>
      <c r="N390" s="11">
        <f>VLOOKUP(A390,TB!TB,4,FALSE)</f>
        <v>1812.78</v>
      </c>
      <c r="O390" s="17">
        <f t="shared" si="215"/>
        <v>8.2246826238128621E-4</v>
      </c>
    </row>
    <row r="391" spans="1:15" x14ac:dyDescent="0.25">
      <c r="A391" s="5" t="s">
        <v>477</v>
      </c>
      <c r="C391" s="5" t="s">
        <v>1591</v>
      </c>
      <c r="E391" s="11">
        <f>VLOOKUP(A391,TB!TB1_1,5,FALSE)</f>
        <v>14928.07</v>
      </c>
      <c r="F391" s="17">
        <f t="shared" si="212"/>
        <v>5.0462246444077088E-3</v>
      </c>
      <c r="G391" s="17"/>
      <c r="H391" s="11">
        <f>VLOOKUP(A391,TB!TB,5,FALSE)</f>
        <v>15218.78</v>
      </c>
      <c r="I391" s="17">
        <f t="shared" si="213"/>
        <v>6.9048442404280016E-3</v>
      </c>
      <c r="J391" s="17"/>
      <c r="K391" s="11">
        <f>VLOOKUP(A391,TB!TB1_1,4,FALSE)</f>
        <v>14928.07</v>
      </c>
      <c r="L391" s="17">
        <f t="shared" si="214"/>
        <v>5.0462246444077088E-3</v>
      </c>
      <c r="N391" s="11">
        <f>VLOOKUP(A391,TB!TB,4,FALSE)</f>
        <v>15218.78</v>
      </c>
      <c r="O391" s="17">
        <f t="shared" si="215"/>
        <v>6.9048442404280016E-3</v>
      </c>
    </row>
    <row r="392" spans="1:15" x14ac:dyDescent="0.25">
      <c r="A392" s="83" t="s">
        <v>1421</v>
      </c>
      <c r="C392" s="5" t="s">
        <v>1592</v>
      </c>
      <c r="E392" s="11">
        <f>VLOOKUP(A392,TB!TB1_1,5,FALSE)</f>
        <v>969.21</v>
      </c>
      <c r="F392" s="17">
        <f t="shared" ref="F392" si="268">IF(E$160,E392/E$160,0)</f>
        <v>3.2762784389451523E-4</v>
      </c>
      <c r="G392" s="17"/>
      <c r="H392" s="11">
        <f>VLOOKUP(A392,TB!TB,5,FALSE)</f>
        <v>1081.71</v>
      </c>
      <c r="I392" s="17">
        <f t="shared" ref="I392" si="269">IF(H$160,H392/H$160,0)</f>
        <v>4.9077778003975172E-4</v>
      </c>
      <c r="J392" s="17"/>
      <c r="K392" s="11">
        <f>VLOOKUP(A392,TB!TB1_1,4,FALSE)</f>
        <v>969.21</v>
      </c>
      <c r="L392" s="17">
        <f t="shared" ref="L392" si="270">IF(K$160,K392/K$160,0)</f>
        <v>3.2762784389451523E-4</v>
      </c>
      <c r="N392" s="11">
        <f>VLOOKUP(A392,TB!TB,4,FALSE)</f>
        <v>1081.71</v>
      </c>
      <c r="O392" s="17">
        <f t="shared" ref="O392" si="271">IF(N$160,N392/N$160,0)</f>
        <v>4.9077778003975172E-4</v>
      </c>
    </row>
    <row r="393" spans="1:15" x14ac:dyDescent="0.25">
      <c r="A393" s="5" t="s">
        <v>479</v>
      </c>
      <c r="C393" s="5" t="s">
        <v>1593</v>
      </c>
      <c r="E393" s="11">
        <f>VLOOKUP(A393,TB!TB1_1,5,FALSE)</f>
        <v>3079.62</v>
      </c>
      <c r="F393" s="17">
        <f t="shared" si="212"/>
        <v>1.0410223384142E-3</v>
      </c>
      <c r="G393" s="17"/>
      <c r="H393" s="11">
        <f>VLOOKUP(A393,TB!TB,5,FALSE)</f>
        <v>3727.41</v>
      </c>
      <c r="I393" s="17">
        <f t="shared" si="213"/>
        <v>1.6911464302798078E-3</v>
      </c>
      <c r="J393" s="17"/>
      <c r="K393" s="11">
        <f>VLOOKUP(A393,TB!TB1_1,4,FALSE)</f>
        <v>3079.62</v>
      </c>
      <c r="L393" s="17">
        <f t="shared" si="214"/>
        <v>1.0410223384142E-3</v>
      </c>
      <c r="N393" s="11">
        <f>VLOOKUP(A393,TB!TB,4,FALSE)</f>
        <v>3727.41</v>
      </c>
      <c r="O393" s="17">
        <f t="shared" si="215"/>
        <v>1.6911464302798078E-3</v>
      </c>
    </row>
    <row r="394" spans="1:15" x14ac:dyDescent="0.25">
      <c r="A394" s="5" t="s">
        <v>897</v>
      </c>
      <c r="C394" s="5" t="s">
        <v>1594</v>
      </c>
      <c r="E394" s="11">
        <f>VLOOKUP(A394,TB!TB1_1,5,FALSE)</f>
        <v>0</v>
      </c>
      <c r="F394" s="17">
        <f t="shared" si="212"/>
        <v>0</v>
      </c>
      <c r="G394" s="17"/>
      <c r="H394" s="11">
        <f>VLOOKUP(A394,TB!TB,5,FALSE)</f>
        <v>0</v>
      </c>
      <c r="I394" s="17">
        <f t="shared" si="213"/>
        <v>0</v>
      </c>
      <c r="J394" s="17"/>
      <c r="K394" s="11">
        <f>VLOOKUP(A394,TB!TB1_1,4,FALSE)</f>
        <v>0</v>
      </c>
      <c r="L394" s="17">
        <f t="shared" si="214"/>
        <v>0</v>
      </c>
      <c r="N394" s="11">
        <f>VLOOKUP(A394,TB!TB,4,FALSE)</f>
        <v>0</v>
      </c>
      <c r="O394" s="17">
        <f t="shared" si="215"/>
        <v>0</v>
      </c>
    </row>
    <row r="395" spans="1:15" x14ac:dyDescent="0.25">
      <c r="A395" s="5" t="s">
        <v>481</v>
      </c>
      <c r="C395" s="5" t="s">
        <v>1595</v>
      </c>
      <c r="E395" s="11">
        <f>VLOOKUP(A395,TB!TB1_1,5,FALSE)</f>
        <v>16263.21</v>
      </c>
      <c r="F395" s="17">
        <f t="shared" si="212"/>
        <v>5.4975499913369839E-3</v>
      </c>
      <c r="G395" s="17"/>
      <c r="H395" s="11">
        <f>VLOOKUP(A395,TB!TB,5,FALSE)</f>
        <v>19489.78</v>
      </c>
      <c r="I395" s="17">
        <f t="shared" si="213"/>
        <v>8.8426204452793748E-3</v>
      </c>
      <c r="J395" s="17"/>
      <c r="K395" s="11">
        <f>VLOOKUP(A395,TB!TB1_1,4,FALSE)</f>
        <v>16263.21</v>
      </c>
      <c r="L395" s="17">
        <f t="shared" si="214"/>
        <v>5.4975499913369839E-3</v>
      </c>
      <c r="N395" s="11">
        <f>VLOOKUP(A395,TB!TB,4,FALSE)</f>
        <v>19489.78</v>
      </c>
      <c r="O395" s="17">
        <f t="shared" si="215"/>
        <v>8.8426204452793748E-3</v>
      </c>
    </row>
    <row r="396" spans="1:15" x14ac:dyDescent="0.25">
      <c r="A396" s="5" t="s">
        <v>898</v>
      </c>
      <c r="C396" s="5" t="s">
        <v>1596</v>
      </c>
      <c r="E396" s="11">
        <f>VLOOKUP(A396,TB!TB1_1,5,FALSE)</f>
        <v>0</v>
      </c>
      <c r="F396" s="17">
        <f t="shared" si="212"/>
        <v>0</v>
      </c>
      <c r="G396" s="17"/>
      <c r="H396" s="11">
        <f>VLOOKUP(A396,TB!TB,5,FALSE)</f>
        <v>0</v>
      </c>
      <c r="I396" s="17">
        <f t="shared" si="213"/>
        <v>0</v>
      </c>
      <c r="J396" s="17"/>
      <c r="K396" s="11">
        <f>VLOOKUP(A396,TB!TB1_1,4,FALSE)</f>
        <v>0</v>
      </c>
      <c r="L396" s="17">
        <f t="shared" si="214"/>
        <v>0</v>
      </c>
      <c r="N396" s="11">
        <f>VLOOKUP(A396,TB!TB,4,FALSE)</f>
        <v>0</v>
      </c>
      <c r="O396" s="17">
        <f t="shared" si="215"/>
        <v>0</v>
      </c>
    </row>
    <row r="397" spans="1:15" x14ac:dyDescent="0.25">
      <c r="A397" s="5" t="s">
        <v>483</v>
      </c>
      <c r="C397" s="5" t="s">
        <v>1597</v>
      </c>
      <c r="E397" s="11">
        <f>VLOOKUP(A397,TB!TB1_1,5,FALSE)</f>
        <v>3130.9</v>
      </c>
      <c r="F397" s="17">
        <f t="shared" si="212"/>
        <v>1.0583568230304451E-3</v>
      </c>
      <c r="G397" s="17"/>
      <c r="H397" s="11">
        <f>VLOOKUP(A397,TB!TB,5,FALSE)</f>
        <v>5997.9</v>
      </c>
      <c r="I397" s="17">
        <f t="shared" si="213"/>
        <v>2.721280238604087E-3</v>
      </c>
      <c r="J397" s="17"/>
      <c r="K397" s="11">
        <f>VLOOKUP(A397,TB!TB1_1,4,FALSE)</f>
        <v>3130.9</v>
      </c>
      <c r="L397" s="17">
        <f t="shared" si="214"/>
        <v>1.0583568230304451E-3</v>
      </c>
      <c r="N397" s="11">
        <f>VLOOKUP(A397,TB!TB,4,FALSE)</f>
        <v>5997.9</v>
      </c>
      <c r="O397" s="17">
        <f t="shared" si="215"/>
        <v>2.721280238604087E-3</v>
      </c>
    </row>
    <row r="398" spans="1:15" x14ac:dyDescent="0.25">
      <c r="A398" s="5" t="s">
        <v>485</v>
      </c>
      <c r="C398" s="5" t="s">
        <v>1598</v>
      </c>
      <c r="E398" s="11">
        <f>VLOOKUP(A398,TB!TB1_1,5,FALSE)</f>
        <v>0</v>
      </c>
      <c r="F398" s="17">
        <f t="shared" si="212"/>
        <v>0</v>
      </c>
      <c r="G398" s="17"/>
      <c r="H398" s="11">
        <f>VLOOKUP(A398,TB!TB,5,FALSE)</f>
        <v>0</v>
      </c>
      <c r="I398" s="17">
        <f t="shared" si="213"/>
        <v>0</v>
      </c>
      <c r="J398" s="17"/>
      <c r="K398" s="11">
        <f>VLOOKUP(A398,TB!TB1_1,4,FALSE)</f>
        <v>0</v>
      </c>
      <c r="L398" s="17">
        <f t="shared" si="214"/>
        <v>0</v>
      </c>
      <c r="N398" s="11">
        <f>VLOOKUP(A398,TB!TB,4,FALSE)</f>
        <v>0</v>
      </c>
      <c r="O398" s="17">
        <f t="shared" si="215"/>
        <v>0</v>
      </c>
    </row>
    <row r="399" spans="1:15" x14ac:dyDescent="0.25">
      <c r="A399" s="5" t="s">
        <v>899</v>
      </c>
      <c r="C399" s="5" t="s">
        <v>1599</v>
      </c>
      <c r="E399" s="11">
        <f>VLOOKUP(A399,TB!TB1_1,5,FALSE)</f>
        <v>0</v>
      </c>
      <c r="F399" s="17">
        <f t="shared" si="212"/>
        <v>0</v>
      </c>
      <c r="G399" s="17"/>
      <c r="H399" s="11">
        <f>VLOOKUP(A399,TB!TB,5,FALSE)</f>
        <v>0</v>
      </c>
      <c r="I399" s="17">
        <f t="shared" si="213"/>
        <v>0</v>
      </c>
      <c r="J399" s="17"/>
      <c r="K399" s="11">
        <f>VLOOKUP(A399,TB!TB1_1,4,FALSE)</f>
        <v>0</v>
      </c>
      <c r="L399" s="17">
        <f t="shared" si="214"/>
        <v>0</v>
      </c>
      <c r="N399" s="11">
        <f>VLOOKUP(A399,TB!TB,4,FALSE)</f>
        <v>0</v>
      </c>
      <c r="O399" s="17">
        <f t="shared" si="215"/>
        <v>0</v>
      </c>
    </row>
    <row r="400" spans="1:15" x14ac:dyDescent="0.25">
      <c r="A400" s="5" t="s">
        <v>487</v>
      </c>
      <c r="C400" s="5" t="s">
        <v>1600</v>
      </c>
      <c r="E400" s="11">
        <f>VLOOKUP(A400,TB!TB1_1,5,FALSE)</f>
        <v>0</v>
      </c>
      <c r="F400" s="17">
        <f t="shared" si="212"/>
        <v>0</v>
      </c>
      <c r="G400" s="17"/>
      <c r="H400" s="11">
        <f>VLOOKUP(A400,TB!TB,5,FALSE)</f>
        <v>0</v>
      </c>
      <c r="I400" s="17">
        <f t="shared" si="213"/>
        <v>0</v>
      </c>
      <c r="J400" s="17"/>
      <c r="K400" s="11">
        <f>VLOOKUP(A400,TB!TB1_1,4,FALSE)</f>
        <v>0</v>
      </c>
      <c r="L400" s="17">
        <f t="shared" si="214"/>
        <v>0</v>
      </c>
      <c r="N400" s="11">
        <f>VLOOKUP(A400,TB!TB,4,FALSE)</f>
        <v>0</v>
      </c>
      <c r="O400" s="17">
        <f t="shared" si="215"/>
        <v>0</v>
      </c>
    </row>
    <row r="401" spans="1:15" x14ac:dyDescent="0.25">
      <c r="A401" s="5" t="s">
        <v>489</v>
      </c>
      <c r="C401" s="5" t="s">
        <v>1601</v>
      </c>
      <c r="E401" s="11">
        <f>VLOOKUP(A401,TB!TB1_1,5,FALSE)</f>
        <v>0</v>
      </c>
      <c r="F401" s="17">
        <f t="shared" si="212"/>
        <v>0</v>
      </c>
      <c r="G401" s="17"/>
      <c r="H401" s="11">
        <f>VLOOKUP(A401,TB!TB,5,FALSE)</f>
        <v>2278.13</v>
      </c>
      <c r="I401" s="17">
        <f t="shared" si="213"/>
        <v>1.033600118369951E-3</v>
      </c>
      <c r="J401" s="17"/>
      <c r="K401" s="11">
        <f>VLOOKUP(A401,TB!TB1_1,4,FALSE)</f>
        <v>0</v>
      </c>
      <c r="L401" s="17">
        <f t="shared" si="214"/>
        <v>0</v>
      </c>
      <c r="N401" s="11">
        <f>VLOOKUP(A401,TB!TB,4,FALSE)</f>
        <v>2278.13</v>
      </c>
      <c r="O401" s="17">
        <f t="shared" si="215"/>
        <v>1.033600118369951E-3</v>
      </c>
    </row>
    <row r="402" spans="1:15" x14ac:dyDescent="0.25">
      <c r="A402" s="5" t="s">
        <v>900</v>
      </c>
      <c r="C402" s="5" t="s">
        <v>1602</v>
      </c>
      <c r="E402" s="11">
        <f>VLOOKUP(A402,TB!TB1_1,5,FALSE)</f>
        <v>0</v>
      </c>
      <c r="F402" s="17">
        <f t="shared" si="212"/>
        <v>0</v>
      </c>
      <c r="G402" s="17"/>
      <c r="H402" s="11">
        <f>VLOOKUP(A402,TB!TB,5,FALSE)</f>
        <v>0</v>
      </c>
      <c r="I402" s="17">
        <f t="shared" si="213"/>
        <v>0</v>
      </c>
      <c r="J402" s="17"/>
      <c r="K402" s="11">
        <f>VLOOKUP(A402,TB!TB1_1,4,FALSE)</f>
        <v>0</v>
      </c>
      <c r="L402" s="17">
        <f t="shared" si="214"/>
        <v>0</v>
      </c>
      <c r="N402" s="11">
        <f>VLOOKUP(A402,TB!TB,4,FALSE)</f>
        <v>0</v>
      </c>
      <c r="O402" s="17">
        <f t="shared" si="215"/>
        <v>0</v>
      </c>
    </row>
    <row r="403" spans="1:15" x14ac:dyDescent="0.25">
      <c r="A403" s="5" t="s">
        <v>491</v>
      </c>
      <c r="C403" s="5" t="s">
        <v>1603</v>
      </c>
      <c r="E403" s="11">
        <f>VLOOKUP(A403,TB!TB1_1,5,FALSE)</f>
        <v>0</v>
      </c>
      <c r="F403" s="17">
        <f t="shared" si="212"/>
        <v>0</v>
      </c>
      <c r="G403" s="17"/>
      <c r="H403" s="11">
        <f>VLOOKUP(A403,TB!TB,5,FALSE)</f>
        <v>0</v>
      </c>
      <c r="I403" s="17">
        <f t="shared" si="213"/>
        <v>0</v>
      </c>
      <c r="J403" s="17"/>
      <c r="K403" s="11">
        <f>VLOOKUP(A403,TB!TB1_1,4,FALSE)</f>
        <v>0</v>
      </c>
      <c r="L403" s="17">
        <f t="shared" si="214"/>
        <v>0</v>
      </c>
      <c r="N403" s="11">
        <f>VLOOKUP(A403,TB!TB,4,FALSE)</f>
        <v>0</v>
      </c>
      <c r="O403" s="17">
        <f t="shared" si="215"/>
        <v>0</v>
      </c>
    </row>
    <row r="404" spans="1:15" x14ac:dyDescent="0.25">
      <c r="A404" s="83" t="s">
        <v>1424</v>
      </c>
      <c r="C404" s="5" t="s">
        <v>1604</v>
      </c>
      <c r="E404" s="11">
        <f>VLOOKUP(A404,TB!TB1_1,5,FALSE)</f>
        <v>0</v>
      </c>
      <c r="F404" s="17">
        <f t="shared" ref="F404" si="272">IF(E$160,E404/E$160,0)</f>
        <v>0</v>
      </c>
      <c r="G404" s="17"/>
      <c r="H404" s="11">
        <f>VLOOKUP(A404,TB!TB,5,FALSE)</f>
        <v>34.229999999999997</v>
      </c>
      <c r="I404" s="17">
        <f t="shared" ref="I404" si="273">IF(H$160,H404/H$160,0)</f>
        <v>1.5530339380019322E-5</v>
      </c>
      <c r="J404" s="17"/>
      <c r="K404" s="11">
        <f>VLOOKUP(A404,TB!TB1_1,4,FALSE)</f>
        <v>0</v>
      </c>
      <c r="L404" s="17">
        <f t="shared" ref="L404" si="274">IF(K$160,K404/K$160,0)</f>
        <v>0</v>
      </c>
      <c r="N404" s="11">
        <f>VLOOKUP(A404,TB!TB,4,FALSE)</f>
        <v>34.229999999999997</v>
      </c>
      <c r="O404" s="17">
        <f t="shared" ref="O404" si="275">IF(N$160,N404/N$160,0)</f>
        <v>1.5530339380019322E-5</v>
      </c>
    </row>
    <row r="405" spans="1:15" x14ac:dyDescent="0.25">
      <c r="A405" s="5" t="s">
        <v>493</v>
      </c>
      <c r="C405" s="5" t="s">
        <v>1605</v>
      </c>
      <c r="E405" s="11">
        <f>VLOOKUP(A405,TB!TB1_1,5,FALSE)</f>
        <v>0</v>
      </c>
      <c r="F405" s="17">
        <f t="shared" si="212"/>
        <v>0</v>
      </c>
      <c r="G405" s="17"/>
      <c r="H405" s="11">
        <f>VLOOKUP(A405,TB!TB,5,FALSE)</f>
        <v>0</v>
      </c>
      <c r="I405" s="17">
        <f t="shared" si="213"/>
        <v>0</v>
      </c>
      <c r="J405" s="17"/>
      <c r="K405" s="11">
        <f>VLOOKUP(A405,TB!TB1_1,4,FALSE)</f>
        <v>0</v>
      </c>
      <c r="L405" s="17">
        <f t="shared" si="214"/>
        <v>0</v>
      </c>
      <c r="N405" s="11">
        <f>VLOOKUP(A405,TB!TB,4,FALSE)</f>
        <v>0</v>
      </c>
      <c r="O405" s="17">
        <f t="shared" si="215"/>
        <v>0</v>
      </c>
    </row>
    <row r="406" spans="1:15" x14ac:dyDescent="0.25">
      <c r="A406" s="5" t="s">
        <v>902</v>
      </c>
      <c r="C406" s="5" t="s">
        <v>1606</v>
      </c>
      <c r="E406" s="11">
        <f>VLOOKUP(A406,TB!TB1_1,5,FALSE)</f>
        <v>0</v>
      </c>
      <c r="F406" s="17">
        <f t="shared" si="212"/>
        <v>0</v>
      </c>
      <c r="G406" s="17"/>
      <c r="H406" s="11">
        <f>VLOOKUP(A406,TB!TB,5,FALSE)</f>
        <v>0</v>
      </c>
      <c r="I406" s="17">
        <f t="shared" si="213"/>
        <v>0</v>
      </c>
      <c r="J406" s="17"/>
      <c r="K406" s="11">
        <f>VLOOKUP(A406,TB!TB1_1,4,FALSE)</f>
        <v>0</v>
      </c>
      <c r="L406" s="17">
        <f t="shared" si="214"/>
        <v>0</v>
      </c>
      <c r="N406" s="11">
        <f>VLOOKUP(A406,TB!TB,4,FALSE)</f>
        <v>0</v>
      </c>
      <c r="O406" s="17">
        <f t="shared" si="215"/>
        <v>0</v>
      </c>
    </row>
    <row r="407" spans="1:15" x14ac:dyDescent="0.25">
      <c r="A407" s="5" t="s">
        <v>495</v>
      </c>
      <c r="C407" s="5" t="s">
        <v>1607</v>
      </c>
      <c r="E407" s="11">
        <f>VLOOKUP(A407,TB!TB1_1,5,FALSE)</f>
        <v>0</v>
      </c>
      <c r="F407" s="17">
        <f t="shared" si="212"/>
        <v>0</v>
      </c>
      <c r="G407" s="17"/>
      <c r="H407" s="11">
        <f>VLOOKUP(A407,TB!TB,5,FALSE)</f>
        <v>0</v>
      </c>
      <c r="I407" s="17">
        <f t="shared" si="213"/>
        <v>0</v>
      </c>
      <c r="J407" s="17"/>
      <c r="K407" s="11">
        <f>VLOOKUP(A407,TB!TB1_1,4,FALSE)</f>
        <v>0</v>
      </c>
      <c r="L407" s="17">
        <f t="shared" si="214"/>
        <v>0</v>
      </c>
      <c r="N407" s="11">
        <f>VLOOKUP(A407,TB!TB,4,FALSE)</f>
        <v>0</v>
      </c>
      <c r="O407" s="17">
        <f t="shared" si="215"/>
        <v>0</v>
      </c>
    </row>
    <row r="408" spans="1:15" x14ac:dyDescent="0.25">
      <c r="A408" s="5" t="s">
        <v>903</v>
      </c>
      <c r="C408" s="5" t="s">
        <v>1608</v>
      </c>
      <c r="E408" s="11">
        <f>VLOOKUP(A408,TB!TB1_1,5,FALSE)</f>
        <v>0</v>
      </c>
      <c r="F408" s="17">
        <f t="shared" si="212"/>
        <v>0</v>
      </c>
      <c r="G408" s="17"/>
      <c r="H408" s="11">
        <f>VLOOKUP(A408,TB!TB,5,FALSE)</f>
        <v>0</v>
      </c>
      <c r="I408" s="17">
        <f t="shared" si="213"/>
        <v>0</v>
      </c>
      <c r="J408" s="17"/>
      <c r="K408" s="11">
        <f>VLOOKUP(A408,TB!TB1_1,4,FALSE)</f>
        <v>0</v>
      </c>
      <c r="L408" s="17">
        <f t="shared" si="214"/>
        <v>0</v>
      </c>
      <c r="N408" s="11">
        <f>VLOOKUP(A408,TB!TB,4,FALSE)</f>
        <v>0</v>
      </c>
      <c r="O408" s="17">
        <f t="shared" si="215"/>
        <v>0</v>
      </c>
    </row>
    <row r="409" spans="1:15" x14ac:dyDescent="0.25">
      <c r="A409" s="5" t="s">
        <v>497</v>
      </c>
      <c r="C409" s="5" t="s">
        <v>1609</v>
      </c>
      <c r="E409" s="11">
        <f>VLOOKUP(A409,TB!TB1_1,5,FALSE)</f>
        <v>577.5</v>
      </c>
      <c r="F409" s="17">
        <f t="shared" ref="F409:F481" si="276">IF(E$160,E409/E$160,0)</f>
        <v>1.9521577351562874E-4</v>
      </c>
      <c r="G409" s="17"/>
      <c r="H409" s="11">
        <f>VLOOKUP(A409,TB!TB,5,FALSE)</f>
        <v>0</v>
      </c>
      <c r="I409" s="17">
        <f t="shared" ref="I409:I481" si="277">IF(H$160,H409/H$160,0)</f>
        <v>0</v>
      </c>
      <c r="J409" s="17"/>
      <c r="K409" s="11">
        <f>VLOOKUP(A409,TB!TB1_1,4,FALSE)</f>
        <v>577.5</v>
      </c>
      <c r="L409" s="17">
        <f t="shared" ref="L409:L481" si="278">IF(K$160,K409/K$160,0)</f>
        <v>1.9521577351562874E-4</v>
      </c>
      <c r="N409" s="11">
        <f>VLOOKUP(A409,TB!TB,4,FALSE)</f>
        <v>0</v>
      </c>
      <c r="O409" s="17">
        <f t="shared" ref="O409:O481" si="279">IF(N$160,N409/N$160,0)</f>
        <v>0</v>
      </c>
    </row>
    <row r="410" spans="1:15" x14ac:dyDescent="0.25">
      <c r="A410" s="5" t="s">
        <v>499</v>
      </c>
      <c r="C410" s="5" t="s">
        <v>1610</v>
      </c>
      <c r="E410" s="11">
        <f>VLOOKUP(A410,TB!TB1_1,5,FALSE)</f>
        <v>0</v>
      </c>
      <c r="F410" s="17">
        <f t="shared" si="276"/>
        <v>0</v>
      </c>
      <c r="G410" s="17"/>
      <c r="H410" s="11">
        <f>VLOOKUP(A410,TB!TB,5,FALSE)</f>
        <v>0</v>
      </c>
      <c r="I410" s="17">
        <f t="shared" si="277"/>
        <v>0</v>
      </c>
      <c r="J410" s="17"/>
      <c r="K410" s="11">
        <f>VLOOKUP(A410,TB!TB1_1,4,FALSE)</f>
        <v>0</v>
      </c>
      <c r="L410" s="17">
        <f t="shared" si="278"/>
        <v>0</v>
      </c>
      <c r="N410" s="11">
        <f>VLOOKUP(A410,TB!TB,4,FALSE)</f>
        <v>0</v>
      </c>
      <c r="O410" s="17">
        <f t="shared" si="279"/>
        <v>0</v>
      </c>
    </row>
    <row r="411" spans="1:15" x14ac:dyDescent="0.25">
      <c r="A411" s="5" t="s">
        <v>501</v>
      </c>
      <c r="C411" s="5" t="s">
        <v>1611</v>
      </c>
      <c r="E411" s="11">
        <f>VLOOKUP(A411,TB!TB1_1,5,FALSE)</f>
        <v>893.65</v>
      </c>
      <c r="F411" s="17">
        <f t="shared" si="276"/>
        <v>3.0208584589132747E-4</v>
      </c>
      <c r="G411" s="17"/>
      <c r="H411" s="11">
        <f>VLOOKUP(A411,TB!TB,5,FALSE)</f>
        <v>783.91</v>
      </c>
      <c r="I411" s="17">
        <f t="shared" si="277"/>
        <v>3.55664281139087E-4</v>
      </c>
      <c r="J411" s="17"/>
      <c r="K411" s="11">
        <f>VLOOKUP(A411,TB!TB1_1,4,FALSE)</f>
        <v>893.65</v>
      </c>
      <c r="L411" s="17">
        <f t="shared" si="278"/>
        <v>3.0208584589132747E-4</v>
      </c>
      <c r="N411" s="11">
        <f>VLOOKUP(A411,TB!TB,4,FALSE)</f>
        <v>783.91</v>
      </c>
      <c r="O411" s="17">
        <f t="shared" si="279"/>
        <v>3.55664281139087E-4</v>
      </c>
    </row>
    <row r="412" spans="1:15" x14ac:dyDescent="0.25">
      <c r="A412" s="5" t="s">
        <v>904</v>
      </c>
      <c r="C412" s="5" t="s">
        <v>1612</v>
      </c>
      <c r="E412" s="11">
        <f>VLOOKUP(A412,TB!TB1_1,5,FALSE)</f>
        <v>0</v>
      </c>
      <c r="F412" s="17">
        <f t="shared" si="276"/>
        <v>0</v>
      </c>
      <c r="G412" s="17"/>
      <c r="H412" s="11">
        <f>VLOOKUP(A412,TB!TB,5,FALSE)</f>
        <v>0</v>
      </c>
      <c r="I412" s="17">
        <f t="shared" si="277"/>
        <v>0</v>
      </c>
      <c r="J412" s="17"/>
      <c r="K412" s="11">
        <f>VLOOKUP(A412,TB!TB1_1,4,FALSE)</f>
        <v>0</v>
      </c>
      <c r="L412" s="17">
        <f t="shared" si="278"/>
        <v>0</v>
      </c>
      <c r="N412" s="11">
        <f>VLOOKUP(A412,TB!TB,4,FALSE)</f>
        <v>0</v>
      </c>
      <c r="O412" s="17">
        <f t="shared" si="279"/>
        <v>0</v>
      </c>
    </row>
    <row r="413" spans="1:15" x14ac:dyDescent="0.25">
      <c r="A413" s="5" t="s">
        <v>503</v>
      </c>
      <c r="C413" s="5" t="s">
        <v>1613</v>
      </c>
      <c r="E413" s="11">
        <f>VLOOKUP(A413,TB!TB1_1,5,FALSE)</f>
        <v>0</v>
      </c>
      <c r="F413" s="17">
        <f t="shared" si="276"/>
        <v>0</v>
      </c>
      <c r="G413" s="17"/>
      <c r="H413" s="11">
        <f>VLOOKUP(A413,TB!TB,5,FALSE)</f>
        <v>0</v>
      </c>
      <c r="I413" s="17">
        <f t="shared" si="277"/>
        <v>0</v>
      </c>
      <c r="J413" s="17"/>
      <c r="K413" s="11">
        <f>VLOOKUP(A413,TB!TB1_1,4,FALSE)</f>
        <v>0</v>
      </c>
      <c r="L413" s="17">
        <f t="shared" si="278"/>
        <v>0</v>
      </c>
      <c r="N413" s="11">
        <f>VLOOKUP(A413,TB!TB,4,FALSE)</f>
        <v>0</v>
      </c>
      <c r="O413" s="17">
        <f t="shared" si="279"/>
        <v>0</v>
      </c>
    </row>
    <row r="414" spans="1:15" x14ac:dyDescent="0.25">
      <c r="A414" s="83" t="s">
        <v>1425</v>
      </c>
      <c r="C414" s="5" t="s">
        <v>1614</v>
      </c>
      <c r="E414" s="11">
        <f>VLOOKUP(A414,TB!TB1_1,5,FALSE)</f>
        <v>0</v>
      </c>
      <c r="F414" s="17">
        <f t="shared" ref="F414:F424" si="280">IF(E$160,E414/E$160,0)</f>
        <v>0</v>
      </c>
      <c r="G414" s="17"/>
      <c r="H414" s="11">
        <f>VLOOKUP(A414,TB!TB,5,FALSE)</f>
        <v>0</v>
      </c>
      <c r="I414" s="17">
        <f t="shared" ref="I414:I424" si="281">IF(H$160,H414/H$160,0)</f>
        <v>0</v>
      </c>
      <c r="J414" s="17"/>
      <c r="K414" s="11">
        <f>VLOOKUP(A414,TB!TB1_1,4,FALSE)</f>
        <v>0</v>
      </c>
      <c r="L414" s="17">
        <f t="shared" ref="L414:L424" si="282">IF(K$160,K414/K$160,0)</f>
        <v>0</v>
      </c>
      <c r="N414" s="11">
        <f>VLOOKUP(A414,TB!TB,4,FALSE)</f>
        <v>0</v>
      </c>
      <c r="O414" s="17">
        <f t="shared" ref="O414:O424" si="283">IF(N$160,N414/N$160,0)</f>
        <v>0</v>
      </c>
    </row>
    <row r="415" spans="1:15" x14ac:dyDescent="0.25">
      <c r="A415" s="5" t="s">
        <v>505</v>
      </c>
      <c r="C415" s="5" t="s">
        <v>1615</v>
      </c>
      <c r="E415" s="11">
        <f>VLOOKUP(A415,TB!TB1_1,5,FALSE)</f>
        <v>0</v>
      </c>
      <c r="F415" s="17">
        <f t="shared" si="280"/>
        <v>0</v>
      </c>
      <c r="G415" s="17"/>
      <c r="H415" s="11">
        <f>VLOOKUP(A415,TB!TB,5,FALSE)</f>
        <v>1069.5</v>
      </c>
      <c r="I415" s="17">
        <f t="shared" si="281"/>
        <v>4.852380358437238E-4</v>
      </c>
      <c r="J415" s="17"/>
      <c r="K415" s="11">
        <f>VLOOKUP(A415,TB!TB1_1,4,FALSE)</f>
        <v>0</v>
      </c>
      <c r="L415" s="17">
        <f t="shared" si="282"/>
        <v>0</v>
      </c>
      <c r="N415" s="11">
        <f>VLOOKUP(A415,TB!TB,4,FALSE)</f>
        <v>1069.5</v>
      </c>
      <c r="O415" s="17">
        <f t="shared" si="283"/>
        <v>4.852380358437238E-4</v>
      </c>
    </row>
    <row r="416" spans="1:15" x14ac:dyDescent="0.25">
      <c r="A416" s="5" t="s">
        <v>906</v>
      </c>
      <c r="C416" s="5" t="s">
        <v>1616</v>
      </c>
      <c r="E416" s="11">
        <f>VLOOKUP(A416,TB!TB1_1,5,FALSE)</f>
        <v>0</v>
      </c>
      <c r="F416" s="17">
        <f t="shared" si="280"/>
        <v>0</v>
      </c>
      <c r="G416" s="17"/>
      <c r="H416" s="11">
        <f>VLOOKUP(A416,TB!TB,5,FALSE)</f>
        <v>0</v>
      </c>
      <c r="I416" s="17">
        <f t="shared" si="281"/>
        <v>0</v>
      </c>
      <c r="J416" s="17"/>
      <c r="K416" s="11">
        <f>VLOOKUP(A416,TB!TB1_1,4,FALSE)</f>
        <v>0</v>
      </c>
      <c r="L416" s="17">
        <f t="shared" si="282"/>
        <v>0</v>
      </c>
      <c r="N416" s="11">
        <f>VLOOKUP(A416,TB!TB,4,FALSE)</f>
        <v>0</v>
      </c>
      <c r="O416" s="17">
        <f t="shared" si="283"/>
        <v>0</v>
      </c>
    </row>
    <row r="417" spans="1:15" x14ac:dyDescent="0.25">
      <c r="A417" s="5" t="s">
        <v>507</v>
      </c>
      <c r="C417" s="5" t="s">
        <v>1617</v>
      </c>
      <c r="E417" s="11">
        <f>VLOOKUP(A417,TB!TB1_1,5,FALSE)</f>
        <v>0</v>
      </c>
      <c r="F417" s="17">
        <f t="shared" si="280"/>
        <v>0</v>
      </c>
      <c r="G417" s="17"/>
      <c r="H417" s="11">
        <f>VLOOKUP(A417,TB!TB,5,FALSE)</f>
        <v>145.91999999999999</v>
      </c>
      <c r="I417" s="17">
        <f t="shared" si="281"/>
        <v>6.6204707050319001E-5</v>
      </c>
      <c r="J417" s="17"/>
      <c r="K417" s="11">
        <f>VLOOKUP(A417,TB!TB1_1,4,FALSE)</f>
        <v>0</v>
      </c>
      <c r="L417" s="17">
        <f t="shared" si="282"/>
        <v>0</v>
      </c>
      <c r="N417" s="11">
        <f>VLOOKUP(A417,TB!TB,4,FALSE)</f>
        <v>145.91999999999999</v>
      </c>
      <c r="O417" s="17">
        <f t="shared" si="283"/>
        <v>6.6204707050319001E-5</v>
      </c>
    </row>
    <row r="418" spans="1:15" x14ac:dyDescent="0.25">
      <c r="A418" s="5" t="s">
        <v>907</v>
      </c>
      <c r="C418" s="5" t="s">
        <v>1618</v>
      </c>
      <c r="E418" s="11">
        <f>VLOOKUP(A418,TB!TB1_1,5,FALSE)</f>
        <v>0</v>
      </c>
      <c r="F418" s="17">
        <f t="shared" si="280"/>
        <v>0</v>
      </c>
      <c r="G418" s="17"/>
      <c r="H418" s="11">
        <f>VLOOKUP(A418,TB!TB,5,FALSE)</f>
        <v>0</v>
      </c>
      <c r="I418" s="17">
        <f t="shared" si="281"/>
        <v>0</v>
      </c>
      <c r="J418" s="17"/>
      <c r="K418" s="11">
        <f>VLOOKUP(A418,TB!TB1_1,4,FALSE)</f>
        <v>0</v>
      </c>
      <c r="L418" s="17">
        <f t="shared" si="282"/>
        <v>0</v>
      </c>
      <c r="N418" s="11">
        <f>VLOOKUP(A418,TB!TB,4,FALSE)</f>
        <v>0</v>
      </c>
      <c r="O418" s="17">
        <f t="shared" si="283"/>
        <v>0</v>
      </c>
    </row>
    <row r="419" spans="1:15" x14ac:dyDescent="0.25">
      <c r="A419" s="5" t="s">
        <v>508</v>
      </c>
      <c r="C419" s="5" t="s">
        <v>1619</v>
      </c>
      <c r="E419" s="11">
        <f>VLOOKUP(A419,TB!TB1_1,5,FALSE)</f>
        <v>0</v>
      </c>
      <c r="F419" s="17">
        <f t="shared" si="280"/>
        <v>0</v>
      </c>
      <c r="G419" s="17"/>
      <c r="H419" s="11">
        <f>VLOOKUP(A419,TB!TB,5,FALSE)</f>
        <v>0</v>
      </c>
      <c r="I419" s="17">
        <f t="shared" si="281"/>
        <v>0</v>
      </c>
      <c r="J419" s="17"/>
      <c r="K419" s="11">
        <f>VLOOKUP(A419,TB!TB1_1,4,FALSE)</f>
        <v>0</v>
      </c>
      <c r="L419" s="17">
        <f t="shared" si="282"/>
        <v>0</v>
      </c>
      <c r="N419" s="11">
        <f>VLOOKUP(A419,TB!TB,4,FALSE)</f>
        <v>0</v>
      </c>
      <c r="O419" s="17">
        <f t="shared" si="283"/>
        <v>0</v>
      </c>
    </row>
    <row r="420" spans="1:15" x14ac:dyDescent="0.25">
      <c r="A420" s="5" t="s">
        <v>510</v>
      </c>
      <c r="C420" s="5" t="s">
        <v>1620</v>
      </c>
      <c r="E420" s="11">
        <f>VLOOKUP(A420,TB!TB1_1,5,FALSE)</f>
        <v>0</v>
      </c>
      <c r="F420" s="17">
        <f t="shared" si="280"/>
        <v>0</v>
      </c>
      <c r="G420" s="17"/>
      <c r="H420" s="11">
        <f>VLOOKUP(A420,TB!TB,5,FALSE)</f>
        <v>0</v>
      </c>
      <c r="I420" s="17">
        <f t="shared" si="281"/>
        <v>0</v>
      </c>
      <c r="J420" s="17"/>
      <c r="K420" s="11">
        <f>VLOOKUP(A420,TB!TB1_1,4,FALSE)</f>
        <v>0</v>
      </c>
      <c r="L420" s="17">
        <f t="shared" si="282"/>
        <v>0</v>
      </c>
      <c r="N420" s="11">
        <f>VLOOKUP(A420,TB!TB,4,FALSE)</f>
        <v>0</v>
      </c>
      <c r="O420" s="17">
        <f t="shared" si="283"/>
        <v>0</v>
      </c>
    </row>
    <row r="421" spans="1:15" x14ac:dyDescent="0.25">
      <c r="A421" s="5" t="s">
        <v>512</v>
      </c>
      <c r="C421" s="5" t="s">
        <v>1621</v>
      </c>
      <c r="E421" s="11">
        <f>VLOOKUP(A421,TB!TB1_1,5,FALSE)</f>
        <v>3686.79</v>
      </c>
      <c r="F421" s="17">
        <f t="shared" si="280"/>
        <v>1.2462676392029175E-3</v>
      </c>
      <c r="G421" s="17"/>
      <c r="H421" s="11">
        <f>VLOOKUP(A421,TB!TB,5,FALSE)</f>
        <v>6921.88</v>
      </c>
      <c r="I421" s="17">
        <f t="shared" si="281"/>
        <v>3.140495049598836E-3</v>
      </c>
      <c r="J421" s="17"/>
      <c r="K421" s="11">
        <f>VLOOKUP(A421,TB!TB1_1,4,FALSE)</f>
        <v>3686.79</v>
      </c>
      <c r="L421" s="17">
        <f t="shared" si="282"/>
        <v>1.2462676392029175E-3</v>
      </c>
      <c r="N421" s="11">
        <f>VLOOKUP(A421,TB!TB,4,FALSE)</f>
        <v>6921.88</v>
      </c>
      <c r="O421" s="17">
        <f t="shared" si="283"/>
        <v>3.140495049598836E-3</v>
      </c>
    </row>
    <row r="422" spans="1:15" x14ac:dyDescent="0.25">
      <c r="A422" s="5" t="s">
        <v>908</v>
      </c>
      <c r="C422" s="5" t="s">
        <v>1622</v>
      </c>
      <c r="E422" s="11">
        <f>VLOOKUP(A422,TB!TB1_1,5,FALSE)</f>
        <v>569.86</v>
      </c>
      <c r="F422" s="17">
        <f t="shared" si="280"/>
        <v>1.926331786937077E-4</v>
      </c>
      <c r="G422" s="17"/>
      <c r="H422" s="11">
        <f>VLOOKUP(A422,TB!TB,5,FALSE)</f>
        <v>1523.34</v>
      </c>
      <c r="I422" s="17">
        <f t="shared" si="281"/>
        <v>6.9114774148871269E-4</v>
      </c>
      <c r="J422" s="17"/>
      <c r="K422" s="11">
        <f>VLOOKUP(A422,TB!TB1_1,4,FALSE)</f>
        <v>569.86</v>
      </c>
      <c r="L422" s="17">
        <f t="shared" si="282"/>
        <v>1.926331786937077E-4</v>
      </c>
      <c r="N422" s="11">
        <f>VLOOKUP(A422,TB!TB,4,FALSE)</f>
        <v>1523.34</v>
      </c>
      <c r="O422" s="17">
        <f t="shared" si="283"/>
        <v>6.9114774148871269E-4</v>
      </c>
    </row>
    <row r="423" spans="1:15" x14ac:dyDescent="0.25">
      <c r="A423" s="5" t="s">
        <v>513</v>
      </c>
      <c r="C423" s="5" t="s">
        <v>1623</v>
      </c>
      <c r="E423" s="11">
        <f>VLOOKUP(A423,TB!TB1_1,5,FALSE)</f>
        <v>564.35</v>
      </c>
      <c r="F423" s="17">
        <f t="shared" si="280"/>
        <v>1.9077060049098717E-4</v>
      </c>
      <c r="G423" s="17"/>
      <c r="H423" s="11">
        <f>VLOOKUP(A423,TB!TB,5,FALSE)</f>
        <v>353.8</v>
      </c>
      <c r="I423" s="17">
        <f t="shared" si="281"/>
        <v>1.6052100708883544E-4</v>
      </c>
      <c r="J423" s="17"/>
      <c r="K423" s="11">
        <f>VLOOKUP(A423,TB!TB1_1,4,FALSE)</f>
        <v>564.35</v>
      </c>
      <c r="L423" s="17">
        <f t="shared" si="282"/>
        <v>1.9077060049098717E-4</v>
      </c>
      <c r="N423" s="11">
        <f>VLOOKUP(A423,TB!TB,4,FALSE)</f>
        <v>353.8</v>
      </c>
      <c r="O423" s="17">
        <f t="shared" si="283"/>
        <v>1.6052100708883544E-4</v>
      </c>
    </row>
    <row r="424" spans="1:15" x14ac:dyDescent="0.25">
      <c r="A424" s="83" t="s">
        <v>1426</v>
      </c>
      <c r="C424" s="5" t="s">
        <v>1624</v>
      </c>
      <c r="E424" s="11">
        <f>VLOOKUP(A424,TB!TB1_1,5,FALSE)</f>
        <v>193.48</v>
      </c>
      <c r="F424" s="17">
        <f t="shared" si="280"/>
        <v>6.5403199757236099E-5</v>
      </c>
      <c r="G424" s="17"/>
      <c r="H424" s="11">
        <f>VLOOKUP(A424,TB!TB,5,FALSE)</f>
        <v>0</v>
      </c>
      <c r="I424" s="17">
        <f t="shared" si="281"/>
        <v>0</v>
      </c>
      <c r="J424" s="17"/>
      <c r="K424" s="11">
        <f>VLOOKUP(A424,TB!TB1_1,4,FALSE)</f>
        <v>193.48</v>
      </c>
      <c r="L424" s="17">
        <f t="shared" si="282"/>
        <v>6.5403199757236099E-5</v>
      </c>
      <c r="N424" s="11">
        <f>VLOOKUP(A424,TB!TB,4,FALSE)</f>
        <v>0</v>
      </c>
      <c r="O424" s="17">
        <f t="shared" si="283"/>
        <v>0</v>
      </c>
    </row>
    <row r="425" spans="1:15" x14ac:dyDescent="0.25">
      <c r="A425" s="5" t="s">
        <v>515</v>
      </c>
      <c r="C425" s="5" t="s">
        <v>1625</v>
      </c>
      <c r="E425" s="11">
        <f>VLOOKUP(A425,TB!TB1_1,5,FALSE)</f>
        <v>394.17</v>
      </c>
      <c r="F425" s="17">
        <f t="shared" si="276"/>
        <v>1.3324363886866732E-4</v>
      </c>
      <c r="G425" s="17"/>
      <c r="H425" s="11">
        <f>VLOOKUP(A425,TB!TB,5,FALSE)</f>
        <v>436.58</v>
      </c>
      <c r="I425" s="17">
        <f t="shared" si="277"/>
        <v>1.98078748656992E-4</v>
      </c>
      <c r="J425" s="17"/>
      <c r="K425" s="11">
        <f>VLOOKUP(A425,TB!TB1_1,4,FALSE)</f>
        <v>394.17</v>
      </c>
      <c r="L425" s="17">
        <f t="shared" si="278"/>
        <v>1.3324363886866732E-4</v>
      </c>
      <c r="N425" s="11">
        <f>VLOOKUP(A425,TB!TB,4,FALSE)</f>
        <v>436.58</v>
      </c>
      <c r="O425" s="17">
        <f t="shared" si="279"/>
        <v>1.98078748656992E-4</v>
      </c>
    </row>
    <row r="426" spans="1:15" x14ac:dyDescent="0.25">
      <c r="A426" s="5" t="s">
        <v>909</v>
      </c>
      <c r="C426" s="5" t="s">
        <v>1626</v>
      </c>
      <c r="E426" s="11">
        <f>VLOOKUP(A426,TB!TB1_1,5,FALSE)</f>
        <v>0</v>
      </c>
      <c r="F426" s="17">
        <f t="shared" si="276"/>
        <v>0</v>
      </c>
      <c r="G426" s="17"/>
      <c r="H426" s="11">
        <f>VLOOKUP(A426,TB!TB,5,FALSE)</f>
        <v>0</v>
      </c>
      <c r="I426" s="17">
        <f t="shared" si="277"/>
        <v>0</v>
      </c>
      <c r="J426" s="17"/>
      <c r="K426" s="11">
        <f>VLOOKUP(A426,TB!TB1_1,4,FALSE)</f>
        <v>0</v>
      </c>
      <c r="L426" s="17">
        <f t="shared" si="278"/>
        <v>0</v>
      </c>
      <c r="N426" s="11">
        <f>VLOOKUP(A426,TB!TB,4,FALSE)</f>
        <v>0</v>
      </c>
      <c r="O426" s="17">
        <f t="shared" si="279"/>
        <v>0</v>
      </c>
    </row>
    <row r="427" spans="1:15" x14ac:dyDescent="0.25">
      <c r="A427" s="5" t="s">
        <v>517</v>
      </c>
      <c r="C427" s="5" t="s">
        <v>1627</v>
      </c>
      <c r="E427" s="11">
        <f>VLOOKUP(A427,TB!TB1_1,5,FALSE)</f>
        <v>9756.11</v>
      </c>
      <c r="F427" s="17">
        <f t="shared" si="276"/>
        <v>3.2979161214780274E-3</v>
      </c>
      <c r="G427" s="17"/>
      <c r="H427" s="11">
        <f>VLOOKUP(A427,TB!TB,5,FALSE)</f>
        <v>9077</v>
      </c>
      <c r="I427" s="17">
        <f t="shared" si="277"/>
        <v>4.1182848540004501E-3</v>
      </c>
      <c r="J427" s="17"/>
      <c r="K427" s="11">
        <f>VLOOKUP(A427,TB!TB1_1,4,FALSE)</f>
        <v>9756.11</v>
      </c>
      <c r="L427" s="17">
        <f t="shared" si="278"/>
        <v>3.2979161214780274E-3</v>
      </c>
      <c r="N427" s="11">
        <f>VLOOKUP(A427,TB!TB,4,FALSE)</f>
        <v>9077</v>
      </c>
      <c r="O427" s="17">
        <f t="shared" si="279"/>
        <v>4.1182848540004501E-3</v>
      </c>
    </row>
    <row r="428" spans="1:15" x14ac:dyDescent="0.25">
      <c r="A428" s="5" t="s">
        <v>910</v>
      </c>
      <c r="C428" s="5" t="s">
        <v>1628</v>
      </c>
      <c r="E428" s="11">
        <f>VLOOKUP(A428,TB!TB1_1,5,FALSE)</f>
        <v>0</v>
      </c>
      <c r="F428" s="17">
        <f t="shared" si="276"/>
        <v>0</v>
      </c>
      <c r="G428" s="17"/>
      <c r="H428" s="11">
        <f>VLOOKUP(A428,TB!TB,5,FALSE)</f>
        <v>796.47</v>
      </c>
      <c r="I428" s="17">
        <f t="shared" si="277"/>
        <v>3.6136282226129101E-4</v>
      </c>
      <c r="J428" s="17"/>
      <c r="K428" s="11">
        <f>VLOOKUP(A428,TB!TB1_1,4,FALSE)</f>
        <v>0</v>
      </c>
      <c r="L428" s="17">
        <f t="shared" si="278"/>
        <v>0</v>
      </c>
      <c r="N428" s="11">
        <f>VLOOKUP(A428,TB!TB,4,FALSE)</f>
        <v>796.47</v>
      </c>
      <c r="O428" s="17">
        <f t="shared" si="279"/>
        <v>3.6136282226129101E-4</v>
      </c>
    </row>
    <row r="429" spans="1:15" x14ac:dyDescent="0.25">
      <c r="A429" s="5" t="s">
        <v>519</v>
      </c>
      <c r="C429" s="5" t="s">
        <v>1629</v>
      </c>
      <c r="E429" s="11">
        <f>VLOOKUP(A429,TB!TB1_1,5,FALSE)</f>
        <v>1100.58</v>
      </c>
      <c r="F429" s="17">
        <f t="shared" si="276"/>
        <v>3.7203562946464187E-4</v>
      </c>
      <c r="G429" s="17"/>
      <c r="H429" s="11">
        <f>VLOOKUP(A429,TB!TB,5,FALSE)</f>
        <v>515.25</v>
      </c>
      <c r="I429" s="17">
        <f t="shared" si="277"/>
        <v>2.3377176060633819E-4</v>
      </c>
      <c r="J429" s="17"/>
      <c r="K429" s="11">
        <f>VLOOKUP(A429,TB!TB1_1,4,FALSE)</f>
        <v>1100.58</v>
      </c>
      <c r="L429" s="17">
        <f t="shared" si="278"/>
        <v>3.7203562946464187E-4</v>
      </c>
      <c r="N429" s="11">
        <f>VLOOKUP(A429,TB!TB,4,FALSE)</f>
        <v>515.25</v>
      </c>
      <c r="O429" s="17">
        <f t="shared" si="279"/>
        <v>2.3377176060633819E-4</v>
      </c>
    </row>
    <row r="430" spans="1:15" x14ac:dyDescent="0.25">
      <c r="A430" s="5" t="s">
        <v>521</v>
      </c>
      <c r="C430" s="5" t="s">
        <v>1630</v>
      </c>
      <c r="E430" s="11">
        <f>VLOOKUP(A430,TB!TB1_1,5,FALSE)</f>
        <v>4937.5</v>
      </c>
      <c r="F430" s="17">
        <f t="shared" si="276"/>
        <v>1.6690526090621938E-3</v>
      </c>
      <c r="G430" s="17"/>
      <c r="H430" s="11">
        <f>VLOOKUP(A430,TB!TB,5,FALSE)</f>
        <v>11040</v>
      </c>
      <c r="I430" s="17">
        <f t="shared" si="277"/>
        <v>5.0089087570965038E-3</v>
      </c>
      <c r="J430" s="17"/>
      <c r="K430" s="11">
        <f>VLOOKUP(A430,TB!TB1_1,4,FALSE)</f>
        <v>4937.5</v>
      </c>
      <c r="L430" s="17">
        <f t="shared" si="278"/>
        <v>1.6690526090621938E-3</v>
      </c>
      <c r="N430" s="11">
        <f>VLOOKUP(A430,TB!TB,4,FALSE)</f>
        <v>11040</v>
      </c>
      <c r="O430" s="17">
        <f t="shared" si="279"/>
        <v>5.0089087570965038E-3</v>
      </c>
    </row>
    <row r="431" spans="1:15" x14ac:dyDescent="0.25">
      <c r="A431" s="5" t="s">
        <v>523</v>
      </c>
      <c r="C431" s="5" t="s">
        <v>1631</v>
      </c>
      <c r="E431" s="11">
        <f>VLOOKUP(A431,TB!TB1_1,5,FALSE)</f>
        <v>562.5</v>
      </c>
      <c r="F431" s="17">
        <f t="shared" si="276"/>
        <v>1.9014523394379423E-4</v>
      </c>
      <c r="G431" s="17"/>
      <c r="H431" s="11">
        <f>VLOOKUP(A431,TB!TB,5,FALSE)</f>
        <v>1840</v>
      </c>
      <c r="I431" s="17">
        <f t="shared" si="277"/>
        <v>8.3481812618275064E-4</v>
      </c>
      <c r="J431" s="17"/>
      <c r="K431" s="11">
        <f>VLOOKUP(A431,TB!TB1_1,4,FALSE)</f>
        <v>562.5</v>
      </c>
      <c r="L431" s="17">
        <f t="shared" si="278"/>
        <v>1.9014523394379423E-4</v>
      </c>
      <c r="N431" s="11">
        <f>VLOOKUP(A431,TB!TB,4,FALSE)</f>
        <v>1840</v>
      </c>
      <c r="O431" s="17">
        <f t="shared" si="279"/>
        <v>8.3481812618275064E-4</v>
      </c>
    </row>
    <row r="432" spans="1:15" x14ac:dyDescent="0.25">
      <c r="A432" s="5" t="s">
        <v>911</v>
      </c>
      <c r="C432" s="5" t="s">
        <v>1632</v>
      </c>
      <c r="E432" s="11">
        <f>VLOOKUP(A432,TB!TB1_1,5,FALSE)</f>
        <v>0</v>
      </c>
      <c r="F432" s="17">
        <f t="shared" si="276"/>
        <v>0</v>
      </c>
      <c r="G432" s="17"/>
      <c r="H432" s="11">
        <f>VLOOKUP(A432,TB!TB,5,FALSE)</f>
        <v>0</v>
      </c>
      <c r="I432" s="17">
        <f t="shared" si="277"/>
        <v>0</v>
      </c>
      <c r="J432" s="17"/>
      <c r="K432" s="11">
        <f>VLOOKUP(A432,TB!TB1_1,4,FALSE)</f>
        <v>0</v>
      </c>
      <c r="L432" s="17">
        <f t="shared" si="278"/>
        <v>0</v>
      </c>
      <c r="N432" s="11">
        <f>VLOOKUP(A432,TB!TB,4,FALSE)</f>
        <v>0</v>
      </c>
      <c r="O432" s="17">
        <f t="shared" si="279"/>
        <v>0</v>
      </c>
    </row>
    <row r="433" spans="1:15" x14ac:dyDescent="0.25">
      <c r="A433" s="5" t="s">
        <v>525</v>
      </c>
      <c r="C433" s="5" t="s">
        <v>1633</v>
      </c>
      <c r="E433" s="11">
        <f>VLOOKUP(A433,TB!TB1_1,5,FALSE)</f>
        <v>562.5</v>
      </c>
      <c r="F433" s="17">
        <f t="shared" si="276"/>
        <v>1.9014523394379423E-4</v>
      </c>
      <c r="G433" s="17"/>
      <c r="H433" s="11">
        <f>VLOOKUP(A433,TB!TB,5,FALSE)</f>
        <v>1840</v>
      </c>
      <c r="I433" s="17">
        <f t="shared" si="277"/>
        <v>8.3481812618275064E-4</v>
      </c>
      <c r="J433" s="17"/>
      <c r="K433" s="11">
        <f>VLOOKUP(A433,TB!TB1_1,4,FALSE)</f>
        <v>562.5</v>
      </c>
      <c r="L433" s="17">
        <f t="shared" si="278"/>
        <v>1.9014523394379423E-4</v>
      </c>
      <c r="N433" s="11">
        <f>VLOOKUP(A433,TB!TB,4,FALSE)</f>
        <v>1840</v>
      </c>
      <c r="O433" s="17">
        <f t="shared" si="279"/>
        <v>8.3481812618275064E-4</v>
      </c>
    </row>
    <row r="434" spans="1:15" x14ac:dyDescent="0.25">
      <c r="A434" s="5" t="s">
        <v>912</v>
      </c>
      <c r="C434" s="5" t="s">
        <v>1634</v>
      </c>
      <c r="E434" s="11">
        <f>VLOOKUP(A434,TB!TB1_1,5,FALSE)</f>
        <v>2934.75</v>
      </c>
      <c r="F434" s="17">
        <f t="shared" si="276"/>
        <v>9.9205106722942242E-4</v>
      </c>
      <c r="G434" s="17"/>
      <c r="H434" s="11">
        <f>VLOOKUP(A434,TB!TB,5,FALSE)</f>
        <v>0</v>
      </c>
      <c r="I434" s="17">
        <f t="shared" si="277"/>
        <v>0</v>
      </c>
      <c r="J434" s="17"/>
      <c r="K434" s="11">
        <f>VLOOKUP(A434,TB!TB1_1,4,FALSE)</f>
        <v>2934.75</v>
      </c>
      <c r="L434" s="17">
        <f t="shared" si="278"/>
        <v>9.9205106722942242E-4</v>
      </c>
      <c r="N434" s="11">
        <f>VLOOKUP(A434,TB!TB,4,FALSE)</f>
        <v>0</v>
      </c>
      <c r="O434" s="17">
        <f t="shared" si="279"/>
        <v>0</v>
      </c>
    </row>
    <row r="435" spans="1:15" x14ac:dyDescent="0.25">
      <c r="A435" s="5" t="s">
        <v>527</v>
      </c>
      <c r="C435" s="5" t="s">
        <v>1635</v>
      </c>
      <c r="E435" s="11">
        <f>VLOOKUP(A435,TB!TB1_1,5,FALSE)</f>
        <v>281.25</v>
      </c>
      <c r="F435" s="17">
        <f t="shared" si="276"/>
        <v>9.5072616971897115E-5</v>
      </c>
      <c r="G435" s="17"/>
      <c r="H435" s="11">
        <f>VLOOKUP(A435,TB!TB,5,FALSE)</f>
        <v>920</v>
      </c>
      <c r="I435" s="17">
        <f t="shared" si="277"/>
        <v>4.1740906309137532E-4</v>
      </c>
      <c r="J435" s="17"/>
      <c r="K435" s="11">
        <f>VLOOKUP(A435,TB!TB1_1,4,FALSE)</f>
        <v>281.25</v>
      </c>
      <c r="L435" s="17">
        <f t="shared" si="278"/>
        <v>9.5072616971897115E-5</v>
      </c>
      <c r="N435" s="11">
        <f>VLOOKUP(A435,TB!TB,4,FALSE)</f>
        <v>920</v>
      </c>
      <c r="O435" s="17">
        <f t="shared" si="279"/>
        <v>4.1740906309137532E-4</v>
      </c>
    </row>
    <row r="436" spans="1:15" x14ac:dyDescent="0.25">
      <c r="A436" s="83" t="s">
        <v>1427</v>
      </c>
      <c r="C436" s="5" t="s">
        <v>1636</v>
      </c>
      <c r="E436" s="11">
        <f>VLOOKUP(A436,TB!TB1_1,5,FALSE)</f>
        <v>281.25</v>
      </c>
      <c r="F436" s="17">
        <f t="shared" ref="F436" si="284">IF(E$160,E436/E$160,0)</f>
        <v>9.5072616971897115E-5</v>
      </c>
      <c r="G436" s="17"/>
      <c r="H436" s="11">
        <f>VLOOKUP(A436,TB!TB,5,FALSE)</f>
        <v>920</v>
      </c>
      <c r="I436" s="17">
        <f t="shared" ref="I436" si="285">IF(H$160,H436/H$160,0)</f>
        <v>4.1740906309137532E-4</v>
      </c>
      <c r="J436" s="17"/>
      <c r="K436" s="11">
        <f>VLOOKUP(A436,TB!TB1_1,4,FALSE)</f>
        <v>281.25</v>
      </c>
      <c r="L436" s="17">
        <f t="shared" ref="L436" si="286">IF(K$160,K436/K$160,0)</f>
        <v>9.5072616971897115E-5</v>
      </c>
      <c r="N436" s="11">
        <f>VLOOKUP(A436,TB!TB,4,FALSE)</f>
        <v>920</v>
      </c>
      <c r="O436" s="17">
        <f t="shared" ref="O436" si="287">IF(N$160,N436/N$160,0)</f>
        <v>4.1740906309137532E-4</v>
      </c>
    </row>
    <row r="437" spans="1:15" x14ac:dyDescent="0.25">
      <c r="A437" s="5" t="s">
        <v>529</v>
      </c>
      <c r="C437" s="5" t="s">
        <v>1637</v>
      </c>
      <c r="E437" s="11">
        <f>VLOOKUP(A437,TB!TB1_1,5,FALSE)</f>
        <v>1687.5</v>
      </c>
      <c r="F437" s="17">
        <f t="shared" si="276"/>
        <v>5.7043570183138272E-4</v>
      </c>
      <c r="G437" s="17"/>
      <c r="H437" s="11">
        <f>VLOOKUP(A437,TB!TB,5,FALSE)</f>
        <v>3680</v>
      </c>
      <c r="I437" s="17">
        <f t="shared" si="277"/>
        <v>1.6696362523655013E-3</v>
      </c>
      <c r="J437" s="17"/>
      <c r="K437" s="11">
        <f>VLOOKUP(A437,TB!TB1_1,4,FALSE)</f>
        <v>1687.5</v>
      </c>
      <c r="L437" s="17">
        <f t="shared" si="278"/>
        <v>5.7043570183138272E-4</v>
      </c>
      <c r="N437" s="11">
        <f>VLOOKUP(A437,TB!TB,4,FALSE)</f>
        <v>3680</v>
      </c>
      <c r="O437" s="17">
        <f t="shared" si="279"/>
        <v>1.6696362523655013E-3</v>
      </c>
    </row>
    <row r="438" spans="1:15" x14ac:dyDescent="0.25">
      <c r="A438" s="5" t="s">
        <v>914</v>
      </c>
      <c r="C438" s="5" t="s">
        <v>1638</v>
      </c>
      <c r="E438" s="11">
        <f>VLOOKUP(A438,TB!TB1_1,5,FALSE)</f>
        <v>0</v>
      </c>
      <c r="F438" s="17">
        <f t="shared" si="276"/>
        <v>0</v>
      </c>
      <c r="G438" s="17"/>
      <c r="H438" s="11">
        <f>VLOOKUP(A438,TB!TB,5,FALSE)</f>
        <v>0</v>
      </c>
      <c r="I438" s="17">
        <f t="shared" si="277"/>
        <v>0</v>
      </c>
      <c r="J438" s="17"/>
      <c r="K438" s="11">
        <f>VLOOKUP(A438,TB!TB1_1,4,FALSE)</f>
        <v>0</v>
      </c>
      <c r="L438" s="17">
        <f t="shared" si="278"/>
        <v>0</v>
      </c>
      <c r="N438" s="11">
        <f>VLOOKUP(A438,TB!TB,4,FALSE)</f>
        <v>0</v>
      </c>
      <c r="O438" s="17">
        <f t="shared" si="279"/>
        <v>0</v>
      </c>
    </row>
    <row r="439" spans="1:15" x14ac:dyDescent="0.25">
      <c r="A439" s="5" t="s">
        <v>530</v>
      </c>
      <c r="C439" s="5" t="s">
        <v>1639</v>
      </c>
      <c r="E439" s="11">
        <f>VLOOKUP(A439,TB!TB1_1,5,FALSE)</f>
        <v>4533.75</v>
      </c>
      <c r="F439" s="17">
        <f t="shared" si="276"/>
        <v>1.5325705855869815E-3</v>
      </c>
      <c r="G439" s="17"/>
      <c r="H439" s="11">
        <f>VLOOKUP(A439,TB!TB,5,FALSE)</f>
        <v>11040</v>
      </c>
      <c r="I439" s="17">
        <f t="shared" si="277"/>
        <v>5.0089087570965038E-3</v>
      </c>
      <c r="J439" s="17"/>
      <c r="K439" s="11">
        <f>VLOOKUP(A439,TB!TB1_1,4,FALSE)</f>
        <v>4533.75</v>
      </c>
      <c r="L439" s="17">
        <f t="shared" si="278"/>
        <v>1.5325705855869815E-3</v>
      </c>
      <c r="N439" s="11">
        <f>VLOOKUP(A439,TB!TB,4,FALSE)</f>
        <v>11040</v>
      </c>
      <c r="O439" s="17">
        <f t="shared" si="279"/>
        <v>5.0089087570965038E-3</v>
      </c>
    </row>
    <row r="440" spans="1:15" x14ac:dyDescent="0.25">
      <c r="A440" s="5" t="s">
        <v>915</v>
      </c>
      <c r="C440" s="5" t="s">
        <v>1640</v>
      </c>
      <c r="E440" s="11">
        <f>VLOOKUP(A440,TB!TB1_1,5,FALSE)</f>
        <v>0</v>
      </c>
      <c r="F440" s="17">
        <f t="shared" si="276"/>
        <v>0</v>
      </c>
      <c r="G440" s="17"/>
      <c r="H440" s="11">
        <f>VLOOKUP(A440,TB!TB,5,FALSE)</f>
        <v>0</v>
      </c>
      <c r="I440" s="17">
        <f t="shared" si="277"/>
        <v>0</v>
      </c>
      <c r="J440" s="17"/>
      <c r="K440" s="11">
        <f>VLOOKUP(A440,TB!TB1_1,4,FALSE)</f>
        <v>0</v>
      </c>
      <c r="L440" s="17">
        <f t="shared" si="278"/>
        <v>0</v>
      </c>
      <c r="N440" s="11">
        <f>VLOOKUP(A440,TB!TB,4,FALSE)</f>
        <v>0</v>
      </c>
      <c r="O440" s="17">
        <f t="shared" si="279"/>
        <v>0</v>
      </c>
    </row>
    <row r="441" spans="1:15" x14ac:dyDescent="0.25">
      <c r="A441" s="5" t="s">
        <v>532</v>
      </c>
      <c r="C441" s="5" t="s">
        <v>1641</v>
      </c>
      <c r="E441" s="11">
        <f>VLOOKUP(A441,TB!TB1_1,5,FALSE)</f>
        <v>0</v>
      </c>
      <c r="F441" s="17">
        <f t="shared" si="276"/>
        <v>0</v>
      </c>
      <c r="G441" s="17"/>
      <c r="H441" s="11">
        <f>VLOOKUP(A441,TB!TB,5,FALSE)</f>
        <v>0</v>
      </c>
      <c r="I441" s="17">
        <f t="shared" si="277"/>
        <v>0</v>
      </c>
      <c r="J441" s="17"/>
      <c r="K441" s="11">
        <f>VLOOKUP(A441,TB!TB1_1,4,FALSE)</f>
        <v>0</v>
      </c>
      <c r="L441" s="17">
        <f t="shared" si="278"/>
        <v>0</v>
      </c>
      <c r="N441" s="11">
        <f>VLOOKUP(A441,TB!TB,4,FALSE)</f>
        <v>0</v>
      </c>
      <c r="O441" s="17">
        <f t="shared" si="279"/>
        <v>0</v>
      </c>
    </row>
    <row r="442" spans="1:15" x14ac:dyDescent="0.25">
      <c r="A442" s="5" t="s">
        <v>534</v>
      </c>
      <c r="C442" s="5" t="s">
        <v>1642</v>
      </c>
      <c r="E442" s="11">
        <f>VLOOKUP(A442,TB!TB1_1,5,FALSE)</f>
        <v>2283.75</v>
      </c>
      <c r="F442" s="17">
        <f t="shared" si="276"/>
        <v>7.7198964981180457E-4</v>
      </c>
      <c r="G442" s="17"/>
      <c r="H442" s="11">
        <f>VLOOKUP(A442,TB!TB,5,FALSE)</f>
        <v>5520</v>
      </c>
      <c r="I442" s="17">
        <f t="shared" si="277"/>
        <v>2.5044543785482519E-3</v>
      </c>
      <c r="J442" s="17"/>
      <c r="K442" s="11">
        <f>VLOOKUP(A442,TB!TB1_1,4,FALSE)</f>
        <v>2283.75</v>
      </c>
      <c r="L442" s="17">
        <f t="shared" si="278"/>
        <v>7.7198964981180457E-4</v>
      </c>
      <c r="N442" s="11">
        <f>VLOOKUP(A442,TB!TB,4,FALSE)</f>
        <v>5520</v>
      </c>
      <c r="O442" s="17">
        <f t="shared" si="279"/>
        <v>2.5044543785482519E-3</v>
      </c>
    </row>
    <row r="443" spans="1:15" x14ac:dyDescent="0.25">
      <c r="A443" s="5" t="s">
        <v>916</v>
      </c>
      <c r="C443" s="5" t="s">
        <v>1643</v>
      </c>
      <c r="E443" s="11">
        <f>VLOOKUP(A443,TB!TB1_1,5,FALSE)</f>
        <v>0</v>
      </c>
      <c r="F443" s="17">
        <f t="shared" si="276"/>
        <v>0</v>
      </c>
      <c r="G443" s="17"/>
      <c r="H443" s="11">
        <f>VLOOKUP(A443,TB!TB,5,FALSE)</f>
        <v>0</v>
      </c>
      <c r="I443" s="17">
        <f t="shared" si="277"/>
        <v>0</v>
      </c>
      <c r="J443" s="17"/>
      <c r="K443" s="11">
        <f>VLOOKUP(A443,TB!TB1_1,4,FALSE)</f>
        <v>0</v>
      </c>
      <c r="L443" s="17">
        <f t="shared" si="278"/>
        <v>0</v>
      </c>
      <c r="N443" s="11">
        <f>VLOOKUP(A443,TB!TB,4,FALSE)</f>
        <v>0</v>
      </c>
      <c r="O443" s="17">
        <f t="shared" si="279"/>
        <v>0</v>
      </c>
    </row>
    <row r="444" spans="1:15" x14ac:dyDescent="0.25">
      <c r="A444" s="5" t="s">
        <v>536</v>
      </c>
      <c r="C444" s="5" t="s">
        <v>1644</v>
      </c>
      <c r="E444" s="11">
        <f>VLOOKUP(A444,TB!TB1_1,5,FALSE)</f>
        <v>6126.09</v>
      </c>
      <c r="F444" s="17">
        <f t="shared" si="276"/>
        <v>2.0708387843746462E-3</v>
      </c>
      <c r="G444" s="17"/>
      <c r="H444" s="11">
        <f>VLOOKUP(A444,TB!TB,5,FALSE)</f>
        <v>7640.66</v>
      </c>
      <c r="I444" s="17">
        <f t="shared" si="277"/>
        <v>3.4666094913040736E-3</v>
      </c>
      <c r="J444" s="17"/>
      <c r="K444" s="11">
        <f>VLOOKUP(A444,TB!TB1_1,4,FALSE)</f>
        <v>6126.09</v>
      </c>
      <c r="L444" s="17">
        <f t="shared" si="278"/>
        <v>2.0708387843746462E-3</v>
      </c>
      <c r="N444" s="11">
        <f>VLOOKUP(A444,TB!TB,4,FALSE)</f>
        <v>7640.66</v>
      </c>
      <c r="O444" s="17">
        <f t="shared" si="279"/>
        <v>3.4666094913040736E-3</v>
      </c>
    </row>
    <row r="445" spans="1:15" x14ac:dyDescent="0.25">
      <c r="A445" s="83" t="s">
        <v>1507</v>
      </c>
      <c r="C445" s="5" t="s">
        <v>1645</v>
      </c>
      <c r="E445" s="11">
        <f>VLOOKUP(A445,TB!TB1_1,5,FALSE)</f>
        <v>796.04</v>
      </c>
      <c r="F445" s="17">
        <f t="shared" ref="F445" si="288">IF(E$160,E445/E$160,0)</f>
        <v>2.6909015471754302E-4</v>
      </c>
      <c r="G445" s="17"/>
      <c r="H445" s="11">
        <f>VLOOKUP(A445,TB!TB,5,FALSE)</f>
        <v>921.78</v>
      </c>
      <c r="I445" s="17">
        <f t="shared" ref="I445" si="289">IF(H$160,H445/H$160,0)</f>
        <v>4.1821665888735647E-4</v>
      </c>
      <c r="J445" s="17"/>
      <c r="K445" s="11">
        <f>VLOOKUP(A445,TB!TB1_1,4,FALSE)</f>
        <v>796.04</v>
      </c>
      <c r="L445" s="17">
        <f t="shared" ref="L445" si="290">IF(K$160,K445/K$160,0)</f>
        <v>2.6909015471754302E-4</v>
      </c>
      <c r="N445" s="11">
        <f>VLOOKUP(A445,TB!TB,4,FALSE)</f>
        <v>921.78</v>
      </c>
      <c r="O445" s="17">
        <f t="shared" ref="O445" si="291">IF(N$160,N445/N$160,0)</f>
        <v>4.1821665888735647E-4</v>
      </c>
    </row>
    <row r="446" spans="1:15" x14ac:dyDescent="0.25">
      <c r="A446" s="5" t="s">
        <v>538</v>
      </c>
      <c r="C446" s="5" t="s">
        <v>1646</v>
      </c>
      <c r="E446" s="11">
        <f>VLOOKUP(A446,TB!TB1_1,5,FALSE)</f>
        <v>15834.76</v>
      </c>
      <c r="F446" s="17">
        <f t="shared" si="276"/>
        <v>5.3527184793668182E-3</v>
      </c>
      <c r="G446" s="17"/>
      <c r="H446" s="11">
        <f>VLOOKUP(A446,TB!TB,5,FALSE)</f>
        <v>3054.91</v>
      </c>
      <c r="I446" s="17">
        <f t="shared" si="277"/>
        <v>1.3860294792700798E-3</v>
      </c>
      <c r="J446" s="17"/>
      <c r="K446" s="11">
        <f>VLOOKUP(A446,TB!TB1_1,4,FALSE)</f>
        <v>15834.76</v>
      </c>
      <c r="L446" s="17">
        <f t="shared" si="278"/>
        <v>5.3527184793668182E-3</v>
      </c>
      <c r="N446" s="11">
        <f>VLOOKUP(A446,TB!TB,4,FALSE)</f>
        <v>3054.91</v>
      </c>
      <c r="O446" s="17">
        <f t="shared" si="279"/>
        <v>1.3860294792700798E-3</v>
      </c>
    </row>
    <row r="447" spans="1:15" x14ac:dyDescent="0.25">
      <c r="A447" s="83" t="s">
        <v>1509</v>
      </c>
      <c r="C447" s="5" t="s">
        <v>1510</v>
      </c>
      <c r="E447" s="11">
        <f>VLOOKUP(A447,TB!TB1_1,5,FALSE)</f>
        <v>0</v>
      </c>
      <c r="F447" s="17">
        <f t="shared" ref="F447" si="292">IF(E$160,E447/E$160,0)</f>
        <v>0</v>
      </c>
      <c r="G447" s="17"/>
      <c r="H447" s="11">
        <f>VLOOKUP(A447,TB!TB,5,FALSE)</f>
        <v>317.92</v>
      </c>
      <c r="I447" s="17">
        <f t="shared" ref="I447" si="293">IF(H$160,H447/H$160,0)</f>
        <v>1.4424205362827179E-4</v>
      </c>
      <c r="J447" s="17"/>
      <c r="K447" s="11">
        <f>VLOOKUP(A447,TB!TB1_1,4,FALSE)</f>
        <v>0</v>
      </c>
      <c r="L447" s="17">
        <f t="shared" ref="L447" si="294">IF(K$160,K447/K$160,0)</f>
        <v>0</v>
      </c>
      <c r="N447" s="11">
        <f>VLOOKUP(A447,TB!TB,4,FALSE)</f>
        <v>317.92</v>
      </c>
      <c r="O447" s="17">
        <f t="shared" ref="O447" si="295">IF(N$160,N447/N$160,0)</f>
        <v>1.4424205362827179E-4</v>
      </c>
    </row>
    <row r="448" spans="1:15" x14ac:dyDescent="0.25">
      <c r="A448" s="5" t="s">
        <v>539</v>
      </c>
      <c r="C448" s="5" t="s">
        <v>1647</v>
      </c>
      <c r="E448" s="11">
        <f>VLOOKUP(A448,TB!TB1_1,5,FALSE)</f>
        <v>160</v>
      </c>
      <c r="F448" s="17">
        <f t="shared" si="276"/>
        <v>5.408575543290147E-5</v>
      </c>
      <c r="G448" s="17"/>
      <c r="H448" s="11">
        <f>VLOOKUP(A448,TB!TB,5,FALSE)</f>
        <v>0</v>
      </c>
      <c r="I448" s="17">
        <f t="shared" si="277"/>
        <v>0</v>
      </c>
      <c r="J448" s="17"/>
      <c r="K448" s="11">
        <f>VLOOKUP(A448,TB!TB1_1,4,FALSE)</f>
        <v>160</v>
      </c>
      <c r="L448" s="17">
        <f t="shared" si="278"/>
        <v>5.408575543290147E-5</v>
      </c>
      <c r="N448" s="11">
        <f>VLOOKUP(A448,TB!TB,4,FALSE)</f>
        <v>0</v>
      </c>
      <c r="O448" s="17">
        <f t="shared" si="279"/>
        <v>0</v>
      </c>
    </row>
    <row r="449" spans="1:15" x14ac:dyDescent="0.25">
      <c r="A449" s="5" t="s">
        <v>541</v>
      </c>
      <c r="C449" s="5" t="s">
        <v>1648</v>
      </c>
      <c r="E449" s="11">
        <f>VLOOKUP(A449,TB!TB1_1,5,FALSE)</f>
        <v>0</v>
      </c>
      <c r="F449" s="17">
        <f t="shared" si="276"/>
        <v>0</v>
      </c>
      <c r="G449" s="17"/>
      <c r="H449" s="11">
        <f>VLOOKUP(A449,TB!TB,5,FALSE)</f>
        <v>0</v>
      </c>
      <c r="I449" s="17">
        <f t="shared" si="277"/>
        <v>0</v>
      </c>
      <c r="J449" s="17"/>
      <c r="K449" s="11">
        <f>VLOOKUP(A449,TB!TB1_1,4,FALSE)</f>
        <v>0</v>
      </c>
      <c r="L449" s="17">
        <f t="shared" si="278"/>
        <v>0</v>
      </c>
      <c r="N449" s="11">
        <f>VLOOKUP(A449,TB!TB,4,FALSE)</f>
        <v>0</v>
      </c>
      <c r="O449" s="17">
        <f t="shared" si="279"/>
        <v>0</v>
      </c>
    </row>
    <row r="450" spans="1:15" x14ac:dyDescent="0.25">
      <c r="A450" s="5" t="s">
        <v>917</v>
      </c>
      <c r="C450" s="5" t="s">
        <v>1649</v>
      </c>
      <c r="E450" s="11">
        <f>VLOOKUP(A450,TB!TB1_1,5,FALSE)</f>
        <v>0</v>
      </c>
      <c r="F450" s="17">
        <f t="shared" si="276"/>
        <v>0</v>
      </c>
      <c r="G450" s="17"/>
      <c r="H450" s="11">
        <f>VLOOKUP(A450,TB!TB,5,FALSE)</f>
        <v>0</v>
      </c>
      <c r="I450" s="17">
        <f t="shared" si="277"/>
        <v>0</v>
      </c>
      <c r="J450" s="17"/>
      <c r="K450" s="11">
        <f>VLOOKUP(A450,TB!TB1_1,4,FALSE)</f>
        <v>0</v>
      </c>
      <c r="L450" s="17">
        <f t="shared" si="278"/>
        <v>0</v>
      </c>
      <c r="N450" s="11">
        <f>VLOOKUP(A450,TB!TB,4,FALSE)</f>
        <v>0</v>
      </c>
      <c r="O450" s="17">
        <f t="shared" si="279"/>
        <v>0</v>
      </c>
    </row>
    <row r="451" spans="1:15" x14ac:dyDescent="0.25">
      <c r="A451" s="5" t="s">
        <v>543</v>
      </c>
      <c r="C451" s="5" t="s">
        <v>1650</v>
      </c>
      <c r="E451" s="11">
        <f>VLOOKUP(A451,TB!TB1_1,5,FALSE)</f>
        <v>279.05</v>
      </c>
      <c r="F451" s="17">
        <f t="shared" si="276"/>
        <v>9.4328937834694718E-5</v>
      </c>
      <c r="G451" s="17"/>
      <c r="H451" s="11">
        <f>VLOOKUP(A451,TB!TB,5,FALSE)</f>
        <v>456.25</v>
      </c>
      <c r="I451" s="17">
        <f t="shared" si="277"/>
        <v>2.0700313590808696E-4</v>
      </c>
      <c r="J451" s="17"/>
      <c r="K451" s="11">
        <f>VLOOKUP(A451,TB!TB1_1,4,FALSE)</f>
        <v>279.05</v>
      </c>
      <c r="L451" s="17">
        <f t="shared" si="278"/>
        <v>9.4328937834694718E-5</v>
      </c>
      <c r="N451" s="11">
        <f>VLOOKUP(A451,TB!TB,4,FALSE)</f>
        <v>456.25</v>
      </c>
      <c r="O451" s="17">
        <f t="shared" si="279"/>
        <v>2.0700313590808696E-4</v>
      </c>
    </row>
    <row r="452" spans="1:15" x14ac:dyDescent="0.25">
      <c r="A452" s="5" t="s">
        <v>918</v>
      </c>
      <c r="C452" s="5" t="s">
        <v>1651</v>
      </c>
      <c r="E452" s="11">
        <f>VLOOKUP(A452,TB!TB1_1,5,FALSE)</f>
        <v>0</v>
      </c>
      <c r="F452" s="17">
        <f t="shared" si="276"/>
        <v>0</v>
      </c>
      <c r="G452" s="17"/>
      <c r="H452" s="11">
        <f>VLOOKUP(A452,TB!TB,5,FALSE)</f>
        <v>0</v>
      </c>
      <c r="I452" s="17">
        <f t="shared" si="277"/>
        <v>0</v>
      </c>
      <c r="J452" s="17"/>
      <c r="K452" s="11">
        <f>VLOOKUP(A452,TB!TB1_1,4,FALSE)</f>
        <v>0</v>
      </c>
      <c r="L452" s="17">
        <f t="shared" si="278"/>
        <v>0</v>
      </c>
      <c r="N452" s="11">
        <f>VLOOKUP(A452,TB!TB,4,FALSE)</f>
        <v>0</v>
      </c>
      <c r="O452" s="17">
        <f t="shared" si="279"/>
        <v>0</v>
      </c>
    </row>
    <row r="453" spans="1:15" x14ac:dyDescent="0.25">
      <c r="A453" s="5" t="s">
        <v>545</v>
      </c>
      <c r="C453" s="5" t="s">
        <v>1652</v>
      </c>
      <c r="E453" s="11">
        <f>VLOOKUP(A453,TB!TB1_1,5,FALSE)</f>
        <v>0</v>
      </c>
      <c r="F453" s="17">
        <f t="shared" si="276"/>
        <v>0</v>
      </c>
      <c r="G453" s="17"/>
      <c r="H453" s="11">
        <f>VLOOKUP(A453,TB!TB,5,FALSE)</f>
        <v>0</v>
      </c>
      <c r="I453" s="17">
        <f t="shared" si="277"/>
        <v>0</v>
      </c>
      <c r="J453" s="17"/>
      <c r="K453" s="11">
        <f>VLOOKUP(A453,TB!TB1_1,4,FALSE)</f>
        <v>0</v>
      </c>
      <c r="L453" s="17">
        <f t="shared" si="278"/>
        <v>0</v>
      </c>
      <c r="N453" s="11">
        <f>VLOOKUP(A453,TB!TB,4,FALSE)</f>
        <v>0</v>
      </c>
      <c r="O453" s="17">
        <f t="shared" si="279"/>
        <v>0</v>
      </c>
    </row>
    <row r="454" spans="1:15" x14ac:dyDescent="0.25">
      <c r="A454" s="83" t="s">
        <v>1428</v>
      </c>
      <c r="C454" s="5" t="s">
        <v>1653</v>
      </c>
      <c r="E454" s="11">
        <f>VLOOKUP(A454,TB!TB1_1,5,FALSE)</f>
        <v>0</v>
      </c>
      <c r="F454" s="17">
        <f t="shared" ref="F454" si="296">IF(E$160,E454/E$160,0)</f>
        <v>0</v>
      </c>
      <c r="G454" s="17"/>
      <c r="H454" s="11">
        <f>VLOOKUP(A454,TB!TB,5,FALSE)</f>
        <v>0</v>
      </c>
      <c r="I454" s="17">
        <f t="shared" ref="I454" si="297">IF(H$160,H454/H$160,0)</f>
        <v>0</v>
      </c>
      <c r="J454" s="17"/>
      <c r="K454" s="11">
        <f>VLOOKUP(A454,TB!TB1_1,4,FALSE)</f>
        <v>0</v>
      </c>
      <c r="L454" s="17">
        <f t="shared" ref="L454" si="298">IF(K$160,K454/K$160,0)</f>
        <v>0</v>
      </c>
      <c r="N454" s="11">
        <f>VLOOKUP(A454,TB!TB,4,FALSE)</f>
        <v>0</v>
      </c>
      <c r="O454" s="17">
        <f t="shared" ref="O454" si="299">IF(N$160,N454/N$160,0)</f>
        <v>0</v>
      </c>
    </row>
    <row r="455" spans="1:15" x14ac:dyDescent="0.25">
      <c r="A455" s="5" t="s">
        <v>547</v>
      </c>
      <c r="C455" s="5" t="s">
        <v>1654</v>
      </c>
      <c r="E455" s="11">
        <f>VLOOKUP(A455,TB!TB1_1,5,FALSE)</f>
        <v>180</v>
      </c>
      <c r="F455" s="17">
        <f t="shared" si="276"/>
        <v>6.0846474862014151E-5</v>
      </c>
      <c r="G455" s="17"/>
      <c r="H455" s="11">
        <f>VLOOKUP(A455,TB!TB,5,FALSE)</f>
        <v>456.25</v>
      </c>
      <c r="I455" s="17">
        <f t="shared" si="277"/>
        <v>2.0700313590808696E-4</v>
      </c>
      <c r="J455" s="17"/>
      <c r="K455" s="11">
        <f>VLOOKUP(A455,TB!TB1_1,4,FALSE)</f>
        <v>180</v>
      </c>
      <c r="L455" s="17">
        <f t="shared" si="278"/>
        <v>6.0846474862014151E-5</v>
      </c>
      <c r="N455" s="11">
        <f>VLOOKUP(A455,TB!TB,4,FALSE)</f>
        <v>456.25</v>
      </c>
      <c r="O455" s="17">
        <f t="shared" si="279"/>
        <v>2.0700313590808696E-4</v>
      </c>
    </row>
    <row r="456" spans="1:15" x14ac:dyDescent="0.25">
      <c r="A456" s="5" t="s">
        <v>920</v>
      </c>
      <c r="C456" s="5" t="s">
        <v>1655</v>
      </c>
      <c r="E456" s="11">
        <f>VLOOKUP(A456,TB!TB1_1,5,FALSE)</f>
        <v>0</v>
      </c>
      <c r="F456" s="17">
        <f t="shared" si="276"/>
        <v>0</v>
      </c>
      <c r="G456" s="17"/>
      <c r="H456" s="11">
        <f>VLOOKUP(A456,TB!TB,5,FALSE)</f>
        <v>0</v>
      </c>
      <c r="I456" s="17">
        <f t="shared" si="277"/>
        <v>0</v>
      </c>
      <c r="J456" s="17"/>
      <c r="K456" s="11">
        <f>VLOOKUP(A456,TB!TB1_1,4,FALSE)</f>
        <v>0</v>
      </c>
      <c r="L456" s="17">
        <f t="shared" si="278"/>
        <v>0</v>
      </c>
      <c r="N456" s="11">
        <f>VLOOKUP(A456,TB!TB,4,FALSE)</f>
        <v>0</v>
      </c>
      <c r="O456" s="17">
        <f t="shared" si="279"/>
        <v>0</v>
      </c>
    </row>
    <row r="457" spans="1:15" x14ac:dyDescent="0.25">
      <c r="A457" s="5" t="s">
        <v>549</v>
      </c>
      <c r="C457" s="5" t="s">
        <v>1656</v>
      </c>
      <c r="E457" s="11">
        <f>VLOOKUP(A457,TB!TB1_1,5,FALSE)</f>
        <v>180</v>
      </c>
      <c r="F457" s="17">
        <f t="shared" si="276"/>
        <v>6.0846474862014151E-5</v>
      </c>
      <c r="G457" s="17"/>
      <c r="H457" s="11">
        <f>VLOOKUP(A457,TB!TB,5,FALSE)</f>
        <v>456.25</v>
      </c>
      <c r="I457" s="17">
        <f t="shared" si="277"/>
        <v>2.0700313590808696E-4</v>
      </c>
      <c r="J457" s="17"/>
      <c r="K457" s="11">
        <f>VLOOKUP(A457,TB!TB1_1,4,FALSE)</f>
        <v>180</v>
      </c>
      <c r="L457" s="17">
        <f t="shared" si="278"/>
        <v>6.0846474862014151E-5</v>
      </c>
      <c r="N457" s="11">
        <f>VLOOKUP(A457,TB!TB,4,FALSE)</f>
        <v>456.25</v>
      </c>
      <c r="O457" s="17">
        <f t="shared" si="279"/>
        <v>2.0700313590808696E-4</v>
      </c>
    </row>
    <row r="458" spans="1:15" x14ac:dyDescent="0.25">
      <c r="A458" s="5" t="s">
        <v>921</v>
      </c>
      <c r="C458" s="5" t="s">
        <v>1657</v>
      </c>
      <c r="E458" s="11">
        <f>VLOOKUP(A458,TB!TB1_1,5,FALSE)</f>
        <v>0</v>
      </c>
      <c r="F458" s="17">
        <f t="shared" si="276"/>
        <v>0</v>
      </c>
      <c r="G458" s="17"/>
      <c r="H458" s="11">
        <f>VLOOKUP(A458,TB!TB,5,FALSE)</f>
        <v>0</v>
      </c>
      <c r="I458" s="17">
        <f t="shared" si="277"/>
        <v>0</v>
      </c>
      <c r="J458" s="17"/>
      <c r="K458" s="11">
        <f>VLOOKUP(A458,TB!TB1_1,4,FALSE)</f>
        <v>0</v>
      </c>
      <c r="L458" s="17">
        <f t="shared" si="278"/>
        <v>0</v>
      </c>
      <c r="N458" s="11">
        <f>VLOOKUP(A458,TB!TB,4,FALSE)</f>
        <v>0</v>
      </c>
      <c r="O458" s="17">
        <f t="shared" si="279"/>
        <v>0</v>
      </c>
    </row>
    <row r="459" spans="1:15" x14ac:dyDescent="0.25">
      <c r="A459" s="5" t="s">
        <v>551</v>
      </c>
      <c r="C459" s="5" t="s">
        <v>1658</v>
      </c>
      <c r="E459" s="11">
        <f>VLOOKUP(A459,TB!TB1_1,5,FALSE)</f>
        <v>2152.94</v>
      </c>
      <c r="F459" s="17">
        <f t="shared" si="276"/>
        <v>7.277711643856931E-4</v>
      </c>
      <c r="G459" s="17"/>
      <c r="H459" s="11">
        <f>VLOOKUP(A459,TB!TB,5,FALSE)</f>
        <v>12106.65</v>
      </c>
      <c r="I459" s="17">
        <f t="shared" si="277"/>
        <v>5.4928537322556509E-3</v>
      </c>
      <c r="J459" s="17"/>
      <c r="K459" s="11">
        <f>VLOOKUP(A459,TB!TB1_1,4,FALSE)</f>
        <v>2152.94</v>
      </c>
      <c r="L459" s="17">
        <f t="shared" si="278"/>
        <v>7.277711643856931E-4</v>
      </c>
      <c r="N459" s="11">
        <f>VLOOKUP(A459,TB!TB,4,FALSE)</f>
        <v>12106.65</v>
      </c>
      <c r="O459" s="17">
        <f t="shared" si="279"/>
        <v>5.4928537322556509E-3</v>
      </c>
    </row>
    <row r="460" spans="1:15" x14ac:dyDescent="0.25">
      <c r="A460" s="5" t="s">
        <v>553</v>
      </c>
      <c r="C460" s="5" t="s">
        <v>1659</v>
      </c>
      <c r="E460" s="11">
        <f>VLOOKUP(A460,TB!TB1_1,5,FALSE)</f>
        <v>0</v>
      </c>
      <c r="F460" s="17">
        <f t="shared" si="276"/>
        <v>0</v>
      </c>
      <c r="G460" s="17"/>
      <c r="H460" s="11">
        <f>VLOOKUP(A460,TB!TB,5,FALSE)</f>
        <v>0</v>
      </c>
      <c r="I460" s="17">
        <f t="shared" si="277"/>
        <v>0</v>
      </c>
      <c r="J460" s="17"/>
      <c r="K460" s="11">
        <f>VLOOKUP(A460,TB!TB1_1,4,FALSE)</f>
        <v>0</v>
      </c>
      <c r="L460" s="17">
        <f t="shared" si="278"/>
        <v>0</v>
      </c>
      <c r="N460" s="11">
        <f>VLOOKUP(A460,TB!TB,4,FALSE)</f>
        <v>0</v>
      </c>
      <c r="O460" s="17">
        <f t="shared" si="279"/>
        <v>0</v>
      </c>
    </row>
    <row r="461" spans="1:15" x14ac:dyDescent="0.25">
      <c r="A461" s="5" t="s">
        <v>922</v>
      </c>
      <c r="C461" s="5" t="s">
        <v>1660</v>
      </c>
      <c r="E461" s="11">
        <f>VLOOKUP(A461,TB!TB1_1,5,FALSE)</f>
        <v>0</v>
      </c>
      <c r="F461" s="17">
        <f t="shared" si="276"/>
        <v>0</v>
      </c>
      <c r="G461" s="17"/>
      <c r="H461" s="11">
        <f>VLOOKUP(A461,TB!TB,5,FALSE)</f>
        <v>0</v>
      </c>
      <c r="I461" s="17">
        <f t="shared" si="277"/>
        <v>0</v>
      </c>
      <c r="J461" s="17"/>
      <c r="K461" s="11">
        <f>VLOOKUP(A461,TB!TB1_1,4,FALSE)</f>
        <v>0</v>
      </c>
      <c r="L461" s="17">
        <f t="shared" si="278"/>
        <v>0</v>
      </c>
      <c r="N461" s="11">
        <f>VLOOKUP(A461,TB!TB,4,FALSE)</f>
        <v>0</v>
      </c>
      <c r="O461" s="17">
        <f t="shared" si="279"/>
        <v>0</v>
      </c>
    </row>
    <row r="462" spans="1:15" x14ac:dyDescent="0.25">
      <c r="A462" s="5" t="s">
        <v>555</v>
      </c>
      <c r="C462" s="5" t="s">
        <v>1661</v>
      </c>
      <c r="E462" s="11">
        <f>VLOOKUP(A462,TB!TB1_1,5,FALSE)</f>
        <v>7216.33</v>
      </c>
      <c r="F462" s="17">
        <f t="shared" si="276"/>
        <v>2.4393791218944366E-3</v>
      </c>
      <c r="G462" s="17"/>
      <c r="H462" s="11">
        <f>VLOOKUP(A462,TB!TB,5,FALSE)</f>
        <v>6996.54</v>
      </c>
      <c r="I462" s="17">
        <f t="shared" si="277"/>
        <v>3.1743687024797075E-3</v>
      </c>
      <c r="J462" s="17"/>
      <c r="K462" s="11">
        <f>VLOOKUP(A462,TB!TB1_1,4,FALSE)</f>
        <v>7216.33</v>
      </c>
      <c r="L462" s="17">
        <f t="shared" si="278"/>
        <v>2.4393791218944366E-3</v>
      </c>
      <c r="N462" s="11">
        <f>VLOOKUP(A462,TB!TB,4,FALSE)</f>
        <v>6996.54</v>
      </c>
      <c r="O462" s="17">
        <f t="shared" si="279"/>
        <v>3.1743687024797075E-3</v>
      </c>
    </row>
    <row r="463" spans="1:15" x14ac:dyDescent="0.25">
      <c r="A463" s="5" t="s">
        <v>923</v>
      </c>
      <c r="C463" s="5" t="s">
        <v>1662</v>
      </c>
      <c r="E463" s="11">
        <f>VLOOKUP(A463,TB!TB1_1,5,FALSE)</f>
        <v>0</v>
      </c>
      <c r="F463" s="17">
        <f t="shared" si="276"/>
        <v>0</v>
      </c>
      <c r="G463" s="17"/>
      <c r="H463" s="11">
        <f>VLOOKUP(A463,TB!TB,5,FALSE)</f>
        <v>0</v>
      </c>
      <c r="I463" s="17">
        <f t="shared" si="277"/>
        <v>0</v>
      </c>
      <c r="J463" s="17"/>
      <c r="K463" s="11">
        <f>VLOOKUP(A463,TB!TB1_1,4,FALSE)</f>
        <v>0</v>
      </c>
      <c r="L463" s="17">
        <f t="shared" si="278"/>
        <v>0</v>
      </c>
      <c r="N463" s="11">
        <f>VLOOKUP(A463,TB!TB,4,FALSE)</f>
        <v>0</v>
      </c>
      <c r="O463" s="17">
        <f t="shared" si="279"/>
        <v>0</v>
      </c>
    </row>
    <row r="464" spans="1:15" x14ac:dyDescent="0.25">
      <c r="A464" s="83" t="s">
        <v>1387</v>
      </c>
      <c r="C464" s="5" t="s">
        <v>1663</v>
      </c>
      <c r="E464" s="11">
        <f>VLOOKUP(A464,TB!TB1_1,5,FALSE)</f>
        <v>0</v>
      </c>
      <c r="F464" s="17">
        <f t="shared" ref="F464:F471" si="300">IF(E$160,E464/E$160,0)</f>
        <v>0</v>
      </c>
      <c r="G464" s="17"/>
      <c r="H464" s="11">
        <f>VLOOKUP(A464,TB!TB,5,FALSE)</f>
        <v>0</v>
      </c>
      <c r="I464" s="17">
        <f t="shared" ref="I464:I471" si="301">IF(H$160,H464/H$160,0)</f>
        <v>0</v>
      </c>
      <c r="J464" s="17"/>
      <c r="K464" s="11">
        <f>VLOOKUP(A464,TB!TB1_1,4,FALSE)</f>
        <v>0</v>
      </c>
      <c r="L464" s="17">
        <f t="shared" ref="L464:L471" si="302">IF(K$160,K464/K$160,0)</f>
        <v>0</v>
      </c>
      <c r="N464" s="11">
        <f>VLOOKUP(A464,TB!TB,4,FALSE)</f>
        <v>0</v>
      </c>
      <c r="O464" s="17">
        <f t="shared" ref="O464:O471" si="303">IF(N$160,N464/N$160,0)</f>
        <v>0</v>
      </c>
    </row>
    <row r="465" spans="1:15" x14ac:dyDescent="0.25">
      <c r="A465" s="83" t="s">
        <v>1511</v>
      </c>
      <c r="C465" s="5" t="s">
        <v>2052</v>
      </c>
      <c r="E465" s="11">
        <f>VLOOKUP(A465,TB!TB1_1,5,FALSE)</f>
        <v>0</v>
      </c>
      <c r="F465" s="17">
        <f t="shared" ref="F465" si="304">IF(E$160,E465/E$160,0)</f>
        <v>0</v>
      </c>
      <c r="G465" s="17"/>
      <c r="H465" s="11">
        <f>VLOOKUP(A465,TB!TB,5,FALSE)</f>
        <v>0</v>
      </c>
      <c r="I465" s="17">
        <f t="shared" ref="I465" si="305">IF(H$160,H465/H$160,0)</f>
        <v>0</v>
      </c>
      <c r="J465" s="17"/>
      <c r="K465" s="11">
        <f>VLOOKUP(A465,TB!TB1_1,4,FALSE)</f>
        <v>0</v>
      </c>
      <c r="L465" s="17">
        <f t="shared" ref="L465" si="306">IF(K$160,K465/K$160,0)</f>
        <v>0</v>
      </c>
      <c r="N465" s="11">
        <f>VLOOKUP(A465,TB!TB,4,FALSE)</f>
        <v>0</v>
      </c>
      <c r="O465" s="17">
        <f t="shared" ref="O465" si="307">IF(N$160,N465/N$160,0)</f>
        <v>0</v>
      </c>
    </row>
    <row r="466" spans="1:15" x14ac:dyDescent="0.25">
      <c r="A466" s="5" t="s">
        <v>924</v>
      </c>
      <c r="C466" s="5" t="s">
        <v>1664</v>
      </c>
      <c r="E466" s="11">
        <f>VLOOKUP(A466,TB!TB1_1,5,FALSE)</f>
        <v>0</v>
      </c>
      <c r="F466" s="17">
        <f t="shared" si="300"/>
        <v>0</v>
      </c>
      <c r="G466" s="17"/>
      <c r="H466" s="11">
        <f>VLOOKUP(A466,TB!TB,5,FALSE)</f>
        <v>0</v>
      </c>
      <c r="I466" s="17">
        <f t="shared" si="301"/>
        <v>0</v>
      </c>
      <c r="J466" s="17"/>
      <c r="K466" s="11">
        <f>VLOOKUP(A466,TB!TB1_1,4,FALSE)</f>
        <v>0</v>
      </c>
      <c r="L466" s="17">
        <f t="shared" si="302"/>
        <v>0</v>
      </c>
      <c r="N466" s="11">
        <f>VLOOKUP(A466,TB!TB,4,FALSE)</f>
        <v>0</v>
      </c>
      <c r="O466" s="17">
        <f t="shared" si="303"/>
        <v>0</v>
      </c>
    </row>
    <row r="467" spans="1:15" x14ac:dyDescent="0.25">
      <c r="A467" s="5" t="s">
        <v>927</v>
      </c>
      <c r="C467" s="5" t="s">
        <v>1665</v>
      </c>
      <c r="E467" s="11">
        <f>VLOOKUP(A467,TB!TB1_1,5,FALSE)</f>
        <v>0</v>
      </c>
      <c r="F467" s="17">
        <f t="shared" si="300"/>
        <v>0</v>
      </c>
      <c r="G467" s="17"/>
      <c r="H467" s="11">
        <f>VLOOKUP(A467,TB!TB,5,FALSE)</f>
        <v>0</v>
      </c>
      <c r="I467" s="17">
        <f t="shared" si="301"/>
        <v>0</v>
      </c>
      <c r="J467" s="17"/>
      <c r="K467" s="11">
        <f>VLOOKUP(A467,TB!TB1_1,4,FALSE)</f>
        <v>0</v>
      </c>
      <c r="L467" s="17">
        <f t="shared" si="302"/>
        <v>0</v>
      </c>
      <c r="N467" s="11">
        <f>VLOOKUP(A467,TB!TB,4,FALSE)</f>
        <v>0</v>
      </c>
      <c r="O467" s="17">
        <f t="shared" si="303"/>
        <v>0</v>
      </c>
    </row>
    <row r="468" spans="1:15" x14ac:dyDescent="0.25">
      <c r="A468" s="5" t="s">
        <v>564</v>
      </c>
      <c r="C468" s="5" t="s">
        <v>1666</v>
      </c>
      <c r="E468" s="11">
        <f>VLOOKUP(A468,TB!TB1_1,5,FALSE)</f>
        <v>6688.68</v>
      </c>
      <c r="F468" s="17">
        <f t="shared" si="300"/>
        <v>2.2610144415558713E-3</v>
      </c>
      <c r="G468" s="17"/>
      <c r="H468" s="11">
        <f>VLOOKUP(A468,TB!TB,5,FALSE)</f>
        <v>3965.2</v>
      </c>
      <c r="I468" s="17">
        <f t="shared" si="301"/>
        <v>1.7990330619238276E-3</v>
      </c>
      <c r="J468" s="17"/>
      <c r="K468" s="11">
        <f>VLOOKUP(A468,TB!TB1_1,4,FALSE)</f>
        <v>6688.68</v>
      </c>
      <c r="L468" s="17">
        <f t="shared" si="302"/>
        <v>2.2610144415558713E-3</v>
      </c>
      <c r="N468" s="11">
        <f>VLOOKUP(A468,TB!TB,4,FALSE)</f>
        <v>3965.2</v>
      </c>
      <c r="O468" s="17">
        <f t="shared" si="303"/>
        <v>1.7990330619238276E-3</v>
      </c>
    </row>
    <row r="469" spans="1:15" x14ac:dyDescent="0.25">
      <c r="A469" s="5" t="s">
        <v>928</v>
      </c>
      <c r="C469" s="5" t="s">
        <v>1667</v>
      </c>
      <c r="E469" s="11">
        <f>VLOOKUP(A469,TB!TB1_1,5,FALSE)</f>
        <v>0</v>
      </c>
      <c r="F469" s="17">
        <f t="shared" si="300"/>
        <v>0</v>
      </c>
      <c r="G469" s="17"/>
      <c r="H469" s="11">
        <f>VLOOKUP(A469,TB!TB,5,FALSE)</f>
        <v>0</v>
      </c>
      <c r="I469" s="17">
        <f t="shared" si="301"/>
        <v>0</v>
      </c>
      <c r="J469" s="17"/>
      <c r="K469" s="11">
        <f>VLOOKUP(A469,TB!TB1_1,4,FALSE)</f>
        <v>0</v>
      </c>
      <c r="L469" s="17">
        <f t="shared" si="302"/>
        <v>0</v>
      </c>
      <c r="N469" s="11">
        <f>VLOOKUP(A469,TB!TB,4,FALSE)</f>
        <v>0</v>
      </c>
      <c r="O469" s="17">
        <f t="shared" si="303"/>
        <v>0</v>
      </c>
    </row>
    <row r="470" spans="1:15" x14ac:dyDescent="0.25">
      <c r="A470" s="5" t="s">
        <v>566</v>
      </c>
      <c r="C470" s="5" t="s">
        <v>1668</v>
      </c>
      <c r="E470" s="11">
        <f>VLOOKUP(A470,TB!TB1_1,5,FALSE)</f>
        <v>63.44</v>
      </c>
      <c r="F470" s="17">
        <f t="shared" si="300"/>
        <v>2.1445002029145432E-5</v>
      </c>
      <c r="G470" s="17"/>
      <c r="H470" s="11">
        <f>VLOOKUP(A470,TB!TB,5,FALSE)</f>
        <v>0</v>
      </c>
      <c r="I470" s="17">
        <f t="shared" si="301"/>
        <v>0</v>
      </c>
      <c r="J470" s="17"/>
      <c r="K470" s="11">
        <f>VLOOKUP(A470,TB!TB1_1,4,FALSE)</f>
        <v>63.44</v>
      </c>
      <c r="L470" s="17">
        <f t="shared" si="302"/>
        <v>2.1445002029145432E-5</v>
      </c>
      <c r="N470" s="11">
        <f>VLOOKUP(A470,TB!TB,4,FALSE)</f>
        <v>0</v>
      </c>
      <c r="O470" s="17">
        <f t="shared" si="303"/>
        <v>0</v>
      </c>
    </row>
    <row r="471" spans="1:15" x14ac:dyDescent="0.25">
      <c r="A471" s="5" t="s">
        <v>929</v>
      </c>
      <c r="C471" s="5" t="s">
        <v>1669</v>
      </c>
      <c r="E471" s="11">
        <f>VLOOKUP(A471,TB!TB1_1,5,FALSE)</f>
        <v>0</v>
      </c>
      <c r="F471" s="17">
        <f t="shared" si="300"/>
        <v>0</v>
      </c>
      <c r="G471" s="17"/>
      <c r="H471" s="11">
        <f>VLOOKUP(A471,TB!TB,5,FALSE)</f>
        <v>0</v>
      </c>
      <c r="I471" s="17">
        <f t="shared" si="301"/>
        <v>0</v>
      </c>
      <c r="J471" s="17"/>
      <c r="K471" s="11">
        <f>VLOOKUP(A471,TB!TB1_1,4,FALSE)</f>
        <v>0</v>
      </c>
      <c r="L471" s="17">
        <f t="shared" si="302"/>
        <v>0</v>
      </c>
      <c r="N471" s="11">
        <f>VLOOKUP(A471,TB!TB,4,FALSE)</f>
        <v>0</v>
      </c>
      <c r="O471" s="17">
        <f t="shared" si="303"/>
        <v>0</v>
      </c>
    </row>
    <row r="472" spans="1:15" x14ac:dyDescent="0.25">
      <c r="A472" s="5" t="s">
        <v>570</v>
      </c>
      <c r="C472" s="5" t="s">
        <v>1670</v>
      </c>
      <c r="E472" s="11">
        <f>VLOOKUP(A472,TB!TB1_1,5,FALSE)</f>
        <v>0</v>
      </c>
      <c r="F472" s="17">
        <f t="shared" si="276"/>
        <v>0</v>
      </c>
      <c r="G472" s="17"/>
      <c r="H472" s="11">
        <f>VLOOKUP(A472,TB!TB,5,FALSE)</f>
        <v>0</v>
      </c>
      <c r="I472" s="17">
        <f t="shared" si="277"/>
        <v>0</v>
      </c>
      <c r="J472" s="17"/>
      <c r="K472" s="11">
        <f>VLOOKUP(A472,TB!TB1_1,4,FALSE)</f>
        <v>0</v>
      </c>
      <c r="L472" s="17">
        <f t="shared" si="278"/>
        <v>0</v>
      </c>
      <c r="N472" s="11">
        <f>VLOOKUP(A472,TB!TB,4,FALSE)</f>
        <v>0</v>
      </c>
      <c r="O472" s="17">
        <f t="shared" si="279"/>
        <v>0</v>
      </c>
    </row>
    <row r="473" spans="1:15" x14ac:dyDescent="0.25">
      <c r="A473" s="5" t="s">
        <v>572</v>
      </c>
      <c r="C473" s="5" t="s">
        <v>1671</v>
      </c>
      <c r="E473" s="11">
        <f>VLOOKUP(A473,TB!TB1_1,5,FALSE)</f>
        <v>630.94000000000005</v>
      </c>
      <c r="F473" s="17">
        <f t="shared" si="276"/>
        <v>2.1328041583021785E-4</v>
      </c>
      <c r="G473" s="17"/>
      <c r="H473" s="11">
        <f>VLOOKUP(A473,TB!TB,5,FALSE)</f>
        <v>436.36</v>
      </c>
      <c r="I473" s="17">
        <f t="shared" si="277"/>
        <v>1.9797893344625277E-4</v>
      </c>
      <c r="J473" s="17"/>
      <c r="K473" s="11">
        <f>VLOOKUP(A473,TB!TB1_1,4,FALSE)</f>
        <v>630.94000000000005</v>
      </c>
      <c r="L473" s="17">
        <f t="shared" si="278"/>
        <v>2.1328041583021785E-4</v>
      </c>
      <c r="N473" s="11">
        <f>VLOOKUP(A473,TB!TB,4,FALSE)</f>
        <v>436.36</v>
      </c>
      <c r="O473" s="17">
        <f t="shared" si="279"/>
        <v>1.9797893344625277E-4</v>
      </c>
    </row>
    <row r="474" spans="1:15" x14ac:dyDescent="0.25">
      <c r="A474" s="5" t="s">
        <v>930</v>
      </c>
      <c r="C474" s="5" t="s">
        <v>1672</v>
      </c>
      <c r="E474" s="11">
        <f>VLOOKUP(A474,TB!TB1_1,5,FALSE)</f>
        <v>136.44</v>
      </c>
      <c r="F474" s="17">
        <f t="shared" si="276"/>
        <v>4.6121627945406726E-5</v>
      </c>
      <c r="G474" s="17"/>
      <c r="H474" s="11">
        <f>VLOOKUP(A474,TB!TB,5,FALSE)</f>
        <v>102.82</v>
      </c>
      <c r="I474" s="17">
        <f t="shared" si="277"/>
        <v>4.6649999855494792E-5</v>
      </c>
      <c r="J474" s="17"/>
      <c r="K474" s="11">
        <f>VLOOKUP(A474,TB!TB1_1,4,FALSE)</f>
        <v>136.44</v>
      </c>
      <c r="L474" s="17">
        <f t="shared" si="278"/>
        <v>4.6121627945406726E-5</v>
      </c>
      <c r="N474" s="11">
        <f>VLOOKUP(A474,TB!TB,4,FALSE)</f>
        <v>102.82</v>
      </c>
      <c r="O474" s="17">
        <f t="shared" si="279"/>
        <v>4.6649999855494792E-5</v>
      </c>
    </row>
    <row r="475" spans="1:15" x14ac:dyDescent="0.25">
      <c r="A475" s="5" t="s">
        <v>574</v>
      </c>
      <c r="C475" s="5" t="s">
        <v>1673</v>
      </c>
      <c r="E475" s="11">
        <f>VLOOKUP(A475,TB!TB1_1,5,FALSE)</f>
        <v>230.76</v>
      </c>
      <c r="F475" s="17">
        <f t="shared" si="276"/>
        <v>7.8005180773102145E-5</v>
      </c>
      <c r="G475" s="17"/>
      <c r="H475" s="11">
        <f>VLOOKUP(A475,TB!TB,5,FALSE)</f>
        <v>67.66</v>
      </c>
      <c r="I475" s="17">
        <f t="shared" si="277"/>
        <v>3.0697714357350496E-5</v>
      </c>
      <c r="J475" s="17"/>
      <c r="K475" s="11">
        <f>VLOOKUP(A475,TB!TB1_1,4,FALSE)</f>
        <v>230.76</v>
      </c>
      <c r="L475" s="17">
        <f t="shared" si="278"/>
        <v>7.8005180773102145E-5</v>
      </c>
      <c r="N475" s="11">
        <f>VLOOKUP(A475,TB!TB,4,FALSE)</f>
        <v>67.66</v>
      </c>
      <c r="O475" s="17">
        <f t="shared" si="279"/>
        <v>3.0697714357350496E-5</v>
      </c>
    </row>
    <row r="476" spans="1:15" x14ac:dyDescent="0.25">
      <c r="A476" s="83" t="s">
        <v>1429</v>
      </c>
      <c r="C476" s="5" t="s">
        <v>1674</v>
      </c>
      <c r="E476" s="11">
        <f>VLOOKUP(A476,TB!TB1_1,5,FALSE)</f>
        <v>0</v>
      </c>
      <c r="F476" s="17">
        <f t="shared" ref="F476" si="308">IF(E$160,E476/E$160,0)</f>
        <v>0</v>
      </c>
      <c r="G476" s="17"/>
      <c r="H476" s="11">
        <f>VLOOKUP(A476,TB!TB,5,FALSE)</f>
        <v>0</v>
      </c>
      <c r="I476" s="17">
        <f t="shared" ref="I476" si="309">IF(H$160,H476/H$160,0)</f>
        <v>0</v>
      </c>
      <c r="J476" s="17"/>
      <c r="K476" s="11">
        <f>VLOOKUP(A476,TB!TB1_1,4,FALSE)</f>
        <v>0</v>
      </c>
      <c r="L476" s="17">
        <f t="shared" ref="L476" si="310">IF(K$160,K476/K$160,0)</f>
        <v>0</v>
      </c>
      <c r="N476" s="11">
        <f>VLOOKUP(A476,TB!TB,4,FALSE)</f>
        <v>0</v>
      </c>
      <c r="O476" s="17">
        <f t="shared" ref="O476" si="311">IF(N$160,N476/N$160,0)</f>
        <v>0</v>
      </c>
    </row>
    <row r="477" spans="1:15" x14ac:dyDescent="0.25">
      <c r="A477" s="5" t="s">
        <v>576</v>
      </c>
      <c r="C477" s="5" t="s">
        <v>1675</v>
      </c>
      <c r="E477" s="11">
        <f>VLOOKUP(A477,TB!TB1_1,5,FALSE)</f>
        <v>0</v>
      </c>
      <c r="F477" s="17">
        <f t="shared" si="276"/>
        <v>0</v>
      </c>
      <c r="G477" s="17"/>
      <c r="H477" s="11">
        <f>VLOOKUP(A477,TB!TB,5,FALSE)</f>
        <v>0</v>
      </c>
      <c r="I477" s="17">
        <f t="shared" si="277"/>
        <v>0</v>
      </c>
      <c r="J477" s="17"/>
      <c r="K477" s="11">
        <f>VLOOKUP(A477,TB!TB1_1,4,FALSE)</f>
        <v>0</v>
      </c>
      <c r="L477" s="17">
        <f t="shared" si="278"/>
        <v>0</v>
      </c>
      <c r="N477" s="11">
        <f>VLOOKUP(A477,TB!TB,4,FALSE)</f>
        <v>0</v>
      </c>
      <c r="O477" s="17">
        <f t="shared" si="279"/>
        <v>0</v>
      </c>
    </row>
    <row r="478" spans="1:15" x14ac:dyDescent="0.25">
      <c r="A478" s="5" t="s">
        <v>932</v>
      </c>
      <c r="C478" s="5" t="s">
        <v>1676</v>
      </c>
      <c r="E478" s="11">
        <f>VLOOKUP(A478,TB!TB1_1,5,FALSE)</f>
        <v>0</v>
      </c>
      <c r="F478" s="17">
        <f t="shared" si="276"/>
        <v>0</v>
      </c>
      <c r="G478" s="17"/>
      <c r="H478" s="11">
        <f>VLOOKUP(A478,TB!TB,5,FALSE)</f>
        <v>0</v>
      </c>
      <c r="I478" s="17">
        <f t="shared" si="277"/>
        <v>0</v>
      </c>
      <c r="J478" s="17"/>
      <c r="K478" s="11">
        <f>VLOOKUP(A478,TB!TB1_1,4,FALSE)</f>
        <v>0</v>
      </c>
      <c r="L478" s="17">
        <f t="shared" si="278"/>
        <v>0</v>
      </c>
      <c r="N478" s="11">
        <f>VLOOKUP(A478,TB!TB,4,FALSE)</f>
        <v>0</v>
      </c>
      <c r="O478" s="17">
        <f t="shared" si="279"/>
        <v>0</v>
      </c>
    </row>
    <row r="479" spans="1:15" x14ac:dyDescent="0.25">
      <c r="A479" s="5" t="s">
        <v>578</v>
      </c>
      <c r="C479" s="5" t="s">
        <v>1677</v>
      </c>
      <c r="E479" s="11">
        <f>VLOOKUP(A479,TB!TB1_1,5,FALSE)</f>
        <v>1506.17</v>
      </c>
      <c r="F479" s="17">
        <f t="shared" si="276"/>
        <v>5.0913963912733258E-4</v>
      </c>
      <c r="G479" s="17"/>
      <c r="H479" s="11">
        <f>VLOOKUP(A479,TB!TB,5,FALSE)</f>
        <v>1264.8800000000001</v>
      </c>
      <c r="I479" s="17">
        <f t="shared" si="277"/>
        <v>5.7388301709023794E-4</v>
      </c>
      <c r="J479" s="17"/>
      <c r="K479" s="11">
        <f>VLOOKUP(A479,TB!TB1_1,4,FALSE)</f>
        <v>1506.17</v>
      </c>
      <c r="L479" s="17">
        <f t="shared" si="278"/>
        <v>5.0913963912733258E-4</v>
      </c>
      <c r="N479" s="11">
        <f>VLOOKUP(A479,TB!TB,4,FALSE)</f>
        <v>1264.8800000000001</v>
      </c>
      <c r="O479" s="17">
        <f t="shared" si="279"/>
        <v>5.7388301709023794E-4</v>
      </c>
    </row>
    <row r="480" spans="1:15" x14ac:dyDescent="0.25">
      <c r="A480" s="5" t="s">
        <v>933</v>
      </c>
      <c r="C480" s="5" t="s">
        <v>1678</v>
      </c>
      <c r="E480" s="11">
        <f>VLOOKUP(A480,TB!TB1_1,5,FALSE)</f>
        <v>0</v>
      </c>
      <c r="F480" s="17">
        <f t="shared" si="276"/>
        <v>0</v>
      </c>
      <c r="G480" s="17"/>
      <c r="H480" s="11">
        <f>VLOOKUP(A480,TB!TB,5,FALSE)</f>
        <v>0</v>
      </c>
      <c r="I480" s="17">
        <f t="shared" si="277"/>
        <v>0</v>
      </c>
      <c r="J480" s="17"/>
      <c r="K480" s="11">
        <f>VLOOKUP(A480,TB!TB1_1,4,FALSE)</f>
        <v>0</v>
      </c>
      <c r="L480" s="17">
        <f t="shared" si="278"/>
        <v>0</v>
      </c>
      <c r="N480" s="11">
        <f>VLOOKUP(A480,TB!TB,4,FALSE)</f>
        <v>0</v>
      </c>
      <c r="O480" s="17">
        <f t="shared" si="279"/>
        <v>0</v>
      </c>
    </row>
    <row r="481" spans="1:15" x14ac:dyDescent="0.25">
      <c r="A481" s="5" t="s">
        <v>580</v>
      </c>
      <c r="C481" s="5" t="s">
        <v>1679</v>
      </c>
      <c r="E481" s="11">
        <f>VLOOKUP(A481,TB!TB1_1,5,FALSE)</f>
        <v>716.25</v>
      </c>
      <c r="F481" s="17">
        <f t="shared" si="276"/>
        <v>2.4211826455509798E-4</v>
      </c>
      <c r="G481" s="17"/>
      <c r="H481" s="11">
        <f>VLOOKUP(A481,TB!TB,5,FALSE)</f>
        <v>509.83</v>
      </c>
      <c r="I481" s="17">
        <f t="shared" si="277"/>
        <v>2.3131267677812596E-4</v>
      </c>
      <c r="J481" s="17"/>
      <c r="K481" s="11">
        <f>VLOOKUP(A481,TB!TB1_1,4,FALSE)</f>
        <v>716.25</v>
      </c>
      <c r="L481" s="17">
        <f t="shared" si="278"/>
        <v>2.4211826455509798E-4</v>
      </c>
      <c r="N481" s="11">
        <f>VLOOKUP(A481,TB!TB,4,FALSE)</f>
        <v>509.83</v>
      </c>
      <c r="O481" s="17">
        <f t="shared" si="279"/>
        <v>2.3131267677812596E-4</v>
      </c>
    </row>
    <row r="482" spans="1:15" x14ac:dyDescent="0.25">
      <c r="A482" s="5" t="s">
        <v>582</v>
      </c>
      <c r="C482" s="5" t="s">
        <v>1680</v>
      </c>
      <c r="E482" s="11">
        <f>VLOOKUP(A482,TB!TB1_1,5,FALSE)</f>
        <v>21556.400000000001</v>
      </c>
      <c r="F482" s="17">
        <f t="shared" ref="F482:F551" si="312">IF(E$160,E482/E$160,0)</f>
        <v>7.2868386150862332E-3</v>
      </c>
      <c r="G482" s="17"/>
      <c r="H482" s="11">
        <f>VLOOKUP(A482,TB!TB,5,FALSE)</f>
        <v>12015.99</v>
      </c>
      <c r="I482" s="17">
        <f t="shared" ref="I482:I551" si="313">IF(H$160,H482/H$160,0)</f>
        <v>5.4517207913210158E-3</v>
      </c>
      <c r="J482" s="17"/>
      <c r="K482" s="11">
        <f>VLOOKUP(A482,TB!TB1_1,4,FALSE)</f>
        <v>21556.400000000001</v>
      </c>
      <c r="L482" s="17">
        <f t="shared" ref="L482:L551" si="314">IF(K$160,K482/K$160,0)</f>
        <v>7.2868386150862332E-3</v>
      </c>
      <c r="N482" s="11">
        <f>VLOOKUP(A482,TB!TB,4,FALSE)</f>
        <v>12015.99</v>
      </c>
      <c r="O482" s="17">
        <f t="shared" ref="O482:O551" si="315">IF(N$160,N482/N$160,0)</f>
        <v>5.4517207913210158E-3</v>
      </c>
    </row>
    <row r="483" spans="1:15" x14ac:dyDescent="0.25">
      <c r="A483" s="5" t="s">
        <v>584</v>
      </c>
      <c r="C483" s="5" t="s">
        <v>1681</v>
      </c>
      <c r="E483" s="11">
        <f>VLOOKUP(A483,TB!TB1_1,5,FALSE)</f>
        <v>293.26</v>
      </c>
      <c r="F483" s="17">
        <f t="shared" si="312"/>
        <v>9.9132428989079271E-5</v>
      </c>
      <c r="G483" s="17"/>
      <c r="H483" s="11">
        <f>VLOOKUP(A483,TB!TB,5,FALSE)</f>
        <v>0</v>
      </c>
      <c r="I483" s="17">
        <f t="shared" si="313"/>
        <v>0</v>
      </c>
      <c r="J483" s="17"/>
      <c r="K483" s="11">
        <f>VLOOKUP(A483,TB!TB1_1,4,FALSE)</f>
        <v>293.26</v>
      </c>
      <c r="L483" s="17">
        <f t="shared" si="314"/>
        <v>9.9132428989079271E-5</v>
      </c>
      <c r="N483" s="11">
        <f>VLOOKUP(A483,TB!TB,4,FALSE)</f>
        <v>0</v>
      </c>
      <c r="O483" s="17">
        <f t="shared" si="315"/>
        <v>0</v>
      </c>
    </row>
    <row r="484" spans="1:15" x14ac:dyDescent="0.25">
      <c r="A484" s="5" t="s">
        <v>586</v>
      </c>
      <c r="C484" s="5" t="s">
        <v>1682</v>
      </c>
      <c r="E484" s="11">
        <f>VLOOKUP(A484,TB!TB1_1,5,FALSE)</f>
        <v>2200</v>
      </c>
      <c r="F484" s="17">
        <f t="shared" si="312"/>
        <v>7.4367913720239519E-4</v>
      </c>
      <c r="G484" s="17"/>
      <c r="H484" s="11">
        <f>VLOOKUP(A484,TB!TB,5,FALSE)</f>
        <v>11912.05</v>
      </c>
      <c r="I484" s="17">
        <f t="shared" si="313"/>
        <v>5.4045626413017581E-3</v>
      </c>
      <c r="J484" s="17"/>
      <c r="K484" s="11">
        <f>VLOOKUP(A484,TB!TB1_1,4,FALSE)</f>
        <v>2200</v>
      </c>
      <c r="L484" s="17">
        <f t="shared" si="314"/>
        <v>7.4367913720239519E-4</v>
      </c>
      <c r="N484" s="11">
        <f>VLOOKUP(A484,TB!TB,4,FALSE)</f>
        <v>11912.05</v>
      </c>
      <c r="O484" s="17">
        <f t="shared" si="315"/>
        <v>5.4045626413017581E-3</v>
      </c>
    </row>
    <row r="485" spans="1:15" x14ac:dyDescent="0.25">
      <c r="A485" s="5" t="s">
        <v>934</v>
      </c>
      <c r="C485" s="5" t="s">
        <v>1683</v>
      </c>
      <c r="E485" s="11">
        <f>VLOOKUP(A485,TB!TB1_1,5,FALSE)</f>
        <v>0</v>
      </c>
      <c r="F485" s="17">
        <f t="shared" si="312"/>
        <v>0</v>
      </c>
      <c r="G485" s="17"/>
      <c r="H485" s="11">
        <f>VLOOKUP(A485,TB!TB,5,FALSE)</f>
        <v>0</v>
      </c>
      <c r="I485" s="17">
        <f t="shared" si="313"/>
        <v>0</v>
      </c>
      <c r="J485" s="17"/>
      <c r="K485" s="11">
        <f>VLOOKUP(A485,TB!TB1_1,4,FALSE)</f>
        <v>0</v>
      </c>
      <c r="L485" s="17">
        <f t="shared" si="314"/>
        <v>0</v>
      </c>
      <c r="N485" s="11">
        <f>VLOOKUP(A485,TB!TB,4,FALSE)</f>
        <v>0</v>
      </c>
      <c r="O485" s="17">
        <f t="shared" si="315"/>
        <v>0</v>
      </c>
    </row>
    <row r="486" spans="1:15" x14ac:dyDescent="0.25">
      <c r="A486" s="5" t="s">
        <v>588</v>
      </c>
      <c r="C486" s="5" t="s">
        <v>1684</v>
      </c>
      <c r="E486" s="11">
        <f>VLOOKUP(A486,TB!TB1_1,5,FALSE)</f>
        <v>0</v>
      </c>
      <c r="F486" s="17">
        <f t="shared" si="312"/>
        <v>0</v>
      </c>
      <c r="G486" s="17"/>
      <c r="H486" s="11">
        <f>VLOOKUP(A486,TB!TB,5,FALSE)</f>
        <v>0</v>
      </c>
      <c r="I486" s="17">
        <f t="shared" si="313"/>
        <v>0</v>
      </c>
      <c r="J486" s="17"/>
      <c r="K486" s="11">
        <f>VLOOKUP(A486,TB!TB1_1,4,FALSE)</f>
        <v>0</v>
      </c>
      <c r="L486" s="17">
        <f t="shared" si="314"/>
        <v>0</v>
      </c>
      <c r="N486" s="11">
        <f>VLOOKUP(A486,TB!TB,4,FALSE)</f>
        <v>0</v>
      </c>
      <c r="O486" s="17">
        <f t="shared" si="315"/>
        <v>0</v>
      </c>
    </row>
    <row r="487" spans="1:15" x14ac:dyDescent="0.25">
      <c r="A487" s="83" t="s">
        <v>1430</v>
      </c>
      <c r="C487" s="5" t="s">
        <v>1685</v>
      </c>
      <c r="E487" s="11">
        <f>VLOOKUP(A487,TB!TB1_1,5,FALSE)</f>
        <v>0</v>
      </c>
      <c r="F487" s="17">
        <f t="shared" ref="F487" si="316">IF(E$160,E487/E$160,0)</f>
        <v>0</v>
      </c>
      <c r="G487" s="17"/>
      <c r="H487" s="11">
        <f>VLOOKUP(A487,TB!TB,5,FALSE)</f>
        <v>0</v>
      </c>
      <c r="I487" s="17">
        <f t="shared" ref="I487" si="317">IF(H$160,H487/H$160,0)</f>
        <v>0</v>
      </c>
      <c r="J487" s="17"/>
      <c r="K487" s="11">
        <f>VLOOKUP(A487,TB!TB1_1,4,FALSE)</f>
        <v>0</v>
      </c>
      <c r="L487" s="17">
        <f t="shared" ref="L487" si="318">IF(K$160,K487/K$160,0)</f>
        <v>0</v>
      </c>
      <c r="N487" s="11">
        <f>VLOOKUP(A487,TB!TB,4,FALSE)</f>
        <v>0</v>
      </c>
      <c r="O487" s="17">
        <f t="shared" ref="O487" si="319">IF(N$160,N487/N$160,0)</f>
        <v>0</v>
      </c>
    </row>
    <row r="488" spans="1:15" x14ac:dyDescent="0.25">
      <c r="A488" s="5" t="s">
        <v>590</v>
      </c>
      <c r="C488" s="5" t="s">
        <v>1686</v>
      </c>
      <c r="E488" s="11">
        <f>VLOOKUP(A488,TB!TB1_1,5,FALSE)</f>
        <v>848</v>
      </c>
      <c r="F488" s="17">
        <f t="shared" si="312"/>
        <v>2.8665450379437781E-4</v>
      </c>
      <c r="G488" s="17"/>
      <c r="H488" s="11">
        <f>VLOOKUP(A488,TB!TB,5,FALSE)</f>
        <v>1273</v>
      </c>
      <c r="I488" s="17">
        <f t="shared" si="313"/>
        <v>5.7756710577752256E-4</v>
      </c>
      <c r="J488" s="17"/>
      <c r="K488" s="11">
        <f>VLOOKUP(A488,TB!TB1_1,4,FALSE)</f>
        <v>848</v>
      </c>
      <c r="L488" s="17">
        <f t="shared" si="314"/>
        <v>2.8665450379437781E-4</v>
      </c>
      <c r="N488" s="11">
        <f>VLOOKUP(A488,TB!TB,4,FALSE)</f>
        <v>1273</v>
      </c>
      <c r="O488" s="17">
        <f t="shared" si="315"/>
        <v>5.7756710577752256E-4</v>
      </c>
    </row>
    <row r="489" spans="1:15" x14ac:dyDescent="0.25">
      <c r="A489" s="5" t="s">
        <v>936</v>
      </c>
      <c r="C489" s="5" t="s">
        <v>1687</v>
      </c>
      <c r="E489" s="11">
        <f>VLOOKUP(A489,TB!TB1_1,5,FALSE)</f>
        <v>0</v>
      </c>
      <c r="F489" s="17">
        <f t="shared" si="312"/>
        <v>0</v>
      </c>
      <c r="G489" s="17"/>
      <c r="H489" s="11">
        <f>VLOOKUP(A489,TB!TB,5,FALSE)</f>
        <v>0</v>
      </c>
      <c r="I489" s="17">
        <f t="shared" si="313"/>
        <v>0</v>
      </c>
      <c r="J489" s="17"/>
      <c r="K489" s="11">
        <f>VLOOKUP(A489,TB!TB1_1,4,FALSE)</f>
        <v>0</v>
      </c>
      <c r="L489" s="17">
        <f t="shared" si="314"/>
        <v>0</v>
      </c>
      <c r="N489" s="11">
        <f>VLOOKUP(A489,TB!TB,4,FALSE)</f>
        <v>0</v>
      </c>
      <c r="O489" s="17">
        <f t="shared" si="315"/>
        <v>0</v>
      </c>
    </row>
    <row r="490" spans="1:15" x14ac:dyDescent="0.25">
      <c r="A490" s="5" t="s">
        <v>592</v>
      </c>
      <c r="C490" s="5" t="s">
        <v>1688</v>
      </c>
      <c r="E490" s="11">
        <f>VLOOKUP(A490,TB!TB1_1,5,FALSE)</f>
        <v>1731.24</v>
      </c>
      <c r="F490" s="17">
        <f t="shared" si="312"/>
        <v>5.8522139522285209E-4</v>
      </c>
      <c r="G490" s="17"/>
      <c r="H490" s="11">
        <f>VLOOKUP(A490,TB!TB,5,FALSE)</f>
        <v>726.26</v>
      </c>
      <c r="I490" s="17">
        <f t="shared" si="313"/>
        <v>3.2950815887037199E-4</v>
      </c>
      <c r="J490" s="17"/>
      <c r="K490" s="11">
        <f>VLOOKUP(A490,TB!TB1_1,4,FALSE)</f>
        <v>1731.24</v>
      </c>
      <c r="L490" s="17">
        <f t="shared" si="314"/>
        <v>5.8522139522285209E-4</v>
      </c>
      <c r="N490" s="11">
        <f>VLOOKUP(A490,TB!TB,4,FALSE)</f>
        <v>726.26</v>
      </c>
      <c r="O490" s="17">
        <f t="shared" si="315"/>
        <v>3.2950815887037199E-4</v>
      </c>
    </row>
    <row r="491" spans="1:15" x14ac:dyDescent="0.25">
      <c r="A491" s="5" t="s">
        <v>937</v>
      </c>
      <c r="C491" s="5" t="s">
        <v>1689</v>
      </c>
      <c r="E491" s="11">
        <f>VLOOKUP(A491,TB!TB1_1,5,FALSE)</f>
        <v>0</v>
      </c>
      <c r="F491" s="17">
        <f t="shared" si="312"/>
        <v>0</v>
      </c>
      <c r="G491" s="17"/>
      <c r="H491" s="11">
        <f>VLOOKUP(A491,TB!TB,5,FALSE)</f>
        <v>0</v>
      </c>
      <c r="I491" s="17">
        <f t="shared" si="313"/>
        <v>0</v>
      </c>
      <c r="J491" s="17"/>
      <c r="K491" s="11">
        <f>VLOOKUP(A491,TB!TB1_1,4,FALSE)</f>
        <v>0</v>
      </c>
      <c r="L491" s="17">
        <f t="shared" si="314"/>
        <v>0</v>
      </c>
      <c r="N491" s="11">
        <f>VLOOKUP(A491,TB!TB,4,FALSE)</f>
        <v>0</v>
      </c>
      <c r="O491" s="17">
        <f t="shared" si="315"/>
        <v>0</v>
      </c>
    </row>
    <row r="492" spans="1:15" x14ac:dyDescent="0.25">
      <c r="A492" s="5" t="s">
        <v>594</v>
      </c>
      <c r="C492" s="5" t="s">
        <v>1690</v>
      </c>
      <c r="E492" s="11">
        <f>VLOOKUP(A492,TB!TB1_1,5,FALSE)</f>
        <v>1999.25</v>
      </c>
      <c r="F492" s="17">
        <f t="shared" si="312"/>
        <v>6.7581841593267666E-4</v>
      </c>
      <c r="G492" s="17"/>
      <c r="H492" s="11">
        <f>VLOOKUP(A492,TB!TB,5,FALSE)</f>
        <v>8175.95</v>
      </c>
      <c r="I492" s="17">
        <f t="shared" si="313"/>
        <v>3.70947351019775E-3</v>
      </c>
      <c r="J492" s="17"/>
      <c r="K492" s="11">
        <f>VLOOKUP(A492,TB!TB1_1,4,FALSE)</f>
        <v>1999.25</v>
      </c>
      <c r="L492" s="17">
        <f t="shared" si="314"/>
        <v>6.7581841593267666E-4</v>
      </c>
      <c r="N492" s="11">
        <f>VLOOKUP(A492,TB!TB,4,FALSE)</f>
        <v>8175.95</v>
      </c>
      <c r="O492" s="17">
        <f t="shared" si="315"/>
        <v>3.70947351019775E-3</v>
      </c>
    </row>
    <row r="493" spans="1:15" x14ac:dyDescent="0.25">
      <c r="A493" s="5" t="s">
        <v>596</v>
      </c>
      <c r="C493" s="5" t="s">
        <v>1691</v>
      </c>
      <c r="E493" s="11">
        <f>VLOOKUP(A493,TB!TB1_1,5,FALSE)</f>
        <v>237.94</v>
      </c>
      <c r="F493" s="17">
        <f t="shared" si="312"/>
        <v>8.0432279048153594E-5</v>
      </c>
      <c r="G493" s="17"/>
      <c r="H493" s="11">
        <f>VLOOKUP(A493,TB!TB,5,FALSE)</f>
        <v>0</v>
      </c>
      <c r="I493" s="17">
        <f t="shared" si="313"/>
        <v>0</v>
      </c>
      <c r="J493" s="17"/>
      <c r="K493" s="11">
        <f>VLOOKUP(A493,TB!TB1_1,4,FALSE)</f>
        <v>237.94</v>
      </c>
      <c r="L493" s="17">
        <f t="shared" si="314"/>
        <v>8.0432279048153594E-5</v>
      </c>
      <c r="N493" s="11">
        <f>VLOOKUP(A493,TB!TB,4,FALSE)</f>
        <v>0</v>
      </c>
      <c r="O493" s="17">
        <f t="shared" si="315"/>
        <v>0</v>
      </c>
    </row>
    <row r="494" spans="1:15" x14ac:dyDescent="0.25">
      <c r="A494" s="5" t="s">
        <v>598</v>
      </c>
      <c r="C494" s="5" t="s">
        <v>1692</v>
      </c>
      <c r="E494" s="11">
        <f>VLOOKUP(A494,TB!TB1_1,5,FALSE)</f>
        <v>0</v>
      </c>
      <c r="F494" s="17">
        <f t="shared" si="312"/>
        <v>0</v>
      </c>
      <c r="G494" s="17"/>
      <c r="H494" s="11">
        <f>VLOOKUP(A494,TB!TB,5,FALSE)</f>
        <v>770.13</v>
      </c>
      <c r="I494" s="17">
        <f t="shared" si="313"/>
        <v>3.4941221930278357E-4</v>
      </c>
      <c r="J494" s="17"/>
      <c r="K494" s="11">
        <f>VLOOKUP(A494,TB!TB1_1,4,FALSE)</f>
        <v>0</v>
      </c>
      <c r="L494" s="17">
        <f t="shared" si="314"/>
        <v>0</v>
      </c>
      <c r="N494" s="11">
        <f>VLOOKUP(A494,TB!TB,4,FALSE)</f>
        <v>770.13</v>
      </c>
      <c r="O494" s="17">
        <f t="shared" si="315"/>
        <v>3.4941221930278357E-4</v>
      </c>
    </row>
    <row r="495" spans="1:15" x14ac:dyDescent="0.25">
      <c r="A495" s="5" t="s">
        <v>938</v>
      </c>
      <c r="C495" s="5" t="s">
        <v>1693</v>
      </c>
      <c r="E495" s="11">
        <f>VLOOKUP(A495,TB!TB1_1,5,FALSE)</f>
        <v>0</v>
      </c>
      <c r="F495" s="17">
        <f t="shared" si="312"/>
        <v>0</v>
      </c>
      <c r="G495" s="17"/>
      <c r="H495" s="11">
        <f>VLOOKUP(A495,TB!TB,5,FALSE)</f>
        <v>0</v>
      </c>
      <c r="I495" s="17">
        <f t="shared" si="313"/>
        <v>0</v>
      </c>
      <c r="J495" s="17"/>
      <c r="K495" s="11">
        <f>VLOOKUP(A495,TB!TB1_1,4,FALSE)</f>
        <v>0</v>
      </c>
      <c r="L495" s="17">
        <f t="shared" si="314"/>
        <v>0</v>
      </c>
      <c r="N495" s="11">
        <f>VLOOKUP(A495,TB!TB,4,FALSE)</f>
        <v>0</v>
      </c>
      <c r="O495" s="17">
        <f t="shared" si="315"/>
        <v>0</v>
      </c>
    </row>
    <row r="496" spans="1:15" x14ac:dyDescent="0.25">
      <c r="A496" s="5" t="s">
        <v>600</v>
      </c>
      <c r="C496" s="5" t="s">
        <v>1694</v>
      </c>
      <c r="E496" s="11">
        <f>VLOOKUP(A496,TB!TB1_1,5,FALSE)</f>
        <v>59.95</v>
      </c>
      <c r="F496" s="17">
        <f t="shared" si="312"/>
        <v>2.0265256488765272E-5</v>
      </c>
      <c r="G496" s="17"/>
      <c r="H496" s="11">
        <f>VLOOKUP(A496,TB!TB,5,FALSE)</f>
        <v>4110.3500000000004</v>
      </c>
      <c r="I496" s="17">
        <f t="shared" si="313"/>
        <v>1.8648884157365594E-3</v>
      </c>
      <c r="J496" s="17"/>
      <c r="K496" s="11">
        <f>VLOOKUP(A496,TB!TB1_1,4,FALSE)</f>
        <v>59.95</v>
      </c>
      <c r="L496" s="17">
        <f t="shared" si="314"/>
        <v>2.0265256488765272E-5</v>
      </c>
      <c r="N496" s="11">
        <f>VLOOKUP(A496,TB!TB,4,FALSE)</f>
        <v>4110.3500000000004</v>
      </c>
      <c r="O496" s="17">
        <f t="shared" si="315"/>
        <v>1.8648884157365594E-3</v>
      </c>
    </row>
    <row r="497" spans="1:15" x14ac:dyDescent="0.25">
      <c r="A497" s="5" t="s">
        <v>939</v>
      </c>
      <c r="C497" s="5" t="s">
        <v>1695</v>
      </c>
      <c r="E497" s="11">
        <f>VLOOKUP(A497,TB!TB1_1,5,FALSE)</f>
        <v>0</v>
      </c>
      <c r="F497" s="17">
        <f t="shared" si="312"/>
        <v>0</v>
      </c>
      <c r="G497" s="17"/>
      <c r="H497" s="11">
        <f>VLOOKUP(A497,TB!TB,5,FALSE)</f>
        <v>770.13</v>
      </c>
      <c r="I497" s="17">
        <f t="shared" si="313"/>
        <v>3.4941221930278357E-4</v>
      </c>
      <c r="J497" s="17"/>
      <c r="K497" s="11">
        <f>VLOOKUP(A497,TB!TB1_1,4,FALSE)</f>
        <v>0</v>
      </c>
      <c r="L497" s="17">
        <f t="shared" si="314"/>
        <v>0</v>
      </c>
      <c r="N497" s="11">
        <f>VLOOKUP(A497,TB!TB,4,FALSE)</f>
        <v>770.13</v>
      </c>
      <c r="O497" s="17">
        <f t="shared" si="315"/>
        <v>3.4941221930278357E-4</v>
      </c>
    </row>
    <row r="498" spans="1:15" x14ac:dyDescent="0.25">
      <c r="A498" s="5" t="s">
        <v>602</v>
      </c>
      <c r="C498" s="5" t="s">
        <v>1696</v>
      </c>
      <c r="E498" s="11">
        <f>VLOOKUP(A498,TB!TB1_1,5,FALSE)</f>
        <v>0</v>
      </c>
      <c r="F498" s="17">
        <f t="shared" si="312"/>
        <v>0</v>
      </c>
      <c r="G498" s="17"/>
      <c r="H498" s="11">
        <f>VLOOKUP(A498,TB!TB,5,FALSE)</f>
        <v>770.13</v>
      </c>
      <c r="I498" s="17">
        <f t="shared" si="313"/>
        <v>3.4941221930278357E-4</v>
      </c>
      <c r="J498" s="17"/>
      <c r="K498" s="11">
        <f>VLOOKUP(A498,TB!TB1_1,4,FALSE)</f>
        <v>0</v>
      </c>
      <c r="L498" s="17">
        <f t="shared" si="314"/>
        <v>0</v>
      </c>
      <c r="N498" s="11">
        <f>VLOOKUP(A498,TB!TB,4,FALSE)</f>
        <v>770.13</v>
      </c>
      <c r="O498" s="17">
        <f t="shared" si="315"/>
        <v>3.4941221930278357E-4</v>
      </c>
    </row>
    <row r="499" spans="1:15" x14ac:dyDescent="0.25">
      <c r="A499" s="83" t="s">
        <v>1431</v>
      </c>
      <c r="C499" s="5" t="s">
        <v>1697</v>
      </c>
      <c r="E499" s="11">
        <f>VLOOKUP(A499,TB!TB1_1,5,FALSE)</f>
        <v>0</v>
      </c>
      <c r="F499" s="17">
        <f t="shared" ref="F499" si="320">IF(E$160,E499/E$160,0)</f>
        <v>0</v>
      </c>
      <c r="G499" s="17"/>
      <c r="H499" s="11">
        <f>VLOOKUP(A499,TB!TB,5,FALSE)</f>
        <v>770.13</v>
      </c>
      <c r="I499" s="17">
        <f t="shared" ref="I499" si="321">IF(H$160,H499/H$160,0)</f>
        <v>3.4941221930278357E-4</v>
      </c>
      <c r="J499" s="17"/>
      <c r="K499" s="11">
        <f>VLOOKUP(A499,TB!TB1_1,4,FALSE)</f>
        <v>0</v>
      </c>
      <c r="L499" s="17">
        <f t="shared" ref="L499" si="322">IF(K$160,K499/K$160,0)</f>
        <v>0</v>
      </c>
      <c r="N499" s="11">
        <f>VLOOKUP(A499,TB!TB,4,FALSE)</f>
        <v>770.13</v>
      </c>
      <c r="O499" s="17">
        <f t="shared" ref="O499" si="323">IF(N$160,N499/N$160,0)</f>
        <v>3.4941221930278357E-4</v>
      </c>
    </row>
    <row r="500" spans="1:15" x14ac:dyDescent="0.25">
      <c r="A500" s="5" t="s">
        <v>604</v>
      </c>
      <c r="C500" s="5" t="s">
        <v>1698</v>
      </c>
      <c r="E500" s="11">
        <f>VLOOKUP(A500,TB!TB1_1,5,FALSE)</f>
        <v>860.7</v>
      </c>
      <c r="F500" s="17">
        <f t="shared" si="312"/>
        <v>2.9094756063186434E-4</v>
      </c>
      <c r="G500" s="17"/>
      <c r="H500" s="11">
        <f>VLOOKUP(A500,TB!TB,5,FALSE)</f>
        <v>1750.87</v>
      </c>
      <c r="I500" s="17">
        <f t="shared" si="313"/>
        <v>7.9437935466825679E-4</v>
      </c>
      <c r="J500" s="17"/>
      <c r="K500" s="11">
        <f>VLOOKUP(A500,TB!TB1_1,4,FALSE)</f>
        <v>860.7</v>
      </c>
      <c r="L500" s="17">
        <f t="shared" si="314"/>
        <v>2.9094756063186434E-4</v>
      </c>
      <c r="N500" s="11">
        <f>VLOOKUP(A500,TB!TB,4,FALSE)</f>
        <v>1750.87</v>
      </c>
      <c r="O500" s="17">
        <f t="shared" si="315"/>
        <v>7.9437935466825679E-4</v>
      </c>
    </row>
    <row r="501" spans="1:15" x14ac:dyDescent="0.25">
      <c r="A501" s="5" t="s">
        <v>941</v>
      </c>
      <c r="C501" s="5" t="s">
        <v>1699</v>
      </c>
      <c r="E501" s="11">
        <f>VLOOKUP(A501,TB!TB1_1,5,FALSE)</f>
        <v>0</v>
      </c>
      <c r="F501" s="17">
        <f t="shared" si="312"/>
        <v>0</v>
      </c>
      <c r="G501" s="17"/>
      <c r="H501" s="11">
        <f>VLOOKUP(A501,TB!TB,5,FALSE)</f>
        <v>0</v>
      </c>
      <c r="I501" s="17">
        <f t="shared" si="313"/>
        <v>0</v>
      </c>
      <c r="J501" s="17"/>
      <c r="K501" s="11">
        <f>VLOOKUP(A501,TB!TB1_1,4,FALSE)</f>
        <v>0</v>
      </c>
      <c r="L501" s="17">
        <f t="shared" si="314"/>
        <v>0</v>
      </c>
      <c r="N501" s="11">
        <f>VLOOKUP(A501,TB!TB,4,FALSE)</f>
        <v>0</v>
      </c>
      <c r="O501" s="17">
        <f t="shared" si="315"/>
        <v>0</v>
      </c>
    </row>
    <row r="502" spans="1:15" x14ac:dyDescent="0.25">
      <c r="A502" s="5" t="s">
        <v>606</v>
      </c>
      <c r="C502" s="5" t="s">
        <v>1700</v>
      </c>
      <c r="E502" s="11">
        <f>VLOOKUP(A502,TB!TB1_1,5,FALSE)</f>
        <v>1634.11</v>
      </c>
      <c r="F502" s="17">
        <f t="shared" si="312"/>
        <v>5.5238796131536639E-4</v>
      </c>
      <c r="G502" s="17"/>
      <c r="H502" s="11">
        <f>VLOOKUP(A502,TB!TB,5,FALSE)</f>
        <v>2041.37</v>
      </c>
      <c r="I502" s="17">
        <f t="shared" si="313"/>
        <v>9.2618080339439222E-4</v>
      </c>
      <c r="J502" s="17"/>
      <c r="K502" s="11">
        <f>VLOOKUP(A502,TB!TB1_1,4,FALSE)</f>
        <v>1634.11</v>
      </c>
      <c r="L502" s="17">
        <f t="shared" si="314"/>
        <v>5.5238796131536639E-4</v>
      </c>
      <c r="N502" s="11">
        <f>VLOOKUP(A502,TB!TB,4,FALSE)</f>
        <v>2041.37</v>
      </c>
      <c r="O502" s="17">
        <f t="shared" si="315"/>
        <v>9.2618080339439222E-4</v>
      </c>
    </row>
    <row r="503" spans="1:15" x14ac:dyDescent="0.25">
      <c r="A503" s="5" t="s">
        <v>942</v>
      </c>
      <c r="C503" s="5" t="s">
        <v>1701</v>
      </c>
      <c r="E503" s="11">
        <f>VLOOKUP(A503,TB!TB1_1,5,FALSE)</f>
        <v>650</v>
      </c>
      <c r="F503" s="17">
        <f t="shared" si="312"/>
        <v>2.1972338144616221E-4</v>
      </c>
      <c r="G503" s="17"/>
      <c r="H503" s="11">
        <f>VLOOKUP(A503,TB!TB,5,FALSE)</f>
        <v>770.12</v>
      </c>
      <c r="I503" s="17">
        <f t="shared" si="313"/>
        <v>3.4940768224774998E-4</v>
      </c>
      <c r="J503" s="17"/>
      <c r="K503" s="11">
        <f>VLOOKUP(A503,TB!TB1_1,4,FALSE)</f>
        <v>650</v>
      </c>
      <c r="L503" s="17">
        <f t="shared" si="314"/>
        <v>2.1972338144616221E-4</v>
      </c>
      <c r="N503" s="11">
        <f>VLOOKUP(A503,TB!TB,4,FALSE)</f>
        <v>770.12</v>
      </c>
      <c r="O503" s="17">
        <f t="shared" si="315"/>
        <v>3.4940768224774998E-4</v>
      </c>
    </row>
    <row r="504" spans="1:15" x14ac:dyDescent="0.25">
      <c r="A504" s="5" t="s">
        <v>608</v>
      </c>
      <c r="C504" s="5" t="s">
        <v>1702</v>
      </c>
      <c r="E504" s="11">
        <f>VLOOKUP(A504,TB!TB1_1,5,FALSE)</f>
        <v>0</v>
      </c>
      <c r="F504" s="17">
        <f t="shared" si="312"/>
        <v>0</v>
      </c>
      <c r="G504" s="17"/>
      <c r="H504" s="11">
        <f>VLOOKUP(A504,TB!TB,5,FALSE)</f>
        <v>1516.37</v>
      </c>
      <c r="I504" s="17">
        <f t="shared" si="313"/>
        <v>6.8798541413029213E-4</v>
      </c>
      <c r="J504" s="17"/>
      <c r="K504" s="11">
        <f>VLOOKUP(A504,TB!TB1_1,4,FALSE)</f>
        <v>0</v>
      </c>
      <c r="L504" s="17">
        <f t="shared" si="314"/>
        <v>0</v>
      </c>
      <c r="N504" s="11">
        <f>VLOOKUP(A504,TB!TB,4,FALSE)</f>
        <v>1516.37</v>
      </c>
      <c r="O504" s="17">
        <f t="shared" si="315"/>
        <v>6.8798541413029213E-4</v>
      </c>
    </row>
    <row r="505" spans="1:15" x14ac:dyDescent="0.25">
      <c r="A505" s="5" t="s">
        <v>943</v>
      </c>
      <c r="C505" s="5" t="s">
        <v>1703</v>
      </c>
      <c r="E505" s="11">
        <f>VLOOKUP(A505,TB!TB1_1,5,FALSE)</f>
        <v>0</v>
      </c>
      <c r="F505" s="17">
        <f t="shared" si="312"/>
        <v>0</v>
      </c>
      <c r="G505" s="17"/>
      <c r="H505" s="11">
        <f>VLOOKUP(A505,TB!TB,5,FALSE)</f>
        <v>770.12</v>
      </c>
      <c r="I505" s="17">
        <f t="shared" si="313"/>
        <v>3.4940768224774998E-4</v>
      </c>
      <c r="J505" s="17"/>
      <c r="K505" s="11">
        <f>VLOOKUP(A505,TB!TB1_1,4,FALSE)</f>
        <v>0</v>
      </c>
      <c r="L505" s="17">
        <f t="shared" si="314"/>
        <v>0</v>
      </c>
      <c r="N505" s="11">
        <f>VLOOKUP(A505,TB!TB,4,FALSE)</f>
        <v>770.12</v>
      </c>
      <c r="O505" s="17">
        <f t="shared" si="315"/>
        <v>3.4940768224774998E-4</v>
      </c>
    </row>
    <row r="506" spans="1:15" x14ac:dyDescent="0.25">
      <c r="A506" s="5" t="s">
        <v>610</v>
      </c>
      <c r="C506" s="5" t="s">
        <v>1704</v>
      </c>
      <c r="E506" s="11">
        <f>VLOOKUP(A506,TB!TB1_1,5,FALSE)</f>
        <v>0</v>
      </c>
      <c r="F506" s="17">
        <f t="shared" si="312"/>
        <v>0</v>
      </c>
      <c r="G506" s="17"/>
      <c r="H506" s="11">
        <f>VLOOKUP(A506,TB!TB,5,FALSE)</f>
        <v>0</v>
      </c>
      <c r="I506" s="17">
        <f t="shared" si="313"/>
        <v>0</v>
      </c>
      <c r="J506" s="17"/>
      <c r="K506" s="11">
        <f>VLOOKUP(A506,TB!TB1_1,4,FALSE)</f>
        <v>0</v>
      </c>
      <c r="L506" s="17">
        <f t="shared" si="314"/>
        <v>0</v>
      </c>
      <c r="N506" s="11">
        <f>VLOOKUP(A506,TB!TB,4,FALSE)</f>
        <v>0</v>
      </c>
      <c r="O506" s="17">
        <f t="shared" si="315"/>
        <v>0</v>
      </c>
    </row>
    <row r="507" spans="1:15" x14ac:dyDescent="0.25">
      <c r="A507" s="5" t="s">
        <v>612</v>
      </c>
      <c r="C507" s="5" t="s">
        <v>1705</v>
      </c>
      <c r="E507" s="11">
        <f>VLOOKUP(A507,TB!TB1_1,5,FALSE)</f>
        <v>0</v>
      </c>
      <c r="F507" s="17">
        <f t="shared" si="312"/>
        <v>0</v>
      </c>
      <c r="G507" s="17"/>
      <c r="H507" s="11">
        <f>VLOOKUP(A507,TB!TB,5,FALSE)</f>
        <v>0</v>
      </c>
      <c r="I507" s="17">
        <f t="shared" si="313"/>
        <v>0</v>
      </c>
      <c r="J507" s="17"/>
      <c r="K507" s="11">
        <f>VLOOKUP(A507,TB!TB1_1,4,FALSE)</f>
        <v>0</v>
      </c>
      <c r="L507" s="17">
        <f t="shared" si="314"/>
        <v>0</v>
      </c>
      <c r="N507" s="11">
        <f>VLOOKUP(A507,TB!TB,4,FALSE)</f>
        <v>0</v>
      </c>
      <c r="O507" s="17">
        <f t="shared" si="315"/>
        <v>0</v>
      </c>
    </row>
    <row r="508" spans="1:15" x14ac:dyDescent="0.25">
      <c r="A508" s="5" t="s">
        <v>944</v>
      </c>
      <c r="C508" s="5" t="s">
        <v>1706</v>
      </c>
      <c r="E508" s="11">
        <f>VLOOKUP(A508,TB!TB1_1,5,FALSE)</f>
        <v>0</v>
      </c>
      <c r="F508" s="17">
        <f t="shared" si="312"/>
        <v>0</v>
      </c>
      <c r="G508" s="17"/>
      <c r="H508" s="11">
        <f>VLOOKUP(A508,TB!TB,5,FALSE)</f>
        <v>0</v>
      </c>
      <c r="I508" s="17">
        <f t="shared" si="313"/>
        <v>0</v>
      </c>
      <c r="J508" s="17"/>
      <c r="K508" s="11">
        <f>VLOOKUP(A508,TB!TB1_1,4,FALSE)</f>
        <v>0</v>
      </c>
      <c r="L508" s="17">
        <f t="shared" si="314"/>
        <v>0</v>
      </c>
      <c r="N508" s="11">
        <f>VLOOKUP(A508,TB!TB,4,FALSE)</f>
        <v>0</v>
      </c>
      <c r="O508" s="17">
        <f t="shared" si="315"/>
        <v>0</v>
      </c>
    </row>
    <row r="509" spans="1:15" x14ac:dyDescent="0.25">
      <c r="A509" s="5" t="s">
        <v>614</v>
      </c>
      <c r="C509" s="5" t="s">
        <v>1707</v>
      </c>
      <c r="E509" s="11">
        <f>VLOOKUP(A509,TB!TB1_1,5,FALSE)</f>
        <v>0</v>
      </c>
      <c r="F509" s="17">
        <f t="shared" si="312"/>
        <v>0</v>
      </c>
      <c r="G509" s="17"/>
      <c r="H509" s="11">
        <f>VLOOKUP(A509,TB!TB,5,FALSE)</f>
        <v>0</v>
      </c>
      <c r="I509" s="17">
        <f t="shared" si="313"/>
        <v>0</v>
      </c>
      <c r="J509" s="17"/>
      <c r="K509" s="11">
        <f>VLOOKUP(A509,TB!TB1_1,4,FALSE)</f>
        <v>0</v>
      </c>
      <c r="L509" s="17">
        <f t="shared" si="314"/>
        <v>0</v>
      </c>
      <c r="N509" s="11">
        <f>VLOOKUP(A509,TB!TB,4,FALSE)</f>
        <v>0</v>
      </c>
      <c r="O509" s="17">
        <f t="shared" si="315"/>
        <v>0</v>
      </c>
    </row>
    <row r="510" spans="1:15" x14ac:dyDescent="0.25">
      <c r="A510" s="83" t="s">
        <v>1432</v>
      </c>
      <c r="C510" s="5" t="s">
        <v>1708</v>
      </c>
      <c r="E510" s="11">
        <f>VLOOKUP(A510,TB!TB1_1,5,FALSE)</f>
        <v>0</v>
      </c>
      <c r="F510" s="17">
        <f t="shared" ref="F510" si="324">IF(E$160,E510/E$160,0)</f>
        <v>0</v>
      </c>
      <c r="G510" s="17"/>
      <c r="H510" s="11">
        <f>VLOOKUP(A510,TB!TB,5,FALSE)</f>
        <v>0</v>
      </c>
      <c r="I510" s="17">
        <f t="shared" ref="I510" si="325">IF(H$160,H510/H$160,0)</f>
        <v>0</v>
      </c>
      <c r="J510" s="17"/>
      <c r="K510" s="11">
        <f>VLOOKUP(A510,TB!TB1_1,4,FALSE)</f>
        <v>0</v>
      </c>
      <c r="L510" s="17">
        <f t="shared" ref="L510" si="326">IF(K$160,K510/K$160,0)</f>
        <v>0</v>
      </c>
      <c r="N510" s="11">
        <f>VLOOKUP(A510,TB!TB,4,FALSE)</f>
        <v>0</v>
      </c>
      <c r="O510" s="17">
        <f t="shared" ref="O510" si="327">IF(N$160,N510/N$160,0)</f>
        <v>0</v>
      </c>
    </row>
    <row r="511" spans="1:15" x14ac:dyDescent="0.25">
      <c r="A511" s="5" t="s">
        <v>616</v>
      </c>
      <c r="C511" s="5" t="s">
        <v>1709</v>
      </c>
      <c r="E511" s="11">
        <f>VLOOKUP(A511,TB!TB1_1,5,FALSE)</f>
        <v>0</v>
      </c>
      <c r="F511" s="17">
        <f t="shared" si="312"/>
        <v>0</v>
      </c>
      <c r="G511" s="17"/>
      <c r="H511" s="11">
        <f>VLOOKUP(A511,TB!TB,5,FALSE)</f>
        <v>0</v>
      </c>
      <c r="I511" s="17">
        <f t="shared" si="313"/>
        <v>0</v>
      </c>
      <c r="J511" s="17"/>
      <c r="K511" s="11">
        <f>VLOOKUP(A511,TB!TB1_1,4,FALSE)</f>
        <v>0</v>
      </c>
      <c r="L511" s="17">
        <f t="shared" si="314"/>
        <v>0</v>
      </c>
      <c r="N511" s="11">
        <f>VLOOKUP(A511,TB!TB,4,FALSE)</f>
        <v>0</v>
      </c>
      <c r="O511" s="17">
        <f t="shared" si="315"/>
        <v>0</v>
      </c>
    </row>
    <row r="512" spans="1:15" x14ac:dyDescent="0.25">
      <c r="A512" s="5" t="s">
        <v>946</v>
      </c>
      <c r="C512" s="5" t="s">
        <v>1710</v>
      </c>
      <c r="E512" s="11">
        <f>VLOOKUP(A512,TB!TB1_1,5,FALSE)</f>
        <v>0</v>
      </c>
      <c r="F512" s="17">
        <f t="shared" si="312"/>
        <v>0</v>
      </c>
      <c r="G512" s="17"/>
      <c r="H512" s="11">
        <f>VLOOKUP(A512,TB!TB,5,FALSE)</f>
        <v>0</v>
      </c>
      <c r="I512" s="17">
        <f t="shared" si="313"/>
        <v>0</v>
      </c>
      <c r="J512" s="17"/>
      <c r="K512" s="11">
        <f>VLOOKUP(A512,TB!TB1_1,4,FALSE)</f>
        <v>0</v>
      </c>
      <c r="L512" s="17">
        <f t="shared" si="314"/>
        <v>0</v>
      </c>
      <c r="N512" s="11">
        <f>VLOOKUP(A512,TB!TB,4,FALSE)</f>
        <v>0</v>
      </c>
      <c r="O512" s="17">
        <f t="shared" si="315"/>
        <v>0</v>
      </c>
    </row>
    <row r="513" spans="1:15" x14ac:dyDescent="0.25">
      <c r="A513" s="5" t="s">
        <v>618</v>
      </c>
      <c r="C513" s="5" t="s">
        <v>1711</v>
      </c>
      <c r="E513" s="11">
        <f>VLOOKUP(A513,TB!TB1_1,5,FALSE)</f>
        <v>0</v>
      </c>
      <c r="F513" s="17">
        <f t="shared" si="312"/>
        <v>0</v>
      </c>
      <c r="G513" s="17"/>
      <c r="H513" s="11">
        <f>VLOOKUP(A513,TB!TB,5,FALSE)</f>
        <v>0</v>
      </c>
      <c r="I513" s="17">
        <f t="shared" si="313"/>
        <v>0</v>
      </c>
      <c r="J513" s="17"/>
      <c r="K513" s="11">
        <f>VLOOKUP(A513,TB!TB1_1,4,FALSE)</f>
        <v>0</v>
      </c>
      <c r="L513" s="17">
        <f t="shared" si="314"/>
        <v>0</v>
      </c>
      <c r="N513" s="11">
        <f>VLOOKUP(A513,TB!TB,4,FALSE)</f>
        <v>0</v>
      </c>
      <c r="O513" s="17">
        <f t="shared" si="315"/>
        <v>0</v>
      </c>
    </row>
    <row r="514" spans="1:15" x14ac:dyDescent="0.25">
      <c r="A514" s="5" t="s">
        <v>947</v>
      </c>
      <c r="C514" s="5" t="s">
        <v>1712</v>
      </c>
      <c r="E514" s="11">
        <f>VLOOKUP(A514,TB!TB1_1,5,FALSE)</f>
        <v>0</v>
      </c>
      <c r="F514" s="17">
        <f t="shared" si="312"/>
        <v>0</v>
      </c>
      <c r="G514" s="17"/>
      <c r="H514" s="11">
        <f>VLOOKUP(A514,TB!TB,5,FALSE)</f>
        <v>0</v>
      </c>
      <c r="I514" s="17">
        <f t="shared" si="313"/>
        <v>0</v>
      </c>
      <c r="J514" s="17"/>
      <c r="K514" s="11">
        <f>VLOOKUP(A514,TB!TB1_1,4,FALSE)</f>
        <v>0</v>
      </c>
      <c r="L514" s="17">
        <f t="shared" si="314"/>
        <v>0</v>
      </c>
      <c r="N514" s="11">
        <f>VLOOKUP(A514,TB!TB,4,FALSE)</f>
        <v>0</v>
      </c>
      <c r="O514" s="17">
        <f t="shared" si="315"/>
        <v>0</v>
      </c>
    </row>
    <row r="515" spans="1:15" x14ac:dyDescent="0.25">
      <c r="A515" s="5" t="s">
        <v>620</v>
      </c>
      <c r="C515" s="5" t="s">
        <v>1713</v>
      </c>
      <c r="E515" s="11">
        <f>VLOOKUP(A515,TB!TB1_1,5,FALSE)</f>
        <v>0</v>
      </c>
      <c r="F515" s="17">
        <f t="shared" si="312"/>
        <v>0</v>
      </c>
      <c r="G515" s="17"/>
      <c r="H515" s="11">
        <f>VLOOKUP(A515,TB!TB,5,FALSE)</f>
        <v>0</v>
      </c>
      <c r="I515" s="17">
        <f t="shared" si="313"/>
        <v>0</v>
      </c>
      <c r="J515" s="17"/>
      <c r="K515" s="11">
        <f>VLOOKUP(A515,TB!TB1_1,4,FALSE)</f>
        <v>0</v>
      </c>
      <c r="L515" s="17">
        <f t="shared" si="314"/>
        <v>0</v>
      </c>
      <c r="N515" s="11">
        <f>VLOOKUP(A515,TB!TB,4,FALSE)</f>
        <v>0</v>
      </c>
      <c r="O515" s="17">
        <f t="shared" si="315"/>
        <v>0</v>
      </c>
    </row>
    <row r="516" spans="1:15" x14ac:dyDescent="0.25">
      <c r="A516" s="5" t="s">
        <v>622</v>
      </c>
      <c r="C516" s="5" t="s">
        <v>1714</v>
      </c>
      <c r="E516" s="11">
        <f>VLOOKUP(A516,TB!TB1_1,5,FALSE)</f>
        <v>0</v>
      </c>
      <c r="F516" s="17">
        <f t="shared" si="312"/>
        <v>0</v>
      </c>
      <c r="G516" s="17"/>
      <c r="H516" s="11">
        <f>VLOOKUP(A516,TB!TB,5,FALSE)</f>
        <v>0</v>
      </c>
      <c r="I516" s="17">
        <f t="shared" si="313"/>
        <v>0</v>
      </c>
      <c r="J516" s="17"/>
      <c r="K516" s="11">
        <f>VLOOKUP(A516,TB!TB1_1,4,FALSE)</f>
        <v>0</v>
      </c>
      <c r="L516" s="17">
        <f t="shared" si="314"/>
        <v>0</v>
      </c>
      <c r="N516" s="11">
        <f>VLOOKUP(A516,TB!TB,4,FALSE)</f>
        <v>0</v>
      </c>
      <c r="O516" s="17">
        <f t="shared" si="315"/>
        <v>0</v>
      </c>
    </row>
    <row r="517" spans="1:15" x14ac:dyDescent="0.25">
      <c r="A517" s="5" t="s">
        <v>624</v>
      </c>
      <c r="C517" s="5" t="s">
        <v>1715</v>
      </c>
      <c r="E517" s="11">
        <f>VLOOKUP(A517,TB!TB1_1,5,FALSE)</f>
        <v>0</v>
      </c>
      <c r="F517" s="17">
        <f t="shared" si="312"/>
        <v>0</v>
      </c>
      <c r="G517" s="17"/>
      <c r="H517" s="11">
        <f>VLOOKUP(A517,TB!TB,5,FALSE)</f>
        <v>0</v>
      </c>
      <c r="I517" s="17">
        <f t="shared" si="313"/>
        <v>0</v>
      </c>
      <c r="J517" s="17"/>
      <c r="K517" s="11">
        <f>VLOOKUP(A517,TB!TB1_1,4,FALSE)</f>
        <v>0</v>
      </c>
      <c r="L517" s="17">
        <f t="shared" si="314"/>
        <v>0</v>
      </c>
      <c r="N517" s="11">
        <f>VLOOKUP(A517,TB!TB,4,FALSE)</f>
        <v>0</v>
      </c>
      <c r="O517" s="17">
        <f t="shared" si="315"/>
        <v>0</v>
      </c>
    </row>
    <row r="518" spans="1:15" x14ac:dyDescent="0.25">
      <c r="A518" s="5" t="s">
        <v>948</v>
      </c>
      <c r="C518" s="5" t="s">
        <v>1716</v>
      </c>
      <c r="E518" s="11">
        <f>VLOOKUP(A518,TB!TB1_1,5,FALSE)</f>
        <v>0</v>
      </c>
      <c r="F518" s="17">
        <f t="shared" si="312"/>
        <v>0</v>
      </c>
      <c r="G518" s="17"/>
      <c r="H518" s="11">
        <f>VLOOKUP(A518,TB!TB,5,FALSE)</f>
        <v>0</v>
      </c>
      <c r="I518" s="17">
        <f t="shared" si="313"/>
        <v>0</v>
      </c>
      <c r="J518" s="17"/>
      <c r="K518" s="11">
        <f>VLOOKUP(A518,TB!TB1_1,4,FALSE)</f>
        <v>0</v>
      </c>
      <c r="L518" s="17">
        <f t="shared" si="314"/>
        <v>0</v>
      </c>
      <c r="N518" s="11">
        <f>VLOOKUP(A518,TB!TB,4,FALSE)</f>
        <v>0</v>
      </c>
      <c r="O518" s="17">
        <f t="shared" si="315"/>
        <v>0</v>
      </c>
    </row>
    <row r="519" spans="1:15" x14ac:dyDescent="0.25">
      <c r="A519" s="5" t="s">
        <v>626</v>
      </c>
      <c r="C519" s="5" t="s">
        <v>1717</v>
      </c>
      <c r="E519" s="11">
        <f>VLOOKUP(A519,TB!TB1_1,5,FALSE)</f>
        <v>0</v>
      </c>
      <c r="F519" s="17">
        <f t="shared" si="312"/>
        <v>0</v>
      </c>
      <c r="G519" s="17"/>
      <c r="H519" s="11">
        <f>VLOOKUP(A519,TB!TB,5,FALSE)</f>
        <v>0</v>
      </c>
      <c r="I519" s="17">
        <f t="shared" si="313"/>
        <v>0</v>
      </c>
      <c r="J519" s="17"/>
      <c r="K519" s="11">
        <f>VLOOKUP(A519,TB!TB1_1,4,FALSE)</f>
        <v>0</v>
      </c>
      <c r="L519" s="17">
        <f t="shared" si="314"/>
        <v>0</v>
      </c>
      <c r="N519" s="11">
        <f>VLOOKUP(A519,TB!TB,4,FALSE)</f>
        <v>0</v>
      </c>
      <c r="O519" s="17">
        <f t="shared" si="315"/>
        <v>0</v>
      </c>
    </row>
    <row r="520" spans="1:15" x14ac:dyDescent="0.25">
      <c r="A520" s="83" t="s">
        <v>1433</v>
      </c>
      <c r="C520" s="5" t="s">
        <v>1718</v>
      </c>
      <c r="E520" s="11">
        <f>VLOOKUP(A520,TB!TB1_1,5,FALSE)</f>
        <v>0</v>
      </c>
      <c r="F520" s="17">
        <f t="shared" ref="F520:F530" si="328">IF(E$160,E520/E$160,0)</f>
        <v>0</v>
      </c>
      <c r="G520" s="17"/>
      <c r="H520" s="11">
        <f>VLOOKUP(A520,TB!TB,5,FALSE)</f>
        <v>0</v>
      </c>
      <c r="I520" s="17">
        <f t="shared" ref="I520:I530" si="329">IF(H$160,H520/H$160,0)</f>
        <v>0</v>
      </c>
      <c r="J520" s="17"/>
      <c r="K520" s="11">
        <f>VLOOKUP(A520,TB!TB1_1,4,FALSE)</f>
        <v>0</v>
      </c>
      <c r="L520" s="17">
        <f t="shared" ref="L520:L530" si="330">IF(K$160,K520/K$160,0)</f>
        <v>0</v>
      </c>
      <c r="N520" s="11">
        <f>VLOOKUP(A520,TB!TB,4,FALSE)</f>
        <v>0</v>
      </c>
      <c r="O520" s="17">
        <f t="shared" ref="O520:O530" si="331">IF(N$160,N520/N$160,0)</f>
        <v>0</v>
      </c>
    </row>
    <row r="521" spans="1:15" x14ac:dyDescent="0.25">
      <c r="A521" s="5" t="s">
        <v>628</v>
      </c>
      <c r="C521" s="5" t="s">
        <v>1719</v>
      </c>
      <c r="E521" s="11">
        <f>VLOOKUP(A521,TB!TB1_1,5,FALSE)</f>
        <v>0</v>
      </c>
      <c r="F521" s="17">
        <f t="shared" si="328"/>
        <v>0</v>
      </c>
      <c r="G521" s="17"/>
      <c r="H521" s="11">
        <f>VLOOKUP(A521,TB!TB,5,FALSE)</f>
        <v>0</v>
      </c>
      <c r="I521" s="17">
        <f t="shared" si="329"/>
        <v>0</v>
      </c>
      <c r="J521" s="17"/>
      <c r="K521" s="11">
        <f>VLOOKUP(A521,TB!TB1_1,4,FALSE)</f>
        <v>0</v>
      </c>
      <c r="L521" s="17">
        <f t="shared" si="330"/>
        <v>0</v>
      </c>
      <c r="N521" s="11">
        <f>VLOOKUP(A521,TB!TB,4,FALSE)</f>
        <v>0</v>
      </c>
      <c r="O521" s="17">
        <f t="shared" si="331"/>
        <v>0</v>
      </c>
    </row>
    <row r="522" spans="1:15" x14ac:dyDescent="0.25">
      <c r="A522" s="5" t="s">
        <v>950</v>
      </c>
      <c r="C522" s="5" t="s">
        <v>1720</v>
      </c>
      <c r="E522" s="11">
        <f>VLOOKUP(A522,TB!TB1_1,5,FALSE)</f>
        <v>0</v>
      </c>
      <c r="F522" s="17">
        <f t="shared" si="328"/>
        <v>0</v>
      </c>
      <c r="G522" s="17"/>
      <c r="H522" s="11">
        <f>VLOOKUP(A522,TB!TB,5,FALSE)</f>
        <v>0</v>
      </c>
      <c r="I522" s="17">
        <f t="shared" si="329"/>
        <v>0</v>
      </c>
      <c r="J522" s="17"/>
      <c r="K522" s="11">
        <f>VLOOKUP(A522,TB!TB1_1,4,FALSE)</f>
        <v>0</v>
      </c>
      <c r="L522" s="17">
        <f t="shared" si="330"/>
        <v>0</v>
      </c>
      <c r="N522" s="11">
        <f>VLOOKUP(A522,TB!TB,4,FALSE)</f>
        <v>0</v>
      </c>
      <c r="O522" s="17">
        <f t="shared" si="331"/>
        <v>0</v>
      </c>
    </row>
    <row r="523" spans="1:15" x14ac:dyDescent="0.25">
      <c r="A523" s="5" t="s">
        <v>630</v>
      </c>
      <c r="C523" s="5" t="s">
        <v>1721</v>
      </c>
      <c r="E523" s="11">
        <f>VLOOKUP(A523,TB!TB1_1,5,FALSE)</f>
        <v>0</v>
      </c>
      <c r="F523" s="17">
        <f t="shared" si="328"/>
        <v>0</v>
      </c>
      <c r="G523" s="17"/>
      <c r="H523" s="11">
        <f>VLOOKUP(A523,TB!TB,5,FALSE)</f>
        <v>0</v>
      </c>
      <c r="I523" s="17">
        <f t="shared" si="329"/>
        <v>0</v>
      </c>
      <c r="J523" s="17"/>
      <c r="K523" s="11">
        <f>VLOOKUP(A523,TB!TB1_1,4,FALSE)</f>
        <v>0</v>
      </c>
      <c r="L523" s="17">
        <f t="shared" si="330"/>
        <v>0</v>
      </c>
      <c r="N523" s="11">
        <f>VLOOKUP(A523,TB!TB,4,FALSE)</f>
        <v>0</v>
      </c>
      <c r="O523" s="17">
        <f t="shared" si="331"/>
        <v>0</v>
      </c>
    </row>
    <row r="524" spans="1:15" x14ac:dyDescent="0.25">
      <c r="A524" s="5" t="s">
        <v>951</v>
      </c>
      <c r="C524" s="5" t="s">
        <v>1722</v>
      </c>
      <c r="E524" s="11">
        <f>VLOOKUP(A524,TB!TB1_1,5,FALSE)</f>
        <v>0</v>
      </c>
      <c r="F524" s="17">
        <f t="shared" si="328"/>
        <v>0</v>
      </c>
      <c r="G524" s="17"/>
      <c r="H524" s="11">
        <f>VLOOKUP(A524,TB!TB,5,FALSE)</f>
        <v>0</v>
      </c>
      <c r="I524" s="17">
        <f t="shared" si="329"/>
        <v>0</v>
      </c>
      <c r="J524" s="17"/>
      <c r="K524" s="11">
        <f>VLOOKUP(A524,TB!TB1_1,4,FALSE)</f>
        <v>0</v>
      </c>
      <c r="L524" s="17">
        <f t="shared" si="330"/>
        <v>0</v>
      </c>
      <c r="N524" s="11">
        <f>VLOOKUP(A524,TB!TB,4,FALSE)</f>
        <v>0</v>
      </c>
      <c r="O524" s="17">
        <f t="shared" si="331"/>
        <v>0</v>
      </c>
    </row>
    <row r="525" spans="1:15" x14ac:dyDescent="0.25">
      <c r="A525" s="5" t="s">
        <v>632</v>
      </c>
      <c r="C525" s="5" t="s">
        <v>1723</v>
      </c>
      <c r="E525" s="11">
        <f>VLOOKUP(A525,TB!TB1_1,5,FALSE)</f>
        <v>0</v>
      </c>
      <c r="F525" s="17">
        <f t="shared" si="328"/>
        <v>0</v>
      </c>
      <c r="G525" s="17"/>
      <c r="H525" s="11">
        <f>VLOOKUP(A525,TB!TB,5,FALSE)</f>
        <v>0</v>
      </c>
      <c r="I525" s="17">
        <f t="shared" si="329"/>
        <v>0</v>
      </c>
      <c r="J525" s="17"/>
      <c r="K525" s="11">
        <f>VLOOKUP(A525,TB!TB1_1,4,FALSE)</f>
        <v>0</v>
      </c>
      <c r="L525" s="17">
        <f t="shared" si="330"/>
        <v>0</v>
      </c>
      <c r="N525" s="11">
        <f>VLOOKUP(A525,TB!TB,4,FALSE)</f>
        <v>0</v>
      </c>
      <c r="O525" s="17">
        <f t="shared" si="331"/>
        <v>0</v>
      </c>
    </row>
    <row r="526" spans="1:15" x14ac:dyDescent="0.25">
      <c r="A526" s="5" t="s">
        <v>634</v>
      </c>
      <c r="C526" s="5" t="s">
        <v>1724</v>
      </c>
      <c r="E526" s="11">
        <f>VLOOKUP(A526,TB!TB1_1,5,FALSE)</f>
        <v>0</v>
      </c>
      <c r="F526" s="17">
        <f t="shared" si="328"/>
        <v>0</v>
      </c>
      <c r="G526" s="17"/>
      <c r="H526" s="11">
        <f>VLOOKUP(A526,TB!TB,5,FALSE)</f>
        <v>0</v>
      </c>
      <c r="I526" s="17">
        <f t="shared" si="329"/>
        <v>0</v>
      </c>
      <c r="J526" s="17"/>
      <c r="K526" s="11">
        <f>VLOOKUP(A526,TB!TB1_1,4,FALSE)</f>
        <v>0</v>
      </c>
      <c r="L526" s="17">
        <f t="shared" si="330"/>
        <v>0</v>
      </c>
      <c r="N526" s="11">
        <f>VLOOKUP(A526,TB!TB,4,FALSE)</f>
        <v>0</v>
      </c>
      <c r="O526" s="17">
        <f t="shared" si="331"/>
        <v>0</v>
      </c>
    </row>
    <row r="527" spans="1:15" x14ac:dyDescent="0.25">
      <c r="A527" s="5" t="s">
        <v>636</v>
      </c>
      <c r="C527" s="5" t="s">
        <v>1725</v>
      </c>
      <c r="E527" s="11">
        <f>VLOOKUP(A527,TB!TB1_1,5,FALSE)</f>
        <v>100</v>
      </c>
      <c r="F527" s="17">
        <f t="shared" si="328"/>
        <v>3.380359714556342E-5</v>
      </c>
      <c r="G527" s="17"/>
      <c r="H527" s="11">
        <f>VLOOKUP(A527,TB!TB,5,FALSE)</f>
        <v>0</v>
      </c>
      <c r="I527" s="17">
        <f t="shared" si="329"/>
        <v>0</v>
      </c>
      <c r="J527" s="17"/>
      <c r="K527" s="11">
        <f>VLOOKUP(A527,TB!TB1_1,4,FALSE)</f>
        <v>100</v>
      </c>
      <c r="L527" s="17">
        <f t="shared" si="330"/>
        <v>3.380359714556342E-5</v>
      </c>
      <c r="N527" s="11">
        <f>VLOOKUP(A527,TB!TB,4,FALSE)</f>
        <v>0</v>
      </c>
      <c r="O527" s="17">
        <f t="shared" si="331"/>
        <v>0</v>
      </c>
    </row>
    <row r="528" spans="1:15" x14ac:dyDescent="0.25">
      <c r="A528" s="5" t="s">
        <v>638</v>
      </c>
      <c r="C528" s="5" t="s">
        <v>1726</v>
      </c>
      <c r="E528" s="11">
        <f>VLOOKUP(A528,TB!TB1_1,5,FALSE)</f>
        <v>-155.19999999999999</v>
      </c>
      <c r="F528" s="17">
        <f t="shared" si="328"/>
        <v>-5.2463182769914419E-5</v>
      </c>
      <c r="G528" s="17"/>
      <c r="H528" s="11">
        <f>VLOOKUP(A528,TB!TB,5,FALSE)</f>
        <v>-139.19999999999999</v>
      </c>
      <c r="I528" s="17">
        <f t="shared" si="329"/>
        <v>-6.3155806067738518E-5</v>
      </c>
      <c r="J528" s="17"/>
      <c r="K528" s="11">
        <f>VLOOKUP(A528,TB!TB1_1,4,FALSE)</f>
        <v>-155.19999999999999</v>
      </c>
      <c r="L528" s="17">
        <f t="shared" si="330"/>
        <v>-5.2463182769914419E-5</v>
      </c>
      <c r="N528" s="11">
        <f>VLOOKUP(A528,TB!TB,4,FALSE)</f>
        <v>-139.19999999999999</v>
      </c>
      <c r="O528" s="17">
        <f t="shared" si="331"/>
        <v>-6.3155806067738518E-5</v>
      </c>
    </row>
    <row r="529" spans="1:15" x14ac:dyDescent="0.25">
      <c r="A529" s="5" t="s">
        <v>640</v>
      </c>
      <c r="C529" s="5" t="s">
        <v>1727</v>
      </c>
      <c r="E529" s="11">
        <f>VLOOKUP(A529,TB!TB1_1,5,FALSE)</f>
        <v>0</v>
      </c>
      <c r="F529" s="17">
        <f t="shared" si="328"/>
        <v>0</v>
      </c>
      <c r="G529" s="17"/>
      <c r="H529" s="11">
        <f>VLOOKUP(A529,TB!TB,5,FALSE)</f>
        <v>0</v>
      </c>
      <c r="I529" s="17">
        <f t="shared" si="329"/>
        <v>0</v>
      </c>
      <c r="J529" s="17"/>
      <c r="K529" s="11">
        <f>VLOOKUP(A529,TB!TB1_1,4,FALSE)</f>
        <v>0</v>
      </c>
      <c r="L529" s="17">
        <f t="shared" si="330"/>
        <v>0</v>
      </c>
      <c r="N529" s="11">
        <f>VLOOKUP(A529,TB!TB,4,FALSE)</f>
        <v>0</v>
      </c>
      <c r="O529" s="17">
        <f t="shared" si="331"/>
        <v>0</v>
      </c>
    </row>
    <row r="530" spans="1:15" x14ac:dyDescent="0.25">
      <c r="A530" s="5" t="s">
        <v>952</v>
      </c>
      <c r="C530" s="5" t="s">
        <v>1728</v>
      </c>
      <c r="E530" s="11">
        <f>VLOOKUP(A530,TB!TB1_1,5,FALSE)</f>
        <v>0</v>
      </c>
      <c r="F530" s="17">
        <f t="shared" si="328"/>
        <v>0</v>
      </c>
      <c r="G530" s="17"/>
      <c r="H530" s="11">
        <f>VLOOKUP(A530,TB!TB,5,FALSE)</f>
        <v>0</v>
      </c>
      <c r="I530" s="17">
        <f t="shared" si="329"/>
        <v>0</v>
      </c>
      <c r="J530" s="17"/>
      <c r="K530" s="11">
        <f>VLOOKUP(A530,TB!TB1_1,4,FALSE)</f>
        <v>0</v>
      </c>
      <c r="L530" s="17">
        <f t="shared" si="330"/>
        <v>0</v>
      </c>
      <c r="N530" s="11">
        <f>VLOOKUP(A530,TB!TB,4,FALSE)</f>
        <v>0</v>
      </c>
      <c r="O530" s="17">
        <f t="shared" si="331"/>
        <v>0</v>
      </c>
    </row>
    <row r="531" spans="1:15" x14ac:dyDescent="0.25">
      <c r="A531" s="5" t="s">
        <v>642</v>
      </c>
      <c r="C531" s="5" t="s">
        <v>1729</v>
      </c>
      <c r="E531" s="11">
        <f>VLOOKUP(A531,TB!TB1_1,5,FALSE)</f>
        <v>2658.83</v>
      </c>
      <c r="F531" s="17">
        <f t="shared" si="312"/>
        <v>8.9878018198538375E-4</v>
      </c>
      <c r="G531" s="17"/>
      <c r="H531" s="11">
        <f>VLOOKUP(A531,TB!TB,5,FALSE)</f>
        <v>867.33</v>
      </c>
      <c r="I531" s="17">
        <f t="shared" si="313"/>
        <v>3.9351239422939408E-4</v>
      </c>
      <c r="J531" s="17"/>
      <c r="K531" s="11">
        <f>VLOOKUP(A531,TB!TB1_1,4,FALSE)</f>
        <v>2658.83</v>
      </c>
      <c r="L531" s="17">
        <f t="shared" si="314"/>
        <v>8.9878018198538375E-4</v>
      </c>
      <c r="N531" s="11">
        <f>VLOOKUP(A531,TB!TB,4,FALSE)</f>
        <v>867.33</v>
      </c>
      <c r="O531" s="17">
        <f t="shared" si="315"/>
        <v>3.9351239422939408E-4</v>
      </c>
    </row>
    <row r="532" spans="1:15" x14ac:dyDescent="0.25">
      <c r="A532" s="5" t="s">
        <v>953</v>
      </c>
      <c r="C532" s="5" t="s">
        <v>1730</v>
      </c>
      <c r="E532" s="11">
        <f>VLOOKUP(A532,TB!TB1_1,5,FALSE)</f>
        <v>2264.84</v>
      </c>
      <c r="F532" s="17">
        <f t="shared" si="312"/>
        <v>7.6559738959157853E-4</v>
      </c>
      <c r="G532" s="17"/>
      <c r="H532" s="11">
        <f>VLOOKUP(A532,TB!TB,5,FALSE)</f>
        <v>455.53</v>
      </c>
      <c r="I532" s="17">
        <f t="shared" si="313"/>
        <v>2.066764679456676E-4</v>
      </c>
      <c r="J532" s="17"/>
      <c r="K532" s="11">
        <f>VLOOKUP(A532,TB!TB1_1,4,FALSE)</f>
        <v>2264.84</v>
      </c>
      <c r="L532" s="17">
        <f t="shared" si="314"/>
        <v>7.6559738959157853E-4</v>
      </c>
      <c r="N532" s="11">
        <f>VLOOKUP(A532,TB!TB,4,FALSE)</f>
        <v>455.53</v>
      </c>
      <c r="O532" s="17">
        <f t="shared" si="315"/>
        <v>2.066764679456676E-4</v>
      </c>
    </row>
    <row r="533" spans="1:15" x14ac:dyDescent="0.25">
      <c r="A533" s="5" t="s">
        <v>644</v>
      </c>
      <c r="C533" s="5" t="s">
        <v>1731</v>
      </c>
      <c r="E533" s="11">
        <f>VLOOKUP(A533,TB!TB1_1,5,FALSE)</f>
        <v>1093.73</v>
      </c>
      <c r="F533" s="17">
        <f t="shared" si="312"/>
        <v>3.6972008306017075E-4</v>
      </c>
      <c r="G533" s="17"/>
      <c r="H533" s="11">
        <f>VLOOKUP(A533,TB!TB,5,FALSE)</f>
        <v>430.75</v>
      </c>
      <c r="I533" s="17">
        <f t="shared" si="313"/>
        <v>1.9543364557240208E-4</v>
      </c>
      <c r="J533" s="17"/>
      <c r="K533" s="11">
        <f>VLOOKUP(A533,TB!TB1_1,4,FALSE)</f>
        <v>1093.73</v>
      </c>
      <c r="L533" s="17">
        <f t="shared" si="314"/>
        <v>3.6972008306017075E-4</v>
      </c>
      <c r="N533" s="11">
        <f>VLOOKUP(A533,TB!TB,4,FALSE)</f>
        <v>430.75</v>
      </c>
      <c r="O533" s="17">
        <f t="shared" si="315"/>
        <v>1.9543364557240208E-4</v>
      </c>
    </row>
    <row r="534" spans="1:15" x14ac:dyDescent="0.25">
      <c r="A534" s="83" t="s">
        <v>1422</v>
      </c>
      <c r="C534" s="5" t="s">
        <v>1732</v>
      </c>
      <c r="E534" s="11">
        <f>VLOOKUP(A534,TB!TB1_1,5,FALSE)</f>
        <v>576.25</v>
      </c>
      <c r="F534" s="17">
        <f t="shared" ref="F534" si="332">IF(E$160,E534/E$160,0)</f>
        <v>1.9479322855130919E-4</v>
      </c>
      <c r="G534" s="17"/>
      <c r="H534" s="11">
        <f>VLOOKUP(A534,TB!TB,5,FALSE)</f>
        <v>191.31</v>
      </c>
      <c r="I534" s="17">
        <f t="shared" ref="I534" si="333">IF(H$160,H534/H$160,0)</f>
        <v>8.6798399847838058E-5</v>
      </c>
      <c r="J534" s="17"/>
      <c r="K534" s="11">
        <f>VLOOKUP(A534,TB!TB1_1,4,FALSE)</f>
        <v>576.25</v>
      </c>
      <c r="L534" s="17">
        <f t="shared" ref="L534" si="334">IF(K$160,K534/K$160,0)</f>
        <v>1.9479322855130919E-4</v>
      </c>
      <c r="N534" s="11">
        <f>VLOOKUP(A534,TB!TB,4,FALSE)</f>
        <v>191.31</v>
      </c>
      <c r="O534" s="17">
        <f t="shared" ref="O534" si="335">IF(N$160,N534/N$160,0)</f>
        <v>8.6798399847838058E-5</v>
      </c>
    </row>
    <row r="535" spans="1:15" x14ac:dyDescent="0.25">
      <c r="A535" s="5" t="s">
        <v>646</v>
      </c>
      <c r="C535" s="5" t="s">
        <v>1733</v>
      </c>
      <c r="E535" s="11">
        <f>VLOOKUP(A535,TB!TB1_1,5,FALSE)</f>
        <v>1308.01</v>
      </c>
      <c r="F535" s="17">
        <f t="shared" si="312"/>
        <v>4.4215443102368408E-4</v>
      </c>
      <c r="G535" s="17"/>
      <c r="H535" s="11">
        <f>VLOOKUP(A535,TB!TB,5,FALSE)</f>
        <v>-579.65</v>
      </c>
      <c r="I535" s="17">
        <f t="shared" si="313"/>
        <v>-2.6299039502273447E-4</v>
      </c>
      <c r="J535" s="17"/>
      <c r="K535" s="11">
        <f>VLOOKUP(A535,TB!TB1_1,4,FALSE)</f>
        <v>1308.01</v>
      </c>
      <c r="L535" s="17">
        <f t="shared" si="314"/>
        <v>4.4215443102368408E-4</v>
      </c>
      <c r="N535" s="11">
        <f>VLOOKUP(A535,TB!TB,4,FALSE)</f>
        <v>-579.65</v>
      </c>
      <c r="O535" s="17">
        <f t="shared" si="315"/>
        <v>-2.6299039502273447E-4</v>
      </c>
    </row>
    <row r="536" spans="1:15" x14ac:dyDescent="0.25">
      <c r="A536" s="5" t="s">
        <v>955</v>
      </c>
      <c r="C536" s="5" t="s">
        <v>1734</v>
      </c>
      <c r="E536" s="11">
        <f>VLOOKUP(A536,TB!TB1_1,5,FALSE)</f>
        <v>0</v>
      </c>
      <c r="F536" s="17">
        <f t="shared" si="312"/>
        <v>0</v>
      </c>
      <c r="G536" s="17"/>
      <c r="H536" s="11">
        <f>VLOOKUP(A536,TB!TB,5,FALSE)</f>
        <v>0</v>
      </c>
      <c r="I536" s="17">
        <f t="shared" si="313"/>
        <v>0</v>
      </c>
      <c r="J536" s="17"/>
      <c r="K536" s="11">
        <f>VLOOKUP(A536,TB!TB1_1,4,FALSE)</f>
        <v>0</v>
      </c>
      <c r="L536" s="17">
        <f t="shared" si="314"/>
        <v>0</v>
      </c>
      <c r="N536" s="11">
        <f>VLOOKUP(A536,TB!TB,4,FALSE)</f>
        <v>0</v>
      </c>
      <c r="O536" s="17">
        <f t="shared" si="315"/>
        <v>0</v>
      </c>
    </row>
    <row r="537" spans="1:15" x14ac:dyDescent="0.25">
      <c r="A537" s="5" t="s">
        <v>648</v>
      </c>
      <c r="C537" s="5" t="s">
        <v>1735</v>
      </c>
      <c r="E537" s="11">
        <f>VLOOKUP(A537,TB!TB1_1,5,FALSE)</f>
        <v>22407.33</v>
      </c>
      <c r="F537" s="17">
        <f t="shared" si="312"/>
        <v>7.5744835642769757E-3</v>
      </c>
      <c r="G537" s="17"/>
      <c r="H537" s="11">
        <f>VLOOKUP(A537,TB!TB,5,FALSE)</f>
        <v>4110.6000000000004</v>
      </c>
      <c r="I537" s="17">
        <f t="shared" si="313"/>
        <v>1.8650018421123996E-3</v>
      </c>
      <c r="J537" s="17"/>
      <c r="K537" s="11">
        <f>VLOOKUP(A537,TB!TB1_1,4,FALSE)</f>
        <v>22407.33</v>
      </c>
      <c r="L537" s="17">
        <f t="shared" si="314"/>
        <v>7.5744835642769757E-3</v>
      </c>
      <c r="N537" s="11">
        <f>VLOOKUP(A537,TB!TB,4,FALSE)</f>
        <v>4110.6000000000004</v>
      </c>
      <c r="O537" s="17">
        <f t="shared" si="315"/>
        <v>1.8650018421123996E-3</v>
      </c>
    </row>
    <row r="538" spans="1:15" x14ac:dyDescent="0.25">
      <c r="A538" s="5" t="s">
        <v>956</v>
      </c>
      <c r="C538" s="5" t="s">
        <v>1736</v>
      </c>
      <c r="E538" s="11">
        <f>VLOOKUP(A538,TB!TB1_1,5,FALSE)</f>
        <v>0</v>
      </c>
      <c r="F538" s="17">
        <f t="shared" si="312"/>
        <v>0</v>
      </c>
      <c r="G538" s="17"/>
      <c r="H538" s="11">
        <f>VLOOKUP(A538,TB!TB,5,FALSE)</f>
        <v>1762.06</v>
      </c>
      <c r="I538" s="17">
        <f t="shared" si="313"/>
        <v>7.9945631925085734E-4</v>
      </c>
      <c r="J538" s="17"/>
      <c r="K538" s="11">
        <f>VLOOKUP(A538,TB!TB1_1,4,FALSE)</f>
        <v>0</v>
      </c>
      <c r="L538" s="17">
        <f t="shared" si="314"/>
        <v>0</v>
      </c>
      <c r="N538" s="11">
        <f>VLOOKUP(A538,TB!TB,4,FALSE)</f>
        <v>1762.06</v>
      </c>
      <c r="O538" s="17">
        <f t="shared" si="315"/>
        <v>7.9945631925085734E-4</v>
      </c>
    </row>
    <row r="539" spans="1:15" x14ac:dyDescent="0.25">
      <c r="A539" s="5" t="s">
        <v>649</v>
      </c>
      <c r="C539" s="5" t="s">
        <v>1737</v>
      </c>
      <c r="E539" s="11">
        <f>VLOOKUP(A539,TB!TB1_1,5,FALSE)</f>
        <v>2380.62</v>
      </c>
      <c r="F539" s="17">
        <f t="shared" si="312"/>
        <v>8.0473519436671185E-4</v>
      </c>
      <c r="G539" s="17"/>
      <c r="H539" s="11">
        <f>VLOOKUP(A539,TB!TB,5,FALSE)</f>
        <v>582.33000000000004</v>
      </c>
      <c r="I539" s="17">
        <f t="shared" si="313"/>
        <v>2.6420632577173978E-4</v>
      </c>
      <c r="J539" s="17"/>
      <c r="K539" s="11">
        <f>VLOOKUP(A539,TB!TB1_1,4,FALSE)</f>
        <v>2380.62</v>
      </c>
      <c r="L539" s="17">
        <f t="shared" si="314"/>
        <v>8.0473519436671185E-4</v>
      </c>
      <c r="N539" s="11">
        <f>VLOOKUP(A539,TB!TB,4,FALSE)</f>
        <v>582.33000000000004</v>
      </c>
      <c r="O539" s="17">
        <f t="shared" si="315"/>
        <v>2.6420632577173978E-4</v>
      </c>
    </row>
    <row r="540" spans="1:15" x14ac:dyDescent="0.25">
      <c r="A540" s="5" t="s">
        <v>651</v>
      </c>
      <c r="C540" s="5" t="s">
        <v>1738</v>
      </c>
      <c r="E540" s="11">
        <f>VLOOKUP(A540,TB!TB1_1,5,FALSE)</f>
        <v>0</v>
      </c>
      <c r="F540" s="17">
        <f t="shared" si="312"/>
        <v>0</v>
      </c>
      <c r="G540" s="17"/>
      <c r="H540" s="11">
        <f>VLOOKUP(A540,TB!TB,5,FALSE)</f>
        <v>0</v>
      </c>
      <c r="I540" s="17">
        <f t="shared" si="313"/>
        <v>0</v>
      </c>
      <c r="J540" s="17"/>
      <c r="K540" s="11">
        <f>VLOOKUP(A540,TB!TB1_1,4,FALSE)</f>
        <v>0</v>
      </c>
      <c r="L540" s="17">
        <f t="shared" si="314"/>
        <v>0</v>
      </c>
      <c r="N540" s="11">
        <f>VLOOKUP(A540,TB!TB,4,FALSE)</f>
        <v>0</v>
      </c>
      <c r="O540" s="17">
        <f t="shared" si="315"/>
        <v>0</v>
      </c>
    </row>
    <row r="541" spans="1:15" x14ac:dyDescent="0.25">
      <c r="A541" s="5" t="s">
        <v>957</v>
      </c>
      <c r="C541" s="5" t="s">
        <v>1739</v>
      </c>
      <c r="E541" s="11">
        <f>VLOOKUP(A541,TB!TB1_1,5,FALSE)</f>
        <v>0</v>
      </c>
      <c r="F541" s="17">
        <f t="shared" si="312"/>
        <v>0</v>
      </c>
      <c r="G541" s="17"/>
      <c r="H541" s="11">
        <f>VLOOKUP(A541,TB!TB,5,FALSE)</f>
        <v>0</v>
      </c>
      <c r="I541" s="17">
        <f t="shared" si="313"/>
        <v>0</v>
      </c>
      <c r="J541" s="17"/>
      <c r="K541" s="11">
        <f>VLOOKUP(A541,TB!TB1_1,4,FALSE)</f>
        <v>0</v>
      </c>
      <c r="L541" s="17">
        <f t="shared" si="314"/>
        <v>0</v>
      </c>
      <c r="N541" s="11">
        <f>VLOOKUP(A541,TB!TB,4,FALSE)</f>
        <v>0</v>
      </c>
      <c r="O541" s="17">
        <f t="shared" si="315"/>
        <v>0</v>
      </c>
    </row>
    <row r="542" spans="1:15" x14ac:dyDescent="0.25">
      <c r="A542" s="5" t="s">
        <v>653</v>
      </c>
      <c r="C542" s="5" t="s">
        <v>1740</v>
      </c>
      <c r="E542" s="11">
        <f>VLOOKUP(A542,TB!TB1_1,5,FALSE)</f>
        <v>0</v>
      </c>
      <c r="F542" s="17">
        <f t="shared" si="312"/>
        <v>0</v>
      </c>
      <c r="G542" s="17"/>
      <c r="H542" s="11">
        <f>VLOOKUP(A542,TB!TB,5,FALSE)</f>
        <v>0</v>
      </c>
      <c r="I542" s="17">
        <f t="shared" si="313"/>
        <v>0</v>
      </c>
      <c r="J542" s="17"/>
      <c r="K542" s="11">
        <f>VLOOKUP(A542,TB!TB1_1,4,FALSE)</f>
        <v>0</v>
      </c>
      <c r="L542" s="17">
        <f t="shared" si="314"/>
        <v>0</v>
      </c>
      <c r="N542" s="11">
        <f>VLOOKUP(A542,TB!TB,4,FALSE)</f>
        <v>0</v>
      </c>
      <c r="O542" s="17">
        <f t="shared" si="315"/>
        <v>0</v>
      </c>
    </row>
    <row r="543" spans="1:15" x14ac:dyDescent="0.25">
      <c r="A543" s="5" t="s">
        <v>655</v>
      </c>
      <c r="C543" s="5" t="s">
        <v>1741</v>
      </c>
      <c r="E543" s="11">
        <f>VLOOKUP(A543,TB!TB1_1,5,FALSE)</f>
        <v>0</v>
      </c>
      <c r="F543" s="17">
        <f t="shared" si="312"/>
        <v>0</v>
      </c>
      <c r="G543" s="17"/>
      <c r="H543" s="11">
        <f>VLOOKUP(A543,TB!TB,5,FALSE)</f>
        <v>0</v>
      </c>
      <c r="I543" s="17">
        <f t="shared" si="313"/>
        <v>0</v>
      </c>
      <c r="J543" s="17"/>
      <c r="K543" s="11">
        <f>VLOOKUP(A543,TB!TB1_1,4,FALSE)</f>
        <v>0</v>
      </c>
      <c r="L543" s="17">
        <f t="shared" si="314"/>
        <v>0</v>
      </c>
      <c r="N543" s="11">
        <f>VLOOKUP(A543,TB!TB,4,FALSE)</f>
        <v>0</v>
      </c>
      <c r="O543" s="17">
        <f t="shared" si="315"/>
        <v>0</v>
      </c>
    </row>
    <row r="544" spans="1:15" x14ac:dyDescent="0.25">
      <c r="A544" s="5" t="s">
        <v>958</v>
      </c>
      <c r="C544" s="5" t="s">
        <v>1742</v>
      </c>
      <c r="E544" s="11">
        <f>VLOOKUP(A544,TB!TB1_1,5,FALSE)</f>
        <v>0</v>
      </c>
      <c r="F544" s="17">
        <f t="shared" si="312"/>
        <v>0</v>
      </c>
      <c r="G544" s="17"/>
      <c r="H544" s="11">
        <f>VLOOKUP(A544,TB!TB,5,FALSE)</f>
        <v>0</v>
      </c>
      <c r="I544" s="17">
        <f t="shared" si="313"/>
        <v>0</v>
      </c>
      <c r="J544" s="17"/>
      <c r="K544" s="11">
        <f>VLOOKUP(A544,TB!TB1_1,4,FALSE)</f>
        <v>0</v>
      </c>
      <c r="L544" s="17">
        <f t="shared" si="314"/>
        <v>0</v>
      </c>
      <c r="N544" s="11">
        <f>VLOOKUP(A544,TB!TB,4,FALSE)</f>
        <v>0</v>
      </c>
      <c r="O544" s="17">
        <f t="shared" si="315"/>
        <v>0</v>
      </c>
    </row>
    <row r="545" spans="1:15" x14ac:dyDescent="0.25">
      <c r="A545" s="5" t="s">
        <v>657</v>
      </c>
      <c r="C545" s="5" t="s">
        <v>1743</v>
      </c>
      <c r="E545" s="11">
        <f>VLOOKUP(A545,TB!TB1_1,5,FALSE)</f>
        <v>749.55</v>
      </c>
      <c r="F545" s="17">
        <f t="shared" si="312"/>
        <v>2.5337486240457056E-4</v>
      </c>
      <c r="G545" s="17"/>
      <c r="H545" s="11">
        <f>VLOOKUP(A545,TB!TB,5,FALSE)</f>
        <v>818.76</v>
      </c>
      <c r="I545" s="17">
        <f t="shared" si="313"/>
        <v>3.7147591793118963E-4</v>
      </c>
      <c r="J545" s="17"/>
      <c r="K545" s="11">
        <f>VLOOKUP(A545,TB!TB1_1,4,FALSE)</f>
        <v>749.55</v>
      </c>
      <c r="L545" s="17">
        <f t="shared" si="314"/>
        <v>2.5337486240457056E-4</v>
      </c>
      <c r="N545" s="11">
        <f>VLOOKUP(A545,TB!TB,4,FALSE)</f>
        <v>818.76</v>
      </c>
      <c r="O545" s="17">
        <f t="shared" si="315"/>
        <v>3.7147591793118963E-4</v>
      </c>
    </row>
    <row r="546" spans="1:15" x14ac:dyDescent="0.25">
      <c r="A546" s="5" t="s">
        <v>959</v>
      </c>
      <c r="C546" s="5" t="s">
        <v>1744</v>
      </c>
      <c r="E546" s="11">
        <f>VLOOKUP(A546,TB!TB1_1,5,FALSE)</f>
        <v>220.8</v>
      </c>
      <c r="F546" s="17">
        <f t="shared" si="312"/>
        <v>7.4638342497404026E-5</v>
      </c>
      <c r="G546" s="17"/>
      <c r="H546" s="11">
        <f>VLOOKUP(A546,TB!TB,5,FALSE)</f>
        <v>220.8</v>
      </c>
      <c r="I546" s="17">
        <f t="shared" si="313"/>
        <v>1.0017817514193008E-4</v>
      </c>
      <c r="J546" s="17"/>
      <c r="K546" s="11">
        <f>VLOOKUP(A546,TB!TB1_1,4,FALSE)</f>
        <v>220.8</v>
      </c>
      <c r="L546" s="17">
        <f t="shared" si="314"/>
        <v>7.4638342497404026E-5</v>
      </c>
      <c r="N546" s="11">
        <f>VLOOKUP(A546,TB!TB,4,FALSE)</f>
        <v>220.8</v>
      </c>
      <c r="O546" s="17">
        <f t="shared" si="315"/>
        <v>1.0017817514193008E-4</v>
      </c>
    </row>
    <row r="547" spans="1:15" x14ac:dyDescent="0.25">
      <c r="A547" s="5" t="s">
        <v>659</v>
      </c>
      <c r="C547" s="5" t="s">
        <v>1745</v>
      </c>
      <c r="E547" s="11">
        <f>VLOOKUP(A547,TB!TB1_1,5,FALSE)</f>
        <v>4161.5200000000004</v>
      </c>
      <c r="F547" s="17">
        <f t="shared" si="312"/>
        <v>1.4067434559320508E-3</v>
      </c>
      <c r="G547" s="17"/>
      <c r="H547" s="11">
        <f>VLOOKUP(A547,TB!TB,5,FALSE)</f>
        <v>5161.5200000000004</v>
      </c>
      <c r="I547" s="17">
        <f t="shared" si="313"/>
        <v>2.3418100297036911E-3</v>
      </c>
      <c r="J547" s="17"/>
      <c r="K547" s="11">
        <f>VLOOKUP(A547,TB!TB1_1,4,FALSE)</f>
        <v>4161.5200000000004</v>
      </c>
      <c r="L547" s="17">
        <f t="shared" si="314"/>
        <v>1.4067434559320508E-3</v>
      </c>
      <c r="N547" s="11">
        <f>VLOOKUP(A547,TB!TB,4,FALSE)</f>
        <v>5161.5200000000004</v>
      </c>
      <c r="O547" s="17">
        <f t="shared" si="315"/>
        <v>2.3418100297036911E-3</v>
      </c>
    </row>
    <row r="548" spans="1:15" x14ac:dyDescent="0.25">
      <c r="A548" s="83" t="s">
        <v>1423</v>
      </c>
      <c r="C548" s="5" t="s">
        <v>1746</v>
      </c>
      <c r="E548" s="11">
        <f>VLOOKUP(A548,TB!TB1_1,5,FALSE)</f>
        <v>0</v>
      </c>
      <c r="F548" s="17">
        <f t="shared" ref="F548" si="336">IF(E$160,E548/E$160,0)</f>
        <v>0</v>
      </c>
      <c r="G548" s="17"/>
      <c r="H548" s="11">
        <f>VLOOKUP(A548,TB!TB,5,FALSE)</f>
        <v>0</v>
      </c>
      <c r="I548" s="17">
        <f t="shared" ref="I548" si="337">IF(H$160,H548/H$160,0)</f>
        <v>0</v>
      </c>
      <c r="J548" s="17"/>
      <c r="K548" s="11">
        <f>VLOOKUP(A548,TB!TB1_1,4,FALSE)</f>
        <v>0</v>
      </c>
      <c r="L548" s="17">
        <f t="shared" ref="L548" si="338">IF(K$160,K548/K$160,0)</f>
        <v>0</v>
      </c>
      <c r="N548" s="11">
        <f>VLOOKUP(A548,TB!TB,4,FALSE)</f>
        <v>0</v>
      </c>
      <c r="O548" s="17">
        <f t="shared" ref="O548" si="339">IF(N$160,N548/N$160,0)</f>
        <v>0</v>
      </c>
    </row>
    <row r="549" spans="1:15" x14ac:dyDescent="0.25">
      <c r="A549" s="5" t="s">
        <v>661</v>
      </c>
      <c r="C549" s="5" t="s">
        <v>1747</v>
      </c>
      <c r="E549" s="11">
        <f>VLOOKUP(A549,TB!TB1_1,5,FALSE)</f>
        <v>468.41</v>
      </c>
      <c r="F549" s="17">
        <f t="shared" si="312"/>
        <v>1.583394293895336E-4</v>
      </c>
      <c r="G549" s="17"/>
      <c r="H549" s="11">
        <f>VLOOKUP(A549,TB!TB,5,FALSE)</f>
        <v>622.14</v>
      </c>
      <c r="I549" s="17">
        <f t="shared" si="313"/>
        <v>2.8226834186050894E-4</v>
      </c>
      <c r="J549" s="17"/>
      <c r="K549" s="11">
        <f>VLOOKUP(A549,TB!TB1_1,4,FALSE)</f>
        <v>468.41</v>
      </c>
      <c r="L549" s="17">
        <f t="shared" si="314"/>
        <v>1.583394293895336E-4</v>
      </c>
      <c r="N549" s="11">
        <f>VLOOKUP(A549,TB!TB,4,FALSE)</f>
        <v>622.14</v>
      </c>
      <c r="O549" s="17">
        <f t="shared" si="315"/>
        <v>2.8226834186050894E-4</v>
      </c>
    </row>
    <row r="550" spans="1:15" x14ac:dyDescent="0.25">
      <c r="A550" s="5" t="s">
        <v>961</v>
      </c>
      <c r="C550" s="5" t="s">
        <v>1748</v>
      </c>
      <c r="E550" s="11">
        <f>VLOOKUP(A550,TB!TB1_1,5,FALSE)</f>
        <v>0</v>
      </c>
      <c r="F550" s="17">
        <f t="shared" si="312"/>
        <v>0</v>
      </c>
      <c r="G550" s="17"/>
      <c r="H550" s="11">
        <f>VLOOKUP(A550,TB!TB,5,FALSE)</f>
        <v>0</v>
      </c>
      <c r="I550" s="17">
        <f t="shared" si="313"/>
        <v>0</v>
      </c>
      <c r="J550" s="17"/>
      <c r="K550" s="11">
        <f>VLOOKUP(A550,TB!TB1_1,4,FALSE)</f>
        <v>0</v>
      </c>
      <c r="L550" s="17">
        <f t="shared" si="314"/>
        <v>0</v>
      </c>
      <c r="N550" s="11">
        <f>VLOOKUP(A550,TB!TB,4,FALSE)</f>
        <v>0</v>
      </c>
      <c r="O550" s="17">
        <f t="shared" si="315"/>
        <v>0</v>
      </c>
    </row>
    <row r="551" spans="1:15" x14ac:dyDescent="0.25">
      <c r="A551" s="5" t="s">
        <v>663</v>
      </c>
      <c r="C551" s="5" t="s">
        <v>1749</v>
      </c>
      <c r="E551" s="11">
        <f>VLOOKUP(A551,TB!TB1_1,5,FALSE)</f>
        <v>2106.48</v>
      </c>
      <c r="F551" s="17">
        <f t="shared" si="312"/>
        <v>7.1206601315186428E-4</v>
      </c>
      <c r="G551" s="17"/>
      <c r="H551" s="11">
        <f>VLOOKUP(A551,TB!TB,5,FALSE)</f>
        <v>2212.25</v>
      </c>
      <c r="I551" s="17">
        <f t="shared" si="313"/>
        <v>1.0037099998085816E-3</v>
      </c>
      <c r="J551" s="17"/>
      <c r="K551" s="11">
        <f>VLOOKUP(A551,TB!TB1_1,4,FALSE)</f>
        <v>2106.48</v>
      </c>
      <c r="L551" s="17">
        <f t="shared" si="314"/>
        <v>7.1206601315186428E-4</v>
      </c>
      <c r="N551" s="11">
        <f>VLOOKUP(A551,TB!TB,4,FALSE)</f>
        <v>2212.25</v>
      </c>
      <c r="O551" s="17">
        <f t="shared" si="315"/>
        <v>1.0037099998085816E-3</v>
      </c>
    </row>
    <row r="552" spans="1:15" x14ac:dyDescent="0.25">
      <c r="A552" s="5" t="s">
        <v>962</v>
      </c>
      <c r="C552" s="5" t="s">
        <v>1750</v>
      </c>
      <c r="E552" s="11">
        <f>VLOOKUP(A552,TB!TB1_1,5,FALSE)</f>
        <v>0</v>
      </c>
      <c r="F552" s="17">
        <f t="shared" ref="F552:F622" si="340">IF(E$160,E552/E$160,0)</f>
        <v>0</v>
      </c>
      <c r="G552" s="17"/>
      <c r="H552" s="11">
        <f>VLOOKUP(A552,TB!TB,5,FALSE)</f>
        <v>0</v>
      </c>
      <c r="I552" s="17">
        <f t="shared" ref="I552:I622" si="341">IF(H$160,H552/H$160,0)</f>
        <v>0</v>
      </c>
      <c r="J552" s="17"/>
      <c r="K552" s="11">
        <f>VLOOKUP(A552,TB!TB1_1,4,FALSE)</f>
        <v>0</v>
      </c>
      <c r="L552" s="17">
        <f t="shared" ref="L552:L622" si="342">IF(K$160,K552/K$160,0)</f>
        <v>0</v>
      </c>
      <c r="N552" s="11">
        <f>VLOOKUP(A552,TB!TB,4,FALSE)</f>
        <v>0</v>
      </c>
      <c r="O552" s="17">
        <f t="shared" ref="O552:O622" si="343">IF(N$160,N552/N$160,0)</f>
        <v>0</v>
      </c>
    </row>
    <row r="553" spans="1:15" x14ac:dyDescent="0.25">
      <c r="A553" s="5" t="s">
        <v>665</v>
      </c>
      <c r="C553" s="5" t="s">
        <v>1751</v>
      </c>
      <c r="E553" s="11">
        <f>VLOOKUP(A553,TB!TB1_1,5,FALSE)</f>
        <v>580.79999999999995</v>
      </c>
      <c r="F553" s="17">
        <f t="shared" si="340"/>
        <v>1.9633129222143233E-4</v>
      </c>
      <c r="G553" s="17"/>
      <c r="H553" s="11">
        <f>VLOOKUP(A553,TB!TB,5,FALSE)</f>
        <v>241.23</v>
      </c>
      <c r="I553" s="17">
        <f t="shared" si="341"/>
        <v>1.0944737857557876E-4</v>
      </c>
      <c r="J553" s="17"/>
      <c r="K553" s="11">
        <f>VLOOKUP(A553,TB!TB1_1,4,FALSE)</f>
        <v>580.79999999999995</v>
      </c>
      <c r="L553" s="17">
        <f t="shared" si="342"/>
        <v>1.9633129222143233E-4</v>
      </c>
      <c r="N553" s="11">
        <f>VLOOKUP(A553,TB!TB,4,FALSE)</f>
        <v>241.23</v>
      </c>
      <c r="O553" s="17">
        <f t="shared" si="343"/>
        <v>1.0944737857557876E-4</v>
      </c>
    </row>
    <row r="554" spans="1:15" x14ac:dyDescent="0.25">
      <c r="A554" s="5" t="s">
        <v>667</v>
      </c>
      <c r="C554" s="5" t="s">
        <v>1752</v>
      </c>
      <c r="E554" s="11">
        <f>VLOOKUP(A554,TB!TB1_1,5,FALSE)</f>
        <v>0</v>
      </c>
      <c r="F554" s="17">
        <f t="shared" si="340"/>
        <v>0</v>
      </c>
      <c r="G554" s="17"/>
      <c r="H554" s="11">
        <f>VLOOKUP(A554,TB!TB,5,FALSE)</f>
        <v>0</v>
      </c>
      <c r="I554" s="17">
        <f t="shared" si="341"/>
        <v>0</v>
      </c>
      <c r="J554" s="17"/>
      <c r="K554" s="11">
        <f>VLOOKUP(A554,TB!TB1_1,4,FALSE)</f>
        <v>0</v>
      </c>
      <c r="L554" s="17">
        <f t="shared" si="342"/>
        <v>0</v>
      </c>
      <c r="N554" s="11">
        <f>VLOOKUP(A554,TB!TB,4,FALSE)</f>
        <v>0</v>
      </c>
      <c r="O554" s="17">
        <f t="shared" si="343"/>
        <v>0</v>
      </c>
    </row>
    <row r="555" spans="1:15" x14ac:dyDescent="0.25">
      <c r="A555" s="5" t="s">
        <v>963</v>
      </c>
      <c r="C555" s="5" t="s">
        <v>1753</v>
      </c>
      <c r="E555" s="11">
        <f>VLOOKUP(A555,TB!TB1_1,5,FALSE)</f>
        <v>0</v>
      </c>
      <c r="F555" s="17">
        <f t="shared" si="340"/>
        <v>0</v>
      </c>
      <c r="G555" s="17"/>
      <c r="H555" s="11">
        <f>VLOOKUP(A555,TB!TB,5,FALSE)</f>
        <v>0</v>
      </c>
      <c r="I555" s="17">
        <f t="shared" si="341"/>
        <v>0</v>
      </c>
      <c r="J555" s="17"/>
      <c r="K555" s="11">
        <f>VLOOKUP(A555,TB!TB1_1,4,FALSE)</f>
        <v>0</v>
      </c>
      <c r="L555" s="17">
        <f t="shared" si="342"/>
        <v>0</v>
      </c>
      <c r="N555" s="11">
        <f>VLOOKUP(A555,TB!TB,4,FALSE)</f>
        <v>0</v>
      </c>
      <c r="O555" s="17">
        <f t="shared" si="343"/>
        <v>0</v>
      </c>
    </row>
    <row r="556" spans="1:15" x14ac:dyDescent="0.25">
      <c r="A556" s="5" t="s">
        <v>669</v>
      </c>
      <c r="C556" s="5" t="s">
        <v>1754</v>
      </c>
      <c r="E556" s="11">
        <f>VLOOKUP(A556,TB!TB1_1,5,FALSE)</f>
        <v>8370</v>
      </c>
      <c r="F556" s="17">
        <f t="shared" si="340"/>
        <v>2.8293610810836579E-3</v>
      </c>
      <c r="G556" s="17"/>
      <c r="H556" s="11">
        <f>VLOOKUP(A556,TB!TB,5,FALSE)</f>
        <v>1400</v>
      </c>
      <c r="I556" s="17">
        <f t="shared" si="341"/>
        <v>6.3518770470426679E-4</v>
      </c>
      <c r="J556" s="17"/>
      <c r="K556" s="11">
        <f>VLOOKUP(A556,TB!TB1_1,4,FALSE)</f>
        <v>8370</v>
      </c>
      <c r="L556" s="17">
        <f t="shared" si="342"/>
        <v>2.8293610810836579E-3</v>
      </c>
      <c r="N556" s="11">
        <f>VLOOKUP(A556,TB!TB,4,FALSE)</f>
        <v>1400</v>
      </c>
      <c r="O556" s="17">
        <f t="shared" si="343"/>
        <v>6.3518770470426679E-4</v>
      </c>
    </row>
    <row r="557" spans="1:15" x14ac:dyDescent="0.25">
      <c r="A557" s="5" t="s">
        <v>671</v>
      </c>
      <c r="C557" s="5" t="s">
        <v>1755</v>
      </c>
      <c r="E557" s="11">
        <f>VLOOKUP(A557,TB!TB1_1,5,FALSE)</f>
        <v>0</v>
      </c>
      <c r="F557" s="17">
        <f t="shared" si="340"/>
        <v>0</v>
      </c>
      <c r="G557" s="17"/>
      <c r="H557" s="11">
        <f>VLOOKUP(A557,TB!TB,5,FALSE)</f>
        <v>0</v>
      </c>
      <c r="I557" s="17">
        <f t="shared" si="341"/>
        <v>0</v>
      </c>
      <c r="J557" s="17"/>
      <c r="K557" s="11">
        <f>VLOOKUP(A557,TB!TB1_1,4,FALSE)</f>
        <v>0</v>
      </c>
      <c r="L557" s="17">
        <f t="shared" si="342"/>
        <v>0</v>
      </c>
      <c r="N557" s="11">
        <f>VLOOKUP(A557,TB!TB,4,FALSE)</f>
        <v>0</v>
      </c>
      <c r="O557" s="17">
        <f t="shared" si="343"/>
        <v>0</v>
      </c>
    </row>
    <row r="558" spans="1:15" x14ac:dyDescent="0.25">
      <c r="A558" s="5" t="s">
        <v>964</v>
      </c>
      <c r="C558" s="5" t="s">
        <v>1756</v>
      </c>
      <c r="E558" s="11">
        <f>VLOOKUP(A558,TB!TB1_1,5,FALSE)</f>
        <v>0</v>
      </c>
      <c r="F558" s="17">
        <f t="shared" si="340"/>
        <v>0</v>
      </c>
      <c r="G558" s="17"/>
      <c r="H558" s="11">
        <f>VLOOKUP(A558,TB!TB,5,FALSE)</f>
        <v>500</v>
      </c>
      <c r="I558" s="17">
        <f t="shared" si="341"/>
        <v>2.2685275168009527E-4</v>
      </c>
      <c r="J558" s="17"/>
      <c r="K558" s="11">
        <f>VLOOKUP(A558,TB!TB1_1,4,FALSE)</f>
        <v>0</v>
      </c>
      <c r="L558" s="17">
        <f t="shared" si="342"/>
        <v>0</v>
      </c>
      <c r="N558" s="11">
        <f>VLOOKUP(A558,TB!TB,4,FALSE)</f>
        <v>500</v>
      </c>
      <c r="O558" s="17">
        <f t="shared" si="343"/>
        <v>2.2685275168009527E-4</v>
      </c>
    </row>
    <row r="559" spans="1:15" x14ac:dyDescent="0.25">
      <c r="A559" s="5" t="s">
        <v>673</v>
      </c>
      <c r="C559" s="5" t="s">
        <v>1757</v>
      </c>
      <c r="E559" s="11">
        <f>VLOOKUP(A559,TB!TB1_1,5,FALSE)</f>
        <v>10134.530000000001</v>
      </c>
      <c r="F559" s="17">
        <f t="shared" si="340"/>
        <v>3.4258356937962686E-3</v>
      </c>
      <c r="G559" s="17"/>
      <c r="H559" s="11">
        <f>VLOOKUP(A559,TB!TB,5,FALSE)</f>
        <v>0</v>
      </c>
      <c r="I559" s="17">
        <f t="shared" si="341"/>
        <v>0</v>
      </c>
      <c r="J559" s="17"/>
      <c r="K559" s="11">
        <f>VLOOKUP(A559,TB!TB1_1,4,FALSE)</f>
        <v>10134.530000000001</v>
      </c>
      <c r="L559" s="17">
        <f t="shared" si="342"/>
        <v>3.4258356937962686E-3</v>
      </c>
      <c r="N559" s="11">
        <f>VLOOKUP(A559,TB!TB,4,FALSE)</f>
        <v>0</v>
      </c>
      <c r="O559" s="17">
        <f t="shared" si="343"/>
        <v>0</v>
      </c>
    </row>
    <row r="560" spans="1:15" x14ac:dyDescent="0.25">
      <c r="A560" s="83" t="s">
        <v>1434</v>
      </c>
      <c r="C560" s="5" t="s">
        <v>1758</v>
      </c>
      <c r="E560" s="11">
        <f>VLOOKUP(A560,TB!TB1_1,5,FALSE)</f>
        <v>0</v>
      </c>
      <c r="F560" s="17">
        <f t="shared" ref="F560" si="344">IF(E$160,E560/E$160,0)</f>
        <v>0</v>
      </c>
      <c r="G560" s="17"/>
      <c r="H560" s="11">
        <f>VLOOKUP(A560,TB!TB,5,FALSE)</f>
        <v>0</v>
      </c>
      <c r="I560" s="17">
        <f t="shared" ref="I560" si="345">IF(H$160,H560/H$160,0)</f>
        <v>0</v>
      </c>
      <c r="J560" s="17"/>
      <c r="K560" s="11">
        <f>VLOOKUP(A560,TB!TB1_1,4,FALSE)</f>
        <v>0</v>
      </c>
      <c r="L560" s="17">
        <f t="shared" ref="L560" si="346">IF(K$160,K560/K$160,0)</f>
        <v>0</v>
      </c>
      <c r="N560" s="11">
        <f>VLOOKUP(A560,TB!TB,4,FALSE)</f>
        <v>0</v>
      </c>
      <c r="O560" s="17">
        <f t="shared" ref="O560" si="347">IF(N$160,N560/N$160,0)</f>
        <v>0</v>
      </c>
    </row>
    <row r="561" spans="1:15" x14ac:dyDescent="0.25">
      <c r="A561" s="5" t="s">
        <v>675</v>
      </c>
      <c r="C561" s="5" t="s">
        <v>676</v>
      </c>
      <c r="E561" s="11">
        <f>VLOOKUP(A561,TB!TB1_1,5,FALSE)</f>
        <v>0</v>
      </c>
      <c r="F561" s="17">
        <f t="shared" si="340"/>
        <v>0</v>
      </c>
      <c r="G561" s="17"/>
      <c r="H561" s="11">
        <f>VLOOKUP(A561,TB!TB,5,FALSE)</f>
        <v>0</v>
      </c>
      <c r="I561" s="17">
        <f t="shared" si="341"/>
        <v>0</v>
      </c>
      <c r="J561" s="17"/>
      <c r="K561" s="11">
        <f>VLOOKUP(A561,TB!TB1_1,4,FALSE)</f>
        <v>0</v>
      </c>
      <c r="L561" s="17">
        <f t="shared" si="342"/>
        <v>0</v>
      </c>
      <c r="N561" s="11">
        <f>VLOOKUP(A561,TB!TB,4,FALSE)</f>
        <v>0</v>
      </c>
      <c r="O561" s="17">
        <f t="shared" si="343"/>
        <v>0</v>
      </c>
    </row>
    <row r="562" spans="1:15" x14ac:dyDescent="0.25">
      <c r="A562" s="5" t="s">
        <v>677</v>
      </c>
      <c r="C562" s="5" t="s">
        <v>1759</v>
      </c>
      <c r="E562" s="11">
        <f>VLOOKUP(A562,TB!TB1_1,5,FALSE)</f>
        <v>0</v>
      </c>
      <c r="F562" s="17">
        <f t="shared" si="340"/>
        <v>0</v>
      </c>
      <c r="G562" s="17"/>
      <c r="H562" s="11">
        <f>VLOOKUP(A562,TB!TB,5,FALSE)</f>
        <v>0</v>
      </c>
      <c r="I562" s="17">
        <f t="shared" si="341"/>
        <v>0</v>
      </c>
      <c r="J562" s="17"/>
      <c r="K562" s="11">
        <f>VLOOKUP(A562,TB!TB1_1,4,FALSE)</f>
        <v>0</v>
      </c>
      <c r="L562" s="17">
        <f t="shared" si="342"/>
        <v>0</v>
      </c>
      <c r="N562" s="11">
        <f>VLOOKUP(A562,TB!TB,4,FALSE)</f>
        <v>0</v>
      </c>
      <c r="O562" s="17">
        <f t="shared" si="343"/>
        <v>0</v>
      </c>
    </row>
    <row r="563" spans="1:15" x14ac:dyDescent="0.25">
      <c r="A563" s="5" t="s">
        <v>679</v>
      </c>
      <c r="C563" s="5" t="s">
        <v>1760</v>
      </c>
      <c r="E563" s="11">
        <f>VLOOKUP(A563,TB!TB1_1,5,FALSE)</f>
        <v>1151.1099999999999</v>
      </c>
      <c r="F563" s="17">
        <f t="shared" si="340"/>
        <v>3.8911658710229501E-4</v>
      </c>
      <c r="G563" s="17"/>
      <c r="H563" s="11">
        <f>VLOOKUP(A563,TB!TB,5,FALSE)</f>
        <v>390.98</v>
      </c>
      <c r="I563" s="17">
        <f t="shared" si="341"/>
        <v>1.7738977770376732E-4</v>
      </c>
      <c r="J563" s="17"/>
      <c r="K563" s="11">
        <f>VLOOKUP(A563,TB!TB1_1,4,FALSE)</f>
        <v>1151.1099999999999</v>
      </c>
      <c r="L563" s="17">
        <f t="shared" si="342"/>
        <v>3.8911658710229501E-4</v>
      </c>
      <c r="N563" s="11">
        <f>VLOOKUP(A563,TB!TB,4,FALSE)</f>
        <v>390.98</v>
      </c>
      <c r="O563" s="17">
        <f t="shared" si="343"/>
        <v>1.7738977770376732E-4</v>
      </c>
    </row>
    <row r="564" spans="1:15" x14ac:dyDescent="0.25">
      <c r="A564" s="5" t="s">
        <v>966</v>
      </c>
      <c r="C564" s="5" t="s">
        <v>1761</v>
      </c>
      <c r="E564" s="11">
        <f>VLOOKUP(A564,TB!TB1_1,5,FALSE)</f>
        <v>0</v>
      </c>
      <c r="F564" s="17">
        <f t="shared" si="340"/>
        <v>0</v>
      </c>
      <c r="G564" s="17"/>
      <c r="H564" s="11">
        <f>VLOOKUP(A564,TB!TB,5,FALSE)</f>
        <v>0</v>
      </c>
      <c r="I564" s="17">
        <f t="shared" si="341"/>
        <v>0</v>
      </c>
      <c r="J564" s="17"/>
      <c r="K564" s="11">
        <f>VLOOKUP(A564,TB!TB1_1,4,FALSE)</f>
        <v>0</v>
      </c>
      <c r="L564" s="17">
        <f t="shared" si="342"/>
        <v>0</v>
      </c>
      <c r="N564" s="11">
        <f>VLOOKUP(A564,TB!TB,4,FALSE)</f>
        <v>0</v>
      </c>
      <c r="O564" s="17">
        <f t="shared" si="343"/>
        <v>0</v>
      </c>
    </row>
    <row r="565" spans="1:15" x14ac:dyDescent="0.25">
      <c r="A565" s="5" t="s">
        <v>681</v>
      </c>
      <c r="C565" s="5" t="s">
        <v>1762</v>
      </c>
      <c r="E565" s="11">
        <f>VLOOKUP(A565,TB!TB1_1,5,FALSE)</f>
        <v>1151.1099999999999</v>
      </c>
      <c r="F565" s="17">
        <f t="shared" si="340"/>
        <v>3.8911658710229501E-4</v>
      </c>
      <c r="G565" s="17"/>
      <c r="H565" s="11">
        <f>VLOOKUP(A565,TB!TB,5,FALSE)</f>
        <v>390.98</v>
      </c>
      <c r="I565" s="17">
        <f t="shared" si="341"/>
        <v>1.7738977770376732E-4</v>
      </c>
      <c r="J565" s="17"/>
      <c r="K565" s="11">
        <f>VLOOKUP(A565,TB!TB1_1,4,FALSE)</f>
        <v>1151.1099999999999</v>
      </c>
      <c r="L565" s="17">
        <f t="shared" si="342"/>
        <v>3.8911658710229501E-4</v>
      </c>
      <c r="N565" s="11">
        <f>VLOOKUP(A565,TB!TB,4,FALSE)</f>
        <v>390.98</v>
      </c>
      <c r="O565" s="17">
        <f t="shared" si="343"/>
        <v>1.7738977770376732E-4</v>
      </c>
    </row>
    <row r="566" spans="1:15" x14ac:dyDescent="0.25">
      <c r="A566" s="5" t="s">
        <v>967</v>
      </c>
      <c r="C566" s="5" t="s">
        <v>1763</v>
      </c>
      <c r="E566" s="11">
        <f>VLOOKUP(A566,TB!TB1_1,5,FALSE)</f>
        <v>97.62</v>
      </c>
      <c r="F566" s="17">
        <f t="shared" si="340"/>
        <v>3.2999071533499007E-5</v>
      </c>
      <c r="G566" s="17"/>
      <c r="H566" s="11">
        <f>VLOOKUP(A566,TB!TB,5,FALSE)</f>
        <v>106.2</v>
      </c>
      <c r="I566" s="17">
        <f t="shared" si="341"/>
        <v>4.8183524456852237E-5</v>
      </c>
      <c r="J566" s="17"/>
      <c r="K566" s="11">
        <f>VLOOKUP(A566,TB!TB1_1,4,FALSE)</f>
        <v>97.62</v>
      </c>
      <c r="L566" s="17">
        <f t="shared" si="342"/>
        <v>3.2999071533499007E-5</v>
      </c>
      <c r="N566" s="11">
        <f>VLOOKUP(A566,TB!TB,4,FALSE)</f>
        <v>106.2</v>
      </c>
      <c r="O566" s="17">
        <f t="shared" si="343"/>
        <v>4.8183524456852237E-5</v>
      </c>
    </row>
    <row r="567" spans="1:15" x14ac:dyDescent="0.25">
      <c r="A567" s="5" t="s">
        <v>683</v>
      </c>
      <c r="C567" s="5" t="s">
        <v>1764</v>
      </c>
      <c r="E567" s="11">
        <f>VLOOKUP(A567,TB!TB1_1,5,FALSE)</f>
        <v>195.24</v>
      </c>
      <c r="F567" s="17">
        <f t="shared" si="340"/>
        <v>6.5998143066998014E-5</v>
      </c>
      <c r="G567" s="17"/>
      <c r="H567" s="11">
        <f>VLOOKUP(A567,TB!TB,5,FALSE)</f>
        <v>212.4</v>
      </c>
      <c r="I567" s="17">
        <f t="shared" si="341"/>
        <v>9.6367048913704475E-5</v>
      </c>
      <c r="J567" s="17"/>
      <c r="K567" s="11">
        <f>VLOOKUP(A567,TB!TB1_1,4,FALSE)</f>
        <v>195.24</v>
      </c>
      <c r="L567" s="17">
        <f t="shared" si="342"/>
        <v>6.5998143066998014E-5</v>
      </c>
      <c r="N567" s="11">
        <f>VLOOKUP(A567,TB!TB,4,FALSE)</f>
        <v>212.4</v>
      </c>
      <c r="O567" s="17">
        <f t="shared" si="343"/>
        <v>9.6367048913704475E-5</v>
      </c>
    </row>
    <row r="568" spans="1:15" x14ac:dyDescent="0.25">
      <c r="A568" s="83" t="s">
        <v>1435</v>
      </c>
      <c r="C568" s="5" t="s">
        <v>1765</v>
      </c>
      <c r="E568" s="11">
        <f>VLOOKUP(A568,TB!TB1_1,5,FALSE)</f>
        <v>97.62</v>
      </c>
      <c r="F568" s="17">
        <f t="shared" ref="F568" si="348">IF(E$160,E568/E$160,0)</f>
        <v>3.2999071533499007E-5</v>
      </c>
      <c r="G568" s="17"/>
      <c r="H568" s="11">
        <f>VLOOKUP(A568,TB!TB,5,FALSE)</f>
        <v>106.2</v>
      </c>
      <c r="I568" s="17">
        <f t="shared" ref="I568" si="349">IF(H$160,H568/H$160,0)</f>
        <v>4.8183524456852237E-5</v>
      </c>
      <c r="J568" s="17"/>
      <c r="K568" s="11">
        <f>VLOOKUP(A568,TB!TB1_1,4,FALSE)</f>
        <v>97.62</v>
      </c>
      <c r="L568" s="17">
        <f t="shared" ref="L568" si="350">IF(K$160,K568/K$160,0)</f>
        <v>3.2999071533499007E-5</v>
      </c>
      <c r="N568" s="11">
        <f>VLOOKUP(A568,TB!TB,4,FALSE)</f>
        <v>106.2</v>
      </c>
      <c r="O568" s="17">
        <f t="shared" ref="O568" si="351">IF(N$160,N568/N$160,0)</f>
        <v>4.8183524456852237E-5</v>
      </c>
    </row>
    <row r="569" spans="1:15" x14ac:dyDescent="0.25">
      <c r="A569" s="5" t="s">
        <v>685</v>
      </c>
      <c r="C569" s="5" t="s">
        <v>1766</v>
      </c>
      <c r="E569" s="11">
        <f>VLOOKUP(A569,TB!TB1_1,5,FALSE)</f>
        <v>1736.82</v>
      </c>
      <c r="F569" s="17">
        <f t="shared" si="340"/>
        <v>5.8710763594357451E-4</v>
      </c>
      <c r="G569" s="17"/>
      <c r="H569" s="11">
        <f>VLOOKUP(A569,TB!TB,5,FALSE)</f>
        <v>1028.18</v>
      </c>
      <c r="I569" s="17">
        <f t="shared" si="341"/>
        <v>4.6649092444488079E-4</v>
      </c>
      <c r="J569" s="17"/>
      <c r="K569" s="11">
        <f>VLOOKUP(A569,TB!TB1_1,4,FALSE)</f>
        <v>1736.82</v>
      </c>
      <c r="L569" s="17">
        <f t="shared" si="342"/>
        <v>5.8710763594357451E-4</v>
      </c>
      <c r="N569" s="11">
        <f>VLOOKUP(A569,TB!TB,4,FALSE)</f>
        <v>1028.18</v>
      </c>
      <c r="O569" s="17">
        <f t="shared" si="343"/>
        <v>4.6649092444488079E-4</v>
      </c>
    </row>
    <row r="570" spans="1:15" x14ac:dyDescent="0.25">
      <c r="A570" s="5" t="s">
        <v>969</v>
      </c>
      <c r="C570" s="5" t="s">
        <v>1767</v>
      </c>
      <c r="E570" s="11">
        <f>VLOOKUP(A570,TB!TB1_1,5,FALSE)</f>
        <v>0</v>
      </c>
      <c r="F570" s="17">
        <f t="shared" si="340"/>
        <v>0</v>
      </c>
      <c r="G570" s="17"/>
      <c r="H570" s="11">
        <f>VLOOKUP(A570,TB!TB,5,FALSE)</f>
        <v>0</v>
      </c>
      <c r="I570" s="17">
        <f t="shared" si="341"/>
        <v>0</v>
      </c>
      <c r="J570" s="17"/>
      <c r="K570" s="11">
        <f>VLOOKUP(A570,TB!TB1_1,4,FALSE)</f>
        <v>0</v>
      </c>
      <c r="L570" s="17">
        <f t="shared" si="342"/>
        <v>0</v>
      </c>
      <c r="N570" s="11">
        <f>VLOOKUP(A570,TB!TB,4,FALSE)</f>
        <v>0</v>
      </c>
      <c r="O570" s="17">
        <f t="shared" si="343"/>
        <v>0</v>
      </c>
    </row>
    <row r="571" spans="1:15" x14ac:dyDescent="0.25">
      <c r="A571" s="5" t="s">
        <v>687</v>
      </c>
      <c r="C571" s="5" t="s">
        <v>1768</v>
      </c>
      <c r="E571" s="11">
        <f>VLOOKUP(A571,TB!TB1_1,5,FALSE)</f>
        <v>2713.01</v>
      </c>
      <c r="F571" s="17">
        <f t="shared" si="340"/>
        <v>9.1709497091885012E-4</v>
      </c>
      <c r="G571" s="17"/>
      <c r="H571" s="11">
        <f>VLOOKUP(A571,TB!TB,5,FALSE)</f>
        <v>2090.15</v>
      </c>
      <c r="I571" s="17">
        <f t="shared" si="341"/>
        <v>9.4831255784830237E-4</v>
      </c>
      <c r="J571" s="17"/>
      <c r="K571" s="11">
        <f>VLOOKUP(A571,TB!TB1_1,4,FALSE)</f>
        <v>2713.01</v>
      </c>
      <c r="L571" s="17">
        <f t="shared" si="342"/>
        <v>9.1709497091885012E-4</v>
      </c>
      <c r="N571" s="11">
        <f>VLOOKUP(A571,TB!TB,4,FALSE)</f>
        <v>2090.15</v>
      </c>
      <c r="O571" s="17">
        <f t="shared" si="343"/>
        <v>9.4831255784830237E-4</v>
      </c>
    </row>
    <row r="572" spans="1:15" x14ac:dyDescent="0.25">
      <c r="A572" s="5" t="s">
        <v>970</v>
      </c>
      <c r="C572" s="5" t="s">
        <v>1769</v>
      </c>
      <c r="E572" s="11">
        <f>VLOOKUP(A572,TB!TB1_1,5,FALSE)</f>
        <v>0</v>
      </c>
      <c r="F572" s="17">
        <f t="shared" si="340"/>
        <v>0</v>
      </c>
      <c r="G572" s="17"/>
      <c r="H572" s="11">
        <f>VLOOKUP(A572,TB!TB,5,FALSE)</f>
        <v>0</v>
      </c>
      <c r="I572" s="17">
        <f t="shared" si="341"/>
        <v>0</v>
      </c>
      <c r="J572" s="17"/>
      <c r="K572" s="11">
        <f>VLOOKUP(A572,TB!TB1_1,4,FALSE)</f>
        <v>0</v>
      </c>
      <c r="L572" s="17">
        <f t="shared" si="342"/>
        <v>0</v>
      </c>
      <c r="N572" s="11">
        <f>VLOOKUP(A572,TB!TB,4,FALSE)</f>
        <v>0</v>
      </c>
      <c r="O572" s="17">
        <f t="shared" si="343"/>
        <v>0</v>
      </c>
    </row>
    <row r="573" spans="1:15" x14ac:dyDescent="0.25">
      <c r="A573" s="5" t="s">
        <v>689</v>
      </c>
      <c r="C573" s="5" t="s">
        <v>1770</v>
      </c>
      <c r="E573" s="11">
        <f>VLOOKUP(A573,TB!TB1_1,5,FALSE)</f>
        <v>1151.0999999999999</v>
      </c>
      <c r="F573" s="17">
        <f t="shared" si="340"/>
        <v>3.8911320674258048E-4</v>
      </c>
      <c r="G573" s="17"/>
      <c r="H573" s="11">
        <f>VLOOKUP(A573,TB!TB,5,FALSE)</f>
        <v>390.98</v>
      </c>
      <c r="I573" s="17">
        <f t="shared" si="341"/>
        <v>1.7738977770376732E-4</v>
      </c>
      <c r="J573" s="17"/>
      <c r="K573" s="11">
        <f>VLOOKUP(A573,TB!TB1_1,4,FALSE)</f>
        <v>1151.0999999999999</v>
      </c>
      <c r="L573" s="17">
        <f t="shared" si="342"/>
        <v>3.8911320674258048E-4</v>
      </c>
      <c r="N573" s="11">
        <f>VLOOKUP(A573,TB!TB,4,FALSE)</f>
        <v>390.98</v>
      </c>
      <c r="O573" s="17">
        <f t="shared" si="343"/>
        <v>1.7738977770376732E-4</v>
      </c>
    </row>
    <row r="574" spans="1:15" x14ac:dyDescent="0.25">
      <c r="A574" s="5" t="s">
        <v>691</v>
      </c>
      <c r="C574" s="5" t="s">
        <v>1771</v>
      </c>
      <c r="E574" s="11">
        <f>VLOOKUP(A574,TB!TB1_1,5,FALSE)</f>
        <v>1346.27</v>
      </c>
      <c r="F574" s="17">
        <f t="shared" si="340"/>
        <v>4.5508768729157664E-4</v>
      </c>
      <c r="G574" s="17"/>
      <c r="H574" s="11">
        <f>VLOOKUP(A574,TB!TB,5,FALSE)</f>
        <v>603.36</v>
      </c>
      <c r="I574" s="17">
        <f t="shared" si="341"/>
        <v>2.7374775250740461E-4</v>
      </c>
      <c r="J574" s="17"/>
      <c r="K574" s="11">
        <f>VLOOKUP(A574,TB!TB1_1,4,FALSE)</f>
        <v>1346.27</v>
      </c>
      <c r="L574" s="17">
        <f t="shared" si="342"/>
        <v>4.5508768729157664E-4</v>
      </c>
      <c r="N574" s="11">
        <f>VLOOKUP(A574,TB!TB,4,FALSE)</f>
        <v>603.36</v>
      </c>
      <c r="O574" s="17">
        <f t="shared" si="343"/>
        <v>2.7374775250740461E-4</v>
      </c>
    </row>
    <row r="575" spans="1:15" x14ac:dyDescent="0.25">
      <c r="A575" s="5" t="s">
        <v>971</v>
      </c>
      <c r="C575" s="5" t="s">
        <v>1772</v>
      </c>
      <c r="E575" s="11">
        <f>VLOOKUP(A575,TB!TB1_1,5,FALSE)</f>
        <v>0</v>
      </c>
      <c r="F575" s="17">
        <f t="shared" si="340"/>
        <v>0</v>
      </c>
      <c r="G575" s="17"/>
      <c r="H575" s="11">
        <f>VLOOKUP(A575,TB!TB,5,FALSE)</f>
        <v>0</v>
      </c>
      <c r="I575" s="17">
        <f t="shared" si="341"/>
        <v>0</v>
      </c>
      <c r="J575" s="17"/>
      <c r="K575" s="11">
        <f>VLOOKUP(A575,TB!TB1_1,4,FALSE)</f>
        <v>0</v>
      </c>
      <c r="L575" s="17">
        <f t="shared" si="342"/>
        <v>0</v>
      </c>
      <c r="N575" s="11">
        <f>VLOOKUP(A575,TB!TB,4,FALSE)</f>
        <v>0</v>
      </c>
      <c r="O575" s="17">
        <f t="shared" si="343"/>
        <v>0</v>
      </c>
    </row>
    <row r="576" spans="1:15" x14ac:dyDescent="0.25">
      <c r="A576" s="5" t="s">
        <v>693</v>
      </c>
      <c r="C576" s="5" t="s">
        <v>1773</v>
      </c>
      <c r="E576" s="11">
        <f>VLOOKUP(A576,TB!TB1_1,5,FALSE)</f>
        <v>0</v>
      </c>
      <c r="F576" s="17">
        <f t="shared" si="340"/>
        <v>0</v>
      </c>
      <c r="G576" s="17"/>
      <c r="H576" s="11">
        <f>VLOOKUP(A576,TB!TB,5,FALSE)</f>
        <v>0</v>
      </c>
      <c r="I576" s="17">
        <f t="shared" si="341"/>
        <v>0</v>
      </c>
      <c r="J576" s="17"/>
      <c r="K576" s="11">
        <f>VLOOKUP(A576,TB!TB1_1,4,FALSE)</f>
        <v>0</v>
      </c>
      <c r="L576" s="17">
        <f t="shared" si="342"/>
        <v>0</v>
      </c>
      <c r="N576" s="11">
        <f>VLOOKUP(A576,TB!TB,4,FALSE)</f>
        <v>0</v>
      </c>
      <c r="O576" s="17">
        <f t="shared" si="343"/>
        <v>0</v>
      </c>
    </row>
    <row r="577" spans="1:15" x14ac:dyDescent="0.25">
      <c r="A577" s="5" t="s">
        <v>697</v>
      </c>
      <c r="C577" s="5" t="s">
        <v>1774</v>
      </c>
      <c r="E577" s="11">
        <f>VLOOKUP(A577,TB!TB1_1,5,FALSE)</f>
        <v>0</v>
      </c>
      <c r="F577" s="17">
        <f t="shared" si="340"/>
        <v>0</v>
      </c>
      <c r="G577" s="17"/>
      <c r="H577" s="11">
        <f>VLOOKUP(A577,TB!TB,5,FALSE)</f>
        <v>0</v>
      </c>
      <c r="I577" s="17">
        <f t="shared" si="341"/>
        <v>0</v>
      </c>
      <c r="J577" s="17"/>
      <c r="K577" s="11">
        <f>VLOOKUP(A577,TB!TB1_1,4,FALSE)</f>
        <v>0</v>
      </c>
      <c r="L577" s="17">
        <f t="shared" si="342"/>
        <v>0</v>
      </c>
      <c r="N577" s="11">
        <f>VLOOKUP(A577,TB!TB,4,FALSE)</f>
        <v>0</v>
      </c>
      <c r="O577" s="17">
        <f t="shared" si="343"/>
        <v>0</v>
      </c>
    </row>
    <row r="578" spans="1:15" x14ac:dyDescent="0.25">
      <c r="A578" s="5" t="s">
        <v>972</v>
      </c>
      <c r="C578" s="5" t="s">
        <v>1775</v>
      </c>
      <c r="E578" s="11">
        <f>VLOOKUP(A578,TB!TB1_1,5,FALSE)</f>
        <v>0</v>
      </c>
      <c r="F578" s="17">
        <f t="shared" si="340"/>
        <v>0</v>
      </c>
      <c r="G578" s="17"/>
      <c r="H578" s="11">
        <f>VLOOKUP(A578,TB!TB,5,FALSE)</f>
        <v>0</v>
      </c>
      <c r="I578" s="17">
        <f t="shared" si="341"/>
        <v>0</v>
      </c>
      <c r="J578" s="17"/>
      <c r="K578" s="11">
        <f>VLOOKUP(A578,TB!TB1_1,4,FALSE)</f>
        <v>0</v>
      </c>
      <c r="L578" s="17">
        <f t="shared" si="342"/>
        <v>0</v>
      </c>
      <c r="N578" s="11">
        <f>VLOOKUP(A578,TB!TB,4,FALSE)</f>
        <v>0</v>
      </c>
      <c r="O578" s="17">
        <f t="shared" si="343"/>
        <v>0</v>
      </c>
    </row>
    <row r="579" spans="1:15" x14ac:dyDescent="0.25">
      <c r="A579" s="5" t="s">
        <v>699</v>
      </c>
      <c r="C579" s="5" t="s">
        <v>1776</v>
      </c>
      <c r="E579" s="11">
        <f>VLOOKUP(A579,TB!TB1_1,5,FALSE)</f>
        <v>0</v>
      </c>
      <c r="F579" s="17">
        <f t="shared" si="340"/>
        <v>0</v>
      </c>
      <c r="G579" s="17"/>
      <c r="H579" s="11">
        <f>VLOOKUP(A579,TB!TB,5,FALSE)</f>
        <v>0</v>
      </c>
      <c r="I579" s="17">
        <f t="shared" si="341"/>
        <v>0</v>
      </c>
      <c r="J579" s="17"/>
      <c r="K579" s="11">
        <f>VLOOKUP(A579,TB!TB1_1,4,FALSE)</f>
        <v>0</v>
      </c>
      <c r="L579" s="17">
        <f t="shared" si="342"/>
        <v>0</v>
      </c>
      <c r="N579" s="11">
        <f>VLOOKUP(A579,TB!TB,4,FALSE)</f>
        <v>0</v>
      </c>
      <c r="O579" s="17">
        <f t="shared" si="343"/>
        <v>0</v>
      </c>
    </row>
    <row r="580" spans="1:15" x14ac:dyDescent="0.25">
      <c r="A580" s="5" t="s">
        <v>973</v>
      </c>
      <c r="C580" s="5" t="s">
        <v>1777</v>
      </c>
      <c r="E580" s="11">
        <f>VLOOKUP(A580,TB!TB1_1,5,FALSE)</f>
        <v>0</v>
      </c>
      <c r="F580" s="17">
        <f t="shared" si="340"/>
        <v>0</v>
      </c>
      <c r="G580" s="17"/>
      <c r="H580" s="11">
        <f>VLOOKUP(A580,TB!TB,5,FALSE)</f>
        <v>0</v>
      </c>
      <c r="I580" s="17">
        <f t="shared" si="341"/>
        <v>0</v>
      </c>
      <c r="J580" s="17"/>
      <c r="K580" s="11">
        <f>VLOOKUP(A580,TB!TB1_1,4,FALSE)</f>
        <v>0</v>
      </c>
      <c r="L580" s="17">
        <f t="shared" si="342"/>
        <v>0</v>
      </c>
      <c r="N580" s="11">
        <f>VLOOKUP(A580,TB!TB,4,FALSE)</f>
        <v>0</v>
      </c>
      <c r="O580" s="17">
        <f t="shared" si="343"/>
        <v>0</v>
      </c>
    </row>
    <row r="581" spans="1:15" x14ac:dyDescent="0.25">
      <c r="A581" s="5" t="s">
        <v>700</v>
      </c>
      <c r="C581" s="5" t="s">
        <v>1778</v>
      </c>
      <c r="E581" s="11">
        <f>VLOOKUP(A581,TB!TB1_1,5,FALSE)</f>
        <v>0</v>
      </c>
      <c r="F581" s="17">
        <f t="shared" si="340"/>
        <v>0</v>
      </c>
      <c r="G581" s="17"/>
      <c r="H581" s="11">
        <f>VLOOKUP(A581,TB!TB,5,FALSE)</f>
        <v>0</v>
      </c>
      <c r="I581" s="17">
        <f t="shared" si="341"/>
        <v>0</v>
      </c>
      <c r="J581" s="17"/>
      <c r="K581" s="11">
        <f>VLOOKUP(A581,TB!TB1_1,4,FALSE)</f>
        <v>0</v>
      </c>
      <c r="L581" s="17">
        <f t="shared" si="342"/>
        <v>0</v>
      </c>
      <c r="N581" s="11">
        <f>VLOOKUP(A581,TB!TB,4,FALSE)</f>
        <v>0</v>
      </c>
      <c r="O581" s="17">
        <f t="shared" si="343"/>
        <v>0</v>
      </c>
    </row>
    <row r="582" spans="1:15" x14ac:dyDescent="0.25">
      <c r="A582" s="83" t="s">
        <v>1436</v>
      </c>
      <c r="C582" s="5" t="s">
        <v>1779</v>
      </c>
      <c r="E582" s="11">
        <f>VLOOKUP(A582,TB!TB1_1,5,FALSE)</f>
        <v>0</v>
      </c>
      <c r="F582" s="17">
        <f t="shared" ref="F582" si="352">IF(E$160,E582/E$160,0)</f>
        <v>0</v>
      </c>
      <c r="G582" s="17"/>
      <c r="H582" s="11">
        <f>VLOOKUP(A582,TB!TB,5,FALSE)</f>
        <v>0</v>
      </c>
      <c r="I582" s="17">
        <f t="shared" ref="I582" si="353">IF(H$160,H582/H$160,0)</f>
        <v>0</v>
      </c>
      <c r="J582" s="17"/>
      <c r="K582" s="11">
        <f>VLOOKUP(A582,TB!TB1_1,4,FALSE)</f>
        <v>0</v>
      </c>
      <c r="L582" s="17">
        <f t="shared" ref="L582" si="354">IF(K$160,K582/K$160,0)</f>
        <v>0</v>
      </c>
      <c r="N582" s="11">
        <f>VLOOKUP(A582,TB!TB,4,FALSE)</f>
        <v>0</v>
      </c>
      <c r="O582" s="17">
        <f t="shared" ref="O582" si="355">IF(N$160,N582/N$160,0)</f>
        <v>0</v>
      </c>
    </row>
    <row r="583" spans="1:15" x14ac:dyDescent="0.25">
      <c r="A583" s="5" t="s">
        <v>701</v>
      </c>
      <c r="C583" s="5" t="s">
        <v>1780</v>
      </c>
      <c r="E583" s="11">
        <f>VLOOKUP(A583,TB!TB1_1,5,FALSE)</f>
        <v>0</v>
      </c>
      <c r="F583" s="17">
        <f t="shared" si="340"/>
        <v>0</v>
      </c>
      <c r="G583" s="17"/>
      <c r="H583" s="11">
        <f>VLOOKUP(A583,TB!TB,5,FALSE)</f>
        <v>0</v>
      </c>
      <c r="I583" s="17">
        <f t="shared" si="341"/>
        <v>0</v>
      </c>
      <c r="J583" s="17"/>
      <c r="K583" s="11">
        <f>VLOOKUP(A583,TB!TB1_1,4,FALSE)</f>
        <v>0</v>
      </c>
      <c r="L583" s="17">
        <f t="shared" si="342"/>
        <v>0</v>
      </c>
      <c r="N583" s="11">
        <f>VLOOKUP(A583,TB!TB,4,FALSE)</f>
        <v>0</v>
      </c>
      <c r="O583" s="17">
        <f t="shared" si="343"/>
        <v>0</v>
      </c>
    </row>
    <row r="584" spans="1:15" x14ac:dyDescent="0.25">
      <c r="A584" s="5" t="s">
        <v>974</v>
      </c>
      <c r="C584" s="5" t="s">
        <v>1781</v>
      </c>
      <c r="E584" s="11">
        <f>VLOOKUP(A584,TB!TB1_1,5,FALSE)</f>
        <v>0</v>
      </c>
      <c r="F584" s="17">
        <f t="shared" si="340"/>
        <v>0</v>
      </c>
      <c r="G584" s="17"/>
      <c r="H584" s="11">
        <f>VLOOKUP(A584,TB!TB,5,FALSE)</f>
        <v>0</v>
      </c>
      <c r="I584" s="17">
        <f t="shared" si="341"/>
        <v>0</v>
      </c>
      <c r="J584" s="17"/>
      <c r="K584" s="11">
        <f>VLOOKUP(A584,TB!TB1_1,4,FALSE)</f>
        <v>0</v>
      </c>
      <c r="L584" s="17">
        <f t="shared" si="342"/>
        <v>0</v>
      </c>
      <c r="N584" s="11">
        <f>VLOOKUP(A584,TB!TB,4,FALSE)</f>
        <v>0</v>
      </c>
      <c r="O584" s="17">
        <f t="shared" si="343"/>
        <v>0</v>
      </c>
    </row>
    <row r="585" spans="1:15" x14ac:dyDescent="0.25">
      <c r="A585" s="5" t="s">
        <v>702</v>
      </c>
      <c r="C585" s="5" t="s">
        <v>1782</v>
      </c>
      <c r="E585" s="11">
        <f>VLOOKUP(A585,TB!TB1_1,5,FALSE)</f>
        <v>0</v>
      </c>
      <c r="F585" s="17">
        <f t="shared" si="340"/>
        <v>0</v>
      </c>
      <c r="G585" s="17"/>
      <c r="H585" s="11">
        <f>VLOOKUP(A585,TB!TB,5,FALSE)</f>
        <v>0</v>
      </c>
      <c r="I585" s="17">
        <f t="shared" si="341"/>
        <v>0</v>
      </c>
      <c r="J585" s="17"/>
      <c r="K585" s="11">
        <f>VLOOKUP(A585,TB!TB1_1,4,FALSE)</f>
        <v>0</v>
      </c>
      <c r="L585" s="17">
        <f t="shared" si="342"/>
        <v>0</v>
      </c>
      <c r="N585" s="11">
        <f>VLOOKUP(A585,TB!TB,4,FALSE)</f>
        <v>0</v>
      </c>
      <c r="O585" s="17">
        <f t="shared" si="343"/>
        <v>0</v>
      </c>
    </row>
    <row r="586" spans="1:15" x14ac:dyDescent="0.25">
      <c r="A586" s="5" t="s">
        <v>975</v>
      </c>
      <c r="C586" s="5" t="s">
        <v>1783</v>
      </c>
      <c r="E586" s="11">
        <f>VLOOKUP(A586,TB!TB1_1,5,FALSE)</f>
        <v>0</v>
      </c>
      <c r="F586" s="17">
        <f t="shared" si="340"/>
        <v>0</v>
      </c>
      <c r="G586" s="17"/>
      <c r="H586" s="11">
        <f>VLOOKUP(A586,TB!TB,5,FALSE)</f>
        <v>0</v>
      </c>
      <c r="I586" s="17">
        <f t="shared" si="341"/>
        <v>0</v>
      </c>
      <c r="J586" s="17"/>
      <c r="K586" s="11">
        <f>VLOOKUP(A586,TB!TB1_1,4,FALSE)</f>
        <v>0</v>
      </c>
      <c r="L586" s="17">
        <f t="shared" si="342"/>
        <v>0</v>
      </c>
      <c r="N586" s="11">
        <f>VLOOKUP(A586,TB!TB,4,FALSE)</f>
        <v>0</v>
      </c>
      <c r="O586" s="17">
        <f t="shared" si="343"/>
        <v>0</v>
      </c>
    </row>
    <row r="587" spans="1:15" x14ac:dyDescent="0.25">
      <c r="A587" s="5" t="s">
        <v>703</v>
      </c>
      <c r="C587" s="5" t="s">
        <v>1784</v>
      </c>
      <c r="E587" s="11">
        <f>VLOOKUP(A587,TB!TB1_1,5,FALSE)</f>
        <v>0</v>
      </c>
      <c r="F587" s="17">
        <f t="shared" si="340"/>
        <v>0</v>
      </c>
      <c r="G587" s="17"/>
      <c r="H587" s="11">
        <f>VLOOKUP(A587,TB!TB,5,FALSE)</f>
        <v>0</v>
      </c>
      <c r="I587" s="17">
        <f t="shared" si="341"/>
        <v>0</v>
      </c>
      <c r="J587" s="17"/>
      <c r="K587" s="11">
        <f>VLOOKUP(A587,TB!TB1_1,4,FALSE)</f>
        <v>0</v>
      </c>
      <c r="L587" s="17">
        <f t="shared" si="342"/>
        <v>0</v>
      </c>
      <c r="N587" s="11">
        <f>VLOOKUP(A587,TB!TB,4,FALSE)</f>
        <v>0</v>
      </c>
      <c r="O587" s="17">
        <f t="shared" si="343"/>
        <v>0</v>
      </c>
    </row>
    <row r="588" spans="1:15" x14ac:dyDescent="0.25">
      <c r="A588" s="5" t="s">
        <v>976</v>
      </c>
      <c r="C588" s="5" t="s">
        <v>1785</v>
      </c>
      <c r="E588" s="11">
        <f>VLOOKUP(A588,TB!TB1_1,5,FALSE)</f>
        <v>0</v>
      </c>
      <c r="F588" s="17">
        <f t="shared" si="340"/>
        <v>0</v>
      </c>
      <c r="G588" s="17"/>
      <c r="H588" s="11">
        <f>VLOOKUP(A588,TB!TB,5,FALSE)</f>
        <v>0</v>
      </c>
      <c r="I588" s="17">
        <f t="shared" si="341"/>
        <v>0</v>
      </c>
      <c r="J588" s="17"/>
      <c r="K588" s="11">
        <f>VLOOKUP(A588,TB!TB1_1,4,FALSE)</f>
        <v>0</v>
      </c>
      <c r="L588" s="17">
        <f t="shared" si="342"/>
        <v>0</v>
      </c>
      <c r="N588" s="11">
        <f>VLOOKUP(A588,TB!TB,4,FALSE)</f>
        <v>0</v>
      </c>
      <c r="O588" s="17">
        <f t="shared" si="343"/>
        <v>0</v>
      </c>
    </row>
    <row r="589" spans="1:15" x14ac:dyDescent="0.25">
      <c r="A589" s="5" t="s">
        <v>705</v>
      </c>
      <c r="C589" s="5" t="s">
        <v>1786</v>
      </c>
      <c r="E589" s="11">
        <f>VLOOKUP(A589,TB!TB1_1,5,FALSE)</f>
        <v>0</v>
      </c>
      <c r="F589" s="17">
        <f t="shared" si="340"/>
        <v>0</v>
      </c>
      <c r="G589" s="17"/>
      <c r="H589" s="11">
        <f>VLOOKUP(A589,TB!TB,5,FALSE)</f>
        <v>0</v>
      </c>
      <c r="I589" s="17">
        <f t="shared" si="341"/>
        <v>0</v>
      </c>
      <c r="J589" s="17"/>
      <c r="K589" s="11">
        <f>VLOOKUP(A589,TB!TB1_1,4,FALSE)</f>
        <v>0</v>
      </c>
      <c r="L589" s="17">
        <f t="shared" si="342"/>
        <v>0</v>
      </c>
      <c r="N589" s="11">
        <f>VLOOKUP(A589,TB!TB,4,FALSE)</f>
        <v>0</v>
      </c>
      <c r="O589" s="17">
        <f t="shared" si="343"/>
        <v>0</v>
      </c>
    </row>
    <row r="590" spans="1:15" x14ac:dyDescent="0.25">
      <c r="A590" s="5" t="s">
        <v>977</v>
      </c>
      <c r="C590" s="5" t="s">
        <v>1787</v>
      </c>
      <c r="E590" s="11">
        <f>VLOOKUP(A590,TB!TB1_1,5,FALSE)</f>
        <v>0</v>
      </c>
      <c r="F590" s="17">
        <f t="shared" si="340"/>
        <v>0</v>
      </c>
      <c r="G590" s="17"/>
      <c r="H590" s="11">
        <f>VLOOKUP(A590,TB!TB,5,FALSE)</f>
        <v>0</v>
      </c>
      <c r="I590" s="17">
        <f t="shared" si="341"/>
        <v>0</v>
      </c>
      <c r="J590" s="17"/>
      <c r="K590" s="11">
        <f>VLOOKUP(A590,TB!TB1_1,4,FALSE)</f>
        <v>0</v>
      </c>
      <c r="L590" s="17">
        <f t="shared" si="342"/>
        <v>0</v>
      </c>
      <c r="N590" s="11">
        <f>VLOOKUP(A590,TB!TB,4,FALSE)</f>
        <v>0</v>
      </c>
      <c r="O590" s="17">
        <f t="shared" si="343"/>
        <v>0</v>
      </c>
    </row>
    <row r="591" spans="1:15" x14ac:dyDescent="0.25">
      <c r="A591" s="5" t="s">
        <v>706</v>
      </c>
      <c r="C591" s="5" t="s">
        <v>1788</v>
      </c>
      <c r="E591" s="11">
        <f>VLOOKUP(A591,TB!TB1_1,5,FALSE)</f>
        <v>204.41</v>
      </c>
      <c r="F591" s="17">
        <f t="shared" si="340"/>
        <v>6.9097932925246176E-5</v>
      </c>
      <c r="G591" s="17"/>
      <c r="H591" s="11">
        <f>VLOOKUP(A591,TB!TB,5,FALSE)</f>
        <v>111.93</v>
      </c>
      <c r="I591" s="17">
        <f t="shared" si="341"/>
        <v>5.0783256991106135E-5</v>
      </c>
      <c r="J591" s="17"/>
      <c r="K591" s="11">
        <f>VLOOKUP(A591,TB!TB1_1,4,FALSE)</f>
        <v>204.41</v>
      </c>
      <c r="L591" s="17">
        <f t="shared" si="342"/>
        <v>6.9097932925246176E-5</v>
      </c>
      <c r="N591" s="11">
        <f>VLOOKUP(A591,TB!TB,4,FALSE)</f>
        <v>111.93</v>
      </c>
      <c r="O591" s="17">
        <f t="shared" si="343"/>
        <v>5.0783256991106135E-5</v>
      </c>
    </row>
    <row r="592" spans="1:15" x14ac:dyDescent="0.25">
      <c r="A592" s="5" t="s">
        <v>978</v>
      </c>
      <c r="C592" s="5" t="s">
        <v>1789</v>
      </c>
      <c r="E592" s="11">
        <f>VLOOKUP(A592,TB!TB1_1,5,FALSE)</f>
        <v>0</v>
      </c>
      <c r="F592" s="17">
        <f t="shared" si="340"/>
        <v>0</v>
      </c>
      <c r="G592" s="17"/>
      <c r="H592" s="11">
        <f>VLOOKUP(A592,TB!TB,5,FALSE)</f>
        <v>0</v>
      </c>
      <c r="I592" s="17">
        <f t="shared" si="341"/>
        <v>0</v>
      </c>
      <c r="J592" s="17"/>
      <c r="K592" s="11">
        <f>VLOOKUP(A592,TB!TB1_1,4,FALSE)</f>
        <v>0</v>
      </c>
      <c r="L592" s="17">
        <f t="shared" si="342"/>
        <v>0</v>
      </c>
      <c r="N592" s="11">
        <f>VLOOKUP(A592,TB!TB,4,FALSE)</f>
        <v>0</v>
      </c>
      <c r="O592" s="17">
        <f t="shared" si="343"/>
        <v>0</v>
      </c>
    </row>
    <row r="593" spans="1:15" x14ac:dyDescent="0.25">
      <c r="A593" s="5" t="s">
        <v>707</v>
      </c>
      <c r="C593" s="5" t="s">
        <v>1790</v>
      </c>
      <c r="E593" s="11">
        <f>VLOOKUP(A593,TB!TB1_1,5,FALSE)</f>
        <v>2401.6799999999998</v>
      </c>
      <c r="F593" s="17">
        <f t="shared" si="340"/>
        <v>8.1185423192556749E-4</v>
      </c>
      <c r="G593" s="17"/>
      <c r="H593" s="11">
        <f>VLOOKUP(A593,TB!TB,5,FALSE)</f>
        <v>1860.7</v>
      </c>
      <c r="I593" s="17">
        <f t="shared" si="341"/>
        <v>8.4420983010230662E-4</v>
      </c>
      <c r="J593" s="17"/>
      <c r="K593" s="11">
        <f>VLOOKUP(A593,TB!TB1_1,4,FALSE)</f>
        <v>2401.6799999999998</v>
      </c>
      <c r="L593" s="17">
        <f t="shared" si="342"/>
        <v>8.1185423192556749E-4</v>
      </c>
      <c r="N593" s="11">
        <f>VLOOKUP(A593,TB!TB,4,FALSE)</f>
        <v>1860.7</v>
      </c>
      <c r="O593" s="17">
        <f t="shared" si="343"/>
        <v>8.4420983010230662E-4</v>
      </c>
    </row>
    <row r="594" spans="1:15" x14ac:dyDescent="0.25">
      <c r="A594" s="5" t="s">
        <v>709</v>
      </c>
      <c r="C594" s="5" t="s">
        <v>1791</v>
      </c>
      <c r="E594" s="11">
        <f>VLOOKUP(A594,TB!TB1_1,5,FALSE)</f>
        <v>23959.79</v>
      </c>
      <c r="F594" s="17">
        <f t="shared" si="340"/>
        <v>8.09927088852299E-3</v>
      </c>
      <c r="G594" s="17"/>
      <c r="H594" s="11">
        <f>VLOOKUP(A594,TB!TB,5,FALSE)</f>
        <v>25984.720000000001</v>
      </c>
      <c r="I594" s="17">
        <f t="shared" si="341"/>
        <v>1.1789410467273612E-2</v>
      </c>
      <c r="J594" s="17"/>
      <c r="K594" s="11">
        <f>VLOOKUP(A594,TB!TB1_1,4,FALSE)</f>
        <v>23959.79</v>
      </c>
      <c r="L594" s="17">
        <f t="shared" si="342"/>
        <v>8.09927088852299E-3</v>
      </c>
      <c r="N594" s="11">
        <f>VLOOKUP(A594,TB!TB,4,FALSE)</f>
        <v>25984.720000000001</v>
      </c>
      <c r="O594" s="17">
        <f t="shared" si="343"/>
        <v>1.1789410467273612E-2</v>
      </c>
    </row>
    <row r="595" spans="1:15" x14ac:dyDescent="0.25">
      <c r="A595" s="5" t="s">
        <v>979</v>
      </c>
      <c r="C595" s="5" t="s">
        <v>1792</v>
      </c>
      <c r="E595" s="11">
        <f>VLOOKUP(A595,TB!TB1_1,5,FALSE)</f>
        <v>0</v>
      </c>
      <c r="F595" s="17">
        <f t="shared" si="340"/>
        <v>0</v>
      </c>
      <c r="G595" s="17"/>
      <c r="H595" s="11">
        <f>VLOOKUP(A595,TB!TB,5,FALSE)</f>
        <v>0</v>
      </c>
      <c r="I595" s="17">
        <f t="shared" si="341"/>
        <v>0</v>
      </c>
      <c r="J595" s="17"/>
      <c r="K595" s="11">
        <f>VLOOKUP(A595,TB!TB1_1,4,FALSE)</f>
        <v>0</v>
      </c>
      <c r="L595" s="17">
        <f t="shared" si="342"/>
        <v>0</v>
      </c>
      <c r="N595" s="11">
        <f>VLOOKUP(A595,TB!TB,4,FALSE)</f>
        <v>0</v>
      </c>
      <c r="O595" s="17">
        <f t="shared" si="343"/>
        <v>0</v>
      </c>
    </row>
    <row r="596" spans="1:15" x14ac:dyDescent="0.25">
      <c r="A596" s="5" t="s">
        <v>711</v>
      </c>
      <c r="C596" s="5" t="s">
        <v>1793</v>
      </c>
      <c r="E596" s="11">
        <f>VLOOKUP(A596,TB!TB1_1,5,FALSE)</f>
        <v>0</v>
      </c>
      <c r="F596" s="17">
        <f t="shared" si="340"/>
        <v>0</v>
      </c>
      <c r="G596" s="17"/>
      <c r="H596" s="11">
        <f>VLOOKUP(A596,TB!TB,5,FALSE)</f>
        <v>0</v>
      </c>
      <c r="I596" s="17">
        <f t="shared" si="341"/>
        <v>0</v>
      </c>
      <c r="J596" s="17"/>
      <c r="K596" s="11">
        <f>VLOOKUP(A596,TB!TB1_1,4,FALSE)</f>
        <v>0</v>
      </c>
      <c r="L596" s="17">
        <f t="shared" si="342"/>
        <v>0</v>
      </c>
      <c r="N596" s="11">
        <f>VLOOKUP(A596,TB!TB,4,FALSE)</f>
        <v>0</v>
      </c>
      <c r="O596" s="17">
        <f t="shared" si="343"/>
        <v>0</v>
      </c>
    </row>
    <row r="597" spans="1:15" x14ac:dyDescent="0.25">
      <c r="A597" s="5" t="s">
        <v>713</v>
      </c>
      <c r="C597" s="5" t="s">
        <v>1794</v>
      </c>
      <c r="E597" s="11">
        <f>VLOOKUP(A597,TB!TB1_1,5,FALSE)</f>
        <v>15095.2</v>
      </c>
      <c r="F597" s="17">
        <f t="shared" si="340"/>
        <v>5.1027205963170893E-3</v>
      </c>
      <c r="G597" s="17"/>
      <c r="H597" s="11">
        <f>VLOOKUP(A597,TB!TB,5,FALSE)</f>
        <v>12406.39</v>
      </c>
      <c r="I597" s="17">
        <f t="shared" si="341"/>
        <v>5.6288474198328345E-3</v>
      </c>
      <c r="J597" s="17"/>
      <c r="K597" s="11">
        <f>VLOOKUP(A597,TB!TB1_1,4,FALSE)</f>
        <v>15095.2</v>
      </c>
      <c r="L597" s="17">
        <f t="shared" si="342"/>
        <v>5.1027205963170893E-3</v>
      </c>
      <c r="N597" s="11">
        <f>VLOOKUP(A597,TB!TB,4,FALSE)</f>
        <v>12406.39</v>
      </c>
      <c r="O597" s="17">
        <f t="shared" si="343"/>
        <v>5.6288474198328345E-3</v>
      </c>
    </row>
    <row r="598" spans="1:15" x14ac:dyDescent="0.25">
      <c r="A598" s="5" t="s">
        <v>980</v>
      </c>
      <c r="C598" s="5" t="s">
        <v>1795</v>
      </c>
      <c r="E598" s="11">
        <f>VLOOKUP(A598,TB!TB1_1,5,FALSE)</f>
        <v>0</v>
      </c>
      <c r="F598" s="17">
        <f t="shared" si="340"/>
        <v>0</v>
      </c>
      <c r="G598" s="17"/>
      <c r="H598" s="11">
        <f>VLOOKUP(A598,TB!TB,5,FALSE)</f>
        <v>0</v>
      </c>
      <c r="I598" s="17">
        <f t="shared" si="341"/>
        <v>0</v>
      </c>
      <c r="J598" s="17"/>
      <c r="K598" s="11">
        <f>VLOOKUP(A598,TB!TB1_1,4,FALSE)</f>
        <v>0</v>
      </c>
      <c r="L598" s="17">
        <f t="shared" si="342"/>
        <v>0</v>
      </c>
      <c r="N598" s="11">
        <f>VLOOKUP(A598,TB!TB,4,FALSE)</f>
        <v>0</v>
      </c>
      <c r="O598" s="17">
        <f t="shared" si="343"/>
        <v>0</v>
      </c>
    </row>
    <row r="599" spans="1:15" x14ac:dyDescent="0.25">
      <c r="A599" s="5" t="s">
        <v>714</v>
      </c>
      <c r="C599" s="5" t="s">
        <v>1796</v>
      </c>
      <c r="E599" s="11">
        <f>VLOOKUP(A599,TB!TB1_1,5,FALSE)</f>
        <v>0</v>
      </c>
      <c r="F599" s="17">
        <f t="shared" si="340"/>
        <v>0</v>
      </c>
      <c r="G599" s="17"/>
      <c r="H599" s="11">
        <f>VLOOKUP(A599,TB!TB,5,FALSE)</f>
        <v>0</v>
      </c>
      <c r="I599" s="17">
        <f t="shared" si="341"/>
        <v>0</v>
      </c>
      <c r="J599" s="17"/>
      <c r="K599" s="11">
        <f>VLOOKUP(A599,TB!TB1_1,4,FALSE)</f>
        <v>0</v>
      </c>
      <c r="L599" s="17">
        <f t="shared" si="342"/>
        <v>0</v>
      </c>
      <c r="N599" s="11">
        <f>VLOOKUP(A599,TB!TB,4,FALSE)</f>
        <v>0</v>
      </c>
      <c r="O599" s="17">
        <f t="shared" si="343"/>
        <v>0</v>
      </c>
    </row>
    <row r="600" spans="1:15" x14ac:dyDescent="0.25">
      <c r="A600" s="5" t="s">
        <v>720</v>
      </c>
      <c r="C600" s="5" t="s">
        <v>719</v>
      </c>
      <c r="E600" s="11">
        <f>VLOOKUP(A600,TB!TB1_1,5,FALSE)</f>
        <v>0</v>
      </c>
      <c r="F600" s="17">
        <f t="shared" si="340"/>
        <v>0</v>
      </c>
      <c r="G600" s="17"/>
      <c r="H600" s="11">
        <f>VLOOKUP(A600,TB!TB,5,FALSE)</f>
        <v>0</v>
      </c>
      <c r="I600" s="17">
        <f t="shared" si="341"/>
        <v>0</v>
      </c>
      <c r="J600" s="17"/>
      <c r="K600" s="11">
        <f>VLOOKUP(A600,TB!TB1_1,4,FALSE)</f>
        <v>0</v>
      </c>
      <c r="L600" s="17">
        <f t="shared" si="342"/>
        <v>0</v>
      </c>
      <c r="N600" s="11">
        <f>VLOOKUP(A600,TB!TB,4,FALSE)</f>
        <v>0</v>
      </c>
      <c r="O600" s="17">
        <f t="shared" si="343"/>
        <v>0</v>
      </c>
    </row>
    <row r="601" spans="1:15" x14ac:dyDescent="0.25">
      <c r="A601" s="83" t="s">
        <v>1350</v>
      </c>
      <c r="C601" s="5" t="s">
        <v>1536</v>
      </c>
      <c r="E601" s="11">
        <f>VLOOKUP(A601,TB!TB1_1,5,FALSE)</f>
        <v>0</v>
      </c>
      <c r="F601" s="17">
        <f t="shared" ref="F601" si="356">IF(E$160,E601/E$160,0)</f>
        <v>0</v>
      </c>
      <c r="G601" s="17"/>
      <c r="H601" s="11">
        <f>VLOOKUP(A601,TB!TB,5,FALSE)</f>
        <v>0</v>
      </c>
      <c r="I601" s="17">
        <f t="shared" ref="I601" si="357">IF(H$160,H601/H$160,0)</f>
        <v>0</v>
      </c>
      <c r="J601" s="17"/>
      <c r="K601" s="11">
        <f>VLOOKUP(A601,TB!TB1_1,4,FALSE)</f>
        <v>0</v>
      </c>
      <c r="L601" s="17">
        <f t="shared" ref="L601" si="358">IF(K$160,K601/K$160,0)</f>
        <v>0</v>
      </c>
      <c r="N601" s="11">
        <f>VLOOKUP(A601,TB!TB,4,FALSE)</f>
        <v>0</v>
      </c>
      <c r="O601" s="17">
        <f t="shared" ref="O601" si="359">IF(N$160,N601/N$160,0)</f>
        <v>0</v>
      </c>
    </row>
    <row r="602" spans="1:15" x14ac:dyDescent="0.25">
      <c r="A602" s="5" t="s">
        <v>721</v>
      </c>
      <c r="C602" s="5" t="s">
        <v>722</v>
      </c>
      <c r="E602" s="11">
        <f>VLOOKUP(A602,TB!TB1_1,5,FALSE)</f>
        <v>162.78</v>
      </c>
      <c r="F602" s="17">
        <f t="shared" si="340"/>
        <v>5.5025495433548132E-5</v>
      </c>
      <c r="G602" s="17"/>
      <c r="H602" s="11">
        <f>VLOOKUP(A602,TB!TB,5,FALSE)</f>
        <v>162.76</v>
      </c>
      <c r="I602" s="17">
        <f t="shared" si="341"/>
        <v>7.3845107726904608E-5</v>
      </c>
      <c r="J602" s="17"/>
      <c r="K602" s="11">
        <f>VLOOKUP(A602,TB!TB1_1,4,FALSE)</f>
        <v>162.78</v>
      </c>
      <c r="L602" s="17">
        <f t="shared" si="342"/>
        <v>5.5025495433548132E-5</v>
      </c>
      <c r="N602" s="11">
        <f>VLOOKUP(A602,TB!TB,4,FALSE)</f>
        <v>162.76</v>
      </c>
      <c r="O602" s="17">
        <f t="shared" si="343"/>
        <v>7.3845107726904608E-5</v>
      </c>
    </row>
    <row r="603" spans="1:15" x14ac:dyDescent="0.25">
      <c r="A603" s="83" t="s">
        <v>982</v>
      </c>
      <c r="C603" s="5" t="s">
        <v>1797</v>
      </c>
      <c r="E603" s="11">
        <f>VLOOKUP(A603,TB!TB1_1,5,FALSE)</f>
        <v>0</v>
      </c>
      <c r="F603" s="17">
        <f t="shared" si="340"/>
        <v>0</v>
      </c>
      <c r="G603" s="17"/>
      <c r="H603" s="11">
        <f>VLOOKUP(A603,TB!TB,5,FALSE)</f>
        <v>0</v>
      </c>
      <c r="I603" s="17">
        <f t="shared" si="341"/>
        <v>0</v>
      </c>
      <c r="J603" s="17"/>
      <c r="K603" s="11">
        <f>VLOOKUP(A603,TB!TB1_1,4,FALSE)</f>
        <v>0</v>
      </c>
      <c r="L603" s="17">
        <f t="shared" si="342"/>
        <v>0</v>
      </c>
      <c r="N603" s="11">
        <f>VLOOKUP(A603,TB!TB,4,FALSE)</f>
        <v>0</v>
      </c>
      <c r="O603" s="17">
        <f t="shared" si="343"/>
        <v>0</v>
      </c>
    </row>
    <row r="604" spans="1:15" x14ac:dyDescent="0.25">
      <c r="A604" s="5" t="s">
        <v>725</v>
      </c>
      <c r="C604" s="5" t="s">
        <v>1798</v>
      </c>
      <c r="E604" s="11">
        <f>VLOOKUP(A604,TB!TB1_1,5,FALSE)</f>
        <v>0</v>
      </c>
      <c r="F604" s="17">
        <f t="shared" si="340"/>
        <v>0</v>
      </c>
      <c r="G604" s="17"/>
      <c r="H604" s="11">
        <f>VLOOKUP(A604,TB!TB,5,FALSE)</f>
        <v>0</v>
      </c>
      <c r="I604" s="17">
        <f t="shared" si="341"/>
        <v>0</v>
      </c>
      <c r="J604" s="17"/>
      <c r="K604" s="11">
        <f>VLOOKUP(A604,TB!TB1_1,4,FALSE)</f>
        <v>0</v>
      </c>
      <c r="L604" s="17">
        <f t="shared" si="342"/>
        <v>0</v>
      </c>
      <c r="N604" s="11">
        <f>VLOOKUP(A604,TB!TB,4,FALSE)</f>
        <v>0</v>
      </c>
      <c r="O604" s="17">
        <f t="shared" si="343"/>
        <v>0</v>
      </c>
    </row>
    <row r="605" spans="1:15" x14ac:dyDescent="0.25">
      <c r="A605" s="5" t="s">
        <v>727</v>
      </c>
      <c r="C605" s="5" t="s">
        <v>1799</v>
      </c>
      <c r="E605" s="11">
        <f>VLOOKUP(A605,TB!TB1_1,5,FALSE)</f>
        <v>0</v>
      </c>
      <c r="F605" s="17">
        <f t="shared" si="340"/>
        <v>0</v>
      </c>
      <c r="G605" s="17"/>
      <c r="H605" s="11">
        <f>VLOOKUP(A605,TB!TB,5,FALSE)</f>
        <v>0</v>
      </c>
      <c r="I605" s="17">
        <f t="shared" si="341"/>
        <v>0</v>
      </c>
      <c r="J605" s="17"/>
      <c r="K605" s="11">
        <f>VLOOKUP(A605,TB!TB1_1,4,FALSE)</f>
        <v>0</v>
      </c>
      <c r="L605" s="17">
        <f t="shared" si="342"/>
        <v>0</v>
      </c>
      <c r="N605" s="11">
        <f>VLOOKUP(A605,TB!TB,4,FALSE)</f>
        <v>0</v>
      </c>
      <c r="O605" s="17">
        <f t="shared" si="343"/>
        <v>0</v>
      </c>
    </row>
    <row r="606" spans="1:15" x14ac:dyDescent="0.25">
      <c r="A606" s="5" t="s">
        <v>983</v>
      </c>
      <c r="C606" s="5" t="s">
        <v>1800</v>
      </c>
      <c r="E606" s="11">
        <f>VLOOKUP(A606,TB!TB1_1,5,FALSE)</f>
        <v>0</v>
      </c>
      <c r="F606" s="17">
        <f t="shared" si="340"/>
        <v>0</v>
      </c>
      <c r="G606" s="17"/>
      <c r="H606" s="11">
        <f>VLOOKUP(A606,TB!TB,5,FALSE)</f>
        <v>0</v>
      </c>
      <c r="I606" s="17">
        <f t="shared" si="341"/>
        <v>0</v>
      </c>
      <c r="J606" s="17"/>
      <c r="K606" s="11">
        <f>VLOOKUP(A606,TB!TB1_1,4,FALSE)</f>
        <v>0</v>
      </c>
      <c r="L606" s="17">
        <f t="shared" si="342"/>
        <v>0</v>
      </c>
      <c r="N606" s="11">
        <f>VLOOKUP(A606,TB!TB,4,FALSE)</f>
        <v>0</v>
      </c>
      <c r="O606" s="17">
        <f t="shared" si="343"/>
        <v>0</v>
      </c>
    </row>
    <row r="607" spans="1:15" x14ac:dyDescent="0.25">
      <c r="A607" s="5" t="s">
        <v>729</v>
      </c>
      <c r="C607" s="5" t="s">
        <v>1801</v>
      </c>
      <c r="E607" s="11">
        <f>VLOOKUP(A607,TB!TB1_1,5,FALSE)</f>
        <v>0</v>
      </c>
      <c r="F607" s="17">
        <f t="shared" si="340"/>
        <v>0</v>
      </c>
      <c r="G607" s="17"/>
      <c r="H607" s="11">
        <f>VLOOKUP(A607,TB!TB,5,FALSE)</f>
        <v>-24385.81</v>
      </c>
      <c r="I607" s="17">
        <f t="shared" si="341"/>
        <v>-1.106397620089597E-2</v>
      </c>
      <c r="J607" s="17"/>
      <c r="K607" s="11">
        <f>VLOOKUP(A607,TB!TB1_1,4,FALSE)</f>
        <v>0</v>
      </c>
      <c r="L607" s="17">
        <f t="shared" si="342"/>
        <v>0</v>
      </c>
      <c r="N607" s="11">
        <f>VLOOKUP(A607,TB!TB,4,FALSE)</f>
        <v>-24385.81</v>
      </c>
      <c r="O607" s="17">
        <f t="shared" si="343"/>
        <v>-1.106397620089597E-2</v>
      </c>
    </row>
    <row r="608" spans="1:15" x14ac:dyDescent="0.25">
      <c r="A608" s="5" t="s">
        <v>984</v>
      </c>
      <c r="C608" s="5" t="s">
        <v>1802</v>
      </c>
      <c r="E608" s="11">
        <f>VLOOKUP(A608,TB!TB1_1,5,FALSE)</f>
        <v>0</v>
      </c>
      <c r="F608" s="17">
        <f t="shared" si="340"/>
        <v>0</v>
      </c>
      <c r="G608" s="17"/>
      <c r="H608" s="11">
        <f>VLOOKUP(A608,TB!TB,5,FALSE)</f>
        <v>1989.12</v>
      </c>
      <c r="I608" s="17">
        <f t="shared" si="341"/>
        <v>9.0247469084382226E-4</v>
      </c>
      <c r="J608" s="17"/>
      <c r="K608" s="11">
        <f>VLOOKUP(A608,TB!TB1_1,4,FALSE)</f>
        <v>0</v>
      </c>
      <c r="L608" s="17">
        <f t="shared" si="342"/>
        <v>0</v>
      </c>
      <c r="N608" s="11">
        <f>VLOOKUP(A608,TB!TB,4,FALSE)</f>
        <v>1989.12</v>
      </c>
      <c r="O608" s="17">
        <f t="shared" si="343"/>
        <v>9.0247469084382226E-4</v>
      </c>
    </row>
    <row r="609" spans="1:15" x14ac:dyDescent="0.25">
      <c r="A609" s="5" t="s">
        <v>730</v>
      </c>
      <c r="C609" s="5" t="s">
        <v>1803</v>
      </c>
      <c r="E609" s="11">
        <f>VLOOKUP(A609,TB!TB1_1,5,FALSE)</f>
        <v>0</v>
      </c>
      <c r="F609" s="17">
        <f t="shared" si="340"/>
        <v>0</v>
      </c>
      <c r="G609" s="17"/>
      <c r="H609" s="11">
        <f>VLOOKUP(A609,TB!TB,5,FALSE)</f>
        <v>0</v>
      </c>
      <c r="I609" s="17">
        <f t="shared" si="341"/>
        <v>0</v>
      </c>
      <c r="J609" s="17"/>
      <c r="K609" s="11">
        <f>VLOOKUP(A609,TB!TB1_1,4,FALSE)</f>
        <v>0</v>
      </c>
      <c r="L609" s="17">
        <f t="shared" si="342"/>
        <v>0</v>
      </c>
      <c r="N609" s="11">
        <f>VLOOKUP(A609,TB!TB,4,FALSE)</f>
        <v>0</v>
      </c>
      <c r="O609" s="17">
        <f t="shared" si="343"/>
        <v>0</v>
      </c>
    </row>
    <row r="610" spans="1:15" x14ac:dyDescent="0.25">
      <c r="A610" s="83" t="s">
        <v>1437</v>
      </c>
      <c r="C610" s="5" t="s">
        <v>1804</v>
      </c>
      <c r="E610" s="11">
        <f>VLOOKUP(A610,TB!TB1_1,5,FALSE)</f>
        <v>0</v>
      </c>
      <c r="F610" s="17">
        <f t="shared" ref="F610" si="360">IF(E$160,E610/E$160,0)</f>
        <v>0</v>
      </c>
      <c r="G610" s="17"/>
      <c r="H610" s="11">
        <f>VLOOKUP(A610,TB!TB,5,FALSE)</f>
        <v>0</v>
      </c>
      <c r="I610" s="17">
        <f t="shared" ref="I610" si="361">IF(H$160,H610/H$160,0)</f>
        <v>0</v>
      </c>
      <c r="J610" s="17"/>
      <c r="K610" s="11">
        <f>VLOOKUP(A610,TB!TB1_1,4,FALSE)</f>
        <v>0</v>
      </c>
      <c r="L610" s="17">
        <f t="shared" ref="L610" si="362">IF(K$160,K610/K$160,0)</f>
        <v>0</v>
      </c>
      <c r="N610" s="11">
        <f>VLOOKUP(A610,TB!TB,4,FALSE)</f>
        <v>0</v>
      </c>
      <c r="O610" s="17">
        <f t="shared" ref="O610" si="363">IF(N$160,N610/N$160,0)</f>
        <v>0</v>
      </c>
    </row>
    <row r="611" spans="1:15" x14ac:dyDescent="0.25">
      <c r="A611" s="5" t="s">
        <v>731</v>
      </c>
      <c r="C611" s="5" t="s">
        <v>1805</v>
      </c>
      <c r="E611" s="11">
        <f>VLOOKUP(A611,TB!TB1_1,5,FALSE)</f>
        <v>0</v>
      </c>
      <c r="F611" s="17">
        <f t="shared" si="340"/>
        <v>0</v>
      </c>
      <c r="G611" s="17"/>
      <c r="H611" s="11">
        <f>VLOOKUP(A611,TB!TB,5,FALSE)</f>
        <v>168.97</v>
      </c>
      <c r="I611" s="17">
        <f t="shared" si="341"/>
        <v>7.6662618902771404E-5</v>
      </c>
      <c r="J611" s="17"/>
      <c r="K611" s="11">
        <f>VLOOKUP(A611,TB!TB1_1,4,FALSE)</f>
        <v>0</v>
      </c>
      <c r="L611" s="17">
        <f t="shared" si="342"/>
        <v>0</v>
      </c>
      <c r="N611" s="11">
        <f>VLOOKUP(A611,TB!TB,4,FALSE)</f>
        <v>168.97</v>
      </c>
      <c r="O611" s="17">
        <f t="shared" si="343"/>
        <v>7.6662618902771404E-5</v>
      </c>
    </row>
    <row r="612" spans="1:15" x14ac:dyDescent="0.25">
      <c r="A612" s="5" t="s">
        <v>985</v>
      </c>
      <c r="C612" s="5" t="s">
        <v>1806</v>
      </c>
      <c r="E612" s="11">
        <f>VLOOKUP(A612,TB!TB1_1,5,FALSE)</f>
        <v>0</v>
      </c>
      <c r="F612" s="17">
        <f t="shared" si="340"/>
        <v>0</v>
      </c>
      <c r="G612" s="17"/>
      <c r="H612" s="11">
        <f>VLOOKUP(A612,TB!TB,5,FALSE)</f>
        <v>0</v>
      </c>
      <c r="I612" s="17">
        <f t="shared" si="341"/>
        <v>0</v>
      </c>
      <c r="J612" s="17"/>
      <c r="K612" s="11">
        <f>VLOOKUP(A612,TB!TB1_1,4,FALSE)</f>
        <v>0</v>
      </c>
      <c r="L612" s="17">
        <f t="shared" si="342"/>
        <v>0</v>
      </c>
      <c r="N612" s="11">
        <f>VLOOKUP(A612,TB!TB,4,FALSE)</f>
        <v>0</v>
      </c>
      <c r="O612" s="17">
        <f t="shared" si="343"/>
        <v>0</v>
      </c>
    </row>
    <row r="613" spans="1:15" x14ac:dyDescent="0.25">
      <c r="A613" s="5" t="s">
        <v>733</v>
      </c>
      <c r="C613" s="5" t="s">
        <v>1807</v>
      </c>
      <c r="E613" s="11">
        <f>VLOOKUP(A613,TB!TB1_1,5,FALSE)</f>
        <v>0</v>
      </c>
      <c r="F613" s="17">
        <f t="shared" si="340"/>
        <v>0</v>
      </c>
      <c r="G613" s="17"/>
      <c r="H613" s="11">
        <f>VLOOKUP(A613,TB!TB,5,FALSE)</f>
        <v>0</v>
      </c>
      <c r="I613" s="17">
        <f t="shared" si="341"/>
        <v>0</v>
      </c>
      <c r="J613" s="17"/>
      <c r="K613" s="11">
        <f>VLOOKUP(A613,TB!TB1_1,4,FALSE)</f>
        <v>0</v>
      </c>
      <c r="L613" s="17">
        <f t="shared" si="342"/>
        <v>0</v>
      </c>
      <c r="N613" s="11">
        <f>VLOOKUP(A613,TB!TB,4,FALSE)</f>
        <v>0</v>
      </c>
      <c r="O613" s="17">
        <f t="shared" si="343"/>
        <v>0</v>
      </c>
    </row>
    <row r="614" spans="1:15" x14ac:dyDescent="0.25">
      <c r="A614" s="5" t="s">
        <v>986</v>
      </c>
      <c r="C614" s="5" t="s">
        <v>1808</v>
      </c>
      <c r="E614" s="11">
        <f>VLOOKUP(A614,TB!TB1_1,5,FALSE)</f>
        <v>0</v>
      </c>
      <c r="F614" s="17">
        <f t="shared" si="340"/>
        <v>0</v>
      </c>
      <c r="G614" s="17"/>
      <c r="H614" s="11">
        <f>VLOOKUP(A614,TB!TB,5,FALSE)</f>
        <v>0</v>
      </c>
      <c r="I614" s="17">
        <f t="shared" si="341"/>
        <v>0</v>
      </c>
      <c r="J614" s="17"/>
      <c r="K614" s="11">
        <f>VLOOKUP(A614,TB!TB1_1,4,FALSE)</f>
        <v>0</v>
      </c>
      <c r="L614" s="17">
        <f t="shared" si="342"/>
        <v>0</v>
      </c>
      <c r="N614" s="11">
        <f>VLOOKUP(A614,TB!TB,4,FALSE)</f>
        <v>0</v>
      </c>
      <c r="O614" s="17">
        <f t="shared" si="343"/>
        <v>0</v>
      </c>
    </row>
    <row r="615" spans="1:15" x14ac:dyDescent="0.25">
      <c r="A615" s="5" t="s">
        <v>734</v>
      </c>
      <c r="C615" s="5" t="s">
        <v>1809</v>
      </c>
      <c r="E615" s="11">
        <f>VLOOKUP(A615,TB!TB1_1,5,FALSE)</f>
        <v>0</v>
      </c>
      <c r="F615" s="17">
        <f t="shared" si="340"/>
        <v>0</v>
      </c>
      <c r="G615" s="17"/>
      <c r="H615" s="11">
        <f>VLOOKUP(A615,TB!TB,5,FALSE)</f>
        <v>0</v>
      </c>
      <c r="I615" s="17">
        <f t="shared" si="341"/>
        <v>0</v>
      </c>
      <c r="J615" s="17"/>
      <c r="K615" s="11">
        <f>VLOOKUP(A615,TB!TB1_1,4,FALSE)</f>
        <v>0</v>
      </c>
      <c r="L615" s="17">
        <f t="shared" si="342"/>
        <v>0</v>
      </c>
      <c r="N615" s="11">
        <f>VLOOKUP(A615,TB!TB,4,FALSE)</f>
        <v>0</v>
      </c>
      <c r="O615" s="17">
        <f t="shared" si="343"/>
        <v>0</v>
      </c>
    </row>
    <row r="616" spans="1:15" x14ac:dyDescent="0.25">
      <c r="A616" s="5" t="s">
        <v>736</v>
      </c>
      <c r="C616" s="5" t="s">
        <v>1810</v>
      </c>
      <c r="E616" s="11">
        <f>VLOOKUP(A616,TB!TB1_1,5,FALSE)</f>
        <v>0</v>
      </c>
      <c r="F616" s="17">
        <f t="shared" si="340"/>
        <v>0</v>
      </c>
      <c r="G616" s="17"/>
      <c r="H616" s="11">
        <f>VLOOKUP(A616,TB!TB,5,FALSE)</f>
        <v>0</v>
      </c>
      <c r="I616" s="17">
        <f t="shared" si="341"/>
        <v>0</v>
      </c>
      <c r="J616" s="17"/>
      <c r="K616" s="11">
        <f>VLOOKUP(A616,TB!TB1_1,4,FALSE)</f>
        <v>0</v>
      </c>
      <c r="L616" s="17">
        <f t="shared" si="342"/>
        <v>0</v>
      </c>
      <c r="N616" s="11">
        <f>VLOOKUP(A616,TB!TB,4,FALSE)</f>
        <v>0</v>
      </c>
      <c r="O616" s="17">
        <f t="shared" si="343"/>
        <v>0</v>
      </c>
    </row>
    <row r="617" spans="1:15" x14ac:dyDescent="0.25">
      <c r="A617" s="5" t="s">
        <v>987</v>
      </c>
      <c r="C617" s="5" t="s">
        <v>1811</v>
      </c>
      <c r="E617" s="11">
        <f>VLOOKUP(A617,TB!TB1_1,5,FALSE)</f>
        <v>0</v>
      </c>
      <c r="F617" s="17">
        <f t="shared" si="340"/>
        <v>0</v>
      </c>
      <c r="G617" s="17"/>
      <c r="H617" s="11">
        <f>VLOOKUP(A617,TB!TB,5,FALSE)</f>
        <v>0</v>
      </c>
      <c r="I617" s="17">
        <f t="shared" si="341"/>
        <v>0</v>
      </c>
      <c r="J617" s="17"/>
      <c r="K617" s="11">
        <f>VLOOKUP(A617,TB!TB1_1,4,FALSE)</f>
        <v>0</v>
      </c>
      <c r="L617" s="17">
        <f t="shared" si="342"/>
        <v>0</v>
      </c>
      <c r="N617" s="11">
        <f>VLOOKUP(A617,TB!TB,4,FALSE)</f>
        <v>0</v>
      </c>
      <c r="O617" s="17">
        <f t="shared" si="343"/>
        <v>0</v>
      </c>
    </row>
    <row r="618" spans="1:15" x14ac:dyDescent="0.25">
      <c r="A618" s="5" t="s">
        <v>738</v>
      </c>
      <c r="C618" s="5" t="s">
        <v>739</v>
      </c>
      <c r="E618" s="11">
        <f>VLOOKUP(A618,TB!TB1_1,5,FALSE)</f>
        <v>12519</v>
      </c>
      <c r="F618" s="17">
        <f t="shared" si="340"/>
        <v>4.2318723266530842E-3</v>
      </c>
      <c r="G618" s="17"/>
      <c r="H618" s="11">
        <f>VLOOKUP(A618,TB!TB,5,FALSE)</f>
        <v>18342</v>
      </c>
      <c r="I618" s="17">
        <f t="shared" si="341"/>
        <v>8.3218663426326157E-3</v>
      </c>
      <c r="J618" s="17"/>
      <c r="K618" s="11">
        <f>VLOOKUP(A618,TB!TB1_1,4,FALSE)</f>
        <v>12519</v>
      </c>
      <c r="L618" s="17">
        <f t="shared" si="342"/>
        <v>4.2318723266530842E-3</v>
      </c>
      <c r="N618" s="11">
        <f>VLOOKUP(A618,TB!TB,4,FALSE)</f>
        <v>18342</v>
      </c>
      <c r="O618" s="17">
        <f t="shared" si="343"/>
        <v>8.3218663426326157E-3</v>
      </c>
    </row>
    <row r="619" spans="1:15" x14ac:dyDescent="0.25">
      <c r="A619" s="83" t="s">
        <v>1377</v>
      </c>
      <c r="C619" s="5" t="s">
        <v>1378</v>
      </c>
      <c r="E619" s="11">
        <f>VLOOKUP(A619,TB!TB1_1,5,FALSE)</f>
        <v>0</v>
      </c>
      <c r="F619" s="17">
        <f t="shared" ref="F619" si="364">IF(E$160,E619/E$160,0)</f>
        <v>0</v>
      </c>
      <c r="G619" s="17"/>
      <c r="H619" s="11">
        <f>VLOOKUP(A619,TB!TB,5,FALSE)</f>
        <v>0</v>
      </c>
      <c r="I619" s="17">
        <f t="shared" ref="I619" si="365">IF(H$160,H619/H$160,0)</f>
        <v>0</v>
      </c>
      <c r="J619" s="17"/>
      <c r="K619" s="11">
        <f>VLOOKUP(A619,TB!TB1_1,4,FALSE)</f>
        <v>0</v>
      </c>
      <c r="L619" s="17">
        <f t="shared" ref="L619" si="366">IF(K$160,K619/K$160,0)</f>
        <v>0</v>
      </c>
      <c r="N619" s="11">
        <f>VLOOKUP(A619,TB!TB,4,FALSE)</f>
        <v>0</v>
      </c>
      <c r="O619" s="17">
        <f t="shared" ref="O619" si="367">IF(N$160,N619/N$160,0)</f>
        <v>0</v>
      </c>
    </row>
    <row r="620" spans="1:15" x14ac:dyDescent="0.25">
      <c r="A620" s="83" t="s">
        <v>1306</v>
      </c>
      <c r="C620" s="5" t="s">
        <v>1307</v>
      </c>
      <c r="E620" s="11">
        <f>VLOOKUP(A620,TB!TB1_1,5,FALSE)</f>
        <v>72146.58</v>
      </c>
      <c r="F620" s="17">
        <f t="shared" ref="F620" si="368">IF(E$160,E620/E$160,0)</f>
        <v>2.4388139257501627E-2</v>
      </c>
      <c r="G620" s="17"/>
      <c r="H620" s="11">
        <f>VLOOKUP(A620,TB!TB,5,FALSE)</f>
        <v>0</v>
      </c>
      <c r="I620" s="17">
        <f t="shared" ref="I620" si="369">IF(H$160,H620/H$160,0)</f>
        <v>0</v>
      </c>
      <c r="J620" s="17"/>
      <c r="K620" s="11">
        <f>VLOOKUP(A620,TB!TB1_1,4,FALSE)</f>
        <v>72146.58</v>
      </c>
      <c r="L620" s="17">
        <f t="shared" ref="L620" si="370">IF(K$160,K620/K$160,0)</f>
        <v>2.4388139257501627E-2</v>
      </c>
      <c r="N620" s="11">
        <f>VLOOKUP(A620,TB!TB,4,FALSE)</f>
        <v>0</v>
      </c>
      <c r="O620" s="17">
        <f t="shared" ref="O620" si="371">IF(N$160,N620/N$160,0)</f>
        <v>0</v>
      </c>
    </row>
    <row r="621" spans="1:15" x14ac:dyDescent="0.25">
      <c r="A621" s="5" t="s">
        <v>740</v>
      </c>
      <c r="C621" s="5" t="s">
        <v>1812</v>
      </c>
      <c r="E621" s="11">
        <f>VLOOKUP(A621,TB!TB1_1,5,FALSE)</f>
        <v>1531.13</v>
      </c>
      <c r="F621" s="17">
        <f t="shared" si="340"/>
        <v>5.1757701697486517E-4</v>
      </c>
      <c r="G621" s="17"/>
      <c r="H621" s="11">
        <f>VLOOKUP(A621,TB!TB,5,FALSE)</f>
        <v>1027.68</v>
      </c>
      <c r="I621" s="17">
        <f t="shared" si="341"/>
        <v>4.6626407169320067E-4</v>
      </c>
      <c r="J621" s="17"/>
      <c r="K621" s="11">
        <f>VLOOKUP(A621,TB!TB1_1,4,FALSE)</f>
        <v>1531.13</v>
      </c>
      <c r="L621" s="17">
        <f t="shared" si="342"/>
        <v>5.1757701697486517E-4</v>
      </c>
      <c r="N621" s="11">
        <f>VLOOKUP(A621,TB!TB,4,FALSE)</f>
        <v>1027.68</v>
      </c>
      <c r="O621" s="17">
        <f t="shared" si="343"/>
        <v>4.6626407169320067E-4</v>
      </c>
    </row>
    <row r="622" spans="1:15" x14ac:dyDescent="0.25">
      <c r="A622" s="5" t="s">
        <v>988</v>
      </c>
      <c r="C622" s="5" t="s">
        <v>1813</v>
      </c>
      <c r="E622" s="11">
        <f>VLOOKUP(A622,TB!TB1_1,5,FALSE)</f>
        <v>0</v>
      </c>
      <c r="F622" s="17">
        <f t="shared" si="340"/>
        <v>0</v>
      </c>
      <c r="G622" s="17"/>
      <c r="H622" s="11">
        <f>VLOOKUP(A622,TB!TB,5,FALSE)</f>
        <v>175.61</v>
      </c>
      <c r="I622" s="17">
        <f t="shared" si="341"/>
        <v>7.9675223445083073E-5</v>
      </c>
      <c r="J622" s="17"/>
      <c r="K622" s="11">
        <f>VLOOKUP(A622,TB!TB1_1,4,FALSE)</f>
        <v>0</v>
      </c>
      <c r="L622" s="17">
        <f t="shared" si="342"/>
        <v>0</v>
      </c>
      <c r="N622" s="11">
        <f>VLOOKUP(A622,TB!TB,4,FALSE)</f>
        <v>175.61</v>
      </c>
      <c r="O622" s="17">
        <f t="shared" si="343"/>
        <v>7.9675223445083073E-5</v>
      </c>
    </row>
    <row r="623" spans="1:15" x14ac:dyDescent="0.25">
      <c r="A623" s="83" t="s">
        <v>1276</v>
      </c>
      <c r="C623" s="5" t="s">
        <v>1814</v>
      </c>
      <c r="E623" s="11">
        <f>VLOOKUP(A623,TB!TB1_1,5,FALSE)</f>
        <v>-98430.83</v>
      </c>
      <c r="F623" s="17">
        <f t="shared" ref="F623" si="372">IF(E$160,E623/E$160,0)</f>
        <v>-3.3273161240234383E-2</v>
      </c>
      <c r="G623" s="17"/>
      <c r="H623" s="11">
        <f>VLOOKUP(A623,TB!TB,5,FALSE)</f>
        <v>-67399.39</v>
      </c>
      <c r="I623" s="17">
        <f t="shared" ref="I623" si="373">IF(H$160,H623/H$160,0)</f>
        <v>-3.0579474166119794E-2</v>
      </c>
      <c r="J623" s="17"/>
      <c r="K623" s="11">
        <f>VLOOKUP(A623,TB!TB1_1,4,FALSE)</f>
        <v>-98430.83</v>
      </c>
      <c r="L623" s="17">
        <f t="shared" ref="L623" si="374">IF(K$160,K623/K$160,0)</f>
        <v>-3.3273161240234383E-2</v>
      </c>
      <c r="N623" s="11">
        <f>VLOOKUP(A623,TB!TB,4,FALSE)</f>
        <v>-67399.39</v>
      </c>
      <c r="O623" s="17">
        <f t="shared" ref="O623" si="375">IF(N$160,N623/N$160,0)</f>
        <v>-3.0579474166119794E-2</v>
      </c>
    </row>
    <row r="624" spans="1:15" x14ac:dyDescent="0.25">
      <c r="A624" s="83" t="s">
        <v>1512</v>
      </c>
      <c r="C624" s="5" t="s">
        <v>1530</v>
      </c>
      <c r="E624" s="11">
        <f>VLOOKUP(A624,TB!TB1_1,5,FALSE)</f>
        <v>-5352.12</v>
      </c>
      <c r="F624" s="17">
        <f t="shared" ref="F624" si="376">IF(E$160,E624/E$160,0)</f>
        <v>-1.8092090835471288E-3</v>
      </c>
      <c r="G624" s="17"/>
      <c r="H624" s="11">
        <f>VLOOKUP(A624,TB!TB,5,FALSE)</f>
        <v>241.5</v>
      </c>
      <c r="I624" s="17">
        <f t="shared" ref="I624" si="377">IF(H$160,H624/H$160,0)</f>
        <v>1.0956987906148602E-4</v>
      </c>
      <c r="J624" s="17"/>
      <c r="K624" s="11">
        <f>VLOOKUP(A624,TB!TB1_1,4,FALSE)</f>
        <v>-5352.12</v>
      </c>
      <c r="L624" s="17">
        <f t="shared" ref="L624" si="378">IF(K$160,K624/K$160,0)</f>
        <v>-1.8092090835471288E-3</v>
      </c>
      <c r="N624" s="11">
        <f>VLOOKUP(A624,TB!TB,4,FALSE)</f>
        <v>241.5</v>
      </c>
      <c r="O624" s="17">
        <f t="shared" ref="O624" si="379">IF(N$160,N624/N$160,0)</f>
        <v>1.0956987906148602E-4</v>
      </c>
    </row>
    <row r="625" spans="1:16" x14ac:dyDescent="0.25">
      <c r="A625" s="5" t="s">
        <v>742</v>
      </c>
      <c r="C625" s="5" t="s">
        <v>1815</v>
      </c>
      <c r="E625" s="11">
        <f>VLOOKUP(A625,TB!TB1_1,5,FALSE)</f>
        <v>8231.06</v>
      </c>
      <c r="F625" s="17">
        <f t="shared" ref="F625:F638" si="380">IF(E$160,E625/E$160,0)</f>
        <v>2.7823943632096122E-3</v>
      </c>
      <c r="G625" s="17"/>
      <c r="H625" s="11">
        <f>VLOOKUP(A625,TB!TB,5,FALSE)</f>
        <v>0</v>
      </c>
      <c r="I625" s="17">
        <f t="shared" ref="I625:I638" si="381">IF(H$160,H625/H$160,0)</f>
        <v>0</v>
      </c>
      <c r="J625" s="17"/>
      <c r="K625" s="11">
        <f>VLOOKUP(A625,TB!TB1_1,4,FALSE)</f>
        <v>8231.06</v>
      </c>
      <c r="L625" s="17">
        <f t="shared" ref="L625:L638" si="382">IF(K$160,K625/K$160,0)</f>
        <v>2.7823943632096122E-3</v>
      </c>
      <c r="N625" s="11">
        <f>VLOOKUP(A625,TB!TB,4,FALSE)</f>
        <v>0</v>
      </c>
      <c r="O625" s="17">
        <f t="shared" ref="O625:O638" si="383">IF(N$160,N625/N$160,0)</f>
        <v>0</v>
      </c>
    </row>
    <row r="626" spans="1:16" x14ac:dyDescent="0.25">
      <c r="A626" s="5" t="s">
        <v>744</v>
      </c>
      <c r="C626" s="5" t="s">
        <v>1816</v>
      </c>
      <c r="E626" s="11">
        <f>VLOOKUP(A626,TB!TB1_1,5,FALSE)</f>
        <v>24693.19</v>
      </c>
      <c r="F626" s="17">
        <f t="shared" si="380"/>
        <v>8.347186469988551E-3</v>
      </c>
      <c r="G626" s="17"/>
      <c r="H626" s="11">
        <f>VLOOKUP(A626,TB!TB,5,FALSE)</f>
        <v>0</v>
      </c>
      <c r="I626" s="17">
        <f t="shared" si="381"/>
        <v>0</v>
      </c>
      <c r="J626" s="17"/>
      <c r="K626" s="11">
        <f>VLOOKUP(A626,TB!TB1_1,4,FALSE)</f>
        <v>24693.19</v>
      </c>
      <c r="L626" s="17">
        <f t="shared" si="382"/>
        <v>8.347186469988551E-3</v>
      </c>
      <c r="N626" s="11">
        <f>VLOOKUP(A626,TB!TB,4,FALSE)</f>
        <v>0</v>
      </c>
      <c r="O626" s="17">
        <f t="shared" si="383"/>
        <v>0</v>
      </c>
    </row>
    <row r="627" spans="1:16" x14ac:dyDescent="0.25">
      <c r="A627" s="5" t="s">
        <v>989</v>
      </c>
      <c r="C627" s="5" t="s">
        <v>1817</v>
      </c>
      <c r="E627" s="11">
        <f>VLOOKUP(A627,TB!TB1_1,5,FALSE)</f>
        <v>0</v>
      </c>
      <c r="F627" s="17">
        <f t="shared" si="380"/>
        <v>0</v>
      </c>
      <c r="G627" s="17"/>
      <c r="H627" s="11">
        <f>VLOOKUP(A627,TB!TB,5,FALSE)</f>
        <v>0</v>
      </c>
      <c r="I627" s="17">
        <f t="shared" si="381"/>
        <v>0</v>
      </c>
      <c r="J627" s="17"/>
      <c r="K627" s="11">
        <f>VLOOKUP(A627,TB!TB1_1,4,FALSE)</f>
        <v>0</v>
      </c>
      <c r="L627" s="17">
        <f t="shared" si="382"/>
        <v>0</v>
      </c>
      <c r="N627" s="11">
        <f>VLOOKUP(A627,TB!TB,4,FALSE)</f>
        <v>0</v>
      </c>
      <c r="O627" s="17">
        <f t="shared" si="383"/>
        <v>0</v>
      </c>
    </row>
    <row r="628" spans="1:16" x14ac:dyDescent="0.25">
      <c r="A628" s="5" t="s">
        <v>745</v>
      </c>
      <c r="C628" s="5" t="s">
        <v>1818</v>
      </c>
      <c r="E628" s="11">
        <f>VLOOKUP(A628,TB!TB1_1,5,FALSE)</f>
        <v>16462.12</v>
      </c>
      <c r="F628" s="17">
        <f t="shared" si="380"/>
        <v>5.5647887264192245E-3</v>
      </c>
      <c r="G628" s="17"/>
      <c r="H628" s="11">
        <f>VLOOKUP(A628,TB!TB,5,FALSE)</f>
        <v>0</v>
      </c>
      <c r="I628" s="17">
        <f t="shared" si="381"/>
        <v>0</v>
      </c>
      <c r="J628" s="17"/>
      <c r="K628" s="11">
        <f>VLOOKUP(A628,TB!TB1_1,4,FALSE)</f>
        <v>16462.12</v>
      </c>
      <c r="L628" s="17">
        <f t="shared" si="382"/>
        <v>5.5647887264192245E-3</v>
      </c>
      <c r="N628" s="11">
        <f>VLOOKUP(A628,TB!TB,4,FALSE)</f>
        <v>0</v>
      </c>
      <c r="O628" s="17">
        <f t="shared" si="383"/>
        <v>0</v>
      </c>
    </row>
    <row r="629" spans="1:16" x14ac:dyDescent="0.25">
      <c r="A629" s="5" t="s">
        <v>990</v>
      </c>
      <c r="C629" s="5" t="s">
        <v>1819</v>
      </c>
      <c r="E629" s="11">
        <f>VLOOKUP(A629,TB!TB1_1,5,FALSE)</f>
        <v>0</v>
      </c>
      <c r="F629" s="17">
        <f t="shared" si="380"/>
        <v>0</v>
      </c>
      <c r="G629" s="17"/>
      <c r="H629" s="11">
        <f>VLOOKUP(A629,TB!TB,5,FALSE)</f>
        <v>0</v>
      </c>
      <c r="I629" s="17">
        <f t="shared" si="381"/>
        <v>0</v>
      </c>
      <c r="J629" s="17"/>
      <c r="K629" s="11">
        <f>VLOOKUP(A629,TB!TB1_1,4,FALSE)</f>
        <v>0</v>
      </c>
      <c r="L629" s="17">
        <f t="shared" si="382"/>
        <v>0</v>
      </c>
      <c r="N629" s="11">
        <f>VLOOKUP(A629,TB!TB,4,FALSE)</f>
        <v>0</v>
      </c>
      <c r="O629" s="17">
        <f t="shared" si="383"/>
        <v>0</v>
      </c>
    </row>
    <row r="630" spans="1:16" x14ac:dyDescent="0.25">
      <c r="A630" s="5" t="s">
        <v>746</v>
      </c>
      <c r="C630" s="5" t="s">
        <v>1820</v>
      </c>
      <c r="E630" s="11">
        <f>VLOOKUP(A630,TB!TB1_1,5,FALSE)</f>
        <v>8231.06</v>
      </c>
      <c r="F630" s="17">
        <f t="shared" si="380"/>
        <v>2.7823943632096122E-3</v>
      </c>
      <c r="G630" s="17"/>
      <c r="H630" s="11">
        <f>VLOOKUP(A630,TB!TB,5,FALSE)</f>
        <v>0</v>
      </c>
      <c r="I630" s="17">
        <f t="shared" si="381"/>
        <v>0</v>
      </c>
      <c r="J630" s="17"/>
      <c r="K630" s="11">
        <f>VLOOKUP(A630,TB!TB1_1,4,FALSE)</f>
        <v>8231.06</v>
      </c>
      <c r="L630" s="17">
        <f t="shared" si="382"/>
        <v>2.7823943632096122E-3</v>
      </c>
      <c r="N630" s="11">
        <f>VLOOKUP(A630,TB!TB,4,FALSE)</f>
        <v>0</v>
      </c>
      <c r="O630" s="17">
        <f t="shared" si="383"/>
        <v>0</v>
      </c>
    </row>
    <row r="631" spans="1:16" x14ac:dyDescent="0.25">
      <c r="A631" s="83" t="s">
        <v>1438</v>
      </c>
      <c r="C631" s="5" t="s">
        <v>1479</v>
      </c>
      <c r="E631" s="11">
        <f>VLOOKUP(A631,TB!TB1_1,5,FALSE)</f>
        <v>0</v>
      </c>
      <c r="F631" s="17">
        <f t="shared" ref="F631" si="384">IF(E$160,E631/E$160,0)</f>
        <v>0</v>
      </c>
      <c r="G631" s="17"/>
      <c r="H631" s="11">
        <f>VLOOKUP(A631,TB!TB,5,FALSE)</f>
        <v>0</v>
      </c>
      <c r="I631" s="17">
        <f t="shared" ref="I631" si="385">IF(H$160,H631/H$160,0)</f>
        <v>0</v>
      </c>
      <c r="J631" s="17"/>
      <c r="K631" s="11">
        <f>VLOOKUP(A631,TB!TB1_1,4,FALSE)</f>
        <v>0</v>
      </c>
      <c r="L631" s="17">
        <f t="shared" ref="L631" si="386">IF(K$160,K631/K$160,0)</f>
        <v>0</v>
      </c>
      <c r="N631" s="11">
        <f>VLOOKUP(A631,TB!TB,4,FALSE)</f>
        <v>0</v>
      </c>
      <c r="O631" s="17">
        <f t="shared" ref="O631" si="387">IF(N$160,N631/N$160,0)</f>
        <v>0</v>
      </c>
    </row>
    <row r="632" spans="1:16" x14ac:dyDescent="0.25">
      <c r="A632" s="5" t="s">
        <v>747</v>
      </c>
      <c r="C632" s="5" t="s">
        <v>1821</v>
      </c>
      <c r="E632" s="11">
        <f>VLOOKUP(A632,TB!TB1_1,5,FALSE)</f>
        <v>32924.269999999997</v>
      </c>
      <c r="F632" s="17">
        <f t="shared" si="380"/>
        <v>1.1129587593917592E-2</v>
      </c>
      <c r="G632" s="17"/>
      <c r="H632" s="11">
        <f>VLOOKUP(A632,TB!TB,5,FALSE)</f>
        <v>0</v>
      </c>
      <c r="I632" s="17">
        <f t="shared" si="381"/>
        <v>0</v>
      </c>
      <c r="J632" s="17"/>
      <c r="K632" s="11">
        <f>VLOOKUP(A632,TB!TB1_1,4,FALSE)</f>
        <v>32924.269999999997</v>
      </c>
      <c r="L632" s="17">
        <f t="shared" si="382"/>
        <v>1.1129587593917592E-2</v>
      </c>
      <c r="N632" s="11">
        <f>VLOOKUP(A632,TB!TB,4,FALSE)</f>
        <v>0</v>
      </c>
      <c r="O632" s="17">
        <f t="shared" si="383"/>
        <v>0</v>
      </c>
    </row>
    <row r="633" spans="1:16" x14ac:dyDescent="0.25">
      <c r="A633" s="5" t="s">
        <v>991</v>
      </c>
      <c r="C633" s="5" t="s">
        <v>1822</v>
      </c>
      <c r="E633" s="11">
        <f>VLOOKUP(A633,TB!TB1_1,5,FALSE)</f>
        <v>0</v>
      </c>
      <c r="F633" s="17">
        <f t="shared" si="380"/>
        <v>0</v>
      </c>
      <c r="G633" s="17"/>
      <c r="H633" s="11">
        <f>VLOOKUP(A633,TB!TB,5,FALSE)</f>
        <v>0</v>
      </c>
      <c r="I633" s="17">
        <f t="shared" si="381"/>
        <v>0</v>
      </c>
      <c r="J633" s="17"/>
      <c r="K633" s="11">
        <f>VLOOKUP(A633,TB!TB1_1,4,FALSE)</f>
        <v>0</v>
      </c>
      <c r="L633" s="17">
        <f t="shared" si="382"/>
        <v>0</v>
      </c>
      <c r="N633" s="11">
        <f>VLOOKUP(A633,TB!TB,4,FALSE)</f>
        <v>0</v>
      </c>
      <c r="O633" s="17">
        <f t="shared" si="383"/>
        <v>0</v>
      </c>
    </row>
    <row r="634" spans="1:16" x14ac:dyDescent="0.25">
      <c r="A634" s="5" t="s">
        <v>748</v>
      </c>
      <c r="C634" s="5" t="s">
        <v>1823</v>
      </c>
      <c r="E634" s="11">
        <f>VLOOKUP(A634,TB!TB1_1,5,FALSE)</f>
        <v>49386.38</v>
      </c>
      <c r="F634" s="17">
        <f t="shared" si="380"/>
        <v>1.6694372939977102E-2</v>
      </c>
      <c r="G634" s="17"/>
      <c r="H634" s="11">
        <f>VLOOKUP(A634,TB!TB,5,FALSE)</f>
        <v>0</v>
      </c>
      <c r="I634" s="17">
        <f t="shared" si="381"/>
        <v>0</v>
      </c>
      <c r="J634" s="17"/>
      <c r="K634" s="11">
        <f>VLOOKUP(A634,TB!TB1_1,4,FALSE)</f>
        <v>49386.38</v>
      </c>
      <c r="L634" s="17">
        <f t="shared" si="382"/>
        <v>1.6694372939977102E-2</v>
      </c>
      <c r="N634" s="11">
        <f>VLOOKUP(A634,TB!TB,4,FALSE)</f>
        <v>0</v>
      </c>
      <c r="O634" s="17">
        <f t="shared" si="383"/>
        <v>0</v>
      </c>
    </row>
    <row r="635" spans="1:16" x14ac:dyDescent="0.25">
      <c r="A635" s="5" t="s">
        <v>992</v>
      </c>
      <c r="C635" s="5" t="s">
        <v>1824</v>
      </c>
      <c r="E635" s="11">
        <f>VLOOKUP(A635,TB!TB1_1,5,FALSE)</f>
        <v>0</v>
      </c>
      <c r="F635" s="17">
        <f t="shared" si="380"/>
        <v>0</v>
      </c>
      <c r="G635" s="17"/>
      <c r="H635" s="11">
        <f>VLOOKUP(A635,TB!TB,5,FALSE)</f>
        <v>0</v>
      </c>
      <c r="I635" s="17">
        <f t="shared" si="381"/>
        <v>0</v>
      </c>
      <c r="J635" s="17"/>
      <c r="K635" s="11">
        <f>VLOOKUP(A635,TB!TB1_1,4,FALSE)</f>
        <v>0</v>
      </c>
      <c r="L635" s="17">
        <f t="shared" si="382"/>
        <v>0</v>
      </c>
      <c r="N635" s="11">
        <f>VLOOKUP(A635,TB!TB,4,FALSE)</f>
        <v>0</v>
      </c>
      <c r="O635" s="17">
        <f t="shared" si="383"/>
        <v>0</v>
      </c>
    </row>
    <row r="636" spans="1:16" x14ac:dyDescent="0.25">
      <c r="A636" s="5" t="s">
        <v>749</v>
      </c>
      <c r="C636" s="5" t="s">
        <v>1825</v>
      </c>
      <c r="E636" s="11">
        <f>VLOOKUP(A636,TB!TB1_1,5,FALSE)</f>
        <v>-164621.26999999999</v>
      </c>
      <c r="F636" s="17">
        <f t="shared" si="380"/>
        <v>-5.5647910926710245E-2</v>
      </c>
      <c r="G636" s="17"/>
      <c r="H636" s="11">
        <f>VLOOKUP(A636,TB!TB,5,FALSE)</f>
        <v>0</v>
      </c>
      <c r="I636" s="17">
        <f t="shared" si="381"/>
        <v>0</v>
      </c>
      <c r="J636" s="17"/>
      <c r="K636" s="11">
        <f>VLOOKUP(A636,TB!TB1_1,4,FALSE)</f>
        <v>-164621.26999999999</v>
      </c>
      <c r="L636" s="17">
        <f t="shared" si="382"/>
        <v>-5.5647910926710245E-2</v>
      </c>
      <c r="N636" s="11">
        <f>VLOOKUP(A636,TB!TB,4,FALSE)</f>
        <v>0</v>
      </c>
      <c r="O636" s="17">
        <f t="shared" si="383"/>
        <v>0</v>
      </c>
    </row>
    <row r="637" spans="1:16" x14ac:dyDescent="0.25">
      <c r="A637" s="5" t="s">
        <v>750</v>
      </c>
      <c r="C637" s="5" t="s">
        <v>1826</v>
      </c>
      <c r="E637" s="11">
        <f>VLOOKUP(A637,TB!TB1_1,5,FALSE)</f>
        <v>24693.19</v>
      </c>
      <c r="F637" s="17">
        <f t="shared" si="380"/>
        <v>8.347186469988551E-3</v>
      </c>
      <c r="G637" s="17"/>
      <c r="H637" s="11">
        <f>VLOOKUP(A637,TB!TB,5,FALSE)</f>
        <v>0</v>
      </c>
      <c r="I637" s="17">
        <f t="shared" si="381"/>
        <v>0</v>
      </c>
      <c r="J637" s="17"/>
      <c r="K637" s="11">
        <f>VLOOKUP(A637,TB!TB1_1,4,FALSE)</f>
        <v>24693.19</v>
      </c>
      <c r="L637" s="17">
        <f t="shared" si="382"/>
        <v>8.347186469988551E-3</v>
      </c>
      <c r="N637" s="11">
        <f>VLOOKUP(A637,TB!TB,4,FALSE)</f>
        <v>0</v>
      </c>
      <c r="O637" s="17">
        <f t="shared" si="383"/>
        <v>0</v>
      </c>
    </row>
    <row r="638" spans="1:16" x14ac:dyDescent="0.25">
      <c r="A638" s="5" t="s">
        <v>993</v>
      </c>
      <c r="C638" s="5" t="s">
        <v>1827</v>
      </c>
      <c r="E638" s="29">
        <f>VLOOKUP(A638,TB!TB1_1,5,FALSE)</f>
        <v>0</v>
      </c>
      <c r="F638" s="89">
        <f t="shared" si="380"/>
        <v>0</v>
      </c>
      <c r="G638" s="89"/>
      <c r="H638" s="29">
        <f>VLOOKUP(A638,TB!TB,5,FALSE)</f>
        <v>0</v>
      </c>
      <c r="I638" s="89">
        <f t="shared" si="381"/>
        <v>0</v>
      </c>
      <c r="J638" s="89"/>
      <c r="K638" s="29">
        <f>VLOOKUP(A638,TB!TB1_1,4,FALSE)</f>
        <v>0</v>
      </c>
      <c r="L638" s="89">
        <f t="shared" si="382"/>
        <v>0</v>
      </c>
      <c r="M638" s="30"/>
      <c r="N638" s="29">
        <f>VLOOKUP(A638,TB!TB,4,FALSE)</f>
        <v>0</v>
      </c>
      <c r="O638" s="89">
        <f t="shared" si="383"/>
        <v>0</v>
      </c>
      <c r="P638" s="30"/>
    </row>
    <row r="639" spans="1:16" ht="18.75" x14ac:dyDescent="0.3">
      <c r="A639" s="27"/>
      <c r="B639" s="27"/>
      <c r="C639" s="45" t="s">
        <v>1003</v>
      </c>
      <c r="E639" s="35">
        <f>SUM(E326:E638)</f>
        <v>546161.76</v>
      </c>
      <c r="F639" s="34">
        <f>E639/E$160</f>
        <v>0.18462232111351892</v>
      </c>
      <c r="G639" s="34"/>
      <c r="H639" s="35">
        <f>SUM(H326:H638)</f>
        <v>442502.25999999989</v>
      </c>
      <c r="I639" s="34">
        <f>H639/H$160</f>
        <v>0.20076571061132187</v>
      </c>
      <c r="J639" s="34"/>
      <c r="K639" s="35">
        <f>SUM(K326:K638)</f>
        <v>546161.76</v>
      </c>
      <c r="L639" s="34">
        <f>K639/K$160</f>
        <v>0.18462232111351892</v>
      </c>
      <c r="M639" s="27"/>
      <c r="N639" s="35">
        <f>SUM(N326:N638)</f>
        <v>442502.25999999989</v>
      </c>
      <c r="O639" s="34">
        <f>N639/N$160</f>
        <v>0.20076571061132187</v>
      </c>
      <c r="P639" s="27"/>
    </row>
    <row r="640" spans="1:16" ht="15.75" thickBot="1" x14ac:dyDescent="0.3">
      <c r="E640" s="85"/>
      <c r="F640" s="85"/>
      <c r="G640" s="85"/>
      <c r="H640" s="85"/>
      <c r="I640" s="85"/>
      <c r="J640" s="85"/>
      <c r="K640" s="85"/>
      <c r="L640" s="85"/>
      <c r="N640" s="85"/>
      <c r="O640" s="85"/>
    </row>
    <row r="641" spans="3:17" ht="19.5" thickTop="1" x14ac:dyDescent="0.3">
      <c r="C641" s="14" t="s">
        <v>998</v>
      </c>
      <c r="E641" s="103">
        <f>E322-E639</f>
        <v>211556.53999999934</v>
      </c>
      <c r="F641" s="104">
        <f>E641/E$160</f>
        <v>7.1513720516692511E-2</v>
      </c>
      <c r="G641" s="104"/>
      <c r="H641" s="103">
        <f>H322-H639</f>
        <v>374023.03999999992</v>
      </c>
      <c r="I641" s="104">
        <f>H641/H$160</f>
        <v>0.16969631163150867</v>
      </c>
      <c r="J641" s="104"/>
      <c r="K641" s="103">
        <f>K322-K639</f>
        <v>211556.53999999934</v>
      </c>
      <c r="L641" s="104">
        <f>K641/K$160</f>
        <v>7.1513720516692511E-2</v>
      </c>
      <c r="M641" s="13"/>
      <c r="N641" s="103">
        <f>N322-N639</f>
        <v>374023.03999999992</v>
      </c>
      <c r="O641" s="104">
        <f>N641/N$160</f>
        <v>0.16969631163150867</v>
      </c>
    </row>
    <row r="642" spans="3:17" ht="15.75" x14ac:dyDescent="0.25">
      <c r="K642" s="8"/>
      <c r="L642" s="16"/>
      <c r="M642" s="8"/>
      <c r="N642" s="8"/>
      <c r="O642" s="16"/>
      <c r="Q642" s="16"/>
    </row>
  </sheetData>
  <mergeCells count="4">
    <mergeCell ref="A1:P1"/>
    <mergeCell ref="A2:P2"/>
    <mergeCell ref="A3:P3"/>
    <mergeCell ref="A160:D160"/>
  </mergeCells>
  <pageMargins left="0.7" right="0.7" top="0.75" bottom="0.75" header="0.3" footer="0.3"/>
  <pageSetup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5FE4-AC8F-4A4F-9B25-A0597FB46278}">
  <dimension ref="A1:M56"/>
  <sheetViews>
    <sheetView topLeftCell="A32" zoomScaleNormal="100" workbookViewId="0">
      <selection activeCell="C47" sqref="C47"/>
    </sheetView>
  </sheetViews>
  <sheetFormatPr defaultRowHeight="15" x14ac:dyDescent="0.25"/>
  <cols>
    <col min="1" max="1" width="30.7109375" bestFit="1" customWidth="1"/>
    <col min="2" max="2" width="2" customWidth="1"/>
    <col min="3" max="3" width="20.5703125" customWidth="1"/>
    <col min="4" max="4" width="8.140625" customWidth="1"/>
    <col min="5" max="5" width="2.140625" customWidth="1"/>
    <col min="6" max="6" width="18.7109375" customWidth="1"/>
    <col min="8" max="8" width="2.7109375" customWidth="1"/>
    <col min="9" max="9" width="19.28515625" customWidth="1"/>
    <col min="11" max="11" width="2" customWidth="1"/>
    <col min="12" max="12" width="19" customWidth="1"/>
    <col min="13" max="13" width="9.5703125" customWidth="1"/>
  </cols>
  <sheetData>
    <row r="1" spans="1:13" ht="31.5" x14ac:dyDescent="0.5">
      <c r="A1" s="148" t="s">
        <v>1223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</row>
    <row r="2" spans="1:13" ht="26.25" x14ac:dyDescent="0.4">
      <c r="A2" s="149" t="s">
        <v>1221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</row>
    <row r="3" spans="1:13" ht="15.75" customHeight="1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</row>
    <row r="4" spans="1:13" ht="15.75" x14ac:dyDescent="0.25">
      <c r="A4" s="8" t="s">
        <v>5</v>
      </c>
      <c r="B4" s="6"/>
      <c r="C4" s="8" t="s">
        <v>3</v>
      </c>
      <c r="D4" s="6"/>
      <c r="E4" s="6"/>
      <c r="F4" s="8" t="s">
        <v>4</v>
      </c>
      <c r="G4" s="6"/>
      <c r="H4" s="6"/>
      <c r="I4" s="8" t="s">
        <v>3</v>
      </c>
      <c r="J4" s="6"/>
      <c r="K4" s="6"/>
      <c r="L4" s="8" t="s">
        <v>4</v>
      </c>
      <c r="M4" s="5"/>
    </row>
    <row r="5" spans="1:13" ht="15.75" x14ac:dyDescent="0.25">
      <c r="A5" s="38" t="s">
        <v>1039</v>
      </c>
      <c r="B5" s="5"/>
      <c r="C5" s="31">
        <f>TB!A4</f>
        <v>2026</v>
      </c>
      <c r="D5" s="16" t="s">
        <v>1005</v>
      </c>
      <c r="E5" s="8"/>
      <c r="F5" s="31">
        <f>TB!A4</f>
        <v>2026</v>
      </c>
      <c r="G5" s="16" t="s">
        <v>1005</v>
      </c>
      <c r="H5" s="5"/>
      <c r="I5" s="31">
        <f>TB!O4</f>
        <v>2025</v>
      </c>
      <c r="J5" s="16" t="s">
        <v>1005</v>
      </c>
      <c r="K5" s="8"/>
      <c r="L5" s="31">
        <f>TB!O4</f>
        <v>2025</v>
      </c>
      <c r="M5" s="16" t="s">
        <v>1005</v>
      </c>
    </row>
    <row r="7" spans="1:13" x14ac:dyDescent="0.25">
      <c r="A7" s="43" t="s">
        <v>999</v>
      </c>
      <c r="C7" s="56">
        <f>'Combined Detail P and L'!N160</f>
        <v>2204072.89</v>
      </c>
      <c r="D7" s="50">
        <f>C7/C$7</f>
        <v>1</v>
      </c>
      <c r="F7" s="56">
        <f>'Combined Detail P and L'!H160</f>
        <v>2204072.89</v>
      </c>
      <c r="G7" s="50">
        <f>F7/F$7</f>
        <v>1</v>
      </c>
      <c r="I7" s="56">
        <f>'Combined Detail P and L'!K160</f>
        <v>2958265.0499999993</v>
      </c>
      <c r="J7" s="50">
        <f>IF(I7,I7/I$7,0)</f>
        <v>1</v>
      </c>
      <c r="L7" s="56">
        <f>'Combined Detail P and L'!E160</f>
        <v>2958265.0499999993</v>
      </c>
      <c r="M7" s="50">
        <f>IF(L7,L7/L$7,0)</f>
        <v>1</v>
      </c>
    </row>
    <row r="8" spans="1:13" x14ac:dyDescent="0.25">
      <c r="A8" s="43" t="s">
        <v>1212</v>
      </c>
      <c r="C8" s="56">
        <f>'Combined Detail P and L'!N322</f>
        <v>816525.29999999981</v>
      </c>
      <c r="D8" s="50">
        <f>C8/C$7</f>
        <v>0.37046202224283054</v>
      </c>
      <c r="E8" s="51"/>
      <c r="F8" s="56">
        <f>'Combined Detail P and L'!H322</f>
        <v>816525.29999999981</v>
      </c>
      <c r="G8" s="50">
        <f t="shared" ref="G8:G52" si="0">F8/F$7</f>
        <v>0.37046202224283054</v>
      </c>
      <c r="H8" s="51"/>
      <c r="I8" s="56">
        <f>'Combined Detail P and L'!K322</f>
        <v>757718.29999999935</v>
      </c>
      <c r="J8" s="50">
        <f>IF(I8,I8/I$7,0)</f>
        <v>0.25613604163021142</v>
      </c>
      <c r="K8" s="51"/>
      <c r="L8" s="56">
        <f>'Combined Detail P and L'!E322</f>
        <v>757718.29999999935</v>
      </c>
      <c r="M8" s="50">
        <f t="shared" ref="M8:M52" si="1">IF(L8,L8/L$7,0)</f>
        <v>0.25613604163021142</v>
      </c>
    </row>
    <row r="9" spans="1:13" x14ac:dyDescent="0.25">
      <c r="A9" s="43"/>
      <c r="C9" s="40"/>
      <c r="D9" s="41"/>
      <c r="F9" s="40"/>
      <c r="G9" s="41"/>
      <c r="I9" s="40"/>
      <c r="J9" s="41"/>
      <c r="L9" s="40"/>
      <c r="M9" s="41"/>
    </row>
    <row r="10" spans="1:13" x14ac:dyDescent="0.25">
      <c r="A10" t="s">
        <v>1103</v>
      </c>
      <c r="C10" s="40">
        <f>SUM('Combined Detail P and L'!N326:N339)</f>
        <v>57023.880000000005</v>
      </c>
      <c r="D10" s="41">
        <f t="shared" ref="D10:D52" si="2">C10/C$7</f>
        <v>2.5872048178951106E-2</v>
      </c>
      <c r="F10" s="40">
        <f>SUM('Combined Detail P and L'!H326:H339)</f>
        <v>57023.880000000005</v>
      </c>
      <c r="G10" s="41">
        <f t="shared" si="0"/>
        <v>2.5872048178951106E-2</v>
      </c>
      <c r="I10" s="40">
        <f>SUM('Combined Detail P and L'!K326:K339)</f>
        <v>27960</v>
      </c>
      <c r="J10" s="41">
        <f t="shared" ref="J10:J52" si="3">IF(I10,I10/I$7,0)</f>
        <v>9.4514857618995321E-3</v>
      </c>
      <c r="L10" s="40">
        <f>SUM('Combined Detail P and L'!E326:E339)</f>
        <v>27960</v>
      </c>
      <c r="M10" s="41">
        <f t="shared" si="1"/>
        <v>9.4514857618995321E-3</v>
      </c>
    </row>
    <row r="11" spans="1:13" x14ac:dyDescent="0.25">
      <c r="A11" t="s">
        <v>1149</v>
      </c>
      <c r="C11" s="40">
        <f>SUM('Combined Detail P and L'!N340:N346)</f>
        <v>135811.9</v>
      </c>
      <c r="D11" s="41">
        <f t="shared" si="2"/>
        <v>6.1618606451803865E-2</v>
      </c>
      <c r="F11" s="40">
        <f>SUM('Combined Detail P and L'!H340:H346)</f>
        <v>135811.9</v>
      </c>
      <c r="G11" s="41">
        <f t="shared" si="0"/>
        <v>6.1618606451803865E-2</v>
      </c>
      <c r="I11" s="40">
        <f>SUM('Combined Detail P and L'!K340:K346)</f>
        <v>119679.81</v>
      </c>
      <c r="J11" s="41">
        <f t="shared" si="3"/>
        <v>4.0456080836975723E-2</v>
      </c>
      <c r="L11" s="40">
        <f>SUM('Combined Detail P and L'!E340:E346)</f>
        <v>119679.81</v>
      </c>
      <c r="M11" s="41">
        <f t="shared" si="1"/>
        <v>4.0456080836975723E-2</v>
      </c>
    </row>
    <row r="12" spans="1:13" x14ac:dyDescent="0.25">
      <c r="A12" t="s">
        <v>1104</v>
      </c>
      <c r="C12" s="40">
        <f>SUM('Combined Detail P and L'!N347:N360)</f>
        <v>51729.630000000005</v>
      </c>
      <c r="D12" s="41">
        <f t="shared" si="2"/>
        <v>2.3470017817786418E-2</v>
      </c>
      <c r="F12" s="40">
        <f>SUM('Combined Detail P and L'!H347:H360)</f>
        <v>51729.630000000005</v>
      </c>
      <c r="G12" s="41">
        <f t="shared" si="0"/>
        <v>2.3470017817786418E-2</v>
      </c>
      <c r="I12" s="40">
        <f>SUM('Combined Detail P and L'!K347:K360)</f>
        <v>46937.65</v>
      </c>
      <c r="J12" s="41">
        <f t="shared" si="3"/>
        <v>1.5866614115594549E-2</v>
      </c>
      <c r="L12" s="40">
        <f>SUM('Combined Detail P and L'!E347:E360)</f>
        <v>46937.65</v>
      </c>
      <c r="M12" s="41">
        <f t="shared" si="1"/>
        <v>1.5866614115594549E-2</v>
      </c>
    </row>
    <row r="13" spans="1:13" x14ac:dyDescent="0.25">
      <c r="A13" t="s">
        <v>1150</v>
      </c>
      <c r="C13" s="40">
        <f>SUM('Combined Detail P and L'!N361:N385)</f>
        <v>1047.78</v>
      </c>
      <c r="D13" s="41">
        <f t="shared" si="2"/>
        <v>4.7538355231074045E-4</v>
      </c>
      <c r="F13" s="40">
        <f>SUM('Combined Detail P and L'!H361:H385)</f>
        <v>1047.78</v>
      </c>
      <c r="G13" s="41">
        <f t="shared" si="0"/>
        <v>4.7538355231074045E-4</v>
      </c>
      <c r="I13" s="40">
        <f>SUM('Combined Detail P and L'!K361:K385)</f>
        <v>101604.81999999999</v>
      </c>
      <c r="J13" s="41">
        <f t="shared" si="3"/>
        <v>3.4346084033274847E-2</v>
      </c>
      <c r="L13" s="40">
        <f>SUM('Combined Detail P and L'!E361:E385)</f>
        <v>101604.81999999999</v>
      </c>
      <c r="M13" s="41">
        <f t="shared" si="1"/>
        <v>3.4346084033274847E-2</v>
      </c>
    </row>
    <row r="14" spans="1:13" x14ac:dyDescent="0.25">
      <c r="A14" t="s">
        <v>1106</v>
      </c>
      <c r="C14" s="40">
        <f>SUM('Combined Detail P and L'!N386:N399)</f>
        <v>54392.76</v>
      </c>
      <c r="D14" s="41">
        <f t="shared" si="2"/>
        <v>2.4678294554950041E-2</v>
      </c>
      <c r="F14" s="40">
        <f>SUM('Combined Detail P and L'!H386:H399)</f>
        <v>54392.76</v>
      </c>
      <c r="G14" s="41">
        <f t="shared" si="0"/>
        <v>2.4678294554950041E-2</v>
      </c>
      <c r="I14" s="40">
        <f>SUM('Combined Detail P and L'!K386:K399)</f>
        <v>45905.48</v>
      </c>
      <c r="J14" s="41">
        <f t="shared" si="3"/>
        <v>1.5517703526937187E-2</v>
      </c>
      <c r="L14" s="40">
        <f>SUM('Combined Detail P and L'!E386:E399)</f>
        <v>45905.48</v>
      </c>
      <c r="M14" s="41">
        <f t="shared" si="1"/>
        <v>1.5517703526937187E-2</v>
      </c>
    </row>
    <row r="15" spans="1:13" x14ac:dyDescent="0.25">
      <c r="A15" t="s">
        <v>1153</v>
      </c>
      <c r="C15" s="40">
        <f>SUM('Combined Detail P and L'!N400:N409)</f>
        <v>2312.36</v>
      </c>
      <c r="D15" s="41">
        <f t="shared" si="2"/>
        <v>1.0491304577499704E-3</v>
      </c>
      <c r="F15" s="40">
        <f>SUM('Combined Detail P and L'!H400:H409)</f>
        <v>2312.36</v>
      </c>
      <c r="G15" s="41">
        <f t="shared" si="0"/>
        <v>1.0491304577499704E-3</v>
      </c>
      <c r="I15" s="40">
        <f>SUM('Combined Detail P and L'!K400:K409)</f>
        <v>577.5</v>
      </c>
      <c r="J15" s="41">
        <f t="shared" si="3"/>
        <v>1.9521577351562874E-4</v>
      </c>
      <c r="L15" s="40">
        <f>SUM('Combined Detail P and L'!E400:E409)</f>
        <v>577.5</v>
      </c>
      <c r="M15" s="41">
        <f t="shared" si="1"/>
        <v>1.9521577351562874E-4</v>
      </c>
    </row>
    <row r="16" spans="1:13" x14ac:dyDescent="0.25">
      <c r="A16" t="s">
        <v>1154</v>
      </c>
      <c r="C16" s="40">
        <f>SUM('Combined Detail P and L'!N410:N419)</f>
        <v>1999.33</v>
      </c>
      <c r="D16" s="41">
        <f t="shared" si="2"/>
        <v>9.0710702403312975E-4</v>
      </c>
      <c r="F16" s="40">
        <f>SUM('Combined Detail P and L'!H410:H419)</f>
        <v>1999.33</v>
      </c>
      <c r="G16" s="41">
        <f t="shared" si="0"/>
        <v>9.0710702403312975E-4</v>
      </c>
      <c r="I16" s="40">
        <f>SUM('Combined Detail P and L'!K410:K419)</f>
        <v>893.65</v>
      </c>
      <c r="J16" s="41">
        <f t="shared" si="3"/>
        <v>3.0208584589132747E-4</v>
      </c>
      <c r="L16" s="40">
        <f>SUM('Combined Detail P and L'!E410:E419)</f>
        <v>893.65</v>
      </c>
      <c r="M16" s="41">
        <f t="shared" si="1"/>
        <v>3.0208584589132747E-4</v>
      </c>
    </row>
    <row r="17" spans="1:13" x14ac:dyDescent="0.25">
      <c r="A17" t="s">
        <v>511</v>
      </c>
      <c r="C17" s="40">
        <f>SUM('Combined Detail P and L'!N420:N429)</f>
        <v>19624.32</v>
      </c>
      <c r="D17" s="41">
        <f t="shared" si="2"/>
        <v>8.9036619837014556E-3</v>
      </c>
      <c r="F17" s="40">
        <f>SUM('Combined Detail P and L'!H420:H429)</f>
        <v>19624.32</v>
      </c>
      <c r="G17" s="41">
        <f t="shared" si="0"/>
        <v>8.9036619837014556E-3</v>
      </c>
      <c r="I17" s="40">
        <f>SUM('Combined Detail P and L'!K420:K429)</f>
        <v>16265.34</v>
      </c>
      <c r="J17" s="41">
        <f t="shared" si="3"/>
        <v>5.4982700079561847E-3</v>
      </c>
      <c r="L17" s="40">
        <f>SUM('Combined Detail P and L'!E420:E429)</f>
        <v>16265.34</v>
      </c>
      <c r="M17" s="41">
        <f t="shared" si="1"/>
        <v>5.4982700079561847E-3</v>
      </c>
    </row>
    <row r="18" spans="1:13" x14ac:dyDescent="0.25">
      <c r="A18" t="s">
        <v>1107</v>
      </c>
      <c r="C18" s="40">
        <f>SUM('Combined Detail P and L'!N430:N443)</f>
        <v>36800</v>
      </c>
      <c r="D18" s="41">
        <f t="shared" si="2"/>
        <v>1.6696362523655014E-2</v>
      </c>
      <c r="F18" s="40">
        <f>SUM('Combined Detail P and L'!H430:H443)</f>
        <v>36800</v>
      </c>
      <c r="G18" s="41">
        <f t="shared" si="0"/>
        <v>1.6696362523655014E-2</v>
      </c>
      <c r="I18" s="40">
        <f>SUM('Combined Detail P and L'!K430:K443)</f>
        <v>18064.75</v>
      </c>
      <c r="J18" s="41">
        <f t="shared" si="3"/>
        <v>6.1065353153531678E-3</v>
      </c>
      <c r="L18" s="40">
        <f>SUM('Combined Detail P and L'!E430:E443)</f>
        <v>18064.75</v>
      </c>
      <c r="M18" s="41">
        <f t="shared" si="1"/>
        <v>6.1065353153531678E-3</v>
      </c>
    </row>
    <row r="19" spans="1:13" x14ac:dyDescent="0.25">
      <c r="A19" t="s">
        <v>537</v>
      </c>
      <c r="C19" s="40">
        <f>SUM('Combined Detail P and L'!N444:N445)</f>
        <v>8562.44</v>
      </c>
      <c r="D19" s="41">
        <f t="shared" si="2"/>
        <v>3.8848261501914306E-3</v>
      </c>
      <c r="F19" s="40">
        <f>SUM('Combined Detail P and L'!H444:H445)</f>
        <v>8562.44</v>
      </c>
      <c r="G19" s="41">
        <f t="shared" si="0"/>
        <v>3.8848261501914306E-3</v>
      </c>
      <c r="I19" s="40">
        <f>SUM('Combined Detail P and L'!H444:K445)</f>
        <v>15484.57388482615</v>
      </c>
      <c r="J19" s="41">
        <f t="shared" si="3"/>
        <v>5.2343429757337511E-3</v>
      </c>
      <c r="L19" s="40">
        <f>SUM('Combined Detail P and L'!E444:E445)</f>
        <v>6922.13</v>
      </c>
      <c r="M19" s="41">
        <f t="shared" si="1"/>
        <v>2.3399289390921892E-3</v>
      </c>
    </row>
    <row r="20" spans="1:13" x14ac:dyDescent="0.25">
      <c r="A20" t="s">
        <v>415</v>
      </c>
      <c r="C20" s="40">
        <f>SUM('Combined Detail P and L'!N446:N447)</f>
        <v>3372.83</v>
      </c>
      <c r="D20" s="41">
        <f t="shared" si="2"/>
        <v>1.5302715328983515E-3</v>
      </c>
      <c r="F20" s="40">
        <f>SUM('Combined Detail P and L'!H446:H447)</f>
        <v>3372.83</v>
      </c>
      <c r="G20" s="41">
        <f t="shared" si="0"/>
        <v>1.5302715328983515E-3</v>
      </c>
      <c r="I20" s="40">
        <f>SUM('Combined Detail P and L'!K446:K447)</f>
        <v>15834.76</v>
      </c>
      <c r="J20" s="41">
        <f t="shared" si="3"/>
        <v>5.3527184793668182E-3</v>
      </c>
      <c r="L20" s="40">
        <f>SUM('Combined Detail P and L'!E446:E447)</f>
        <v>15834.76</v>
      </c>
      <c r="M20" s="41">
        <f t="shared" si="1"/>
        <v>5.3527184793668182E-3</v>
      </c>
    </row>
    <row r="21" spans="1:13" x14ac:dyDescent="0.25">
      <c r="A21" t="s">
        <v>1108</v>
      </c>
      <c r="C21" s="40">
        <f>SUM('Combined Detail P and L'!N448:N461)</f>
        <v>13475.4</v>
      </c>
      <c r="D21" s="41">
        <f t="shared" si="2"/>
        <v>6.113863139979912E-3</v>
      </c>
      <c r="F21" s="40">
        <f>SUM('Combined Detail P and L'!H448:H461)</f>
        <v>13475.4</v>
      </c>
      <c r="G21" s="41">
        <f t="shared" si="0"/>
        <v>6.113863139979912E-3</v>
      </c>
      <c r="I21" s="40">
        <f>SUM('Combined Detail P and L'!K448:K461)</f>
        <v>2951.99</v>
      </c>
      <c r="J21" s="41">
        <f t="shared" si="3"/>
        <v>9.9787880737731757E-4</v>
      </c>
      <c r="L21" s="40">
        <f>SUM('Combined Detail P and L'!E448:E461)</f>
        <v>2951.99</v>
      </c>
      <c r="M21" s="41">
        <f t="shared" si="1"/>
        <v>9.9787880737731757E-4</v>
      </c>
    </row>
    <row r="22" spans="1:13" x14ac:dyDescent="0.25">
      <c r="A22" t="s">
        <v>245</v>
      </c>
      <c r="C22" s="40">
        <f>SUM('Combined Detail P and L'!N462:N463)</f>
        <v>6996.54</v>
      </c>
      <c r="D22" s="41">
        <f t="shared" si="2"/>
        <v>3.1743687024797075E-3</v>
      </c>
      <c r="F22" s="40">
        <f>SUM('Combined Detail P and L'!H462:H463)</f>
        <v>6996.54</v>
      </c>
      <c r="G22" s="41">
        <f t="shared" si="0"/>
        <v>3.1743687024797075E-3</v>
      </c>
      <c r="I22" s="40">
        <f>SUM('Combined Detail P and L'!K462:K463)</f>
        <v>7216.33</v>
      </c>
      <c r="J22" s="41">
        <f t="shared" si="3"/>
        <v>2.4393791218944366E-3</v>
      </c>
      <c r="L22" s="40">
        <f>SUM('Combined Detail P and L'!E462:E463)</f>
        <v>7216.33</v>
      </c>
      <c r="M22" s="41">
        <f t="shared" si="1"/>
        <v>2.4393791218944366E-3</v>
      </c>
    </row>
    <row r="23" spans="1:13" x14ac:dyDescent="0.25">
      <c r="A23" t="s">
        <v>1277</v>
      </c>
      <c r="C23" s="40">
        <f>SUM('Combined Detail P and L'!N623:N624)</f>
        <v>-67157.89</v>
      </c>
      <c r="D23" s="41">
        <f t="shared" ref="D23" si="4">C23/C$7</f>
        <v>-3.0469904287058307E-2</v>
      </c>
      <c r="F23" s="40">
        <f>SUM('Combined Detail P and L'!H623:H624)</f>
        <v>-67157.89</v>
      </c>
      <c r="G23" s="41">
        <f t="shared" ref="G23" si="5">F23/F$7</f>
        <v>-3.0469904287058307E-2</v>
      </c>
      <c r="I23" s="40">
        <f>SUM('Combined Detail P and L'!K623)</f>
        <v>-98430.83</v>
      </c>
      <c r="J23" s="41">
        <f t="shared" ref="J23" si="6">IF(I23,I23/I$7,0)</f>
        <v>-3.3273161240234383E-2</v>
      </c>
      <c r="L23" s="40">
        <f>SUM('Combined Detail P and L'!E623)</f>
        <v>-98430.83</v>
      </c>
      <c r="M23" s="41">
        <f t="shared" ref="M23" si="7">IF(L23,L23/L$7,0)</f>
        <v>-3.3273161240234383E-2</v>
      </c>
    </row>
    <row r="24" spans="1:13" x14ac:dyDescent="0.25">
      <c r="A24" t="s">
        <v>557</v>
      </c>
      <c r="C24" s="40">
        <f>SUM('Combined Detail P and L'!N464:N469)+E398</f>
        <v>3965.2</v>
      </c>
      <c r="D24" s="41">
        <f t="shared" si="2"/>
        <v>1.7990330619238276E-3</v>
      </c>
      <c r="F24" s="40">
        <f>SUM('Combined Detail P and L'!H466:H469)+H398</f>
        <v>3965.2</v>
      </c>
      <c r="G24" s="41">
        <f t="shared" si="0"/>
        <v>1.7990330619238276E-3</v>
      </c>
      <c r="I24" s="40">
        <f>SUM('Combined Detail P and L'!K466:K469)+K398</f>
        <v>6688.68</v>
      </c>
      <c r="J24" s="41">
        <f t="shared" si="3"/>
        <v>2.2610144415558713E-3</v>
      </c>
      <c r="L24" s="40">
        <f>SUM('Combined Detail P and L'!E466:E469)+N398</f>
        <v>6688.68</v>
      </c>
      <c r="M24" s="41">
        <f t="shared" si="1"/>
        <v>2.2610144415558713E-3</v>
      </c>
    </row>
    <row r="25" spans="1:13" x14ac:dyDescent="0.25">
      <c r="A25" t="s">
        <v>567</v>
      </c>
      <c r="C25" s="40">
        <f>SUM('Combined Detail P and L'!N470)</f>
        <v>0</v>
      </c>
      <c r="D25" s="41">
        <f t="shared" si="2"/>
        <v>0</v>
      </c>
      <c r="F25" s="40">
        <f>SUM('Combined Detail P and L'!H470)</f>
        <v>0</v>
      </c>
      <c r="G25" s="41">
        <f t="shared" si="0"/>
        <v>0</v>
      </c>
      <c r="I25" s="40">
        <f>SUM('Combined Detail P and L'!K470)</f>
        <v>63.44</v>
      </c>
      <c r="J25" s="41">
        <f t="shared" si="3"/>
        <v>2.1445002029145432E-5</v>
      </c>
      <c r="L25" s="40">
        <f>SUM('Combined Detail P and L'!E470)</f>
        <v>63.44</v>
      </c>
      <c r="M25" s="41">
        <f t="shared" si="1"/>
        <v>2.1445002029145432E-5</v>
      </c>
    </row>
    <row r="26" spans="1:13" x14ac:dyDescent="0.25">
      <c r="A26" t="s">
        <v>1155</v>
      </c>
      <c r="C26" s="40">
        <f>SUM('Combined Detail P and L'!N472:N481)</f>
        <v>2381.5500000000002</v>
      </c>
      <c r="D26" s="41">
        <f t="shared" si="2"/>
        <v>1.0805223415274619E-3</v>
      </c>
      <c r="F26" s="40">
        <f>SUM('Combined Detail P and L'!H472:H481)</f>
        <v>2381.5500000000002</v>
      </c>
      <c r="G26" s="41">
        <f t="shared" si="0"/>
        <v>1.0805223415274619E-3</v>
      </c>
      <c r="I26" s="40">
        <f>SUM('Combined Detail P and L'!K472:K481)</f>
        <v>3220.5600000000004</v>
      </c>
      <c r="J26" s="41">
        <f t="shared" si="3"/>
        <v>1.0886651282311574E-3</v>
      </c>
      <c r="L26" s="40">
        <f>SUM('Combined Detail P and L'!E472:E481)</f>
        <v>3220.5600000000004</v>
      </c>
      <c r="M26" s="41">
        <f t="shared" si="1"/>
        <v>1.0886651282311574E-3</v>
      </c>
    </row>
    <row r="27" spans="1:13" x14ac:dyDescent="0.25">
      <c r="A27" t="s">
        <v>1156</v>
      </c>
      <c r="C27" s="40">
        <f>SUM('Combined Detail P and L'!N482)</f>
        <v>12015.99</v>
      </c>
      <c r="D27" s="41">
        <f t="shared" si="2"/>
        <v>5.4517207913210158E-3</v>
      </c>
      <c r="F27" s="40">
        <f>SUM('Combined Detail P and L'!H482)</f>
        <v>12015.99</v>
      </c>
      <c r="G27" s="41">
        <f t="shared" si="0"/>
        <v>5.4517207913210158E-3</v>
      </c>
      <c r="I27" s="40">
        <f>SUM('Combined Detail P and L'!K482)</f>
        <v>21556.400000000001</v>
      </c>
      <c r="J27" s="41">
        <f t="shared" si="3"/>
        <v>7.2868386150862332E-3</v>
      </c>
      <c r="L27" s="40">
        <f>SUM('Combined Detail P and L'!E482)</f>
        <v>21556.400000000001</v>
      </c>
      <c r="M27" s="41">
        <f t="shared" si="1"/>
        <v>7.2868386150862332E-3</v>
      </c>
    </row>
    <row r="28" spans="1:13" x14ac:dyDescent="0.25">
      <c r="A28" t="s">
        <v>585</v>
      </c>
      <c r="C28" s="40">
        <f>SUM('Combined Detail P and L'!N483:N492)</f>
        <v>22087.26</v>
      </c>
      <c r="D28" s="41">
        <f t="shared" si="2"/>
        <v>1.0021111416147402E-2</v>
      </c>
      <c r="F28" s="40">
        <f>SUM('Combined Detail P and L'!H483:H492)</f>
        <v>22087.26</v>
      </c>
      <c r="G28" s="41">
        <f t="shared" si="0"/>
        <v>1.0021111416147402E-2</v>
      </c>
      <c r="I28" s="40">
        <f>SUM('Combined Detail P and L'!K483:K492)</f>
        <v>7071.75</v>
      </c>
      <c r="J28" s="41">
        <f t="shared" si="3"/>
        <v>2.390505881141381E-3</v>
      </c>
      <c r="L28" s="40">
        <f>SUM('Combined Detail P and L'!E483:E492)</f>
        <v>7071.75</v>
      </c>
      <c r="M28" s="41">
        <f t="shared" si="1"/>
        <v>2.390505881141381E-3</v>
      </c>
    </row>
    <row r="29" spans="1:13" x14ac:dyDescent="0.25">
      <c r="A29" t="s">
        <v>1109</v>
      </c>
      <c r="C29" s="40">
        <f>SUM('Combined Detail P and L'!N493:N505)</f>
        <v>14039.720000000003</v>
      </c>
      <c r="D29" s="41">
        <f t="shared" si="2"/>
        <v>6.3698982296361362E-3</v>
      </c>
      <c r="F29" s="40">
        <f>SUM('Combined Detail P and L'!H493:H505)</f>
        <v>14039.720000000003</v>
      </c>
      <c r="G29" s="41">
        <f t="shared" si="0"/>
        <v>6.3698982296361362E-3</v>
      </c>
      <c r="I29" s="40">
        <f>SUM('Combined Detail P and L'!K493:K505)</f>
        <v>3442.7</v>
      </c>
      <c r="J29" s="41">
        <f t="shared" si="3"/>
        <v>1.1637564389303118E-3</v>
      </c>
      <c r="L29" s="40">
        <f>SUM('Combined Detail P and L'!E493:E505)</f>
        <v>3442.7</v>
      </c>
      <c r="M29" s="41">
        <f t="shared" si="1"/>
        <v>1.1637564389303118E-3</v>
      </c>
    </row>
    <row r="30" spans="1:13" x14ac:dyDescent="0.25">
      <c r="A30" t="s">
        <v>1157</v>
      </c>
      <c r="C30" s="40">
        <f>SUM('Combined Detail P and L'!N506:N515)</f>
        <v>0</v>
      </c>
      <c r="D30" s="41">
        <f t="shared" si="2"/>
        <v>0</v>
      </c>
      <c r="F30" s="40">
        <f>SUM('Combined Detail P and L'!H506:H515)</f>
        <v>0</v>
      </c>
      <c r="G30" s="41">
        <f t="shared" si="0"/>
        <v>0</v>
      </c>
      <c r="I30" s="40">
        <f>SUM('Combined Detail P and L'!K506:K515)</f>
        <v>0</v>
      </c>
      <c r="J30" s="41">
        <f t="shared" si="3"/>
        <v>0</v>
      </c>
      <c r="L30" s="40">
        <f>SUM('Combined Detail P and L'!E506:E515)</f>
        <v>0</v>
      </c>
      <c r="M30" s="41">
        <f t="shared" si="1"/>
        <v>0</v>
      </c>
    </row>
    <row r="31" spans="1:13" x14ac:dyDescent="0.25">
      <c r="A31" t="s">
        <v>1158</v>
      </c>
      <c r="C31" s="40">
        <f>SUM('Combined Detail P and L'!N516:N525)</f>
        <v>0</v>
      </c>
      <c r="D31" s="41">
        <f t="shared" si="2"/>
        <v>0</v>
      </c>
      <c r="F31" s="40">
        <f>SUM('Combined Detail P and L'!H516:H525)</f>
        <v>0</v>
      </c>
      <c r="G31" s="41">
        <f t="shared" si="0"/>
        <v>0</v>
      </c>
      <c r="I31" s="40">
        <f>SUM('Combined Detail P and L'!K516:K525)</f>
        <v>0</v>
      </c>
      <c r="J31" s="41">
        <f t="shared" si="3"/>
        <v>0</v>
      </c>
      <c r="L31" s="40">
        <f>SUM('Combined Detail P and L'!E516:E525)</f>
        <v>0</v>
      </c>
      <c r="M31" s="41">
        <f t="shared" si="1"/>
        <v>0</v>
      </c>
    </row>
    <row r="32" spans="1:13" x14ac:dyDescent="0.25">
      <c r="A32" t="s">
        <v>635</v>
      </c>
      <c r="C32" s="40">
        <f>SUM('Combined Detail P and L'!N526)</f>
        <v>0</v>
      </c>
      <c r="D32" s="41">
        <f t="shared" si="2"/>
        <v>0</v>
      </c>
      <c r="F32" s="40">
        <f>SUM('Combined Detail P and L'!H526)</f>
        <v>0</v>
      </c>
      <c r="G32" s="41">
        <f t="shared" si="0"/>
        <v>0</v>
      </c>
      <c r="I32" s="40">
        <f>SUM('Combined Detail P and L'!K526)</f>
        <v>0</v>
      </c>
      <c r="J32" s="41">
        <f t="shared" si="3"/>
        <v>0</v>
      </c>
      <c r="L32" s="40">
        <f>SUM('Combined Detail P and L'!E526)</f>
        <v>0</v>
      </c>
      <c r="M32" s="41">
        <f t="shared" si="1"/>
        <v>0</v>
      </c>
    </row>
    <row r="33" spans="1:13" x14ac:dyDescent="0.25">
      <c r="A33" t="s">
        <v>637</v>
      </c>
      <c r="C33" s="40">
        <f>SUM('Combined Detail P and L'!N527)</f>
        <v>0</v>
      </c>
      <c r="D33" s="41">
        <f t="shared" si="2"/>
        <v>0</v>
      </c>
      <c r="F33" s="40">
        <f>SUM('Combined Detail P and L'!H527)</f>
        <v>0</v>
      </c>
      <c r="G33" s="41">
        <f t="shared" si="0"/>
        <v>0</v>
      </c>
      <c r="I33" s="40">
        <f>SUM('Combined Detail P and L'!K527)</f>
        <v>100</v>
      </c>
      <c r="J33" s="41">
        <f t="shared" si="3"/>
        <v>3.380359714556342E-5</v>
      </c>
      <c r="L33" s="40">
        <f>SUM('Combined Detail P and L'!E527)</f>
        <v>100</v>
      </c>
      <c r="M33" s="41">
        <f t="shared" si="1"/>
        <v>3.380359714556342E-5</v>
      </c>
    </row>
    <row r="34" spans="1:13" x14ac:dyDescent="0.25">
      <c r="A34" t="s">
        <v>1151</v>
      </c>
      <c r="C34" s="40">
        <f>SUM('Combined Detail P and L'!N528:N541)</f>
        <v>7681.0599999999995</v>
      </c>
      <c r="D34" s="41">
        <f t="shared" si="2"/>
        <v>3.4849391936398254E-3</v>
      </c>
      <c r="F34" s="40">
        <f>SUM('Combined Detail P and L'!H528:H541)</f>
        <v>7681.0599999999995</v>
      </c>
      <c r="G34" s="41">
        <f t="shared" si="0"/>
        <v>3.4849391936398254E-3</v>
      </c>
      <c r="I34" s="40">
        <f>SUM('Combined Detail P and L'!K528:K541)</f>
        <v>32534.41</v>
      </c>
      <c r="J34" s="41">
        <f t="shared" si="3"/>
        <v>1.0997800890085899E-2</v>
      </c>
      <c r="L34" s="40">
        <f>SUM('Combined Detail P and L'!E528:E541)</f>
        <v>32534.41</v>
      </c>
      <c r="M34" s="41">
        <f t="shared" si="1"/>
        <v>1.0997800890085899E-2</v>
      </c>
    </row>
    <row r="35" spans="1:13" x14ac:dyDescent="0.25">
      <c r="A35" t="s">
        <v>1152</v>
      </c>
      <c r="C35" s="40">
        <f>SUM('Combined Detail P and L'!N542:N555)</f>
        <v>9276.7000000000007</v>
      </c>
      <c r="D35" s="41">
        <f t="shared" si="2"/>
        <v>4.2088898430214803E-3</v>
      </c>
      <c r="F35" s="40">
        <f>SUM('Combined Detail P and L'!H542:H555)</f>
        <v>9276.7000000000007</v>
      </c>
      <c r="G35" s="41">
        <f t="shared" si="0"/>
        <v>4.2088898430214803E-3</v>
      </c>
      <c r="I35" s="40">
        <f>SUM('Combined Detail P and L'!K542:K555)</f>
        <v>8287.56</v>
      </c>
      <c r="J35" s="41">
        <f t="shared" si="3"/>
        <v>2.8014933955968556E-3</v>
      </c>
      <c r="L35" s="40">
        <f>SUM('Combined Detail P and L'!E542:E555)</f>
        <v>8287.56</v>
      </c>
      <c r="M35" s="41">
        <f t="shared" si="1"/>
        <v>2.8014933955968556E-3</v>
      </c>
    </row>
    <row r="36" spans="1:13" x14ac:dyDescent="0.25">
      <c r="A36" t="s">
        <v>1159</v>
      </c>
      <c r="C36" s="40">
        <f>SUM('Combined Detail P and L'!N556:N559)</f>
        <v>1900</v>
      </c>
      <c r="D36" s="41">
        <f t="shared" si="2"/>
        <v>8.6204045638436206E-4</v>
      </c>
      <c r="F36" s="40">
        <f>SUM('Combined Detail P and L'!H556:H559)</f>
        <v>1900</v>
      </c>
      <c r="G36" s="41">
        <f t="shared" si="0"/>
        <v>8.6204045638436206E-4</v>
      </c>
      <c r="I36" s="40">
        <f>SUM('Combined Detail P and L'!K556:K559)</f>
        <v>18504.53</v>
      </c>
      <c r="J36" s="41">
        <f t="shared" si="3"/>
        <v>6.255196774879926E-3</v>
      </c>
      <c r="L36" s="40">
        <f>SUM('Combined Detail P and L'!E556:E559)</f>
        <v>18504.53</v>
      </c>
      <c r="M36" s="41">
        <f t="shared" si="1"/>
        <v>6.255196774879926E-3</v>
      </c>
    </row>
    <row r="37" spans="1:13" x14ac:dyDescent="0.25">
      <c r="A37" t="s">
        <v>1160</v>
      </c>
      <c r="C37" s="40">
        <f>SUM('Combined Detail P and L'!N561)</f>
        <v>0</v>
      </c>
      <c r="D37" s="41">
        <f t="shared" si="2"/>
        <v>0</v>
      </c>
      <c r="F37" s="40">
        <f>SUM('Combined Detail P and L'!H561)</f>
        <v>0</v>
      </c>
      <c r="G37" s="41">
        <f t="shared" si="0"/>
        <v>0</v>
      </c>
      <c r="I37" s="40">
        <f>SUM('Combined Detail P and L'!K561)</f>
        <v>0</v>
      </c>
      <c r="J37" s="41">
        <f t="shared" si="3"/>
        <v>0</v>
      </c>
      <c r="L37" s="40">
        <f>SUM('Combined Detail P and L'!E561)</f>
        <v>0</v>
      </c>
      <c r="M37" s="41">
        <f t="shared" si="1"/>
        <v>0</v>
      </c>
    </row>
    <row r="38" spans="1:13" x14ac:dyDescent="0.25">
      <c r="A38" t="s">
        <v>1110</v>
      </c>
      <c r="C38" s="40">
        <f>SUM('Combined Detail P and L'!N562:N575)</f>
        <v>5319.4299999999994</v>
      </c>
      <c r="D38" s="41">
        <f t="shared" si="2"/>
        <v>2.4134546657392981E-3</v>
      </c>
      <c r="F38" s="40">
        <f>SUM('Combined Detail P and L'!H562:H575)</f>
        <v>5319.4299999999994</v>
      </c>
      <c r="G38" s="41">
        <f t="shared" si="0"/>
        <v>2.4134546657392981E-3</v>
      </c>
      <c r="I38" s="40">
        <f>SUM('Combined Detail P and L'!K562:K575)</f>
        <v>9639.9</v>
      </c>
      <c r="J38" s="41">
        <f t="shared" si="3"/>
        <v>3.2586329612351679E-3</v>
      </c>
      <c r="L38" s="40">
        <f>SUM('Combined Detail P and L'!E562:E575)</f>
        <v>9639.9</v>
      </c>
      <c r="M38" s="41">
        <f t="shared" si="1"/>
        <v>3.2586329612351679E-3</v>
      </c>
    </row>
    <row r="39" spans="1:13" x14ac:dyDescent="0.25">
      <c r="A39" t="s">
        <v>1134</v>
      </c>
      <c r="C39" s="40">
        <f>SUM('Combined Detail P and L'!N576)</f>
        <v>0</v>
      </c>
      <c r="D39" s="41">
        <f t="shared" si="2"/>
        <v>0</v>
      </c>
      <c r="F39" s="40">
        <f>SUM('Combined Detail P and L'!H576)</f>
        <v>0</v>
      </c>
      <c r="G39" s="41">
        <f t="shared" si="0"/>
        <v>0</v>
      </c>
      <c r="I39" s="40">
        <f>SUM('Combined Detail P and L'!K576)</f>
        <v>0</v>
      </c>
      <c r="J39" s="41">
        <f t="shared" si="3"/>
        <v>0</v>
      </c>
      <c r="L39" s="40">
        <f>SUM('Combined Detail P and L'!E576)</f>
        <v>0</v>
      </c>
      <c r="M39" s="41">
        <f t="shared" si="1"/>
        <v>0</v>
      </c>
    </row>
    <row r="40" spans="1:13" x14ac:dyDescent="0.25">
      <c r="A40" t="s">
        <v>1126</v>
      </c>
      <c r="C40" s="40">
        <f>SUM('Combined Detail P and L'!N577:N588)</f>
        <v>0</v>
      </c>
      <c r="D40" s="41">
        <f t="shared" si="2"/>
        <v>0</v>
      </c>
      <c r="F40" s="40">
        <f>SUM('Combined Detail P and L'!H577:H588)</f>
        <v>0</v>
      </c>
      <c r="G40" s="41">
        <f t="shared" si="0"/>
        <v>0</v>
      </c>
      <c r="I40" s="40">
        <f>SUM('Combined Detail P and L'!K577:K588)</f>
        <v>0</v>
      </c>
      <c r="J40" s="41">
        <f t="shared" si="3"/>
        <v>0</v>
      </c>
      <c r="L40" s="40">
        <f>SUM('Combined Detail P and L'!E577:E588)</f>
        <v>0</v>
      </c>
      <c r="M40" s="41">
        <f t="shared" si="1"/>
        <v>0</v>
      </c>
    </row>
    <row r="41" spans="1:13" x14ac:dyDescent="0.25">
      <c r="A41" t="s">
        <v>1161</v>
      </c>
      <c r="C41" s="40">
        <f>SUM('Combined Detail P and L'!N589:N593)</f>
        <v>1972.63</v>
      </c>
      <c r="D41" s="41">
        <f t="shared" si="2"/>
        <v>8.9499308709341274E-4</v>
      </c>
      <c r="F41" s="40">
        <f>SUM('Combined Detail P and L'!H589:H593)</f>
        <v>1972.63</v>
      </c>
      <c r="G41" s="41">
        <f t="shared" si="0"/>
        <v>8.9499308709341274E-4</v>
      </c>
      <c r="I41" s="40">
        <f>SUM('Combined Detail P and L'!K589:K593)</f>
        <v>2606.0899999999997</v>
      </c>
      <c r="J41" s="41">
        <f t="shared" si="3"/>
        <v>8.8095216485081361E-4</v>
      </c>
      <c r="L41" s="40">
        <f>SUM('Combined Detail P and L'!E589:E593)</f>
        <v>2606.0899999999997</v>
      </c>
      <c r="M41" s="41">
        <f t="shared" si="1"/>
        <v>8.8095216485081361E-4</v>
      </c>
    </row>
    <row r="42" spans="1:13" x14ac:dyDescent="0.25">
      <c r="A42" s="1" t="s">
        <v>710</v>
      </c>
      <c r="C42" s="40">
        <f>SUM('Combined Detail P and L'!N594:N595)</f>
        <v>25984.720000000001</v>
      </c>
      <c r="D42" s="41">
        <f t="shared" si="2"/>
        <v>1.1789410467273612E-2</v>
      </c>
      <c r="F42" s="40">
        <f>SUM('Combined Detail P and L'!H594:H595)</f>
        <v>25984.720000000001</v>
      </c>
      <c r="G42" s="41">
        <f t="shared" si="0"/>
        <v>1.1789410467273612E-2</v>
      </c>
      <c r="I42" s="40">
        <f>SUM('Combined Detail P and L'!K594:K595)</f>
        <v>23959.79</v>
      </c>
      <c r="J42" s="41">
        <f t="shared" si="3"/>
        <v>8.09927088852299E-3</v>
      </c>
      <c r="L42" s="40">
        <f>SUM('Combined Detail P and L'!E594:E595)</f>
        <v>23959.79</v>
      </c>
      <c r="M42" s="41">
        <f t="shared" si="1"/>
        <v>8.09927088852299E-3</v>
      </c>
    </row>
    <row r="43" spans="1:13" x14ac:dyDescent="0.25">
      <c r="A43" s="1" t="s">
        <v>712</v>
      </c>
      <c r="C43" s="40">
        <f>SUM('Combined Detail P and L'!N597:N598)</f>
        <v>12406.39</v>
      </c>
      <c r="D43" s="41">
        <f t="shared" si="2"/>
        <v>5.6288474198328345E-3</v>
      </c>
      <c r="F43" s="40">
        <f>SUM('Combined Detail P and L'!H597:H598)</f>
        <v>12406.39</v>
      </c>
      <c r="G43" s="41">
        <f t="shared" si="0"/>
        <v>5.6288474198328345E-3</v>
      </c>
      <c r="I43" s="40">
        <f>SUM('Combined Detail P and L'!K597:K598)</f>
        <v>15095.2</v>
      </c>
      <c r="J43" s="41">
        <f t="shared" si="3"/>
        <v>5.1027205963170893E-3</v>
      </c>
      <c r="L43" s="40">
        <f>SUM('Combined Detail P and L'!E597:E598)</f>
        <v>15095.2</v>
      </c>
      <c r="M43" s="41">
        <f t="shared" si="1"/>
        <v>5.1027205963170893E-3</v>
      </c>
    </row>
    <row r="44" spans="1:13" x14ac:dyDescent="0.25">
      <c r="A44" t="s">
        <v>715</v>
      </c>
      <c r="C44" s="40">
        <f>SUM('Combined Detail P and L'!N599)</f>
        <v>0</v>
      </c>
      <c r="D44" s="41">
        <f t="shared" si="2"/>
        <v>0</v>
      </c>
      <c r="F44" s="40">
        <f>SUM('Combined Detail P and L'!H599)</f>
        <v>0</v>
      </c>
      <c r="G44" s="41">
        <f t="shared" si="0"/>
        <v>0</v>
      </c>
      <c r="I44" s="40">
        <f>SUM('Combined Detail P and L'!K599)</f>
        <v>0</v>
      </c>
      <c r="J44" s="41">
        <f t="shared" si="3"/>
        <v>0</v>
      </c>
      <c r="L44" s="40">
        <f>SUM('Combined Detail P and L'!E599)</f>
        <v>0</v>
      </c>
      <c r="M44" s="41">
        <f t="shared" si="1"/>
        <v>0</v>
      </c>
    </row>
    <row r="45" spans="1:13" x14ac:dyDescent="0.25">
      <c r="A45" s="1" t="s">
        <v>719</v>
      </c>
      <c r="C45" s="40">
        <f>SUM('Combined Detail P and L'!N600:N600)</f>
        <v>0</v>
      </c>
      <c r="D45" s="41">
        <f t="shared" si="2"/>
        <v>0</v>
      </c>
      <c r="F45" s="40">
        <f>SUM('Combined Detail P and L'!H600:H600)</f>
        <v>0</v>
      </c>
      <c r="G45" s="41">
        <f t="shared" si="0"/>
        <v>0</v>
      </c>
      <c r="I45" s="40">
        <f>SUM('Combined Detail P and L'!K600:K600)</f>
        <v>0</v>
      </c>
      <c r="J45" s="41">
        <f t="shared" si="3"/>
        <v>0</v>
      </c>
      <c r="L45" s="40">
        <f>SUM('Combined Detail P and L'!E600:E600)</f>
        <v>0</v>
      </c>
      <c r="M45" s="41">
        <f t="shared" si="1"/>
        <v>0</v>
      </c>
    </row>
    <row r="46" spans="1:13" x14ac:dyDescent="0.25">
      <c r="A46" t="s">
        <v>1162</v>
      </c>
      <c r="C46" s="40">
        <f>SUM('Combined Detail P and L'!N602)</f>
        <v>162.76</v>
      </c>
      <c r="D46" s="41">
        <f t="shared" si="2"/>
        <v>7.3845107726904608E-5</v>
      </c>
      <c r="F46" s="40">
        <f>SUM('Combined Detail P and L'!H602)</f>
        <v>162.76</v>
      </c>
      <c r="G46" s="41">
        <f t="shared" si="0"/>
        <v>7.3845107726904608E-5</v>
      </c>
      <c r="I46" s="40">
        <f>SUM('Combined Detail P and L'!K602)</f>
        <v>162.78</v>
      </c>
      <c r="J46" s="41">
        <f t="shared" si="3"/>
        <v>5.5025495433548132E-5</v>
      </c>
      <c r="L46" s="40">
        <f>SUM('Combined Detail P and L'!E602)</f>
        <v>162.78</v>
      </c>
      <c r="M46" s="41">
        <f t="shared" si="1"/>
        <v>5.5025495433548132E-5</v>
      </c>
    </row>
    <row r="47" spans="1:13" x14ac:dyDescent="0.25">
      <c r="A47" s="1" t="s">
        <v>1101</v>
      </c>
      <c r="C47" s="40">
        <f>SUM('Combined Detail P and L'!N603:N603)</f>
        <v>0</v>
      </c>
      <c r="D47" s="41">
        <f t="shared" si="2"/>
        <v>0</v>
      </c>
      <c r="F47" s="40">
        <f>SUM('Combined Detail P and L'!H603:H603)</f>
        <v>0</v>
      </c>
      <c r="G47" s="41">
        <f t="shared" si="0"/>
        <v>0</v>
      </c>
      <c r="I47" s="40">
        <f>SUM('Combined Detail P and L'!K603:K603)</f>
        <v>0</v>
      </c>
      <c r="J47" s="41">
        <f t="shared" si="3"/>
        <v>0</v>
      </c>
      <c r="L47" s="40">
        <f>SUM('Combined Detail P and L'!E603:E603)</f>
        <v>0</v>
      </c>
      <c r="M47" s="41">
        <f t="shared" si="1"/>
        <v>0</v>
      </c>
    </row>
    <row r="48" spans="1:13" x14ac:dyDescent="0.25">
      <c r="A48" s="67" t="s">
        <v>1537</v>
      </c>
      <c r="C48" s="40">
        <f>SUM('Combined Detail P and L'!N601)</f>
        <v>0</v>
      </c>
      <c r="D48" s="41">
        <f t="shared" ref="D48" si="8">C48/C$7</f>
        <v>0</v>
      </c>
      <c r="F48" s="40">
        <f>SUM('Combined Detail P and L'!H601)</f>
        <v>0</v>
      </c>
      <c r="G48" s="41">
        <f t="shared" ref="G48" si="9">F48/F$7</f>
        <v>0</v>
      </c>
      <c r="I48" s="40">
        <f>SUM('Combined Detail P and L'!K601)</f>
        <v>0</v>
      </c>
      <c r="J48" s="41">
        <f t="shared" ref="J48" si="10">IF(I48,I48/I$7,0)</f>
        <v>0</v>
      </c>
      <c r="L48" s="40">
        <f>SUM('Combined Detail P and L'!E601)</f>
        <v>0</v>
      </c>
      <c r="M48" s="41">
        <f t="shared" ref="M48" si="11">IF(L48,L48/L$7,0)</f>
        <v>0</v>
      </c>
    </row>
    <row r="49" spans="1:13" x14ac:dyDescent="0.25">
      <c r="A49" t="s">
        <v>1163</v>
      </c>
      <c r="C49" s="40">
        <f>SUM('Combined Detail P and L'!N604:N617)</f>
        <v>-22227.72</v>
      </c>
      <c r="D49" s="41">
        <f t="shared" si="2"/>
        <v>-1.0084838891149375E-2</v>
      </c>
      <c r="F49" s="40">
        <f>SUM('Combined Detail P and L'!H604:H617)</f>
        <v>-22227.72</v>
      </c>
      <c r="G49" s="41">
        <f t="shared" si="0"/>
        <v>-1.0084838891149375E-2</v>
      </c>
      <c r="I49" s="40">
        <f>SUM('Combined Detail P and L'!K604:K617)</f>
        <v>0</v>
      </c>
      <c r="J49" s="41">
        <f t="shared" si="3"/>
        <v>0</v>
      </c>
      <c r="L49" s="40">
        <f>SUM('Combined Detail P and L'!E604:E617)</f>
        <v>0</v>
      </c>
      <c r="M49" s="41">
        <f t="shared" si="1"/>
        <v>0</v>
      </c>
    </row>
    <row r="50" spans="1:13" x14ac:dyDescent="0.25">
      <c r="A50" t="s">
        <v>1164</v>
      </c>
      <c r="C50" s="40">
        <f>SUM('Combined Detail P and L'!N618:N620)</f>
        <v>18342</v>
      </c>
      <c r="D50" s="41">
        <f t="shared" si="2"/>
        <v>8.3218663426326157E-3</v>
      </c>
      <c r="F50" s="40">
        <f>SUM('Combined Detail P and L'!H618:H620)</f>
        <v>18342</v>
      </c>
      <c r="G50" s="41">
        <f t="shared" si="0"/>
        <v>8.3218663426326157E-3</v>
      </c>
      <c r="I50" s="40">
        <f>SUM('Combined Detail P and L'!K618:K620)</f>
        <v>84665.58</v>
      </c>
      <c r="J50" s="41">
        <f t="shared" si="3"/>
        <v>2.8620011584154711E-2</v>
      </c>
      <c r="L50" s="40">
        <f>SUM('Combined Detail P and L'!E618:E620)</f>
        <v>84665.58</v>
      </c>
      <c r="M50" s="41">
        <f t="shared" si="1"/>
        <v>2.8620011584154711E-2</v>
      </c>
    </row>
    <row r="51" spans="1:13" ht="15.75" thickBot="1" x14ac:dyDescent="0.3">
      <c r="A51" t="s">
        <v>1096</v>
      </c>
      <c r="C51" s="40">
        <f>SUM('Combined Detail P and L'!N621:N622)</f>
        <v>1203.29</v>
      </c>
      <c r="D51" s="41">
        <f t="shared" si="2"/>
        <v>5.4593929513828366E-4</v>
      </c>
      <c r="F51" s="40">
        <f>SUM('Combined Detail P and L'!H621:H622)</f>
        <v>1203.29</v>
      </c>
      <c r="G51" s="41">
        <f t="shared" si="0"/>
        <v>5.4593929513828366E-4</v>
      </c>
      <c r="I51" s="40">
        <f>SUM('Combined Detail P and L'!K621:K622)</f>
        <v>1531.13</v>
      </c>
      <c r="J51" s="41">
        <f t="shared" si="3"/>
        <v>5.1757701697486517E-4</v>
      </c>
      <c r="L51" s="40">
        <f>SUM('Combined Detail P and L'!E621:E622)</f>
        <v>1531.13</v>
      </c>
      <c r="M51" s="41">
        <f t="shared" si="1"/>
        <v>5.1757701697486517E-4</v>
      </c>
    </row>
    <row r="52" spans="1:13" ht="15.75" thickTop="1" x14ac:dyDescent="0.25">
      <c r="A52" s="43" t="s">
        <v>1003</v>
      </c>
      <c r="C52" s="96">
        <f>SUM(C10:C51)</f>
        <v>442502.26000000007</v>
      </c>
      <c r="D52" s="97">
        <f t="shared" si="2"/>
        <v>0.20076571061132195</v>
      </c>
      <c r="F52" s="96">
        <f>SUM(F10:F51)</f>
        <v>442502.26000000007</v>
      </c>
      <c r="G52" s="97">
        <f t="shared" si="0"/>
        <v>0.20076571061132195</v>
      </c>
      <c r="I52" s="96">
        <f>SUM(I10:I51)</f>
        <v>560076.32388482627</v>
      </c>
      <c r="J52" s="97">
        <f t="shared" si="3"/>
        <v>0.18932594423370766</v>
      </c>
      <c r="L52" s="96">
        <f>SUM(L10:L51)</f>
        <v>551513.88000000012</v>
      </c>
      <c r="M52" s="97">
        <f t="shared" si="1"/>
        <v>0.1864315301970661</v>
      </c>
    </row>
    <row r="56" spans="1:13" x14ac:dyDescent="0.25">
      <c r="C56" s="40">
        <f>'Combined Detail P and L'!N639-'Consolidated Expense Statement'!C52</f>
        <v>0</v>
      </c>
    </row>
  </sheetData>
  <mergeCells count="3">
    <mergeCell ref="A1:M1"/>
    <mergeCell ref="A2:M2"/>
    <mergeCell ref="A3:M3"/>
  </mergeCells>
  <pageMargins left="0.7" right="0.7" top="0.75" bottom="0.75" header="0.3" footer="0.3"/>
  <pageSetup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B7B9-AD0F-4D87-AD9C-576BE7FD4E01}">
  <dimension ref="A1:O47"/>
  <sheetViews>
    <sheetView topLeftCell="A23" zoomScaleNormal="100" workbookViewId="0">
      <selection activeCell="E47" sqref="E47"/>
    </sheetView>
  </sheetViews>
  <sheetFormatPr defaultRowHeight="15" x14ac:dyDescent="0.25"/>
  <cols>
    <col min="1" max="1" width="0.42578125" customWidth="1"/>
    <col min="2" max="2" width="2.140625" hidden="1" customWidth="1"/>
    <col min="3" max="3" width="27.42578125" customWidth="1"/>
    <col min="4" max="4" width="1.85546875" customWidth="1"/>
    <col min="5" max="5" width="18.28515625" customWidth="1"/>
    <col min="7" max="7" width="1.42578125" customWidth="1"/>
    <col min="8" max="8" width="18.140625" customWidth="1"/>
    <col min="10" max="10" width="1.85546875" customWidth="1"/>
    <col min="11" max="11" width="18.28515625" customWidth="1"/>
    <col min="13" max="13" width="1.85546875" customWidth="1"/>
    <col min="14" max="14" width="18.28515625" customWidth="1"/>
  </cols>
  <sheetData>
    <row r="1" spans="1:15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1178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6"/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7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5" x14ac:dyDescent="0.25">
      <c r="C7" t="s">
        <v>1329</v>
      </c>
      <c r="E7" s="40">
        <f>'C H Steel Solutions'!E14</f>
        <v>27086.31</v>
      </c>
      <c r="F7" s="41">
        <f>IF(E$16,E7/E$16,0)</f>
        <v>1.326027235022674E-2</v>
      </c>
      <c r="H7" s="40">
        <f>'C H Steel Solutions'!H14</f>
        <v>27086.31</v>
      </c>
      <c r="I7" s="41">
        <f>IF(H$16,H7/H$16,0)</f>
        <v>1.326027235022674E-2</v>
      </c>
      <c r="K7" s="40">
        <f>'C H Steel Solutions'!K14</f>
        <v>1041443.79</v>
      </c>
      <c r="L7" s="41">
        <f>IF(K$16,K7/K$16,0)</f>
        <v>0.36806630617712427</v>
      </c>
      <c r="N7" s="40">
        <f>'C H Steel Solutions'!N14</f>
        <v>1041443.79</v>
      </c>
      <c r="O7" s="41">
        <f>IF(N$16,N7/N$16,0)</f>
        <v>0.36806630617712427</v>
      </c>
    </row>
    <row r="8" spans="1:15" x14ac:dyDescent="0.25">
      <c r="C8" t="s">
        <v>1492</v>
      </c>
      <c r="E8" s="40">
        <f>'Dynamic Storage Solutions'!E13</f>
        <v>120425.57</v>
      </c>
      <c r="F8" s="41">
        <f>IF(E$16,E8/E$16,0)</f>
        <v>5.8955090454598458E-2</v>
      </c>
      <c r="H8" s="40">
        <f>'Dynamic Storage Solutions'!H13</f>
        <v>120425.57</v>
      </c>
      <c r="I8" s="41">
        <f>IF(H$16,H8/H$16,0)</f>
        <v>5.8955090454598458E-2</v>
      </c>
      <c r="K8" s="40">
        <f>'Dynamic Storage Solutions'!K13</f>
        <v>279057.17</v>
      </c>
      <c r="L8" s="41">
        <f>IF(K$16,K8/K$16,0)</f>
        <v>9.8624181890932208E-2</v>
      </c>
      <c r="N8" s="40">
        <f>'Dynamic Storage Solutions'!N13</f>
        <v>279057.17</v>
      </c>
      <c r="O8" s="41">
        <f>IF(N$16,N8/N$16,0)</f>
        <v>9.8624181890932208E-2</v>
      </c>
    </row>
    <row r="9" spans="1:15" x14ac:dyDescent="0.25">
      <c r="C9" t="s">
        <v>1328</v>
      </c>
      <c r="E9" s="40">
        <f>'AMI Sales Department'!E10</f>
        <v>457719.63</v>
      </c>
      <c r="F9" s="41">
        <f t="shared" ref="F9:F16" si="0">IF(E$16,E9/E$16,0)</f>
        <v>0.22407950561907522</v>
      </c>
      <c r="H9" s="40">
        <f>'AMI Sales Department'!H10</f>
        <v>457719.63</v>
      </c>
      <c r="I9" s="41">
        <f t="shared" ref="I9:I16" si="1">IF(H$16,H9/H$16,0)</f>
        <v>0.22407950561907522</v>
      </c>
      <c r="K9" s="40">
        <f>'AMI Sales Department'!K10</f>
        <v>356640.7</v>
      </c>
      <c r="L9" s="41">
        <f t="shared" ref="L9:L16" si="2">IF(K$16,K9/K$16,0)</f>
        <v>0.12604369658915909</v>
      </c>
      <c r="N9" s="40">
        <f>'AMI Sales Department'!N10</f>
        <v>356640.7</v>
      </c>
      <c r="O9" s="41">
        <f t="shared" ref="O9:O16" si="3">IF(N$16,N9/N$16,0)</f>
        <v>0.12604369658915909</v>
      </c>
    </row>
    <row r="10" spans="1:15" x14ac:dyDescent="0.25">
      <c r="C10" t="s">
        <v>1055</v>
      </c>
      <c r="E10" s="40">
        <f>'Canton Sales Department'!E14</f>
        <v>534513.17000000004</v>
      </c>
      <c r="F10" s="41">
        <f t="shared" si="0"/>
        <v>0.26167426308652025</v>
      </c>
      <c r="H10" s="40">
        <f>'Canton Sales Department'!H14</f>
        <v>534513.17000000004</v>
      </c>
      <c r="I10" s="41">
        <f t="shared" si="1"/>
        <v>0.26167426308652025</v>
      </c>
      <c r="K10" s="40">
        <f>'Canton Sales Department'!K14</f>
        <v>332165.25</v>
      </c>
      <c r="L10" s="41">
        <f t="shared" si="2"/>
        <v>0.11739360086625608</v>
      </c>
      <c r="N10" s="40">
        <f>'Canton Sales Department'!N14</f>
        <v>332165.25</v>
      </c>
      <c r="O10" s="41">
        <f t="shared" si="3"/>
        <v>0.11739360086625608</v>
      </c>
    </row>
    <row r="11" spans="1:15" x14ac:dyDescent="0.25">
      <c r="C11" t="s">
        <v>1165</v>
      </c>
      <c r="E11" s="40">
        <f>'Canton Parts Department'!E32</f>
        <v>356824.8</v>
      </c>
      <c r="F11" s="41">
        <f t="shared" si="0"/>
        <v>0.17468581099881031</v>
      </c>
      <c r="H11" s="40">
        <f>'Canton Parts Department'!H32</f>
        <v>356824.8</v>
      </c>
      <c r="I11" s="41">
        <f t="shared" si="1"/>
        <v>0.17468581099881031</v>
      </c>
      <c r="K11" s="40">
        <f>'Canton Parts Department'!K32</f>
        <v>359559.03</v>
      </c>
      <c r="L11" s="41">
        <f t="shared" si="2"/>
        <v>0.12707509065345698</v>
      </c>
      <c r="N11" s="40">
        <f>'Canton Parts Department'!N32</f>
        <v>359559.03</v>
      </c>
      <c r="O11" s="41">
        <f t="shared" si="3"/>
        <v>0.12707509065345698</v>
      </c>
    </row>
    <row r="12" spans="1:15" x14ac:dyDescent="0.25">
      <c r="C12" t="s">
        <v>1166</v>
      </c>
      <c r="E12" s="40">
        <f>'Canton Service Department'!G29</f>
        <v>262602.76999999996</v>
      </c>
      <c r="F12" s="41">
        <f t="shared" si="0"/>
        <v>0.12855882732361665</v>
      </c>
      <c r="H12" s="40">
        <f>'Canton Service Department'!J29</f>
        <v>262602.76999999996</v>
      </c>
      <c r="I12" s="41">
        <f t="shared" si="1"/>
        <v>0.12855882732361665</v>
      </c>
      <c r="K12" s="40">
        <f>'Canton Service Department'!M29</f>
        <v>195151.12</v>
      </c>
      <c r="L12" s="41">
        <f t="shared" si="2"/>
        <v>6.8970166776575345E-2</v>
      </c>
      <c r="N12" s="40">
        <f>'Canton Service Department'!P29</f>
        <v>195151.12</v>
      </c>
      <c r="O12" s="41">
        <f t="shared" si="3"/>
        <v>6.8970166776575345E-2</v>
      </c>
    </row>
    <row r="13" spans="1:15" x14ac:dyDescent="0.25">
      <c r="C13" t="s">
        <v>1167</v>
      </c>
      <c r="E13" s="40">
        <f>'Canton Rental Department'!E11</f>
        <v>254808.52</v>
      </c>
      <c r="F13" s="41">
        <f t="shared" si="0"/>
        <v>0.12474310352197095</v>
      </c>
      <c r="H13" s="40">
        <f>'Canton Rental Department'!H11</f>
        <v>254808.52</v>
      </c>
      <c r="I13" s="41">
        <f t="shared" si="1"/>
        <v>0.12474310352197095</v>
      </c>
      <c r="K13" s="40">
        <f>'Canton Rental Department'!K11</f>
        <v>248311.77000000002</v>
      </c>
      <c r="L13" s="41">
        <f t="shared" si="2"/>
        <v>8.7758165003032629E-2</v>
      </c>
      <c r="N13" s="40">
        <f>'Canton Rental Department'!N11</f>
        <v>248311.77000000002</v>
      </c>
      <c r="O13" s="41">
        <f t="shared" si="3"/>
        <v>8.7758165003032629E-2</v>
      </c>
    </row>
    <row r="14" spans="1:15" x14ac:dyDescent="0.25">
      <c r="C14" t="s">
        <v>1168</v>
      </c>
      <c r="E14" s="40">
        <f>'Canton Used Department'!E14</f>
        <v>28739.73</v>
      </c>
      <c r="F14" s="41">
        <f t="shared" si="0"/>
        <v>1.4069714445119395E-2</v>
      </c>
      <c r="H14" s="40">
        <f>'Canton Used Department'!H14</f>
        <v>28739.73</v>
      </c>
      <c r="I14" s="41">
        <f t="shared" si="1"/>
        <v>1.4069714445119395E-2</v>
      </c>
      <c r="K14" s="40">
        <f>'Canton Used Department'!K14</f>
        <v>0</v>
      </c>
      <c r="L14" s="41">
        <f t="shared" si="2"/>
        <v>0</v>
      </c>
      <c r="N14" s="40">
        <f>'Canton Used Department'!N14</f>
        <v>0</v>
      </c>
      <c r="O14" s="41">
        <f t="shared" si="3"/>
        <v>0</v>
      </c>
    </row>
    <row r="15" spans="1:15" x14ac:dyDescent="0.25">
      <c r="C15" t="s">
        <v>1022</v>
      </c>
      <c r="E15" s="40">
        <f>'Administration Department'!E12</f>
        <v>-54.31</v>
      </c>
      <c r="F15" s="41">
        <f t="shared" si="0"/>
        <v>-2.6587799938079947E-5</v>
      </c>
      <c r="H15" s="40">
        <f>'Administration Department'!H12</f>
        <v>-54.31</v>
      </c>
      <c r="I15" s="41">
        <f t="shared" si="1"/>
        <v>-2.6587799938079947E-5</v>
      </c>
      <c r="K15" s="40">
        <f>'Administration Department'!K12</f>
        <v>17171.649999999998</v>
      </c>
      <c r="L15" s="41">
        <f>IF(K$16,K15/K$16,0)</f>
        <v>6.0687920434634446E-3</v>
      </c>
      <c r="N15" s="40">
        <f>'Administration Department'!N12</f>
        <v>17171.649999999998</v>
      </c>
      <c r="O15" s="41">
        <f>IF(N$16,N15/N$16,0)</f>
        <v>6.0687920434634446E-3</v>
      </c>
    </row>
    <row r="16" spans="1:15" x14ac:dyDescent="0.25">
      <c r="C16" s="43" t="s">
        <v>1038</v>
      </c>
      <c r="E16" s="74">
        <f>SUM(E7:E15)</f>
        <v>2042666.1900000002</v>
      </c>
      <c r="F16" s="86">
        <f t="shared" si="0"/>
        <v>1</v>
      </c>
      <c r="H16" s="74">
        <f>SUM(H7:H15)</f>
        <v>2042666.1900000002</v>
      </c>
      <c r="I16" s="86">
        <f t="shared" si="1"/>
        <v>1</v>
      </c>
      <c r="K16" s="74">
        <f>SUM(K7:K15)</f>
        <v>2829500.48</v>
      </c>
      <c r="L16" s="86">
        <f t="shared" si="2"/>
        <v>1</v>
      </c>
      <c r="N16" s="74">
        <f>SUM(N7:N15)</f>
        <v>2829500.48</v>
      </c>
      <c r="O16" s="86">
        <f t="shared" si="3"/>
        <v>1</v>
      </c>
    </row>
    <row r="18" spans="3:15" x14ac:dyDescent="0.25">
      <c r="C18" s="37" t="s">
        <v>1002</v>
      </c>
    </row>
    <row r="19" spans="3:15" x14ac:dyDescent="0.25">
      <c r="C19" t="s">
        <v>1329</v>
      </c>
      <c r="E19" s="40">
        <f>'C H Steel Solutions'!E27</f>
        <v>21686.31</v>
      </c>
      <c r="F19" s="41">
        <f t="shared" ref="F19:F29" si="4">IF(E$16,E19/E$16,0)</f>
        <v>1.0616668600169075E-2</v>
      </c>
      <c r="H19" s="40">
        <f>'C H Steel Solutions'!H27</f>
        <v>21686.31</v>
      </c>
      <c r="I19" s="41">
        <f t="shared" ref="I19:I27" si="5">IF(H$16,H19/H$16,0)</f>
        <v>1.0616668600169075E-2</v>
      </c>
      <c r="K19" s="40">
        <f>'C H Steel Solutions'!K27</f>
        <v>873769.09000000008</v>
      </c>
      <c r="L19" s="41">
        <f t="shared" ref="L19:L27" si="6">IF(K$16,K19/K$16,0)</f>
        <v>0.30880683575639473</v>
      </c>
      <c r="N19" s="40">
        <f>'C H Steel Solutions'!N27</f>
        <v>873769.09000000008</v>
      </c>
      <c r="O19" s="41">
        <f t="shared" ref="O19:O27" si="7">IF(N$16,N19/N$16,0)</f>
        <v>0.30880683575639473</v>
      </c>
    </row>
    <row r="20" spans="3:15" x14ac:dyDescent="0.25">
      <c r="C20" t="s">
        <v>1492</v>
      </c>
      <c r="E20" s="40">
        <f>'Dynamic Storage Solutions'!E26</f>
        <v>107914.79999999999</v>
      </c>
      <c r="F20" s="41">
        <f>IF(E$16,E20/E$16,0)</f>
        <v>5.2830364808652351E-2</v>
      </c>
      <c r="H20" s="40">
        <f>'Dynamic Storage Solutions'!H26</f>
        <v>107914.79999999999</v>
      </c>
      <c r="I20" s="41">
        <f>IF(H$16,H20/H$16,0)</f>
        <v>5.2830364808652351E-2</v>
      </c>
      <c r="K20" s="40">
        <f>'Dynamic Storage Solutions'!K26</f>
        <v>204313.07</v>
      </c>
      <c r="L20" s="41">
        <f>IF(K$16,K20/K$16,0)</f>
        <v>7.2208176476435876E-2</v>
      </c>
      <c r="N20" s="40">
        <f>'Dynamic Storage Solutions'!N26</f>
        <v>204313.07</v>
      </c>
      <c r="O20" s="41">
        <f>IF(N$16,N20/N$16,0)</f>
        <v>7.2208176476435876E-2</v>
      </c>
    </row>
    <row r="21" spans="3:15" x14ac:dyDescent="0.25">
      <c r="C21" t="s">
        <v>1328</v>
      </c>
      <c r="E21" s="40">
        <f>'AMI Sales Department'!E23</f>
        <v>185106.95</v>
      </c>
      <c r="F21" s="41">
        <f t="shared" si="4"/>
        <v>9.0620264292914157E-2</v>
      </c>
      <c r="H21" s="40">
        <f>'AMI Sales Department'!H23</f>
        <v>185106.95</v>
      </c>
      <c r="I21" s="41">
        <f t="shared" si="5"/>
        <v>9.0620264292914157E-2</v>
      </c>
      <c r="K21" s="40">
        <f>'AMI Sales Department'!K23</f>
        <v>229722.49</v>
      </c>
      <c r="L21" s="41">
        <f t="shared" si="6"/>
        <v>8.1188355196886192E-2</v>
      </c>
      <c r="N21" s="40">
        <f>'AMI Sales Department'!N23</f>
        <v>229722.49</v>
      </c>
      <c r="O21" s="41">
        <f t="shared" si="7"/>
        <v>8.1188355196886192E-2</v>
      </c>
    </row>
    <row r="22" spans="3:15" x14ac:dyDescent="0.25">
      <c r="C22" t="s">
        <v>1055</v>
      </c>
      <c r="E22" s="40">
        <f>'Canton Sales Department'!E29</f>
        <v>478571.83000000007</v>
      </c>
      <c r="F22" s="41">
        <f t="shared" si="4"/>
        <v>0.23428783045554791</v>
      </c>
      <c r="H22" s="40">
        <f>'Canton Sales Department'!H29</f>
        <v>478571.83000000007</v>
      </c>
      <c r="I22" s="41">
        <f t="shared" si="5"/>
        <v>0.23428783045554791</v>
      </c>
      <c r="K22" s="40">
        <f>'Canton Sales Department'!K29</f>
        <v>307893.49</v>
      </c>
      <c r="L22" s="41">
        <f t="shared" si="6"/>
        <v>0.10881549311488366</v>
      </c>
      <c r="N22" s="40">
        <f>'Canton Sales Department'!N29</f>
        <v>307893.49</v>
      </c>
      <c r="O22" s="41">
        <f t="shared" si="7"/>
        <v>0.10881549311488366</v>
      </c>
    </row>
    <row r="23" spans="3:15" x14ac:dyDescent="0.25">
      <c r="C23" t="s">
        <v>1165</v>
      </c>
      <c r="E23" s="40">
        <f>'Canton Parts Department'!E55</f>
        <v>227645.63999999996</v>
      </c>
      <c r="F23" s="41">
        <f t="shared" si="4"/>
        <v>0.11144534584968087</v>
      </c>
      <c r="H23" s="40">
        <f>'Canton Parts Department'!H55</f>
        <v>227645.63999999996</v>
      </c>
      <c r="I23" s="41">
        <f t="shared" si="5"/>
        <v>0.11144534584968087</v>
      </c>
      <c r="K23" s="40">
        <f>'Canton Parts Department'!K55</f>
        <v>238562.87</v>
      </c>
      <c r="L23" s="41">
        <f t="shared" si="6"/>
        <v>8.4312715861422999E-2</v>
      </c>
      <c r="N23" s="40">
        <f>'Canton Parts Department'!N55</f>
        <v>238562.87</v>
      </c>
      <c r="O23" s="41">
        <f t="shared" si="7"/>
        <v>8.4312715861422999E-2</v>
      </c>
    </row>
    <row r="24" spans="3:15" x14ac:dyDescent="0.25">
      <c r="C24" t="s">
        <v>1166</v>
      </c>
      <c r="E24" s="40">
        <f>'Canton Service Department'!G48</f>
        <v>75002.870000000024</v>
      </c>
      <c r="F24" s="41">
        <f t="shared" si="4"/>
        <v>3.6718123777238425E-2</v>
      </c>
      <c r="H24" s="40">
        <f>'Canton Service Department'!J48</f>
        <v>75002.870000000024</v>
      </c>
      <c r="I24" s="41">
        <f t="shared" si="5"/>
        <v>3.6718123777238425E-2</v>
      </c>
      <c r="K24" s="40">
        <f>'Canton Service Department'!M48</f>
        <v>173013.95</v>
      </c>
      <c r="L24" s="41">
        <f t="shared" si="6"/>
        <v>6.1146464269198501E-2</v>
      </c>
      <c r="N24" s="40">
        <f>'Canton Service Department'!P48</f>
        <v>173013.95</v>
      </c>
      <c r="O24" s="41">
        <f t="shared" si="7"/>
        <v>6.1146464269198501E-2</v>
      </c>
    </row>
    <row r="25" spans="3:15" x14ac:dyDescent="0.25">
      <c r="C25" t="s">
        <v>1167</v>
      </c>
      <c r="E25" s="40">
        <f>'Canton Rental Department'!E20</f>
        <v>82096.66</v>
      </c>
      <c r="F25" s="41">
        <f t="shared" si="4"/>
        <v>4.019093300800166E-2</v>
      </c>
      <c r="H25" s="40">
        <f>'Canton Rental Department'!H20</f>
        <v>82096.66</v>
      </c>
      <c r="I25" s="41">
        <f t="shared" si="5"/>
        <v>4.019093300800166E-2</v>
      </c>
      <c r="K25" s="40">
        <f>'Canton Rental Department'!K20</f>
        <v>65581.25</v>
      </c>
      <c r="L25" s="41">
        <f t="shared" si="6"/>
        <v>2.3177677637290946E-2</v>
      </c>
      <c r="N25" s="40">
        <f>'Canton Rental Department'!N20</f>
        <v>65581.25</v>
      </c>
      <c r="O25" s="41">
        <f t="shared" si="7"/>
        <v>2.3177677637290946E-2</v>
      </c>
    </row>
    <row r="26" spans="3:15" x14ac:dyDescent="0.25">
      <c r="C26" t="s">
        <v>1168</v>
      </c>
      <c r="E26" s="40">
        <f>'Canton Used Department'!E27</f>
        <v>32449.449999999997</v>
      </c>
      <c r="F26" s="41">
        <f t="shared" si="4"/>
        <v>1.5885831056909008E-2</v>
      </c>
      <c r="H26" s="40">
        <f>'Canton Used Department'!H27</f>
        <v>32449.449999999997</v>
      </c>
      <c r="I26" s="41">
        <f t="shared" si="5"/>
        <v>1.5885831056909008E-2</v>
      </c>
      <c r="K26" s="40">
        <f>'Canton Used Department'!K27</f>
        <v>3418.2</v>
      </c>
      <c r="L26" s="41">
        <f t="shared" si="6"/>
        <v>1.2080577558339909E-3</v>
      </c>
      <c r="N26" s="40">
        <f>'Canton Used Department'!N27</f>
        <v>3418.2</v>
      </c>
      <c r="O26" s="41">
        <f t="shared" si="7"/>
        <v>1.2080577558339909E-3</v>
      </c>
    </row>
    <row r="27" spans="3:15" x14ac:dyDescent="0.25">
      <c r="C27" s="43" t="s">
        <v>1033</v>
      </c>
      <c r="E27" s="74">
        <f>SUM(E19:E26)</f>
        <v>1210474.51</v>
      </c>
      <c r="F27" s="86">
        <f t="shared" si="4"/>
        <v>0.59259536184911343</v>
      </c>
      <c r="H27" s="74">
        <f>SUM(H19:H26)</f>
        <v>1210474.51</v>
      </c>
      <c r="I27" s="86">
        <f t="shared" si="5"/>
        <v>0.59259536184911343</v>
      </c>
      <c r="K27" s="74">
        <f>SUM(K19:K26)</f>
        <v>2096274.4100000001</v>
      </c>
      <c r="L27" s="86">
        <f t="shared" si="6"/>
        <v>0.74086377606834697</v>
      </c>
      <c r="N27" s="74">
        <f>SUM(N19:N26)</f>
        <v>2096274.4100000001</v>
      </c>
      <c r="O27" s="86">
        <f t="shared" si="7"/>
        <v>0.74086377606834697</v>
      </c>
    </row>
    <row r="29" spans="3:15" x14ac:dyDescent="0.25">
      <c r="C29" s="43" t="s">
        <v>1034</v>
      </c>
      <c r="E29" s="40">
        <f>E16-E27</f>
        <v>832191.68000000017</v>
      </c>
      <c r="F29" s="41">
        <f t="shared" si="4"/>
        <v>0.40740463815088657</v>
      </c>
      <c r="H29" s="40">
        <f>H16-H27</f>
        <v>832191.68000000017</v>
      </c>
      <c r="I29" s="41">
        <f t="shared" ref="I29" si="8">IF(H$16,H29/H$16,0)</f>
        <v>0.40740463815088657</v>
      </c>
      <c r="K29" s="40">
        <f>K16-K27</f>
        <v>733226.06999999983</v>
      </c>
      <c r="L29" s="41">
        <f t="shared" ref="L29" si="9">IF(K$16,K29/K$16,0)</f>
        <v>0.25913622393165309</v>
      </c>
      <c r="N29" s="40">
        <f>N16-N27</f>
        <v>733226.06999999983</v>
      </c>
      <c r="O29" s="41">
        <f t="shared" ref="O29" si="10">IF(N$16,N29/N$16,0)</f>
        <v>0.25913622393165309</v>
      </c>
    </row>
    <row r="31" spans="3:15" x14ac:dyDescent="0.25">
      <c r="C31" s="64" t="s">
        <v>1006</v>
      </c>
    </row>
    <row r="32" spans="3:15" x14ac:dyDescent="0.25">
      <c r="C32" t="s">
        <v>1329</v>
      </c>
      <c r="E32" s="40">
        <f>'C H Steel Solutions'!E57</f>
        <v>31211.040000000001</v>
      </c>
      <c r="F32" s="41">
        <f t="shared" ref="F32:F44" si="11">IF(E$16,E32/E$16,0)</f>
        <v>1.5279559701333285E-2</v>
      </c>
      <c r="H32" s="40">
        <f>'C H Steel Solutions'!H57</f>
        <v>31211.040000000001</v>
      </c>
      <c r="I32" s="41">
        <f t="shared" ref="I32:I40" si="12">IF(H$16,H32/H$16,0)</f>
        <v>1.5279559701333285E-2</v>
      </c>
      <c r="K32" s="40">
        <f>'C H Steel Solutions'!K57</f>
        <v>138346.70000000001</v>
      </c>
      <c r="L32" s="41">
        <f t="shared" ref="L32:L40" si="13">IF(K$16,K32/K$16,0)</f>
        <v>4.8894390009080337E-2</v>
      </c>
      <c r="N32" s="40">
        <f>'C H Steel Solutions'!N57</f>
        <v>138346.70000000001</v>
      </c>
      <c r="O32" s="41">
        <f t="shared" ref="O32:O40" si="14">IF(N$16,N32/N$16,0)</f>
        <v>4.8894390009080337E-2</v>
      </c>
    </row>
    <row r="33" spans="3:15" x14ac:dyDescent="0.25">
      <c r="C33" t="s">
        <v>1492</v>
      </c>
      <c r="E33" s="40">
        <f>'Dynamic Storage Solutions'!E56</f>
        <v>14642.779999999999</v>
      </c>
      <c r="F33" s="41">
        <f>IF(E$16,E33/E$16,0)</f>
        <v>7.1684644665313607E-3</v>
      </c>
      <c r="H33" s="40">
        <f>'Dynamic Storage Solutions'!H56</f>
        <v>14642.779999999999</v>
      </c>
      <c r="I33" s="41">
        <f>IF(H$16,H33/H$16,0)</f>
        <v>7.1684644665313607E-3</v>
      </c>
      <c r="K33" s="40">
        <f>'Dynamic Storage Solutions'!K56</f>
        <v>9594.7700000000023</v>
      </c>
      <c r="L33" s="41">
        <f>IF(K$16,K33/K$16,0)</f>
        <v>3.3909766292034705E-3</v>
      </c>
      <c r="N33" s="40">
        <f>'Dynamic Storage Solutions'!N56</f>
        <v>9594.7700000000023</v>
      </c>
      <c r="O33" s="41">
        <f>IF(N$16,N33/N$16,0)</f>
        <v>3.3909766292034705E-3</v>
      </c>
    </row>
    <row r="34" spans="3:15" x14ac:dyDescent="0.25">
      <c r="C34" t="s">
        <v>1328</v>
      </c>
      <c r="E34" s="40">
        <f>'AMI Sales Department'!E49</f>
        <v>24384.32</v>
      </c>
      <c r="F34" s="41">
        <f t="shared" si="11"/>
        <v>1.1937496258260386E-2</v>
      </c>
      <c r="H34" s="40">
        <f>'AMI Sales Department'!H49</f>
        <v>24384.32</v>
      </c>
      <c r="I34" s="41">
        <f t="shared" si="12"/>
        <v>1.1937496258260386E-2</v>
      </c>
      <c r="K34" s="40">
        <f>'AMI Sales Department'!K49</f>
        <v>24953.32</v>
      </c>
      <c r="L34" s="41">
        <f t="shared" si="13"/>
        <v>8.8189841904532922E-3</v>
      </c>
      <c r="N34" s="40">
        <f>'AMI Sales Department'!N49</f>
        <v>-24953.32</v>
      </c>
      <c r="O34" s="41">
        <f t="shared" si="14"/>
        <v>-8.8189841904532922E-3</v>
      </c>
    </row>
    <row r="35" spans="3:15" x14ac:dyDescent="0.25">
      <c r="C35" t="s">
        <v>1055</v>
      </c>
      <c r="E35" s="40">
        <f>'Canton Sales Department'!E56</f>
        <v>71330.27</v>
      </c>
      <c r="F35" s="41">
        <f t="shared" si="11"/>
        <v>3.4920179493449194E-2</v>
      </c>
      <c r="H35" s="40">
        <f>'Canton Sales Department'!H56</f>
        <v>71330.27</v>
      </c>
      <c r="I35" s="41">
        <f t="shared" si="12"/>
        <v>3.4920179493449194E-2</v>
      </c>
      <c r="K35" s="40">
        <f>'Canton Sales Department'!K56</f>
        <v>91058.91</v>
      </c>
      <c r="L35" s="41">
        <f t="shared" si="13"/>
        <v>3.2181973688868222E-2</v>
      </c>
      <c r="N35" s="40">
        <f>'Canton Sales Department'!N56</f>
        <v>91058.91</v>
      </c>
      <c r="O35" s="41">
        <f t="shared" si="14"/>
        <v>3.2181973688868222E-2</v>
      </c>
    </row>
    <row r="36" spans="3:15" x14ac:dyDescent="0.25">
      <c r="C36" t="s">
        <v>1165</v>
      </c>
      <c r="E36" s="40">
        <f>'Canton Parts Department'!E80</f>
        <v>52798.530000000006</v>
      </c>
      <c r="F36" s="41">
        <f t="shared" si="11"/>
        <v>2.5847850352876307E-2</v>
      </c>
      <c r="H36" s="40">
        <f>'Canton Parts Department'!H80</f>
        <v>52798.530000000006</v>
      </c>
      <c r="I36" s="41">
        <f t="shared" si="12"/>
        <v>2.5847850352876307E-2</v>
      </c>
      <c r="K36" s="40">
        <f>'Canton Parts Department'!K80</f>
        <v>47104.210000000006</v>
      </c>
      <c r="L36" s="41">
        <f t="shared" si="13"/>
        <v>1.6647535610243121E-2</v>
      </c>
      <c r="N36" s="40">
        <f>'Canton Parts Department'!N80</f>
        <v>47104.210000000006</v>
      </c>
      <c r="O36" s="41">
        <f t="shared" si="14"/>
        <v>1.6647535610243121E-2</v>
      </c>
    </row>
    <row r="37" spans="3:15" x14ac:dyDescent="0.25">
      <c r="C37" t="s">
        <v>1166</v>
      </c>
      <c r="E37" s="40">
        <f>'Canton Service Department'!G76</f>
        <v>118327.92999999996</v>
      </c>
      <c r="F37" s="41">
        <f t="shared" si="11"/>
        <v>5.7928177682326033E-2</v>
      </c>
      <c r="H37" s="40">
        <f>'Canton Service Department'!J76</f>
        <v>118327.92999999996</v>
      </c>
      <c r="I37" s="41">
        <f t="shared" si="12"/>
        <v>5.7928177682326033E-2</v>
      </c>
      <c r="K37" s="40">
        <f>'Canton Service Department'!M76</f>
        <v>129197.15000000002</v>
      </c>
      <c r="L37" s="41">
        <f t="shared" si="13"/>
        <v>4.566076270819365E-2</v>
      </c>
      <c r="N37" s="40">
        <f>'Canton Service Department'!P76</f>
        <v>129197.15000000002</v>
      </c>
      <c r="O37" s="41">
        <f t="shared" si="14"/>
        <v>4.566076270819365E-2</v>
      </c>
    </row>
    <row r="38" spans="3:15" x14ac:dyDescent="0.25">
      <c r="C38" t="s">
        <v>1167</v>
      </c>
      <c r="E38" s="40">
        <f>'Canton Rental Department'!E35</f>
        <v>7639.73</v>
      </c>
      <c r="F38" s="41">
        <f t="shared" si="11"/>
        <v>3.7400775698940799E-3</v>
      </c>
      <c r="H38" s="40">
        <f>'Canton Rental Department'!H35</f>
        <v>7639.73</v>
      </c>
      <c r="I38" s="41">
        <f t="shared" si="12"/>
        <v>3.7400775698940799E-3</v>
      </c>
      <c r="K38" s="40">
        <f>'Canton Rental Department'!K35</f>
        <v>3630.02</v>
      </c>
      <c r="L38" s="41">
        <f t="shared" si="13"/>
        <v>1.2829190260466045E-3</v>
      </c>
      <c r="N38" s="40">
        <f>'Canton Rental Department'!N35</f>
        <v>3630.02</v>
      </c>
      <c r="O38" s="41">
        <f t="shared" si="14"/>
        <v>1.2829190260466045E-3</v>
      </c>
    </row>
    <row r="39" spans="3:15" x14ac:dyDescent="0.25">
      <c r="C39" t="s">
        <v>1168</v>
      </c>
      <c r="E39" s="40">
        <f>'Canton Used Department'!E45</f>
        <v>3001.11</v>
      </c>
      <c r="F39" s="41">
        <f t="shared" si="11"/>
        <v>1.4692121574695471E-3</v>
      </c>
      <c r="H39" s="40">
        <f>'Canton Used Department'!H45</f>
        <v>3001.11</v>
      </c>
      <c r="I39" s="41">
        <f t="shared" si="12"/>
        <v>1.4692121574695471E-3</v>
      </c>
      <c r="K39" s="40">
        <f>'Canton Used Department'!K45</f>
        <v>-11606.289999999999</v>
      </c>
      <c r="L39" s="41">
        <f t="shared" si="13"/>
        <v>-4.1018865633837952E-3</v>
      </c>
      <c r="N39" s="40">
        <f>'Canton Used Department'!N45</f>
        <v>-11606.289999999999</v>
      </c>
      <c r="O39" s="41">
        <f t="shared" si="14"/>
        <v>-4.1018865633837952E-3</v>
      </c>
    </row>
    <row r="40" spans="3:15" x14ac:dyDescent="0.25">
      <c r="C40" s="43" t="s">
        <v>1003</v>
      </c>
      <c r="E40" s="74">
        <f>SUM(E32:E39)</f>
        <v>323335.70999999996</v>
      </c>
      <c r="F40" s="86">
        <f t="shared" si="11"/>
        <v>0.15829101768214018</v>
      </c>
      <c r="H40" s="74">
        <f>SUM(H32:H39)</f>
        <v>323335.70999999996</v>
      </c>
      <c r="I40" s="86">
        <f t="shared" si="12"/>
        <v>0.15829101768214018</v>
      </c>
      <c r="K40" s="74">
        <f>SUM(K32:K39)</f>
        <v>432278.7900000001</v>
      </c>
      <c r="L40" s="86">
        <f t="shared" si="13"/>
        <v>0.1527756552987049</v>
      </c>
      <c r="N40" s="74">
        <f>SUM(N32:N39)</f>
        <v>382372.15000000008</v>
      </c>
      <c r="O40" s="86">
        <f t="shared" si="14"/>
        <v>0.13513768691779832</v>
      </c>
    </row>
    <row r="41" spans="3:15" x14ac:dyDescent="0.25">
      <c r="C41" s="43"/>
      <c r="E41" s="40"/>
      <c r="F41" s="41"/>
      <c r="H41" s="40"/>
      <c r="I41" s="41"/>
      <c r="K41" s="40"/>
      <c r="L41" s="41"/>
      <c r="N41" s="40"/>
      <c r="O41" s="41"/>
    </row>
    <row r="42" spans="3:15" ht="15.75" thickBot="1" x14ac:dyDescent="0.3">
      <c r="C42" t="s">
        <v>1022</v>
      </c>
      <c r="E42" s="40">
        <f>'Administration Department'!E47</f>
        <v>141723.25</v>
      </c>
      <c r="F42" s="41">
        <f>IF(E$16,E42/E$16,0)</f>
        <v>6.9381502809325882E-2</v>
      </c>
      <c r="H42" s="40">
        <f>'Administration Department'!H47</f>
        <v>141723.25</v>
      </c>
      <c r="I42" s="41">
        <f>IF(H$16,H42/H$16,0)</f>
        <v>6.9381502809325882E-2</v>
      </c>
      <c r="K42" s="40">
        <f>'Administration Department'!K47</f>
        <v>110446.34</v>
      </c>
      <c r="L42" s="41">
        <f>IF(K$16,K42/K$16,0)</f>
        <v>3.9033865087027657E-2</v>
      </c>
      <c r="N42" s="40">
        <f>'Administration Department'!N47</f>
        <v>110446.34</v>
      </c>
      <c r="O42" s="41">
        <f>IF(N$16,N42/N$16,0)</f>
        <v>3.9033865087027657E-2</v>
      </c>
    </row>
    <row r="43" spans="3:15" ht="15.75" thickTop="1" x14ac:dyDescent="0.25">
      <c r="E43" s="100"/>
      <c r="F43" s="97"/>
      <c r="H43" s="100"/>
      <c r="I43" s="97"/>
      <c r="K43" s="100"/>
      <c r="L43" s="97"/>
      <c r="N43" s="100"/>
      <c r="O43" s="97"/>
    </row>
    <row r="44" spans="3:15" x14ac:dyDescent="0.25">
      <c r="C44" s="43" t="s">
        <v>1024</v>
      </c>
      <c r="E44" s="40">
        <f>E29-(E40+E42)</f>
        <v>367132.7200000002</v>
      </c>
      <c r="F44" s="41">
        <f t="shared" si="11"/>
        <v>0.17973211765942049</v>
      </c>
      <c r="H44" s="40">
        <f>H29-(H40+H42)</f>
        <v>367132.7200000002</v>
      </c>
      <c r="I44" s="41">
        <f t="shared" ref="I44" si="15">IF(H$16,H44/H$16,0)</f>
        <v>0.17973211765942049</v>
      </c>
      <c r="K44" s="40">
        <f>K29-(K40+K42)</f>
        <v>190500.93999999971</v>
      </c>
      <c r="L44" s="41">
        <f t="shared" ref="L44" si="16">IF(K$16,K44/K$16,0)</f>
        <v>6.7326703545920491E-2</v>
      </c>
      <c r="N44" s="40">
        <f>N29-(N40+N42)</f>
        <v>240407.57999999973</v>
      </c>
      <c r="O44" s="41">
        <f t="shared" ref="O44" si="17">IF(N$16,N44/N$16,0)</f>
        <v>8.4964671926827079E-2</v>
      </c>
    </row>
    <row r="47" spans="3:15" x14ac:dyDescent="0.25">
      <c r="E47" s="40">
        <f>E44-'Combined Detail P and L'!N641</f>
        <v>-6890.3199999997159</v>
      </c>
      <c r="H47" s="40">
        <f>H44-'Combined Detail P and L'!H641</f>
        <v>-6890.3199999997159</v>
      </c>
      <c r="K47" s="40">
        <f>K44-'Combined Detail P and L'!K641</f>
        <v>-21055.599999999627</v>
      </c>
      <c r="N47" s="40">
        <f>N44-'Combined Detail P and L'!E641</f>
        <v>28851.040000000386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3E12-AE05-4A08-9EB9-85C24D988AD2}">
  <sheetPr>
    <tabColor rgb="FF00B0F0"/>
  </sheetPr>
  <dimension ref="A1:R61"/>
  <sheetViews>
    <sheetView topLeftCell="A17" zoomScaleNormal="100" workbookViewId="0">
      <selection activeCell="E26" sqref="E26"/>
    </sheetView>
  </sheetViews>
  <sheetFormatPr defaultRowHeight="15" x14ac:dyDescent="0.25"/>
  <cols>
    <col min="1" max="1" width="12.42578125" customWidth="1"/>
    <col min="2" max="2" width="1.85546875" customWidth="1"/>
    <col min="3" max="3" width="29.140625" customWidth="1"/>
    <col min="4" max="4" width="2.7109375" customWidth="1"/>
    <col min="5" max="5" width="18.42578125" style="136" customWidth="1"/>
    <col min="6" max="6" width="8.85546875" bestFit="1" customWidth="1"/>
    <col min="7" max="7" width="2.7109375" customWidth="1"/>
    <col min="8" max="8" width="18.5703125" customWidth="1"/>
    <col min="9" max="9" width="8.85546875" bestFit="1" customWidth="1"/>
    <col min="10" max="10" width="2.85546875" customWidth="1"/>
    <col min="11" max="11" width="18.140625" style="136" customWidth="1"/>
    <col min="12" max="12" width="8.42578125" customWidth="1"/>
    <col min="13" max="13" width="3.5703125" customWidth="1"/>
    <col min="14" max="14" width="18" customWidth="1"/>
    <col min="15" max="15" width="7.42578125" customWidth="1"/>
    <col min="16" max="16" width="2.85546875" customWidth="1"/>
  </cols>
  <sheetData>
    <row r="1" spans="1:18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8" ht="26.25" x14ac:dyDescent="0.4">
      <c r="A2" s="153" t="s">
        <v>1485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</row>
    <row r="3" spans="1:18" ht="15.75" x14ac:dyDescent="0.25">
      <c r="A3" s="154">
        <f>DATEVALUE(TB!A3&amp;"/"&amp;TB!A4)</f>
        <v>46023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6"/>
      <c r="P3" s="6"/>
      <c r="Q3" s="8"/>
      <c r="R3" s="5"/>
    </row>
    <row r="4" spans="1:18" ht="15.75" x14ac:dyDescent="0.25">
      <c r="A4" s="6"/>
      <c r="B4" s="6"/>
      <c r="C4" s="8" t="s">
        <v>5</v>
      </c>
      <c r="D4" s="6"/>
      <c r="E4" s="132" t="s">
        <v>3</v>
      </c>
      <c r="F4" s="6"/>
      <c r="G4" s="6"/>
      <c r="H4" s="8" t="s">
        <v>4</v>
      </c>
      <c r="I4" s="6"/>
      <c r="J4" s="6"/>
      <c r="K4" s="132" t="s">
        <v>3</v>
      </c>
      <c r="L4" s="6"/>
      <c r="M4" s="6"/>
      <c r="N4" s="8" t="s">
        <v>4</v>
      </c>
      <c r="O4" s="5"/>
      <c r="P4" s="5"/>
      <c r="Q4" s="31"/>
      <c r="R4" s="16"/>
    </row>
    <row r="5" spans="1:18" ht="15.75" x14ac:dyDescent="0.25">
      <c r="A5" s="7" t="s">
        <v>1000</v>
      </c>
      <c r="B5" s="5"/>
      <c r="C5" s="38" t="s">
        <v>1039</v>
      </c>
      <c r="D5" s="5"/>
      <c r="E5" s="133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133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  <c r="P5" s="16"/>
    </row>
    <row r="6" spans="1:18" x14ac:dyDescent="0.25">
      <c r="A6" s="39" t="s">
        <v>1396</v>
      </c>
      <c r="B6" s="36"/>
      <c r="C6" t="s">
        <v>1035</v>
      </c>
      <c r="E6" s="134">
        <f>VLOOKUP(A6,TB!TB,4,FALSE)*-1</f>
        <v>0</v>
      </c>
      <c r="F6" s="41">
        <f t="shared" ref="F6:F13" si="0">IF(E$13,E6/E$13,0)</f>
        <v>0</v>
      </c>
      <c r="H6" s="11">
        <f>VLOOKUP(A6,TB!TB,5,FALSE)*-1</f>
        <v>0</v>
      </c>
      <c r="I6" s="41">
        <f t="shared" ref="I6:I13" si="1">IF(H$13,H6/H$13,0)</f>
        <v>0</v>
      </c>
      <c r="K6" s="134">
        <f>VLOOKUP(A6,TB!TB1_1,4,FALSE)*-1</f>
        <v>0</v>
      </c>
      <c r="L6" s="41">
        <f>IF(K$14,K6/K$14,0)</f>
        <v>0</v>
      </c>
      <c r="N6" s="11">
        <f>VLOOKUP(A6,TB!TB1_1,5,FALSE)*-1</f>
        <v>0</v>
      </c>
      <c r="O6" s="41">
        <f>IF(N$14,N6/N$14,0)</f>
        <v>0</v>
      </c>
    </row>
    <row r="7" spans="1:18" x14ac:dyDescent="0.25">
      <c r="A7" s="39" t="s">
        <v>1397</v>
      </c>
      <c r="B7" s="36"/>
      <c r="C7" t="s">
        <v>1036</v>
      </c>
      <c r="E7" s="134">
        <f>VLOOKUP(A7,TB!TB,4,FALSE)*-1</f>
        <v>0</v>
      </c>
      <c r="F7" s="41">
        <f t="shared" si="0"/>
        <v>0</v>
      </c>
      <c r="H7" s="11">
        <f>VLOOKUP(A7,TB!TB,5,FALSE)*-1</f>
        <v>0</v>
      </c>
      <c r="I7" s="41">
        <f t="shared" si="1"/>
        <v>0</v>
      </c>
      <c r="K7" s="134">
        <f>VLOOKUP(A7,TB!TB1_1,4,FALSE)*-1</f>
        <v>0</v>
      </c>
      <c r="L7" s="41">
        <f t="shared" ref="L7:L12" si="2">IF(K$14,K7/K$14,0)</f>
        <v>0</v>
      </c>
      <c r="N7" s="11">
        <f>VLOOKUP(A7,TB!TB1_1,5,FALSE)*-1</f>
        <v>0</v>
      </c>
      <c r="O7" s="41">
        <f t="shared" ref="O7:O12" si="3">IF(N$14,N7/N$14,0)</f>
        <v>0</v>
      </c>
    </row>
    <row r="8" spans="1:18" x14ac:dyDescent="0.25">
      <c r="A8" s="39" t="s">
        <v>1398</v>
      </c>
      <c r="B8" s="36"/>
      <c r="C8" t="s">
        <v>1280</v>
      </c>
      <c r="E8" s="134">
        <f>VLOOKUP(A8,TB!TB,4,FALSE)*-1</f>
        <v>0</v>
      </c>
      <c r="F8" s="41">
        <f t="shared" si="0"/>
        <v>0</v>
      </c>
      <c r="H8" s="11">
        <f>VLOOKUP(A8,TB!TB,5,FALSE)*-1</f>
        <v>0</v>
      </c>
      <c r="I8" s="41">
        <f t="shared" si="1"/>
        <v>0</v>
      </c>
      <c r="K8" s="134">
        <f>VLOOKUP(A8,TB!TB1_1,4,FALSE)*-1</f>
        <v>0</v>
      </c>
      <c r="L8" s="41">
        <f t="shared" si="2"/>
        <v>0</v>
      </c>
      <c r="N8" s="11">
        <f>VLOOKUP(A8,TB!TB1_1,5,FALSE)*-1</f>
        <v>0</v>
      </c>
      <c r="O8" s="41">
        <f t="shared" si="3"/>
        <v>0</v>
      </c>
    </row>
    <row r="9" spans="1:18" x14ac:dyDescent="0.25">
      <c r="A9" s="39" t="s">
        <v>1399</v>
      </c>
      <c r="B9" s="36"/>
      <c r="C9" t="s">
        <v>185</v>
      </c>
      <c r="E9" s="134">
        <f>VLOOKUP(A9,TB!TB,4,FALSE)*-1</f>
        <v>0</v>
      </c>
      <c r="F9" s="41">
        <f t="shared" si="0"/>
        <v>0</v>
      </c>
      <c r="H9" s="11">
        <f>VLOOKUP(A9,TB!TB,5,FALSE)*-1</f>
        <v>0</v>
      </c>
      <c r="I9" s="41">
        <f t="shared" si="1"/>
        <v>0</v>
      </c>
      <c r="K9" s="134">
        <f>VLOOKUP(A9,TB!TB1_1,4,FALSE)*-1</f>
        <v>0</v>
      </c>
      <c r="L9" s="41">
        <f t="shared" si="2"/>
        <v>0</v>
      </c>
      <c r="N9" s="11">
        <f>VLOOKUP(A9,TB!TB1_1,5,FALSE)*-1</f>
        <v>0</v>
      </c>
      <c r="O9" s="41">
        <f t="shared" si="3"/>
        <v>0</v>
      </c>
    </row>
    <row r="10" spans="1:18" x14ac:dyDescent="0.25">
      <c r="A10" s="39" t="s">
        <v>1400</v>
      </c>
      <c r="B10" s="36"/>
      <c r="C10" t="s">
        <v>1268</v>
      </c>
      <c r="E10" s="134">
        <f>VLOOKUP(A10,TB!TB,4,FALSE)*-1</f>
        <v>0</v>
      </c>
      <c r="F10" s="41">
        <f t="shared" ref="F10" si="4">IF(E$13,E10/E$13,0)</f>
        <v>0</v>
      </c>
      <c r="H10" s="11">
        <f>VLOOKUP(A10,TB!TB,5,FALSE)*-1</f>
        <v>0</v>
      </c>
      <c r="I10" s="41">
        <f t="shared" ref="I10" si="5">IF(H$13,H10/H$13,0)</f>
        <v>0</v>
      </c>
      <c r="K10" s="134">
        <f>VLOOKUP(A10,TB!TB1_1,4,FALSE)*-1</f>
        <v>0</v>
      </c>
      <c r="L10" s="41">
        <f t="shared" si="2"/>
        <v>0</v>
      </c>
      <c r="N10" s="11">
        <f>VLOOKUP(A10,TB!TB1_1,5,FALSE)*-1</f>
        <v>0</v>
      </c>
      <c r="O10" s="41">
        <f t="shared" si="3"/>
        <v>0</v>
      </c>
    </row>
    <row r="11" spans="1:18" x14ac:dyDescent="0.25">
      <c r="A11" s="39" t="s">
        <v>1401</v>
      </c>
      <c r="B11" s="36"/>
      <c r="C11" t="s">
        <v>1037</v>
      </c>
      <c r="E11" s="134">
        <f>VLOOKUP(A11,TB!TB,4,FALSE)*-1</f>
        <v>112711.88</v>
      </c>
      <c r="F11" s="41">
        <f t="shared" ref="F11" si="6">IF(E$13,E11/E$13,0)</f>
        <v>0.93594641071659446</v>
      </c>
      <c r="H11" s="11">
        <f>VLOOKUP(A11,TB!TB,5,FALSE)*-1</f>
        <v>112711.88</v>
      </c>
      <c r="I11" s="41">
        <f t="shared" ref="I11" si="7">IF(H$13,H11/H$13,0)</f>
        <v>0.93594641071659446</v>
      </c>
      <c r="K11" s="134">
        <f>VLOOKUP(A11,TB!TB1_1,4,FALSE)*-1</f>
        <v>273457</v>
      </c>
      <c r="L11" s="41">
        <f t="shared" si="2"/>
        <v>0</v>
      </c>
      <c r="N11" s="11">
        <f>VLOOKUP(A11,TB!TB1_1,5,FALSE)*-1</f>
        <v>273457</v>
      </c>
      <c r="O11" s="41">
        <f t="shared" si="3"/>
        <v>0</v>
      </c>
    </row>
    <row r="12" spans="1:18" x14ac:dyDescent="0.25">
      <c r="A12" s="39" t="s">
        <v>1402</v>
      </c>
      <c r="B12" s="36"/>
      <c r="C12" t="s">
        <v>189</v>
      </c>
      <c r="E12" s="134">
        <f>VLOOKUP(A12,TB!TB,4,FALSE)*-1</f>
        <v>7713.69</v>
      </c>
      <c r="F12" s="41">
        <f t="shared" si="0"/>
        <v>6.4053589283405502E-2</v>
      </c>
      <c r="H12" s="11">
        <f>VLOOKUP(A12,TB!TB,5,FALSE)*-1</f>
        <v>7713.69</v>
      </c>
      <c r="I12" s="41">
        <f t="shared" si="1"/>
        <v>6.4053589283405502E-2</v>
      </c>
      <c r="K12" s="134">
        <f>VLOOKUP(A12,TB!TB1_1,4,FALSE)*-1</f>
        <v>5600.17</v>
      </c>
      <c r="L12" s="41">
        <f t="shared" si="2"/>
        <v>0</v>
      </c>
      <c r="N12" s="11">
        <f>VLOOKUP(A12,TB!TB1_1,5,FALSE)*-1</f>
        <v>5600.17</v>
      </c>
      <c r="O12" s="41">
        <f t="shared" si="3"/>
        <v>0</v>
      </c>
    </row>
    <row r="13" spans="1:18" x14ac:dyDescent="0.25">
      <c r="A13" s="36"/>
      <c r="B13" s="36"/>
      <c r="C13" s="43" t="s">
        <v>1038</v>
      </c>
      <c r="E13" s="135">
        <f>SUM(E6:E12)</f>
        <v>120425.57</v>
      </c>
      <c r="F13" s="86">
        <f t="shared" si="0"/>
        <v>1</v>
      </c>
      <c r="H13" s="74">
        <f>SUM(H6:H12)</f>
        <v>120425.57</v>
      </c>
      <c r="I13" s="86">
        <f t="shared" si="1"/>
        <v>1</v>
      </c>
      <c r="K13" s="135">
        <f>SUM(K6:K12)</f>
        <v>279057.17</v>
      </c>
      <c r="L13" s="86">
        <f t="shared" ref="L13" si="8">IF(K$13,K13/K$13,0)</f>
        <v>1</v>
      </c>
      <c r="N13" s="74">
        <f>SUM(N6:N12)</f>
        <v>279057.17</v>
      </c>
      <c r="O13" s="86">
        <f t="shared" ref="O13" si="9">IF(N$13,N13/N$13,0)</f>
        <v>1</v>
      </c>
    </row>
    <row r="14" spans="1:18" x14ac:dyDescent="0.25">
      <c r="A14" s="36"/>
      <c r="B14" s="36"/>
    </row>
    <row r="15" spans="1:18" x14ac:dyDescent="0.25">
      <c r="A15" s="36"/>
      <c r="B15" s="36"/>
    </row>
    <row r="16" spans="1:18" x14ac:dyDescent="0.25">
      <c r="A16" s="39" t="s">
        <v>1404</v>
      </c>
      <c r="B16" s="36"/>
      <c r="C16" t="s">
        <v>1035</v>
      </c>
      <c r="E16" s="134">
        <f>VLOOKUP(A16,TB!TB,4,FALSE)</f>
        <v>0</v>
      </c>
      <c r="F16" s="41">
        <f t="shared" ref="F16:F29" si="10">IF(E$13,E16/E$13,0)</f>
        <v>0</v>
      </c>
      <c r="H16" s="11">
        <f>VLOOKUP(A16,TB!TB,5,FALSE)</f>
        <v>0</v>
      </c>
      <c r="I16" s="41">
        <f t="shared" ref="I16:I24" si="11">IF(H$13,H16/H$13,0)</f>
        <v>0</v>
      </c>
      <c r="K16" s="134">
        <f>VLOOKUP(A16,TB!TB1_1,4,FALSE)</f>
        <v>0</v>
      </c>
      <c r="L16" s="41">
        <f t="shared" ref="L16" si="12">IF(K$14,K16/K$14,0)</f>
        <v>0</v>
      </c>
      <c r="N16" s="11">
        <f>VLOOKUP(A16,TB!TB1_1,5,FALSE)</f>
        <v>0</v>
      </c>
      <c r="O16" s="41">
        <f t="shared" ref="O16" si="13">IF(N$14,N16/N$14,0)</f>
        <v>0</v>
      </c>
    </row>
    <row r="17" spans="1:15" x14ac:dyDescent="0.25">
      <c r="A17" s="39" t="s">
        <v>1405</v>
      </c>
      <c r="B17" s="36"/>
      <c r="C17" t="s">
        <v>1036</v>
      </c>
      <c r="E17" s="134">
        <f>VLOOKUP(A17,TB!TB,4,FALSE)</f>
        <v>0</v>
      </c>
      <c r="F17" s="41">
        <f t="shared" si="10"/>
        <v>0</v>
      </c>
      <c r="H17" s="11">
        <f>VLOOKUP(A17,TB!TB,5,FALSE)</f>
        <v>0</v>
      </c>
      <c r="I17" s="41">
        <f t="shared" si="11"/>
        <v>0</v>
      </c>
      <c r="K17" s="134">
        <f>VLOOKUP(A17,TB!TB1_1,4,FALSE)</f>
        <v>0</v>
      </c>
      <c r="L17" s="41">
        <f t="shared" ref="L17:L25" si="14">IF(K$14,K17/K$14,0)</f>
        <v>0</v>
      </c>
      <c r="N17" s="11">
        <f>VLOOKUP(A17,TB!TB1_1,5,FALSE)</f>
        <v>0</v>
      </c>
      <c r="O17" s="41">
        <f t="shared" ref="O17:O25" si="15">IF(N$14,N17/N$14,0)</f>
        <v>0</v>
      </c>
    </row>
    <row r="18" spans="1:15" x14ac:dyDescent="0.25">
      <c r="A18" s="39" t="s">
        <v>1406</v>
      </c>
      <c r="B18" s="36"/>
      <c r="C18" t="s">
        <v>1026</v>
      </c>
      <c r="E18" s="134">
        <f>VLOOKUP(A18,TB!TB,4,FALSE)</f>
        <v>0</v>
      </c>
      <c r="F18" s="41">
        <f t="shared" si="10"/>
        <v>0</v>
      </c>
      <c r="H18" s="11">
        <f>VLOOKUP(A18,TB!TB,5,FALSE)</f>
        <v>0</v>
      </c>
      <c r="I18" s="41">
        <f t="shared" si="11"/>
        <v>0</v>
      </c>
      <c r="K18" s="134">
        <f>VLOOKUP(A18,TB!TB1_1,4,FALSE)</f>
        <v>0</v>
      </c>
      <c r="L18" s="41">
        <f t="shared" si="14"/>
        <v>0</v>
      </c>
      <c r="N18" s="11">
        <f>VLOOKUP(A18,TB!TB1_1,5,FALSE)</f>
        <v>0</v>
      </c>
      <c r="O18" s="41">
        <f t="shared" si="15"/>
        <v>0</v>
      </c>
    </row>
    <row r="19" spans="1:15" x14ac:dyDescent="0.25">
      <c r="A19" s="39" t="s">
        <v>1407</v>
      </c>
      <c r="B19" s="36"/>
      <c r="C19" t="s">
        <v>1027</v>
      </c>
      <c r="E19" s="134">
        <f>VLOOKUP(A19,TB!TB,4,FALSE)</f>
        <v>0</v>
      </c>
      <c r="F19" s="41">
        <f t="shared" si="10"/>
        <v>0</v>
      </c>
      <c r="H19" s="11">
        <f>VLOOKUP(A19,TB!TB,5,FALSE)</f>
        <v>0</v>
      </c>
      <c r="I19" s="41">
        <f t="shared" si="11"/>
        <v>0</v>
      </c>
      <c r="K19" s="134">
        <f>VLOOKUP(A19,TB!TB1_1,4,FALSE)</f>
        <v>0</v>
      </c>
      <c r="L19" s="41">
        <f t="shared" si="14"/>
        <v>0</v>
      </c>
      <c r="N19" s="11">
        <f>VLOOKUP(A19,TB!TB1_1,5,FALSE)</f>
        <v>0</v>
      </c>
      <c r="O19" s="41">
        <f t="shared" si="15"/>
        <v>0</v>
      </c>
    </row>
    <row r="20" spans="1:15" x14ac:dyDescent="0.25">
      <c r="A20" s="39" t="s">
        <v>1408</v>
      </c>
      <c r="B20" s="36"/>
      <c r="C20" t="s">
        <v>1452</v>
      </c>
      <c r="E20" s="134">
        <f>VLOOKUP(A20,TB!TB,4,FALSE)</f>
        <v>0</v>
      </c>
      <c r="F20" s="41">
        <f t="shared" si="10"/>
        <v>0</v>
      </c>
      <c r="H20" s="11">
        <f>VLOOKUP(A20,TB!TB,5,FALSE)</f>
        <v>0</v>
      </c>
      <c r="I20" s="41">
        <f t="shared" si="11"/>
        <v>0</v>
      </c>
      <c r="K20" s="134">
        <f>VLOOKUP(A20,TB!TB1_1,4,FALSE)</f>
        <v>0</v>
      </c>
      <c r="L20" s="41">
        <f t="shared" si="14"/>
        <v>0</v>
      </c>
      <c r="N20" s="11">
        <f>VLOOKUP(A20,TB!TB1_1,5,FALSE)</f>
        <v>0</v>
      </c>
      <c r="O20" s="41">
        <f t="shared" si="15"/>
        <v>0</v>
      </c>
    </row>
    <row r="21" spans="1:15" x14ac:dyDescent="0.25">
      <c r="A21" s="39" t="s">
        <v>1409</v>
      </c>
      <c r="B21" s="36"/>
      <c r="C21" t="s">
        <v>1028</v>
      </c>
      <c r="E21" s="134">
        <f>VLOOKUP(A21,TB!TB,4,FALSE)</f>
        <v>0</v>
      </c>
      <c r="F21" s="41">
        <f t="shared" si="10"/>
        <v>0</v>
      </c>
      <c r="H21" s="11">
        <f>VLOOKUP(A21,TB!TB,5,FALSE)</f>
        <v>0</v>
      </c>
      <c r="I21" s="41">
        <f t="shared" si="11"/>
        <v>0</v>
      </c>
      <c r="K21" s="134">
        <f>VLOOKUP(A21,TB!TB1_1,4,FALSE)</f>
        <v>0</v>
      </c>
      <c r="L21" s="41">
        <f t="shared" si="14"/>
        <v>0</v>
      </c>
      <c r="N21" s="11">
        <f>VLOOKUP(A21,TB!TB1_1,5,FALSE)</f>
        <v>0</v>
      </c>
      <c r="O21" s="41">
        <f t="shared" si="15"/>
        <v>0</v>
      </c>
    </row>
    <row r="22" spans="1:15" x14ac:dyDescent="0.25">
      <c r="A22" s="39" t="s">
        <v>1410</v>
      </c>
      <c r="B22" s="36"/>
      <c r="C22" t="s">
        <v>1029</v>
      </c>
      <c r="E22" s="134">
        <f>VLOOKUP(A22,TB!TB,4,FALSE)</f>
        <v>0</v>
      </c>
      <c r="F22" s="41">
        <f t="shared" si="10"/>
        <v>0</v>
      </c>
      <c r="H22" s="11">
        <f>VLOOKUP(A22,TB!TB,5,FALSE)</f>
        <v>0</v>
      </c>
      <c r="I22" s="41">
        <f t="shared" si="11"/>
        <v>0</v>
      </c>
      <c r="K22" s="134">
        <f>VLOOKUP(A22,TB!TB1_1,4,FALSE)</f>
        <v>0</v>
      </c>
      <c r="L22" s="41">
        <f t="shared" si="14"/>
        <v>0</v>
      </c>
      <c r="N22" s="11">
        <f>VLOOKUP(A22,TB!TB1_1,5,FALSE)</f>
        <v>0</v>
      </c>
      <c r="O22" s="41">
        <f t="shared" si="15"/>
        <v>0</v>
      </c>
    </row>
    <row r="23" spans="1:15" x14ac:dyDescent="0.25">
      <c r="A23" s="39" t="s">
        <v>1411</v>
      </c>
      <c r="B23" s="36"/>
      <c r="C23" t="s">
        <v>1030</v>
      </c>
      <c r="E23" s="134">
        <f>VLOOKUP(A23,TB!TB,4,FALSE)</f>
        <v>0</v>
      </c>
      <c r="F23" s="41">
        <f t="shared" si="10"/>
        <v>0</v>
      </c>
      <c r="H23" s="11">
        <f>VLOOKUP(A23,TB!TB,5,FALSE)</f>
        <v>0</v>
      </c>
      <c r="I23" s="41">
        <f t="shared" si="11"/>
        <v>0</v>
      </c>
      <c r="K23" s="134">
        <f>VLOOKUP(A23,TB!TB1_1,4,FALSE)</f>
        <v>0</v>
      </c>
      <c r="L23" s="41">
        <f t="shared" si="14"/>
        <v>0</v>
      </c>
      <c r="N23" s="11">
        <f>VLOOKUP(A23,TB!TB1_1,5,FALSE)</f>
        <v>0</v>
      </c>
      <c r="O23" s="41">
        <f t="shared" si="15"/>
        <v>0</v>
      </c>
    </row>
    <row r="24" spans="1:15" x14ac:dyDescent="0.25">
      <c r="A24" s="39" t="s">
        <v>1412</v>
      </c>
      <c r="B24" s="36"/>
      <c r="C24" t="s">
        <v>1031</v>
      </c>
      <c r="E24" s="134">
        <f>VLOOKUP(A24,TB!TB,4,FALSE)</f>
        <v>90635.54</v>
      </c>
      <c r="F24" s="41">
        <f t="shared" si="10"/>
        <v>0.75262703759674954</v>
      </c>
      <c r="H24" s="11">
        <f>VLOOKUP(A24,TB!TB,5,FALSE)</f>
        <v>90635.54</v>
      </c>
      <c r="I24" s="41">
        <f t="shared" si="11"/>
        <v>0.75262703759674954</v>
      </c>
      <c r="K24" s="134">
        <f>VLOOKUP(A24,TB!TB1_1,4,FALSE)</f>
        <v>203048.65</v>
      </c>
      <c r="L24" s="41">
        <f t="shared" si="14"/>
        <v>0</v>
      </c>
      <c r="N24" s="11">
        <f>VLOOKUP(A24,TB!TB1_1,5,FALSE)</f>
        <v>203048.65</v>
      </c>
      <c r="O24" s="41">
        <f t="shared" si="15"/>
        <v>0</v>
      </c>
    </row>
    <row r="25" spans="1:15" x14ac:dyDescent="0.25">
      <c r="A25" s="39" t="s">
        <v>1413</v>
      </c>
      <c r="B25" s="36"/>
      <c r="C25" t="s">
        <v>1032</v>
      </c>
      <c r="E25" s="134">
        <f>VLOOKUP(A25,TB!TB,4,FALSE)</f>
        <v>17279.259999999998</v>
      </c>
      <c r="F25" s="41">
        <f>IF(E$13,E25/E$13,0)</f>
        <v>0.14348497582365605</v>
      </c>
      <c r="H25" s="59">
        <f>VLOOKUP(A25,TB!TB,5,FALSE)</f>
        <v>17279.259999999998</v>
      </c>
      <c r="I25" s="41">
        <f>IF(H$13,H25/H$13,0)</f>
        <v>0.14348497582365605</v>
      </c>
      <c r="K25" s="134">
        <f>VLOOKUP(A25,TB!TB1_1,4,FALSE)</f>
        <v>1264.42</v>
      </c>
      <c r="L25" s="41">
        <f t="shared" si="14"/>
        <v>0</v>
      </c>
      <c r="N25" s="11">
        <f>VLOOKUP(A25,TB!TB1_1,5,FALSE)</f>
        <v>1264.42</v>
      </c>
      <c r="O25" s="41">
        <f t="shared" si="15"/>
        <v>0</v>
      </c>
    </row>
    <row r="26" spans="1:15" x14ac:dyDescent="0.25">
      <c r="A26" s="36"/>
      <c r="B26" s="36"/>
      <c r="C26" s="43" t="s">
        <v>1033</v>
      </c>
      <c r="E26" s="135">
        <f>SUM(E16:E25)</f>
        <v>107914.79999999999</v>
      </c>
      <c r="F26" s="86">
        <f>IF(E$13,E26/E$13,0)</f>
        <v>0.89611201342040547</v>
      </c>
      <c r="H26" s="74">
        <f>SUM(H16:H25)</f>
        <v>107914.79999999999</v>
      </c>
      <c r="I26" s="86">
        <f>IF(H$13,H26/H$13,0)</f>
        <v>0.89611201342040547</v>
      </c>
      <c r="K26" s="135">
        <f>SUM(K16:K25)</f>
        <v>204313.07</v>
      </c>
      <c r="L26" s="86">
        <f>IF(K$13,K26/K$13,0)</f>
        <v>0.7321548842482708</v>
      </c>
      <c r="N26" s="74">
        <f>SUM(N16:N25)</f>
        <v>204313.07</v>
      </c>
      <c r="O26" s="86">
        <f>IF(N$13,N26/N$13,0)</f>
        <v>0.7321548842482708</v>
      </c>
    </row>
    <row r="28" spans="1:15" x14ac:dyDescent="0.25">
      <c r="A28" s="36"/>
      <c r="B28" s="36"/>
    </row>
    <row r="29" spans="1:15" x14ac:dyDescent="0.25">
      <c r="A29" s="36"/>
      <c r="B29" s="36"/>
      <c r="C29" s="43" t="s">
        <v>1034</v>
      </c>
      <c r="E29" s="138">
        <f>E13-E26</f>
        <v>12510.770000000019</v>
      </c>
      <c r="F29" s="41">
        <f t="shared" si="10"/>
        <v>0.1038879865795945</v>
      </c>
      <c r="H29" s="40">
        <f>H13-H26</f>
        <v>12510.770000000019</v>
      </c>
      <c r="I29" s="41">
        <f t="shared" ref="I29" si="16">IF(H$13,H29/H$13,0)</f>
        <v>0.1038879865795945</v>
      </c>
      <c r="K29" s="138">
        <f>K13-K26</f>
        <v>74744.099999999977</v>
      </c>
      <c r="L29" s="41">
        <f t="shared" ref="L29" si="17">IF(K$13,K29/K$13,0)</f>
        <v>0.2678451157517292</v>
      </c>
      <c r="N29" s="40">
        <f>N13-N26</f>
        <v>74744.099999999977</v>
      </c>
      <c r="O29" s="41">
        <f t="shared" ref="O29" si="18">IF(N$13,N29/N$13,0)</f>
        <v>0.2678451157517292</v>
      </c>
    </row>
    <row r="30" spans="1:15" x14ac:dyDescent="0.25">
      <c r="A30" s="36"/>
      <c r="B30" s="36"/>
    </row>
    <row r="31" spans="1:15" x14ac:dyDescent="0.25">
      <c r="A31" s="36"/>
      <c r="B31" s="36"/>
    </row>
    <row r="32" spans="1:15" x14ac:dyDescent="0.25">
      <c r="A32" s="39" t="s">
        <v>1414</v>
      </c>
      <c r="B32" s="36"/>
      <c r="C32" t="s">
        <v>419</v>
      </c>
      <c r="E32" s="134">
        <f>VLOOKUP(A32,TB!TB,4,FALSE)</f>
        <v>0</v>
      </c>
      <c r="F32" s="41">
        <f t="shared" ref="F32:F61" si="19">IF(E$13,E32/E$13,0)</f>
        <v>0</v>
      </c>
      <c r="H32" s="11">
        <f>VLOOKUP(A32,TB!TB,5,FALSE)</f>
        <v>0</v>
      </c>
      <c r="I32" s="41">
        <f t="shared" ref="I32:I56" si="20">IF(H$13,H32/H$13,0)</f>
        <v>0</v>
      </c>
      <c r="K32" s="134">
        <f>VLOOKUP(A32,TB!TB1_1,4,FALSE)</f>
        <v>0</v>
      </c>
      <c r="L32" s="41">
        <f t="shared" ref="L32" si="21">IF(K$14,K32/K$14,0)</f>
        <v>0</v>
      </c>
      <c r="N32" s="11">
        <f>VLOOKUP(A32,TB!TB1_1,5,FALSE)</f>
        <v>0</v>
      </c>
      <c r="O32" s="41">
        <f t="shared" ref="O32" si="22">IF(N$14,N32/N$14,0)</f>
        <v>0</v>
      </c>
    </row>
    <row r="33" spans="1:15" x14ac:dyDescent="0.25">
      <c r="A33" s="39" t="s">
        <v>1415</v>
      </c>
      <c r="B33" s="36"/>
      <c r="C33" t="s">
        <v>435</v>
      </c>
      <c r="E33" s="134">
        <f>VLOOKUP(A33,TB!TB,4,FALSE)</f>
        <v>11539.2</v>
      </c>
      <c r="F33" s="41">
        <f t="shared" si="19"/>
        <v>9.5820181710578572E-2</v>
      </c>
      <c r="H33" s="11">
        <f>VLOOKUP(A33,TB!TB,5,FALSE)</f>
        <v>11539.2</v>
      </c>
      <c r="I33" s="41">
        <f t="shared" si="20"/>
        <v>9.5820181710578572E-2</v>
      </c>
      <c r="K33" s="134">
        <f>VLOOKUP(A33,TB!TB1_1,4,FALSE)</f>
        <v>11539.2</v>
      </c>
      <c r="L33" s="41">
        <f t="shared" ref="L33:L55" si="23">IF(K$14,K33/K$14,0)</f>
        <v>0</v>
      </c>
      <c r="N33" s="11">
        <f>VLOOKUP(A33,TB!TB1_1,5,FALSE)</f>
        <v>11539.2</v>
      </c>
      <c r="O33" s="41">
        <f t="shared" ref="O33:O55" si="24">IF(N$14,N33/N$14,0)</f>
        <v>0</v>
      </c>
    </row>
    <row r="34" spans="1:15" x14ac:dyDescent="0.25">
      <c r="A34" s="39" t="s">
        <v>1416</v>
      </c>
      <c r="B34" s="36"/>
      <c r="C34" t="s">
        <v>444</v>
      </c>
      <c r="E34" s="134">
        <f>VLOOKUP(A34,TB!TB,4,FALSE)</f>
        <v>0</v>
      </c>
      <c r="F34" s="41">
        <f t="shared" si="19"/>
        <v>0</v>
      </c>
      <c r="H34" s="11">
        <f>VLOOKUP(A34,TB!TB,5,FALSE)</f>
        <v>0</v>
      </c>
      <c r="I34" s="41">
        <f t="shared" si="20"/>
        <v>0</v>
      </c>
      <c r="K34" s="134">
        <f>VLOOKUP(A34,TB!TB1_1,4,FALSE)</f>
        <v>0</v>
      </c>
      <c r="L34" s="41">
        <f t="shared" si="23"/>
        <v>0</v>
      </c>
      <c r="N34" s="11">
        <f>VLOOKUP(A34,TB!TB1_1,5,FALSE)</f>
        <v>0</v>
      </c>
      <c r="O34" s="41">
        <f t="shared" si="24"/>
        <v>0</v>
      </c>
    </row>
    <row r="35" spans="1:15" x14ac:dyDescent="0.25">
      <c r="A35" s="39" t="s">
        <v>1417</v>
      </c>
      <c r="B35" s="36"/>
      <c r="C35" t="s">
        <v>464</v>
      </c>
      <c r="E35" s="134">
        <f>VLOOKUP(A35,TB!TB,4,FALSE)</f>
        <v>0</v>
      </c>
      <c r="F35" s="41">
        <f t="shared" si="19"/>
        <v>0</v>
      </c>
      <c r="H35" s="11">
        <f>VLOOKUP(A35,TB!TB,5,FALSE)</f>
        <v>0</v>
      </c>
      <c r="I35" s="41">
        <f t="shared" si="20"/>
        <v>0</v>
      </c>
      <c r="K35" s="134">
        <f>VLOOKUP(A35,TB!TB1_1,4,FALSE)</f>
        <v>0</v>
      </c>
      <c r="L35" s="41">
        <f t="shared" si="23"/>
        <v>0</v>
      </c>
      <c r="N35" s="11">
        <f>VLOOKUP(A35,TB!TB1_1,5,FALSE)</f>
        <v>0</v>
      </c>
      <c r="O35" s="41">
        <f t="shared" si="24"/>
        <v>0</v>
      </c>
    </row>
    <row r="36" spans="1:15" x14ac:dyDescent="0.25">
      <c r="A36" s="39" t="s">
        <v>1418</v>
      </c>
      <c r="B36" s="36"/>
      <c r="C36" t="s">
        <v>1489</v>
      </c>
      <c r="E36" s="134">
        <f>VLOOKUP(A36,TB!TB,4,FALSE)</f>
        <v>0</v>
      </c>
      <c r="F36" s="41">
        <f t="shared" si="19"/>
        <v>0</v>
      </c>
      <c r="H36" s="11">
        <f>VLOOKUP(A36,TB!TB,5,FALSE)</f>
        <v>0</v>
      </c>
      <c r="I36" s="41">
        <f t="shared" si="20"/>
        <v>0</v>
      </c>
      <c r="K36" s="134">
        <f>VLOOKUP(A36,TB!TB1_1,4,FALSE)</f>
        <v>0</v>
      </c>
      <c r="L36" s="41">
        <f t="shared" si="23"/>
        <v>0</v>
      </c>
      <c r="N36" s="11">
        <f>VLOOKUP(A36,TB!TB1_1,5,FALSE)</f>
        <v>0</v>
      </c>
      <c r="O36" s="41">
        <f t="shared" si="24"/>
        <v>0</v>
      </c>
    </row>
    <row r="37" spans="1:15" x14ac:dyDescent="0.25">
      <c r="A37" s="39" t="s">
        <v>1419</v>
      </c>
      <c r="B37" s="36"/>
      <c r="C37" t="s">
        <v>1490</v>
      </c>
      <c r="E37" s="134">
        <f>VLOOKUP(A37,TB!TB,4,FALSE)</f>
        <v>0</v>
      </c>
      <c r="F37" s="41">
        <f t="shared" si="19"/>
        <v>0</v>
      </c>
      <c r="H37" s="11">
        <f>VLOOKUP(A37,TB!TB,5,FALSE)</f>
        <v>0</v>
      </c>
      <c r="I37" s="41">
        <f t="shared" si="20"/>
        <v>0</v>
      </c>
      <c r="K37" s="134">
        <f>VLOOKUP(A37,TB!TB1_1,4,FALSE)</f>
        <v>0</v>
      </c>
      <c r="L37" s="41">
        <f t="shared" si="23"/>
        <v>0</v>
      </c>
      <c r="N37" s="11">
        <f>VLOOKUP(A37,TB!TB1_1,5,FALSE)</f>
        <v>0</v>
      </c>
      <c r="O37" s="41">
        <f t="shared" si="24"/>
        <v>0</v>
      </c>
    </row>
    <row r="38" spans="1:15" x14ac:dyDescent="0.25">
      <c r="A38" s="39" t="s">
        <v>1420</v>
      </c>
      <c r="B38" s="36"/>
      <c r="C38" t="s">
        <v>1491</v>
      </c>
      <c r="E38" s="134">
        <f>VLOOKUP(A38,TB!TB,4,FALSE)</f>
        <v>0</v>
      </c>
      <c r="F38" s="41">
        <f t="shared" si="19"/>
        <v>0</v>
      </c>
      <c r="H38" s="11">
        <f>VLOOKUP(A38,TB!TB,5,FALSE)</f>
        <v>0</v>
      </c>
      <c r="I38" s="41">
        <f t="shared" si="20"/>
        <v>0</v>
      </c>
      <c r="K38" s="134">
        <f>VLOOKUP(A38,TB!TB1_1,4,FALSE)</f>
        <v>-4062.24</v>
      </c>
      <c r="L38" s="41">
        <f t="shared" si="23"/>
        <v>0</v>
      </c>
      <c r="N38" s="11">
        <f>VLOOKUP(A38,TB!TB1_1,5,FALSE)</f>
        <v>-4062.24</v>
      </c>
      <c r="O38" s="41">
        <f t="shared" si="24"/>
        <v>0</v>
      </c>
    </row>
    <row r="39" spans="1:15" x14ac:dyDescent="0.25">
      <c r="A39" s="39" t="s">
        <v>1421</v>
      </c>
      <c r="B39" s="36"/>
      <c r="C39" t="s">
        <v>472</v>
      </c>
      <c r="E39" s="134">
        <f>VLOOKUP(A39,TB!TB,4,FALSE)</f>
        <v>1081.71</v>
      </c>
      <c r="F39" s="41">
        <f t="shared" si="19"/>
        <v>8.9823946857797727E-3</v>
      </c>
      <c r="H39" s="11">
        <f>VLOOKUP(A39,TB!TB,5,FALSE)</f>
        <v>1081.71</v>
      </c>
      <c r="I39" s="41">
        <f t="shared" si="20"/>
        <v>8.9823946857797727E-3</v>
      </c>
      <c r="K39" s="134">
        <f>VLOOKUP(A39,TB!TB1_1,4,FALSE)</f>
        <v>969.21</v>
      </c>
      <c r="L39" s="41">
        <f t="shared" si="23"/>
        <v>0</v>
      </c>
      <c r="N39" s="11">
        <f>VLOOKUP(A39,TB!TB1_1,5,FALSE)</f>
        <v>969.21</v>
      </c>
      <c r="O39" s="41">
        <f t="shared" si="24"/>
        <v>0</v>
      </c>
    </row>
    <row r="40" spans="1:15" x14ac:dyDescent="0.25">
      <c r="A40" s="39" t="s">
        <v>1422</v>
      </c>
      <c r="B40" s="36"/>
      <c r="C40" t="s">
        <v>639</v>
      </c>
      <c r="E40" s="134">
        <f>VLOOKUP(A40,TB!TB,4,FALSE)</f>
        <v>191.31</v>
      </c>
      <c r="F40" s="41">
        <f t="shared" si="19"/>
        <v>1.5886161053669913E-3</v>
      </c>
      <c r="H40" s="11">
        <f>VLOOKUP(A40,TB!TB,5,FALSE)</f>
        <v>191.31</v>
      </c>
      <c r="I40" s="41">
        <f t="shared" si="20"/>
        <v>1.5886161053669913E-3</v>
      </c>
      <c r="K40" s="134">
        <f>VLOOKUP(A40,TB!TB1_1,4,FALSE)</f>
        <v>576.25</v>
      </c>
      <c r="L40" s="41">
        <f t="shared" si="23"/>
        <v>0</v>
      </c>
      <c r="N40" s="11">
        <f>VLOOKUP(A40,TB!TB1_1,5,FALSE)</f>
        <v>576.25</v>
      </c>
      <c r="O40" s="41">
        <f t="shared" si="24"/>
        <v>0</v>
      </c>
    </row>
    <row r="41" spans="1:15" x14ac:dyDescent="0.25">
      <c r="A41" s="39" t="s">
        <v>1423</v>
      </c>
      <c r="B41" s="36"/>
      <c r="C41" t="s">
        <v>654</v>
      </c>
      <c r="E41" s="134">
        <f>VLOOKUP(A41,TB!TB,4,FALSE)</f>
        <v>0</v>
      </c>
      <c r="F41" s="41">
        <f t="shared" si="19"/>
        <v>0</v>
      </c>
      <c r="H41" s="11">
        <f>VLOOKUP(A41,TB!TB,5,FALSE)</f>
        <v>0</v>
      </c>
      <c r="I41" s="41">
        <f t="shared" si="20"/>
        <v>0</v>
      </c>
      <c r="K41" s="134">
        <f>VLOOKUP(A41,TB!TB1_1,4,FALSE)</f>
        <v>0</v>
      </c>
      <c r="L41" s="41">
        <f t="shared" si="23"/>
        <v>0</v>
      </c>
      <c r="N41" s="11">
        <f>VLOOKUP(A41,TB!TB1_1,5,FALSE)</f>
        <v>0</v>
      </c>
      <c r="O41" s="41">
        <f t="shared" si="24"/>
        <v>0</v>
      </c>
    </row>
    <row r="42" spans="1:15" x14ac:dyDescent="0.25">
      <c r="A42" s="39" t="s">
        <v>1424</v>
      </c>
      <c r="B42" s="36"/>
      <c r="C42" t="s">
        <v>488</v>
      </c>
      <c r="E42" s="134">
        <f>VLOOKUP(A42,TB!TB,4,FALSE)</f>
        <v>34.229999999999997</v>
      </c>
      <c r="F42" s="41">
        <f t="shared" si="19"/>
        <v>2.8424195957718943E-4</v>
      </c>
      <c r="H42" s="11">
        <f>VLOOKUP(A42,TB!TB,5,FALSE)</f>
        <v>34.229999999999997</v>
      </c>
      <c r="I42" s="41">
        <f t="shared" si="20"/>
        <v>2.8424195957718943E-4</v>
      </c>
      <c r="K42" s="134">
        <f>VLOOKUP(A42,TB!TB1_1,4,FALSE)</f>
        <v>0</v>
      </c>
      <c r="L42" s="41">
        <f t="shared" si="23"/>
        <v>0</v>
      </c>
      <c r="N42" s="11">
        <f>VLOOKUP(A42,TB!TB1_1,5,FALSE)</f>
        <v>0</v>
      </c>
      <c r="O42" s="41">
        <f t="shared" si="24"/>
        <v>0</v>
      </c>
    </row>
    <row r="43" spans="1:15" x14ac:dyDescent="0.25">
      <c r="A43" s="39" t="s">
        <v>1425</v>
      </c>
      <c r="B43" s="36"/>
      <c r="C43" t="s">
        <v>500</v>
      </c>
      <c r="E43" s="134">
        <f>VLOOKUP(A43,TB!TB,4,FALSE)</f>
        <v>0</v>
      </c>
      <c r="F43" s="41">
        <f t="shared" si="19"/>
        <v>0</v>
      </c>
      <c r="H43" s="11">
        <f>VLOOKUP(A43,TB!TB,5,FALSE)</f>
        <v>0</v>
      </c>
      <c r="I43" s="41">
        <f t="shared" si="20"/>
        <v>0</v>
      </c>
      <c r="K43" s="134">
        <f>VLOOKUP(A43,TB!TB1_1,4,FALSE)</f>
        <v>0</v>
      </c>
      <c r="L43" s="41">
        <f t="shared" si="23"/>
        <v>0</v>
      </c>
      <c r="N43" s="11">
        <f>VLOOKUP(A43,TB!TB1_1,5,FALSE)</f>
        <v>0</v>
      </c>
      <c r="O43" s="41">
        <f t="shared" si="24"/>
        <v>0</v>
      </c>
    </row>
    <row r="44" spans="1:15" x14ac:dyDescent="0.25">
      <c r="A44" s="39" t="s">
        <v>1426</v>
      </c>
      <c r="B44" s="36"/>
      <c r="C44" t="s">
        <v>511</v>
      </c>
      <c r="E44" s="134">
        <f>VLOOKUP(A44,TB!TB,4,FALSE)</f>
        <v>0</v>
      </c>
      <c r="F44" s="41">
        <f t="shared" si="19"/>
        <v>0</v>
      </c>
      <c r="H44" s="11">
        <f>VLOOKUP(A44,TB!TB,5,FALSE)</f>
        <v>0</v>
      </c>
      <c r="I44" s="41">
        <f t="shared" si="20"/>
        <v>0</v>
      </c>
      <c r="K44" s="134">
        <f>VLOOKUP(A44,TB!TB1_1,4,FALSE)</f>
        <v>193.48</v>
      </c>
      <c r="L44" s="41">
        <f t="shared" si="23"/>
        <v>0</v>
      </c>
      <c r="N44" s="11">
        <f>VLOOKUP(A44,TB!TB1_1,5,FALSE)</f>
        <v>193.48</v>
      </c>
      <c r="O44" s="41">
        <f t="shared" si="24"/>
        <v>0</v>
      </c>
    </row>
    <row r="45" spans="1:15" x14ac:dyDescent="0.25">
      <c r="A45" s="39" t="s">
        <v>1427</v>
      </c>
      <c r="B45" s="36"/>
      <c r="C45" t="s">
        <v>522</v>
      </c>
      <c r="E45" s="134">
        <f>VLOOKUP(A45,TB!TB,4,FALSE)</f>
        <v>920</v>
      </c>
      <c r="F45" s="41">
        <f t="shared" si="19"/>
        <v>7.6395735556825679E-3</v>
      </c>
      <c r="H45" s="11">
        <f>VLOOKUP(A45,TB!TB,5,FALSE)</f>
        <v>920</v>
      </c>
      <c r="I45" s="41">
        <f t="shared" si="20"/>
        <v>7.6395735556825679E-3</v>
      </c>
      <c r="K45" s="134">
        <f>VLOOKUP(A45,TB!TB1_1,4,FALSE)</f>
        <v>281.25</v>
      </c>
      <c r="L45" s="41">
        <f t="shared" si="23"/>
        <v>0</v>
      </c>
      <c r="N45" s="11">
        <f>VLOOKUP(A45,TB!TB1_1,5,FALSE)</f>
        <v>281.25</v>
      </c>
      <c r="O45" s="41">
        <f t="shared" si="24"/>
        <v>0</v>
      </c>
    </row>
    <row r="46" spans="1:15" x14ac:dyDescent="0.25">
      <c r="A46" s="39" t="s">
        <v>1428</v>
      </c>
      <c r="B46" s="36"/>
      <c r="C46" t="s">
        <v>540</v>
      </c>
      <c r="E46" s="134">
        <f>VLOOKUP(A46,TB!TB,4,FALSE)</f>
        <v>0</v>
      </c>
      <c r="F46" s="41">
        <f t="shared" si="19"/>
        <v>0</v>
      </c>
      <c r="H46" s="11">
        <f>VLOOKUP(A46,TB!TB,5,FALSE)</f>
        <v>0</v>
      </c>
      <c r="I46" s="41">
        <f t="shared" si="20"/>
        <v>0</v>
      </c>
      <c r="K46" s="134">
        <f>VLOOKUP(A46,TB!TB1_1,4,FALSE)</f>
        <v>0</v>
      </c>
      <c r="L46" s="41">
        <f t="shared" si="23"/>
        <v>0</v>
      </c>
      <c r="N46" s="11">
        <f>VLOOKUP(A46,TB!TB1_1,5,FALSE)</f>
        <v>0</v>
      </c>
      <c r="O46" s="41">
        <f t="shared" si="24"/>
        <v>0</v>
      </c>
    </row>
    <row r="47" spans="1:15" x14ac:dyDescent="0.25">
      <c r="A47" s="39" t="s">
        <v>1429</v>
      </c>
      <c r="B47" s="36"/>
      <c r="C47" t="s">
        <v>571</v>
      </c>
      <c r="E47" s="134">
        <f>VLOOKUP(A47,TB!TB,4,FALSE)</f>
        <v>0</v>
      </c>
      <c r="F47" s="41">
        <f t="shared" si="19"/>
        <v>0</v>
      </c>
      <c r="H47" s="11">
        <f>VLOOKUP(A47,TB!TB,5,FALSE)</f>
        <v>0</v>
      </c>
      <c r="I47" s="41">
        <f t="shared" si="20"/>
        <v>0</v>
      </c>
      <c r="K47" s="134">
        <f>VLOOKUP(A47,TB!TB1_1,4,FALSE)</f>
        <v>0</v>
      </c>
      <c r="L47" s="41">
        <f t="shared" si="23"/>
        <v>0</v>
      </c>
      <c r="N47" s="11">
        <f>VLOOKUP(A47,TB!TB1_1,5,FALSE)</f>
        <v>0</v>
      </c>
      <c r="O47" s="41">
        <f t="shared" si="24"/>
        <v>0</v>
      </c>
    </row>
    <row r="48" spans="1:15" x14ac:dyDescent="0.25">
      <c r="A48" s="39" t="s">
        <v>1430</v>
      </c>
      <c r="B48" s="36"/>
      <c r="C48" t="s">
        <v>585</v>
      </c>
      <c r="E48" s="134">
        <f>VLOOKUP(A48,TB!TB,4,FALSE)</f>
        <v>0</v>
      </c>
      <c r="F48" s="41">
        <f t="shared" si="19"/>
        <v>0</v>
      </c>
      <c r="H48" s="11">
        <f>VLOOKUP(A48,TB!TB,5,FALSE)</f>
        <v>0</v>
      </c>
      <c r="I48" s="41">
        <f t="shared" si="20"/>
        <v>0</v>
      </c>
      <c r="K48" s="134">
        <f>VLOOKUP(A48,TB!TB1_1,4,FALSE)</f>
        <v>0</v>
      </c>
      <c r="L48" s="41">
        <f t="shared" si="23"/>
        <v>0</v>
      </c>
      <c r="N48" s="11">
        <f>VLOOKUP(A48,TB!TB1_1,5,FALSE)</f>
        <v>0</v>
      </c>
      <c r="O48" s="41">
        <f t="shared" si="24"/>
        <v>0</v>
      </c>
    </row>
    <row r="49" spans="1:18" x14ac:dyDescent="0.25">
      <c r="A49" s="39" t="s">
        <v>1431</v>
      </c>
      <c r="B49" s="36"/>
      <c r="C49" t="s">
        <v>597</v>
      </c>
      <c r="E49" s="134">
        <f>VLOOKUP(A49,TB!TB,4,FALSE)</f>
        <v>770.13</v>
      </c>
      <c r="F49" s="41">
        <f t="shared" si="19"/>
        <v>6.3950704156932776E-3</v>
      </c>
      <c r="H49" s="11">
        <f>VLOOKUP(A49,TB!TB,5,FALSE)</f>
        <v>770.13</v>
      </c>
      <c r="I49" s="41">
        <f t="shared" si="20"/>
        <v>6.3950704156932776E-3</v>
      </c>
      <c r="K49" s="134">
        <f>VLOOKUP(A49,TB!TB1_1,4,FALSE)</f>
        <v>0</v>
      </c>
      <c r="L49" s="41">
        <f t="shared" si="23"/>
        <v>0</v>
      </c>
      <c r="N49" s="11">
        <f>VLOOKUP(A49,TB!TB1_1,5,FALSE)</f>
        <v>0</v>
      </c>
      <c r="O49" s="41">
        <f t="shared" si="24"/>
        <v>0</v>
      </c>
    </row>
    <row r="50" spans="1:18" x14ac:dyDescent="0.25">
      <c r="A50" s="39" t="s">
        <v>1432</v>
      </c>
      <c r="B50" s="36"/>
      <c r="C50" t="s">
        <v>611</v>
      </c>
      <c r="E50" s="134">
        <f>VLOOKUP(A50,TB!TB,4,FALSE)</f>
        <v>0</v>
      </c>
      <c r="F50" s="41">
        <f t="shared" si="19"/>
        <v>0</v>
      </c>
      <c r="H50" s="11">
        <f>VLOOKUP(A50,TB!TB,5,FALSE)</f>
        <v>0</v>
      </c>
      <c r="I50" s="41">
        <f t="shared" si="20"/>
        <v>0</v>
      </c>
      <c r="K50" s="134">
        <f>VLOOKUP(A50,TB!TB1_1,4,FALSE)</f>
        <v>0</v>
      </c>
      <c r="L50" s="41">
        <f t="shared" si="23"/>
        <v>0</v>
      </c>
      <c r="N50" s="11">
        <f>VLOOKUP(A50,TB!TB1_1,5,FALSE)</f>
        <v>0</v>
      </c>
      <c r="O50" s="41">
        <f t="shared" si="24"/>
        <v>0</v>
      </c>
    </row>
    <row r="51" spans="1:18" x14ac:dyDescent="0.25">
      <c r="A51" s="39" t="s">
        <v>1433</v>
      </c>
      <c r="B51" s="36"/>
      <c r="C51" t="s">
        <v>623</v>
      </c>
      <c r="E51" s="134">
        <f>VLOOKUP(A51,TB!TB,4,FALSE)</f>
        <v>0</v>
      </c>
      <c r="F51" s="41">
        <f t="shared" si="19"/>
        <v>0</v>
      </c>
      <c r="H51" s="11">
        <f>VLOOKUP(A51,TB!TB,5,FALSE)</f>
        <v>0</v>
      </c>
      <c r="I51" s="41">
        <f t="shared" si="20"/>
        <v>0</v>
      </c>
      <c r="K51" s="134">
        <f>VLOOKUP(A51,TB!TB1_1,4,FALSE)</f>
        <v>0</v>
      </c>
      <c r="L51" s="41">
        <f t="shared" si="23"/>
        <v>0</v>
      </c>
      <c r="N51" s="11">
        <f>VLOOKUP(A51,TB!TB1_1,5,FALSE)</f>
        <v>0</v>
      </c>
      <c r="O51" s="41">
        <f t="shared" si="24"/>
        <v>0</v>
      </c>
    </row>
    <row r="52" spans="1:18" x14ac:dyDescent="0.25">
      <c r="A52" s="39" t="s">
        <v>1434</v>
      </c>
      <c r="B52" s="36"/>
      <c r="C52" t="s">
        <v>670</v>
      </c>
      <c r="E52" s="134">
        <f>VLOOKUP(A52,TB!TB,4,FALSE)</f>
        <v>0</v>
      </c>
      <c r="F52" s="41">
        <f t="shared" si="19"/>
        <v>0</v>
      </c>
      <c r="H52" s="11">
        <f>VLOOKUP(A52,TB!TB,5,FALSE)</f>
        <v>0</v>
      </c>
      <c r="I52" s="41">
        <f t="shared" si="20"/>
        <v>0</v>
      </c>
      <c r="K52" s="134">
        <f>VLOOKUP(A52,TB!TB1_1,4,FALSE)</f>
        <v>0</v>
      </c>
      <c r="L52" s="41">
        <f t="shared" si="23"/>
        <v>0</v>
      </c>
      <c r="N52" s="11">
        <f>VLOOKUP(A52,TB!TB1_1,5,FALSE)</f>
        <v>0</v>
      </c>
      <c r="O52" s="41">
        <f t="shared" si="24"/>
        <v>0</v>
      </c>
    </row>
    <row r="53" spans="1:18" x14ac:dyDescent="0.25">
      <c r="A53" s="39" t="s">
        <v>1435</v>
      </c>
      <c r="B53" s="36"/>
      <c r="C53" t="s">
        <v>678</v>
      </c>
      <c r="E53" s="134">
        <f>VLOOKUP(A53,TB!TB,4,FALSE)</f>
        <v>106.2</v>
      </c>
      <c r="F53" s="41">
        <f t="shared" si="19"/>
        <v>8.818725126233573E-4</v>
      </c>
      <c r="H53" s="11">
        <f>VLOOKUP(A53,TB!TB,5,FALSE)</f>
        <v>106.2</v>
      </c>
      <c r="I53" s="41">
        <f t="shared" si="20"/>
        <v>8.818725126233573E-4</v>
      </c>
      <c r="K53" s="134">
        <f>VLOOKUP(A53,TB!TB1_1,4,FALSE)</f>
        <v>97.62</v>
      </c>
      <c r="L53" s="41">
        <f t="shared" si="23"/>
        <v>0</v>
      </c>
      <c r="N53" s="11">
        <f>VLOOKUP(A53,TB!TB1_1,5,FALSE)</f>
        <v>97.62</v>
      </c>
      <c r="O53" s="41">
        <f t="shared" si="24"/>
        <v>0</v>
      </c>
    </row>
    <row r="54" spans="1:18" x14ac:dyDescent="0.25">
      <c r="A54" s="39" t="s">
        <v>1436</v>
      </c>
      <c r="B54" s="36"/>
      <c r="C54" t="s">
        <v>696</v>
      </c>
      <c r="E54" s="134">
        <f>VLOOKUP(A54,TB!TB,4,FALSE)</f>
        <v>0</v>
      </c>
      <c r="F54" s="41">
        <f t="shared" si="19"/>
        <v>0</v>
      </c>
      <c r="H54" s="11">
        <f>VLOOKUP(A54,TB!TB,5,FALSE)</f>
        <v>0</v>
      </c>
      <c r="I54" s="41">
        <f t="shared" si="20"/>
        <v>0</v>
      </c>
      <c r="K54" s="134">
        <f>VLOOKUP(A54,TB!TB1_1,4,FALSE)</f>
        <v>0</v>
      </c>
      <c r="L54" s="41">
        <f t="shared" si="23"/>
        <v>0</v>
      </c>
      <c r="N54" s="11">
        <f>VLOOKUP(A54,TB!TB1_1,5,FALSE)</f>
        <v>0</v>
      </c>
      <c r="O54" s="41">
        <f t="shared" si="24"/>
        <v>0</v>
      </c>
    </row>
    <row r="55" spans="1:18" x14ac:dyDescent="0.25">
      <c r="A55" s="39" t="s">
        <v>1437</v>
      </c>
      <c r="B55" s="36"/>
      <c r="C55" t="s">
        <v>726</v>
      </c>
      <c r="E55" s="137">
        <f>VLOOKUP(A55,TB!TB,4,FALSE)</f>
        <v>0</v>
      </c>
      <c r="F55" s="41">
        <f t="shared" si="19"/>
        <v>0</v>
      </c>
      <c r="H55" s="59">
        <f>VLOOKUP(A55,TB!TB,5,FALSE)</f>
        <v>0</v>
      </c>
      <c r="I55" s="41">
        <f t="shared" si="20"/>
        <v>0</v>
      </c>
      <c r="K55" s="134">
        <f>VLOOKUP(A55,TB!TB1_1,4,FALSE)</f>
        <v>0</v>
      </c>
      <c r="L55" s="41">
        <f t="shared" si="23"/>
        <v>0</v>
      </c>
      <c r="N55" s="11">
        <f>VLOOKUP(A55,TB!TB1_1,5,FALSE)</f>
        <v>0</v>
      </c>
      <c r="O55" s="41">
        <f t="shared" si="24"/>
        <v>0</v>
      </c>
    </row>
    <row r="56" spans="1:18" x14ac:dyDescent="0.25">
      <c r="C56" s="43" t="s">
        <v>1003</v>
      </c>
      <c r="E56" s="135">
        <f>SUM(E32:E55)</f>
        <v>14642.779999999999</v>
      </c>
      <c r="F56" s="86">
        <f t="shared" si="19"/>
        <v>0.12159195094530172</v>
      </c>
      <c r="H56" s="74">
        <f>SUM(H32:H55)</f>
        <v>14642.779999999999</v>
      </c>
      <c r="I56" s="86">
        <f t="shared" si="20"/>
        <v>0.12159195094530172</v>
      </c>
      <c r="K56" s="135">
        <f>SUM(K32:K55)</f>
        <v>9594.7700000000023</v>
      </c>
      <c r="L56" s="86">
        <f t="shared" ref="L56" si="25">IF(K$13,K56/K$13,0)</f>
        <v>3.4382811235418184E-2</v>
      </c>
      <c r="N56" s="74">
        <f>SUM(N32:N55)</f>
        <v>9594.7700000000023</v>
      </c>
      <c r="O56" s="86">
        <f t="shared" ref="O56" si="26">IF(N$13,N56/N$13,0)</f>
        <v>3.4382811235418184E-2</v>
      </c>
    </row>
    <row r="57" spans="1:18" ht="15.75" thickBot="1" x14ac:dyDescent="0.3"/>
    <row r="58" spans="1:18" ht="15.75" thickTop="1" x14ac:dyDescent="0.25">
      <c r="C58" s="37" t="s">
        <v>1024</v>
      </c>
      <c r="E58" s="138">
        <f>E29-E56</f>
        <v>-2132.0099999999802</v>
      </c>
      <c r="F58" s="41">
        <f t="shared" si="19"/>
        <v>-1.7703964365707217E-2</v>
      </c>
      <c r="H58" s="40">
        <f>H29-H56</f>
        <v>-2132.0099999999802</v>
      </c>
      <c r="I58" s="41">
        <f t="shared" ref="I58:I59" si="27">IF(H$13,H58/H$13,0)</f>
        <v>-1.7703964365707217E-2</v>
      </c>
      <c r="K58" s="138">
        <f>K29-K56</f>
        <v>65149.329999999973</v>
      </c>
      <c r="L58" s="41">
        <f t="shared" ref="L58:L59" si="28">IF(K$13,K58/K$13,0)</f>
        <v>0.23346230451631103</v>
      </c>
      <c r="N58" s="40">
        <f>N29-N56</f>
        <v>65149.329999999973</v>
      </c>
      <c r="O58" s="41">
        <f t="shared" ref="O58:O59" si="29">IF(N$13,N58/N$13,0)</f>
        <v>0.23346230451631103</v>
      </c>
      <c r="R58" s="99"/>
    </row>
    <row r="59" spans="1:18" ht="15.75" thickBot="1" x14ac:dyDescent="0.3">
      <c r="A59" s="39" t="s">
        <v>1438</v>
      </c>
      <c r="B59" s="36"/>
      <c r="C59" s="37" t="s">
        <v>743</v>
      </c>
      <c r="E59" s="137">
        <f>VLOOKUP(A59,TB!TB,4,FALSE)</f>
        <v>0</v>
      </c>
      <c r="F59" s="41">
        <f t="shared" si="19"/>
        <v>0</v>
      </c>
      <c r="H59" s="59">
        <f>VLOOKUP(A59,TB!TB,5,FALSE)</f>
        <v>0</v>
      </c>
      <c r="I59" s="41">
        <f t="shared" si="27"/>
        <v>0</v>
      </c>
      <c r="K59" s="137">
        <v>0</v>
      </c>
      <c r="L59" s="41">
        <f t="shared" si="28"/>
        <v>0</v>
      </c>
      <c r="N59" s="59">
        <v>0</v>
      </c>
      <c r="O59" s="41">
        <f t="shared" si="29"/>
        <v>0</v>
      </c>
    </row>
    <row r="60" spans="1:18" ht="15.75" thickTop="1" x14ac:dyDescent="0.25">
      <c r="E60" s="139"/>
      <c r="F60" s="99"/>
      <c r="H60" s="99"/>
      <c r="I60" s="99"/>
      <c r="K60" s="139"/>
      <c r="L60" s="99"/>
      <c r="N60" s="99"/>
      <c r="O60" s="99"/>
    </row>
    <row r="61" spans="1:18" x14ac:dyDescent="0.25">
      <c r="C61" s="37" t="s">
        <v>1025</v>
      </c>
      <c r="E61" s="138">
        <f>E58-E59</f>
        <v>-2132.0099999999802</v>
      </c>
      <c r="F61" s="41">
        <f t="shared" si="19"/>
        <v>-1.7703964365707217E-2</v>
      </c>
      <c r="H61" s="40">
        <f>H58-H59</f>
        <v>-2132.0099999999802</v>
      </c>
      <c r="I61" s="41">
        <f t="shared" ref="I61" si="30">IF(H$13,H61/H$13,0)</f>
        <v>-1.7703964365707217E-2</v>
      </c>
      <c r="K61" s="138">
        <f>K58-K59</f>
        <v>65149.329999999973</v>
      </c>
      <c r="L61" s="41">
        <f t="shared" ref="L61" si="31">IF(K$13,K61/K$13,0)</f>
        <v>0.23346230451631103</v>
      </c>
      <c r="N61" s="40">
        <f>N58-N59</f>
        <v>65149.329999999973</v>
      </c>
      <c r="O61" s="41">
        <f t="shared" ref="O61" si="32">IF(N$13,N61/N$13,0)</f>
        <v>0.23346230451631103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5" orientation="portrait" r:id="rId1"/>
  <colBreaks count="1" manualBreakCount="1">
    <brk id="16" max="57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269B-2C7C-4594-9A5C-3C8E0D719F4A}">
  <sheetPr>
    <tabColor rgb="FF0070C0"/>
  </sheetPr>
  <dimension ref="A1:R62"/>
  <sheetViews>
    <sheetView topLeftCell="A47" zoomScaleNormal="100" workbookViewId="0">
      <selection activeCell="C57" sqref="C57"/>
    </sheetView>
  </sheetViews>
  <sheetFormatPr defaultRowHeight="15" x14ac:dyDescent="0.25"/>
  <cols>
    <col min="1" max="1" width="12.42578125" customWidth="1"/>
    <col min="2" max="2" width="1.85546875" customWidth="1"/>
    <col min="3" max="3" width="29.140625" customWidth="1"/>
    <col min="4" max="4" width="2.7109375" customWidth="1"/>
    <col min="5" max="5" width="18.42578125" style="136" customWidth="1"/>
    <col min="6" max="6" width="8.42578125" customWidth="1"/>
    <col min="7" max="7" width="2.7109375" customWidth="1"/>
    <col min="8" max="8" width="18.5703125" customWidth="1"/>
    <col min="9" max="9" width="8.28515625" customWidth="1"/>
    <col min="10" max="10" width="2.85546875" customWidth="1"/>
    <col min="11" max="11" width="18.140625" style="136" customWidth="1"/>
    <col min="12" max="12" width="8.42578125" customWidth="1"/>
    <col min="13" max="13" width="3.5703125" customWidth="1"/>
    <col min="14" max="14" width="18" customWidth="1"/>
    <col min="15" max="15" width="7.42578125" customWidth="1"/>
    <col min="16" max="16" width="2.85546875" customWidth="1"/>
  </cols>
  <sheetData>
    <row r="1" spans="1:18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8" ht="26.25" x14ac:dyDescent="0.4">
      <c r="A2" s="153" t="s">
        <v>1074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</row>
    <row r="3" spans="1:18" ht="15.75" x14ac:dyDescent="0.25">
      <c r="A3" s="154">
        <f>DATEVALUE(TB!A3&amp;"/"&amp;TB!A4)</f>
        <v>46023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6"/>
      <c r="P3" s="6"/>
      <c r="Q3" s="8"/>
      <c r="R3" s="5"/>
    </row>
    <row r="4" spans="1:18" ht="15.75" x14ac:dyDescent="0.25">
      <c r="A4" s="6"/>
      <c r="B4" s="6"/>
      <c r="C4" s="8" t="s">
        <v>5</v>
      </c>
      <c r="D4" s="6"/>
      <c r="E4" s="132" t="s">
        <v>3</v>
      </c>
      <c r="F4" s="6"/>
      <c r="G4" s="6"/>
      <c r="H4" s="8" t="s">
        <v>4</v>
      </c>
      <c r="I4" s="6"/>
      <c r="J4" s="6"/>
      <c r="K4" s="132" t="s">
        <v>3</v>
      </c>
      <c r="L4" s="6"/>
      <c r="M4" s="6"/>
      <c r="N4" s="8" t="s">
        <v>4</v>
      </c>
      <c r="O4" s="5"/>
      <c r="P4" s="5"/>
      <c r="Q4" s="31"/>
      <c r="R4" s="16"/>
    </row>
    <row r="5" spans="1:18" ht="15.75" x14ac:dyDescent="0.25">
      <c r="A5" s="7" t="s">
        <v>1000</v>
      </c>
      <c r="B5" s="5"/>
      <c r="C5" s="38" t="s">
        <v>1039</v>
      </c>
      <c r="D5" s="5"/>
      <c r="E5" s="133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133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  <c r="P5" s="16"/>
    </row>
    <row r="6" spans="1:18" x14ac:dyDescent="0.25">
      <c r="A6" s="39" t="s">
        <v>995</v>
      </c>
      <c r="B6" s="36"/>
      <c r="C6" t="s">
        <v>1035</v>
      </c>
      <c r="E6" s="134">
        <f>VLOOKUP(A6,TB!TB,4,FALSE)*-1</f>
        <v>0</v>
      </c>
      <c r="F6" s="41">
        <f>IF(E$14,E6/E$14,0)</f>
        <v>0</v>
      </c>
      <c r="H6" s="11">
        <f>VLOOKUP(A6,TB!TB,5,FALSE)*-1</f>
        <v>0</v>
      </c>
      <c r="I6" s="41">
        <f>IF(H$14,H6/H$14,0)</f>
        <v>0</v>
      </c>
      <c r="K6" s="134">
        <f>VLOOKUP(A6,TB!TB1_1,4,FALSE)*-1</f>
        <v>0</v>
      </c>
      <c r="L6" s="41">
        <f>IF(K$14,K6/K$14,0)</f>
        <v>0</v>
      </c>
      <c r="N6" s="11">
        <f>VLOOKUP(A6,TB!TB1_1,5,FALSE)*-1</f>
        <v>0</v>
      </c>
      <c r="O6" s="41">
        <f>IF(N$14,N6/N$14,0)</f>
        <v>0</v>
      </c>
    </row>
    <row r="7" spans="1:18" x14ac:dyDescent="0.25">
      <c r="A7" s="39" t="s">
        <v>194</v>
      </c>
      <c r="B7" s="36"/>
      <c r="C7" t="s">
        <v>1036</v>
      </c>
      <c r="E7" s="134">
        <f>VLOOKUP(A7,TB!TB,4,FALSE)*-1</f>
        <v>0</v>
      </c>
      <c r="F7" s="41">
        <f t="shared" ref="F7:F14" si="0">IF(E$14,E7/E$14,0)</f>
        <v>0</v>
      </c>
      <c r="H7" s="11">
        <f>VLOOKUP(A7,TB!TB,5,FALSE)*-1</f>
        <v>0</v>
      </c>
      <c r="I7" s="41">
        <f t="shared" ref="I7:I14" si="1">IF(H$14,H7/H$14,0)</f>
        <v>0</v>
      </c>
      <c r="K7" s="134">
        <f>VLOOKUP(A7,TB!TB1_1,4,FALSE)*-1</f>
        <v>764622.72</v>
      </c>
      <c r="L7" s="41">
        <f>IF(K$14,K7/K$14,0)</f>
        <v>0.73419490071566895</v>
      </c>
      <c r="N7" s="11">
        <f>VLOOKUP(A7,TB!TB1_1,5,FALSE)*-1</f>
        <v>764622.72</v>
      </c>
      <c r="O7" s="41">
        <f>IF(N$14,N7/N$14,0)</f>
        <v>0.73419490071566895</v>
      </c>
    </row>
    <row r="8" spans="1:18" x14ac:dyDescent="0.25">
      <c r="A8" s="39" t="s">
        <v>1271</v>
      </c>
      <c r="B8" s="36"/>
      <c r="C8" t="s">
        <v>1280</v>
      </c>
      <c r="E8" s="134">
        <f>VLOOKUP(A8,TB!TB,4,FALSE)*-1</f>
        <v>0</v>
      </c>
      <c r="F8" s="41">
        <f t="shared" ref="F8" si="2">IF(E$14,E8/E$14,0)</f>
        <v>0</v>
      </c>
      <c r="H8" s="11">
        <f>VLOOKUP(A8,TB!TB,5,FALSE)*-1</f>
        <v>0</v>
      </c>
      <c r="I8" s="41">
        <f t="shared" ref="I8" si="3">IF(H$14,H8/H$14,0)</f>
        <v>0</v>
      </c>
      <c r="K8" s="134">
        <f>VLOOKUP(A8,TB!TB1_1,4,FALSE)*-1</f>
        <v>0</v>
      </c>
      <c r="L8" s="41">
        <f>IF(K$14,K8/K$14,0)</f>
        <v>0</v>
      </c>
      <c r="N8" s="11">
        <f>VLOOKUP(A8,TB!TB1_1,5,FALSE)*-1</f>
        <v>0</v>
      </c>
      <c r="O8" s="41">
        <f>IF(N$14,N8/N$14,0)</f>
        <v>0</v>
      </c>
    </row>
    <row r="9" spans="1:18" x14ac:dyDescent="0.25">
      <c r="A9" s="39" t="s">
        <v>187</v>
      </c>
      <c r="B9" s="36"/>
      <c r="C9" t="s">
        <v>185</v>
      </c>
      <c r="E9" s="134">
        <f>VLOOKUP(A9,TB!TB,4,FALSE)*-1</f>
        <v>0</v>
      </c>
      <c r="F9" s="41">
        <f t="shared" si="0"/>
        <v>0</v>
      </c>
      <c r="H9" s="11">
        <f>VLOOKUP(A9,TB!TB,5,FALSE)*-1</f>
        <v>0</v>
      </c>
      <c r="I9" s="41">
        <f t="shared" si="1"/>
        <v>0</v>
      </c>
      <c r="K9" s="134">
        <f>VLOOKUP(A9,TB!TB1_1,4,FALSE)*-1</f>
        <v>0</v>
      </c>
      <c r="L9" s="41">
        <f t="shared" ref="L9:L14" si="4">IF(K$14,K9/K$14,0)</f>
        <v>0</v>
      </c>
      <c r="N9" s="11">
        <f>VLOOKUP(A9,TB!TB1_1,5,FALSE)*-1</f>
        <v>0</v>
      </c>
      <c r="O9" s="41">
        <f t="shared" ref="O9:O14" si="5">IF(N$14,N9/N$14,0)</f>
        <v>0</v>
      </c>
    </row>
    <row r="10" spans="1:18" x14ac:dyDescent="0.25">
      <c r="A10" s="39" t="s">
        <v>1272</v>
      </c>
      <c r="B10" s="36"/>
      <c r="C10" t="s">
        <v>1268</v>
      </c>
      <c r="E10" s="134">
        <f>VLOOKUP(A10,TB!TB,4,FALSE)*-1</f>
        <v>0</v>
      </c>
      <c r="F10" s="41">
        <f t="shared" ref="F10" si="6">IF(E$14,E10/E$14,0)</f>
        <v>0</v>
      </c>
      <c r="H10" s="11">
        <f>VLOOKUP(A10,TB!TB,5,FALSE)*-1</f>
        <v>0</v>
      </c>
      <c r="I10" s="41">
        <f t="shared" ref="I10" si="7">IF(H$14,H10/H$14,0)</f>
        <v>0</v>
      </c>
      <c r="K10" s="134">
        <f>VLOOKUP(A10,TB!TB1_1,4,FALSE)*-1</f>
        <v>0</v>
      </c>
      <c r="L10" s="41">
        <f t="shared" ref="L10" si="8">IF(K$14,K10/K$14,0)</f>
        <v>0</v>
      </c>
      <c r="N10" s="11">
        <f>VLOOKUP(A10,TB!TB1_1,5,FALSE)*-1</f>
        <v>0</v>
      </c>
      <c r="O10" s="41">
        <f t="shared" ref="O10" si="9">IF(N$14,N10/N$14,0)</f>
        <v>0</v>
      </c>
    </row>
    <row r="11" spans="1:18" x14ac:dyDescent="0.25">
      <c r="A11" s="39" t="s">
        <v>228</v>
      </c>
      <c r="B11" s="36"/>
      <c r="C11" t="s">
        <v>1037</v>
      </c>
      <c r="E11" s="134">
        <f>VLOOKUP(A11,TB!TB,4,FALSE)*-1</f>
        <v>27086.31</v>
      </c>
      <c r="F11" s="41">
        <f t="shared" si="0"/>
        <v>1</v>
      </c>
      <c r="H11" s="11">
        <f>VLOOKUP(A11,TB!TB,5,FALSE)*-1</f>
        <v>27086.31</v>
      </c>
      <c r="I11" s="41">
        <f t="shared" si="1"/>
        <v>1</v>
      </c>
      <c r="K11" s="134">
        <f>VLOOKUP(A11,TB!TB1_1,4,FALSE)*-1</f>
        <v>270923.07</v>
      </c>
      <c r="L11" s="41">
        <f t="shared" si="4"/>
        <v>0.26014180755737187</v>
      </c>
      <c r="N11" s="11">
        <f>VLOOKUP(A11,TB!TB1_1,5,FALSE)*-1</f>
        <v>270923.07</v>
      </c>
      <c r="O11" s="41">
        <f t="shared" si="5"/>
        <v>0.26014180755737187</v>
      </c>
    </row>
    <row r="12" spans="1:18" x14ac:dyDescent="0.25">
      <c r="A12" s="39" t="s">
        <v>191</v>
      </c>
      <c r="B12" s="36"/>
      <c r="C12" t="s">
        <v>189</v>
      </c>
      <c r="E12" s="134">
        <f>VLOOKUP(A12,TB!TB,4,FALSE)*-1</f>
        <v>0</v>
      </c>
      <c r="F12" s="41">
        <f t="shared" si="0"/>
        <v>0</v>
      </c>
      <c r="H12" s="11">
        <f>VLOOKUP(A12,TB!TB,5,FALSE)*-1</f>
        <v>0</v>
      </c>
      <c r="I12" s="41">
        <f t="shared" si="1"/>
        <v>0</v>
      </c>
      <c r="K12" s="134">
        <f>VLOOKUP(A12,TB!TB1_1,4,FALSE)*-1</f>
        <v>5898</v>
      </c>
      <c r="L12" s="41">
        <f t="shared" si="4"/>
        <v>5.6632917269591665E-3</v>
      </c>
      <c r="N12" s="11">
        <f>VLOOKUP(A12,TB!TB1_1,5,FALSE)*-1</f>
        <v>5898</v>
      </c>
      <c r="O12" s="41">
        <f t="shared" si="5"/>
        <v>5.6632917269591665E-3</v>
      </c>
    </row>
    <row r="13" spans="1:18" x14ac:dyDescent="0.25">
      <c r="A13" s="39" t="s">
        <v>1179</v>
      </c>
      <c r="B13" s="36"/>
      <c r="C13" t="s">
        <v>2066</v>
      </c>
      <c r="E13" s="134">
        <f>VLOOKUP(A13,TB!TB,4,FALSE)*-1</f>
        <v>0</v>
      </c>
      <c r="F13" s="41">
        <f t="shared" ref="F13" si="10">IF(E$14,E13/E$14,0)</f>
        <v>0</v>
      </c>
      <c r="H13" s="11">
        <f>VLOOKUP(A13,TB!TB,5,FALSE)*-1</f>
        <v>0</v>
      </c>
      <c r="I13" s="41">
        <f t="shared" ref="I13" si="11">IF(H$14,H13/H$14,0)</f>
        <v>0</v>
      </c>
      <c r="K13" s="134">
        <f>VLOOKUP(A13,TB!TB1_1,4,FALSE)*-1</f>
        <v>0</v>
      </c>
      <c r="L13" s="41">
        <f t="shared" ref="L13" si="12">IF(K$14,K13/K$14,0)</f>
        <v>0</v>
      </c>
      <c r="N13" s="11">
        <f>VLOOKUP(A13,TB!TB1_1,5,FALSE)*-1</f>
        <v>0</v>
      </c>
      <c r="O13" s="41">
        <f t="shared" ref="O13" si="13">IF(N$14,N13/N$14,0)</f>
        <v>0</v>
      </c>
    </row>
    <row r="14" spans="1:18" x14ac:dyDescent="0.25">
      <c r="A14" s="36"/>
      <c r="B14" s="36"/>
      <c r="C14" s="43" t="s">
        <v>1038</v>
      </c>
      <c r="E14" s="135">
        <f>SUM(E6:E13)</f>
        <v>27086.31</v>
      </c>
      <c r="F14" s="86">
        <f t="shared" si="0"/>
        <v>1</v>
      </c>
      <c r="H14" s="74">
        <f>SUM(H6:H13)</f>
        <v>27086.31</v>
      </c>
      <c r="I14" s="86">
        <f t="shared" si="1"/>
        <v>1</v>
      </c>
      <c r="K14" s="135">
        <f>SUM(K6:K13)</f>
        <v>1041443.79</v>
      </c>
      <c r="L14" s="86">
        <f t="shared" si="4"/>
        <v>1</v>
      </c>
      <c r="N14" s="74">
        <f>SUM(N6:N13)</f>
        <v>1041443.79</v>
      </c>
      <c r="O14" s="86">
        <f t="shared" si="5"/>
        <v>1</v>
      </c>
    </row>
    <row r="15" spans="1:18" x14ac:dyDescent="0.25">
      <c r="A15" s="36"/>
      <c r="B15" s="36"/>
    </row>
    <row r="16" spans="1:18" x14ac:dyDescent="0.25">
      <c r="A16" s="36"/>
      <c r="B16" s="36"/>
    </row>
    <row r="17" spans="1:15" x14ac:dyDescent="0.25">
      <c r="A17" s="39" t="s">
        <v>310</v>
      </c>
      <c r="B17" s="36"/>
      <c r="C17" t="s">
        <v>1035</v>
      </c>
      <c r="E17" s="134">
        <f>VLOOKUP(A17,TB!TB,4,FALSE)</f>
        <v>0</v>
      </c>
      <c r="F17" s="41">
        <f t="shared" ref="F17:F30" si="14">IF(E$14,E17/E$14,0)</f>
        <v>0</v>
      </c>
      <c r="H17" s="11">
        <f>VLOOKUP(A17,TB!TB,5,FALSE)</f>
        <v>0</v>
      </c>
      <c r="I17" s="41">
        <f t="shared" ref="I17:I25" si="15">IF(H$14,H17/H$14,0)</f>
        <v>0</v>
      </c>
      <c r="K17" s="134">
        <f>VLOOKUP(A17,TB!TB1_1,4,FALSE)</f>
        <v>0</v>
      </c>
      <c r="L17" s="41">
        <f t="shared" ref="L17:L25" si="16">IF(K$14,K17/K$14,0)</f>
        <v>0</v>
      </c>
      <c r="N17" s="11">
        <f>VLOOKUP(A17,TB!TB1_1,5,FALSE)</f>
        <v>0</v>
      </c>
      <c r="O17" s="41">
        <f t="shared" ref="O17:O25" si="17">IF(N$14,N17/N$14,0)</f>
        <v>0</v>
      </c>
    </row>
    <row r="18" spans="1:15" x14ac:dyDescent="0.25">
      <c r="A18" s="39" t="s">
        <v>313</v>
      </c>
      <c r="B18" s="36"/>
      <c r="C18" t="s">
        <v>1036</v>
      </c>
      <c r="E18" s="134">
        <f>VLOOKUP(A18,TB!TB,4,FALSE)</f>
        <v>0</v>
      </c>
      <c r="F18" s="41">
        <f t="shared" si="14"/>
        <v>0</v>
      </c>
      <c r="H18" s="11">
        <f>VLOOKUP(A18,TB!TB,5,FALSE)</f>
        <v>0</v>
      </c>
      <c r="I18" s="41">
        <f t="shared" si="15"/>
        <v>0</v>
      </c>
      <c r="K18" s="134">
        <f>VLOOKUP(A18,TB!TB1_1,4,FALSE)</f>
        <v>659733.31000000006</v>
      </c>
      <c r="L18" s="41">
        <f t="shared" si="16"/>
        <v>0.63347951789121526</v>
      </c>
      <c r="N18" s="11">
        <f>VLOOKUP(A18,TB!TB1_1,5,FALSE)</f>
        <v>659733.31000000006</v>
      </c>
      <c r="O18" s="41">
        <f t="shared" si="17"/>
        <v>0.63347951789121526</v>
      </c>
    </row>
    <row r="19" spans="1:15" x14ac:dyDescent="0.25">
      <c r="A19" s="39" t="s">
        <v>397</v>
      </c>
      <c r="B19" s="36"/>
      <c r="C19" t="s">
        <v>1026</v>
      </c>
      <c r="E19" s="134">
        <f>VLOOKUP(A19,TB!TB,4,FALSE)</f>
        <v>0</v>
      </c>
      <c r="F19" s="41">
        <f t="shared" si="14"/>
        <v>0</v>
      </c>
      <c r="H19" s="11">
        <f>VLOOKUP(A19,TB!TB,5,FALSE)</f>
        <v>0</v>
      </c>
      <c r="I19" s="41">
        <f t="shared" si="15"/>
        <v>0</v>
      </c>
      <c r="K19" s="134">
        <f>VLOOKUP(A19,TB!TB1_1,4,FALSE)</f>
        <v>604.25</v>
      </c>
      <c r="L19" s="41">
        <f t="shared" si="16"/>
        <v>5.8020414140642191E-4</v>
      </c>
      <c r="N19" s="11">
        <f>VLOOKUP(A19,TB!TB1_1,5,FALSE)</f>
        <v>604.25</v>
      </c>
      <c r="O19" s="41">
        <f t="shared" si="17"/>
        <v>5.8020414140642191E-4</v>
      </c>
    </row>
    <row r="20" spans="1:15" x14ac:dyDescent="0.25">
      <c r="A20" s="39" t="s">
        <v>409</v>
      </c>
      <c r="B20" s="36"/>
      <c r="C20" t="s">
        <v>1027</v>
      </c>
      <c r="E20" s="134">
        <f>VLOOKUP(A20,TB!TB,4,FALSE)</f>
        <v>0</v>
      </c>
      <c r="F20" s="41">
        <f t="shared" si="14"/>
        <v>0</v>
      </c>
      <c r="H20" s="11">
        <f>VLOOKUP(A20,TB!TB,5,FALSE)</f>
        <v>0</v>
      </c>
      <c r="I20" s="41">
        <f t="shared" si="15"/>
        <v>0</v>
      </c>
      <c r="K20" s="134">
        <f>VLOOKUP(A20,TB!TB1_1,4,FALSE)</f>
        <v>0</v>
      </c>
      <c r="L20" s="41">
        <f t="shared" si="16"/>
        <v>0</v>
      </c>
      <c r="N20" s="11">
        <f>VLOOKUP(A20,TB!TB1_1,5,FALSE)</f>
        <v>0</v>
      </c>
      <c r="O20" s="41">
        <f t="shared" si="17"/>
        <v>0</v>
      </c>
    </row>
    <row r="21" spans="1:15" x14ac:dyDescent="0.25">
      <c r="A21" s="39" t="s">
        <v>401</v>
      </c>
      <c r="B21" s="36"/>
      <c r="C21" t="s">
        <v>2067</v>
      </c>
      <c r="E21" s="134">
        <f>VLOOKUP(A21,TB!TB,4,FALSE)</f>
        <v>0</v>
      </c>
      <c r="F21" s="41">
        <f t="shared" si="14"/>
        <v>0</v>
      </c>
      <c r="H21" s="11">
        <f>VLOOKUP(A21,TB!TB,5,FALSE)</f>
        <v>0</v>
      </c>
      <c r="I21" s="41">
        <f t="shared" si="15"/>
        <v>0</v>
      </c>
      <c r="K21" s="134">
        <f>VLOOKUP(A21,TB!TB1_1,4,FALSE)</f>
        <v>0</v>
      </c>
      <c r="L21" s="41">
        <f t="shared" si="16"/>
        <v>0</v>
      </c>
      <c r="N21" s="11">
        <f>VLOOKUP(A21,TB!TB1_1,5,FALSE)</f>
        <v>0</v>
      </c>
      <c r="O21" s="41">
        <f t="shared" si="17"/>
        <v>0</v>
      </c>
    </row>
    <row r="22" spans="1:15" x14ac:dyDescent="0.25">
      <c r="A22" s="39" t="s">
        <v>404</v>
      </c>
      <c r="B22" s="36"/>
      <c r="C22" t="s">
        <v>2068</v>
      </c>
      <c r="E22" s="134">
        <f>VLOOKUP(A22,TB!TB,4,FALSE)</f>
        <v>0</v>
      </c>
      <c r="F22" s="41">
        <f t="shared" si="14"/>
        <v>0</v>
      </c>
      <c r="H22" s="11">
        <f>VLOOKUP(A22,TB!TB,5,FALSE)</f>
        <v>0</v>
      </c>
      <c r="I22" s="41">
        <f t="shared" si="15"/>
        <v>0</v>
      </c>
      <c r="K22" s="134">
        <f>VLOOKUP(A22,TB!TB1_1,4,FALSE)</f>
        <v>0</v>
      </c>
      <c r="L22" s="41">
        <f t="shared" si="16"/>
        <v>0</v>
      </c>
      <c r="N22" s="11">
        <f>VLOOKUP(A22,TB!TB1_1,5,FALSE)</f>
        <v>0</v>
      </c>
      <c r="O22" s="41">
        <f t="shared" si="17"/>
        <v>0</v>
      </c>
    </row>
    <row r="23" spans="1:15" x14ac:dyDescent="0.25">
      <c r="A23" s="39" t="s">
        <v>361</v>
      </c>
      <c r="B23" s="36"/>
      <c r="C23" t="s">
        <v>1029</v>
      </c>
      <c r="E23" s="134">
        <f>VLOOKUP(A23,TB!TB,4,FALSE)</f>
        <v>0</v>
      </c>
      <c r="F23" s="41">
        <f t="shared" si="14"/>
        <v>0</v>
      </c>
      <c r="H23" s="11">
        <f>VLOOKUP(A23,TB!TB,5,FALSE)</f>
        <v>0</v>
      </c>
      <c r="I23" s="41">
        <f t="shared" si="15"/>
        <v>0</v>
      </c>
      <c r="K23" s="134">
        <f>VLOOKUP(A23,TB!TB1_1,4,FALSE)</f>
        <v>0</v>
      </c>
      <c r="L23" s="41">
        <f t="shared" si="16"/>
        <v>0</v>
      </c>
      <c r="N23" s="11">
        <f>VLOOKUP(A23,TB!TB1_1,5,FALSE)</f>
        <v>0</v>
      </c>
      <c r="O23" s="41">
        <f t="shared" si="17"/>
        <v>0</v>
      </c>
    </row>
    <row r="24" spans="1:15" x14ac:dyDescent="0.25">
      <c r="A24" s="39" t="s">
        <v>342</v>
      </c>
      <c r="B24" s="36"/>
      <c r="C24" t="s">
        <v>1030</v>
      </c>
      <c r="E24" s="134">
        <f>VLOOKUP(A24,TB!TB,4,FALSE)</f>
        <v>0</v>
      </c>
      <c r="F24" s="41">
        <f t="shared" si="14"/>
        <v>0</v>
      </c>
      <c r="H24" s="11">
        <f>VLOOKUP(A24,TB!TB,5,FALSE)</f>
        <v>0</v>
      </c>
      <c r="I24" s="41">
        <f t="shared" si="15"/>
        <v>0</v>
      </c>
      <c r="K24" s="134">
        <f>VLOOKUP(A24,TB!TB1_1,4,FALSE)</f>
        <v>0</v>
      </c>
      <c r="L24" s="41">
        <f t="shared" si="16"/>
        <v>0</v>
      </c>
      <c r="N24" s="11">
        <f>VLOOKUP(A24,TB!TB1_1,5,FALSE)</f>
        <v>0</v>
      </c>
      <c r="O24" s="41">
        <f t="shared" si="17"/>
        <v>0</v>
      </c>
    </row>
    <row r="25" spans="1:15" x14ac:dyDescent="0.25">
      <c r="A25" s="39" t="s">
        <v>333</v>
      </c>
      <c r="B25" s="36"/>
      <c r="C25" t="s">
        <v>1031</v>
      </c>
      <c r="E25" s="134">
        <f>VLOOKUP(A25,TB!TB,4,FALSE)</f>
        <v>21686.31</v>
      </c>
      <c r="F25" s="41">
        <f t="shared" si="14"/>
        <v>0.80063729611010137</v>
      </c>
      <c r="H25" s="11">
        <f>VLOOKUP(A25,TB!TB,5,FALSE)</f>
        <v>21686.31</v>
      </c>
      <c r="I25" s="41">
        <f t="shared" si="15"/>
        <v>0.80063729611010137</v>
      </c>
      <c r="K25" s="134">
        <f>VLOOKUP(A25,TB!TB1_1,4,FALSE)</f>
        <v>213156.49</v>
      </c>
      <c r="L25" s="41">
        <f t="shared" si="16"/>
        <v>0.20467402278139274</v>
      </c>
      <c r="N25" s="11">
        <f>VLOOKUP(A25,TB!TB1_1,5,FALSE)</f>
        <v>213156.49</v>
      </c>
      <c r="O25" s="41">
        <f t="shared" si="17"/>
        <v>0.20467402278139274</v>
      </c>
    </row>
    <row r="26" spans="1:15" x14ac:dyDescent="0.25">
      <c r="A26" s="39" t="s">
        <v>561</v>
      </c>
      <c r="B26" s="36"/>
      <c r="C26" t="s">
        <v>1032</v>
      </c>
      <c r="E26" s="134">
        <f>VLOOKUP(A26,TB!TB,4,FALSE)</f>
        <v>0</v>
      </c>
      <c r="F26" s="41">
        <f>IF(E$14,E26/E$14,0)</f>
        <v>0</v>
      </c>
      <c r="H26" s="59">
        <f>VLOOKUP(A26,TB!TB,5,FALSE)</f>
        <v>0</v>
      </c>
      <c r="I26" s="41">
        <f>IF(H$14,H26/H$14,0)</f>
        <v>0</v>
      </c>
      <c r="K26" s="137">
        <f>VLOOKUP(A26,TB!TB1_1,4,FALSE)</f>
        <v>275.04000000000002</v>
      </c>
      <c r="L26" s="41">
        <f>IF(K$14,K26/K$14,0)</f>
        <v>2.6409490616867572E-4</v>
      </c>
      <c r="N26" s="59">
        <f>VLOOKUP(A26,TB!TB1_1,5,FALSE)</f>
        <v>275.04000000000002</v>
      </c>
      <c r="O26" s="41">
        <f>IF(N$14,N26/N$14,0)</f>
        <v>2.6409490616867572E-4</v>
      </c>
    </row>
    <row r="27" spans="1:15" x14ac:dyDescent="0.25">
      <c r="A27" s="36"/>
      <c r="B27" s="36"/>
      <c r="C27" s="43" t="s">
        <v>1033</v>
      </c>
      <c r="E27" s="135">
        <f>SUM(E17:E26)</f>
        <v>21686.31</v>
      </c>
      <c r="F27" s="86">
        <f>IF(E$14,E27/E$14,0)</f>
        <v>0.80063729611010137</v>
      </c>
      <c r="H27" s="74">
        <f>SUM(H17:H26)</f>
        <v>21686.31</v>
      </c>
      <c r="I27" s="86">
        <f>IF(H$14,H27/H$14,0)</f>
        <v>0.80063729611010137</v>
      </c>
      <c r="K27" s="135">
        <f>SUM(K17:K26)</f>
        <v>873769.09000000008</v>
      </c>
      <c r="L27" s="86">
        <f>IF(K$14,K27/K$14,0)</f>
        <v>0.83899783972018316</v>
      </c>
      <c r="N27" s="74">
        <f>SUM(N17:N26)</f>
        <v>873769.09000000008</v>
      </c>
      <c r="O27" s="86">
        <f>IF(N$14,N27/N$14,0)</f>
        <v>0.83899783972018316</v>
      </c>
    </row>
    <row r="29" spans="1:15" x14ac:dyDescent="0.25">
      <c r="A29" s="36"/>
      <c r="B29" s="36"/>
    </row>
    <row r="30" spans="1:15" x14ac:dyDescent="0.25">
      <c r="A30" s="36"/>
      <c r="B30" s="36"/>
      <c r="C30" s="43" t="s">
        <v>1034</v>
      </c>
      <c r="E30" s="138">
        <f>E14-E27</f>
        <v>5400</v>
      </c>
      <c r="F30" s="41">
        <f t="shared" si="14"/>
        <v>0.1993627038898986</v>
      </c>
      <c r="H30" s="40">
        <f>H14-H27</f>
        <v>5400</v>
      </c>
      <c r="I30" s="41">
        <f t="shared" ref="I30" si="18">IF(H$14,H30/H$14,0)</f>
        <v>0.1993627038898986</v>
      </c>
      <c r="K30" s="138">
        <f>K14-K27</f>
        <v>167674.69999999995</v>
      </c>
      <c r="L30" s="41">
        <f t="shared" ref="L30" si="19">IF(K$14,K30/K$14,0)</f>
        <v>0.16100216027981687</v>
      </c>
      <c r="N30" s="40">
        <f>N14-N27</f>
        <v>167674.69999999995</v>
      </c>
      <c r="O30" s="41">
        <f t="shared" ref="O30" si="20">IF(N$14,N30/N$14,0)</f>
        <v>0.16100216027981687</v>
      </c>
    </row>
    <row r="31" spans="1:15" x14ac:dyDescent="0.25">
      <c r="A31" s="36"/>
      <c r="B31" s="36"/>
    </row>
    <row r="32" spans="1:15" x14ac:dyDescent="0.25">
      <c r="A32" s="36"/>
      <c r="B32" s="36"/>
    </row>
    <row r="33" spans="1:15" x14ac:dyDescent="0.25">
      <c r="A33" s="39" t="s">
        <v>425</v>
      </c>
      <c r="B33" s="36"/>
      <c r="C33" t="s">
        <v>419</v>
      </c>
      <c r="E33" s="134">
        <f>VLOOKUP(A33,TB!TB,4,FALSE)</f>
        <v>0</v>
      </c>
      <c r="F33" s="41">
        <f t="shared" ref="F33:F62" si="21">IF(E$14,E33/E$14,0)</f>
        <v>0</v>
      </c>
      <c r="H33" s="11">
        <f>VLOOKUP(A33,TB!TB,5,FALSE)</f>
        <v>0</v>
      </c>
      <c r="I33" s="41">
        <f t="shared" ref="I33:I57" si="22">IF(H$14,H33/H$14,0)</f>
        <v>0</v>
      </c>
      <c r="K33" s="134">
        <f>VLOOKUP(A33,TB!TB1_1,4,FALSE)</f>
        <v>0</v>
      </c>
      <c r="L33" s="41">
        <f t="shared" ref="L33:L57" si="23">IF(K$14,K33/K$14,0)</f>
        <v>0</v>
      </c>
      <c r="N33" s="11">
        <f>VLOOKUP(A33,TB!TB1_1,5,FALSE)</f>
        <v>0</v>
      </c>
      <c r="O33" s="41">
        <f t="shared" ref="O33:O57" si="24">IF(N$14,N33/N$14,0)</f>
        <v>0</v>
      </c>
    </row>
    <row r="34" spans="1:15" x14ac:dyDescent="0.25">
      <c r="A34" s="39" t="s">
        <v>438</v>
      </c>
      <c r="B34" s="36"/>
      <c r="C34" t="s">
        <v>435</v>
      </c>
      <c r="E34" s="134">
        <f>VLOOKUP(A34,TB!TB,4,FALSE)</f>
        <v>8076</v>
      </c>
      <c r="F34" s="41">
        <f t="shared" si="21"/>
        <v>0.29815799937311505</v>
      </c>
      <c r="H34" s="11">
        <f>VLOOKUP(A34,TB!TB,5,FALSE)</f>
        <v>8076</v>
      </c>
      <c r="I34" s="41">
        <f t="shared" si="22"/>
        <v>0.29815799937311505</v>
      </c>
      <c r="K34" s="134">
        <f>VLOOKUP(A34,TB!TB1_1,4,FALSE)</f>
        <v>8076</v>
      </c>
      <c r="L34" s="41">
        <f t="shared" si="23"/>
        <v>7.7546191907294391E-3</v>
      </c>
      <c r="N34" s="11">
        <f>VLOOKUP(A34,TB!TB1_1,5,FALSE)</f>
        <v>8076</v>
      </c>
      <c r="O34" s="41">
        <f t="shared" si="24"/>
        <v>7.7546191907294391E-3</v>
      </c>
    </row>
    <row r="35" spans="1:15" x14ac:dyDescent="0.25">
      <c r="A35" s="39" t="s">
        <v>449</v>
      </c>
      <c r="B35" s="36"/>
      <c r="C35" t="s">
        <v>444</v>
      </c>
      <c r="E35" s="134">
        <f>VLOOKUP(A35,TB!TB,4,FALSE)</f>
        <v>0</v>
      </c>
      <c r="F35" s="41">
        <f t="shared" si="21"/>
        <v>0</v>
      </c>
      <c r="H35" s="11">
        <f>VLOOKUP(A35,TB!TB,5,FALSE)</f>
        <v>0</v>
      </c>
      <c r="I35" s="41">
        <f t="shared" si="22"/>
        <v>0</v>
      </c>
      <c r="K35" s="134">
        <f>VLOOKUP(A35,TB!TB1_1,4,FALSE)</f>
        <v>0</v>
      </c>
      <c r="L35" s="41">
        <f t="shared" si="23"/>
        <v>0</v>
      </c>
      <c r="N35" s="11">
        <f>VLOOKUP(A35,TB!TB1_1,5,FALSE)</f>
        <v>0</v>
      </c>
      <c r="O35" s="41">
        <f t="shared" si="24"/>
        <v>0</v>
      </c>
    </row>
    <row r="36" spans="1:15" x14ac:dyDescent="0.25">
      <c r="A36" s="39" t="s">
        <v>460</v>
      </c>
      <c r="B36" s="36"/>
      <c r="C36" t="s">
        <v>464</v>
      </c>
      <c r="E36" s="134">
        <f>VLOOKUP(A36,TB!TB,4,FALSE)</f>
        <v>0</v>
      </c>
      <c r="F36" s="41">
        <f t="shared" si="21"/>
        <v>0</v>
      </c>
      <c r="H36" s="11">
        <f>VLOOKUP(A36,TB!TB,5,FALSE)</f>
        <v>0</v>
      </c>
      <c r="I36" s="41">
        <f t="shared" si="22"/>
        <v>0</v>
      </c>
      <c r="K36" s="134">
        <f>VLOOKUP(A36,TB!TB1_1,4,FALSE)</f>
        <v>11843.06</v>
      </c>
      <c r="L36" s="41">
        <f t="shared" ref="L36" si="25">IF(K$14,K36/K$14,0)</f>
        <v>1.1371770722258567E-2</v>
      </c>
      <c r="N36" s="11">
        <f>VLOOKUP(A36,TB!TB1_1,5,FALSE)</f>
        <v>11843.06</v>
      </c>
      <c r="O36" s="41">
        <f t="shared" ref="O36" si="26">IF(N$14,N36/N$14,0)</f>
        <v>1.1371770722258567E-2</v>
      </c>
    </row>
    <row r="37" spans="1:15" x14ac:dyDescent="0.25">
      <c r="A37" s="39" t="s">
        <v>1283</v>
      </c>
      <c r="B37" s="36"/>
      <c r="C37" t="s">
        <v>1290</v>
      </c>
      <c r="E37" s="134">
        <f>VLOOKUP(A37,TB!TB,4,FALSE)</f>
        <v>0</v>
      </c>
      <c r="F37" s="41">
        <f t="shared" ref="F37:F39" si="27">IF(E$14,E37/E$14,0)</f>
        <v>0</v>
      </c>
      <c r="H37" s="11">
        <f>VLOOKUP(A37,TB!TB,5,FALSE)</f>
        <v>0</v>
      </c>
      <c r="I37" s="41">
        <f t="shared" ref="I37:I39" si="28">IF(H$14,H37/H$14,0)</f>
        <v>0</v>
      </c>
      <c r="K37" s="134">
        <f>VLOOKUP(A37,TB!TB1_1,4,FALSE)</f>
        <v>0</v>
      </c>
      <c r="L37" s="41">
        <f t="shared" ref="L37" si="29">IF(K$14,K37/K$14,0)</f>
        <v>0</v>
      </c>
      <c r="N37" s="11">
        <f>VLOOKUP(A37,TB!TB1_1,5,FALSE)</f>
        <v>0</v>
      </c>
      <c r="O37" s="41">
        <f t="shared" ref="O37" si="30">IF(N$14,N37/N$14,0)</f>
        <v>0</v>
      </c>
    </row>
    <row r="38" spans="1:15" x14ac:dyDescent="0.25">
      <c r="A38" s="39" t="s">
        <v>1286</v>
      </c>
      <c r="B38" s="36"/>
      <c r="C38" t="s">
        <v>1291</v>
      </c>
      <c r="E38" s="134">
        <f>VLOOKUP(A38,TB!TB,4,FALSE)</f>
        <v>0</v>
      </c>
      <c r="F38" s="41">
        <f t="shared" si="27"/>
        <v>0</v>
      </c>
      <c r="H38" s="11">
        <f>VLOOKUP(A38,TB!TB,5,FALSE)</f>
        <v>0</v>
      </c>
      <c r="I38" s="41">
        <f t="shared" si="28"/>
        <v>0</v>
      </c>
      <c r="K38" s="134">
        <f>VLOOKUP(A38,TB!TB1_1,4,FALSE)</f>
        <v>-27442.51</v>
      </c>
      <c r="L38" s="41">
        <f t="shared" ref="L38" si="31">IF(K$14,K38/K$14,0)</f>
        <v>-2.6350447583925771E-2</v>
      </c>
      <c r="N38" s="11">
        <f>VLOOKUP(A38,TB!TB1_1,5,FALSE)</f>
        <v>-27442.51</v>
      </c>
      <c r="O38" s="41">
        <f t="shared" ref="O38" si="32">IF(N$14,N38/N$14,0)</f>
        <v>-2.6350447583925771E-2</v>
      </c>
    </row>
    <row r="39" spans="1:15" x14ac:dyDescent="0.25">
      <c r="A39" s="39" t="s">
        <v>1289</v>
      </c>
      <c r="B39" s="36"/>
      <c r="C39" t="s">
        <v>1292</v>
      </c>
      <c r="E39" s="134">
        <f>VLOOKUP(A39,TB!TB,4,FALSE)</f>
        <v>0</v>
      </c>
      <c r="F39" s="41">
        <f t="shared" si="27"/>
        <v>0</v>
      </c>
      <c r="H39" s="11">
        <f>VLOOKUP(A39,TB!TB,5,FALSE)</f>
        <v>0</v>
      </c>
      <c r="I39" s="41">
        <f t="shared" si="28"/>
        <v>0</v>
      </c>
      <c r="K39" s="134">
        <f>VLOOKUP(A39,TB!TB1_1,4,FALSE)</f>
        <v>114280.7</v>
      </c>
      <c r="L39" s="41">
        <f t="shared" ref="L39" si="33">IF(K$14,K39/K$14,0)</f>
        <v>0.10973295063769116</v>
      </c>
      <c r="N39" s="11">
        <f>VLOOKUP(A39,TB!TB1_1,5,FALSE)</f>
        <v>114280.7</v>
      </c>
      <c r="O39" s="41">
        <f t="shared" ref="O39" si="34">IF(N$14,N39/N$14,0)</f>
        <v>0.10973295063769116</v>
      </c>
    </row>
    <row r="40" spans="1:15" x14ac:dyDescent="0.25">
      <c r="A40" s="39" t="s">
        <v>477</v>
      </c>
      <c r="B40" s="36"/>
      <c r="C40" t="s">
        <v>472</v>
      </c>
      <c r="E40" s="134">
        <f>VLOOKUP(A40,TB!TB,4,FALSE)</f>
        <v>15218.78</v>
      </c>
      <c r="F40" s="41">
        <f t="shared" si="21"/>
        <v>0.56186243161213179</v>
      </c>
      <c r="H40" s="11">
        <f>VLOOKUP(A40,TB!TB,5,FALSE)</f>
        <v>15218.78</v>
      </c>
      <c r="I40" s="41">
        <f t="shared" si="22"/>
        <v>0.56186243161213179</v>
      </c>
      <c r="K40" s="134">
        <f>VLOOKUP(A40,TB!TB1_1,4,FALSE)</f>
        <v>14928.07</v>
      </c>
      <c r="L40" s="41">
        <f t="shared" si="23"/>
        <v>1.4334014128597377E-2</v>
      </c>
      <c r="N40" s="11">
        <f>VLOOKUP(A40,TB!TB1_1,5,FALSE)</f>
        <v>14928.07</v>
      </c>
      <c r="O40" s="41">
        <f t="shared" si="24"/>
        <v>1.4334014128597377E-2</v>
      </c>
    </row>
    <row r="41" spans="1:15" x14ac:dyDescent="0.25">
      <c r="A41" s="39" t="s">
        <v>644</v>
      </c>
      <c r="B41" s="36"/>
      <c r="C41" t="s">
        <v>639</v>
      </c>
      <c r="E41" s="134">
        <f>VLOOKUP(A41,TB!TB,4,FALSE)</f>
        <v>430.75</v>
      </c>
      <c r="F41" s="41">
        <f t="shared" si="21"/>
        <v>1.5902867537143303E-2</v>
      </c>
      <c r="H41" s="11">
        <f>VLOOKUP(A41,TB!TB,5,FALSE)</f>
        <v>430.75</v>
      </c>
      <c r="I41" s="41">
        <f t="shared" si="22"/>
        <v>1.5902867537143303E-2</v>
      </c>
      <c r="K41" s="134">
        <f>VLOOKUP(A41,TB!TB1_1,4,FALSE)</f>
        <v>1093.73</v>
      </c>
      <c r="L41" s="41">
        <f t="shared" si="23"/>
        <v>1.0502055036498898E-3</v>
      </c>
      <c r="N41" s="11">
        <f>VLOOKUP(A41,TB!TB1_1,5,FALSE)</f>
        <v>1093.73</v>
      </c>
      <c r="O41" s="41">
        <f t="shared" si="24"/>
        <v>1.0502055036498898E-3</v>
      </c>
    </row>
    <row r="42" spans="1:15" x14ac:dyDescent="0.25">
      <c r="A42" s="39" t="s">
        <v>659</v>
      </c>
      <c r="B42" s="36"/>
      <c r="C42" t="s">
        <v>654</v>
      </c>
      <c r="E42" s="134">
        <f>VLOOKUP(A42,TB!TB,4,FALSE)</f>
        <v>5161.5200000000004</v>
      </c>
      <c r="F42" s="41">
        <f t="shared" si="21"/>
        <v>0.19055825618181288</v>
      </c>
      <c r="H42" s="11">
        <f>VLOOKUP(A42,TB!TB,5,FALSE)</f>
        <v>5161.5200000000004</v>
      </c>
      <c r="I42" s="41">
        <f t="shared" si="22"/>
        <v>0.19055825618181288</v>
      </c>
      <c r="K42" s="134">
        <f>VLOOKUP(A42,TB!TB1_1,4,FALSE)</f>
        <v>4161.5200000000004</v>
      </c>
      <c r="L42" s="41">
        <f t="shared" si="23"/>
        <v>3.9959141721897448E-3</v>
      </c>
      <c r="N42" s="11">
        <f>VLOOKUP(A42,TB!TB1_1,5,FALSE)</f>
        <v>4161.5200000000004</v>
      </c>
      <c r="O42" s="41">
        <f t="shared" si="24"/>
        <v>3.9959141721897448E-3</v>
      </c>
    </row>
    <row r="43" spans="1:15" x14ac:dyDescent="0.25">
      <c r="A43" s="39" t="s">
        <v>491</v>
      </c>
      <c r="B43" s="36"/>
      <c r="C43" t="s">
        <v>488</v>
      </c>
      <c r="E43" s="134">
        <f>VLOOKUP(A43,TB!TB,4,FALSE)</f>
        <v>0</v>
      </c>
      <c r="F43" s="41">
        <f t="shared" si="21"/>
        <v>0</v>
      </c>
      <c r="H43" s="11">
        <f>VLOOKUP(A43,TB!TB,5,FALSE)</f>
        <v>0</v>
      </c>
      <c r="I43" s="41">
        <f t="shared" si="22"/>
        <v>0</v>
      </c>
      <c r="K43" s="134">
        <f>VLOOKUP(A43,TB!TB1_1,4,FALSE)</f>
        <v>0</v>
      </c>
      <c r="L43" s="41">
        <f t="shared" si="23"/>
        <v>0</v>
      </c>
      <c r="N43" s="11">
        <f>VLOOKUP(A43,TB!TB1_1,5,FALSE)</f>
        <v>0</v>
      </c>
      <c r="O43" s="41">
        <f t="shared" si="24"/>
        <v>0</v>
      </c>
    </row>
    <row r="44" spans="1:15" x14ac:dyDescent="0.25">
      <c r="A44" s="39" t="s">
        <v>503</v>
      </c>
      <c r="B44" s="36"/>
      <c r="C44" t="s">
        <v>500</v>
      </c>
      <c r="E44" s="134">
        <f>VLOOKUP(A44,TB!TB,4,FALSE)</f>
        <v>0</v>
      </c>
      <c r="F44" s="41">
        <f t="shared" si="21"/>
        <v>0</v>
      </c>
      <c r="H44" s="11">
        <f>VLOOKUP(A44,TB!TB,5,FALSE)</f>
        <v>0</v>
      </c>
      <c r="I44" s="41">
        <f t="shared" si="22"/>
        <v>0</v>
      </c>
      <c r="K44" s="134">
        <f>VLOOKUP(A44,TB!TB1_1,4,FALSE)</f>
        <v>0</v>
      </c>
      <c r="L44" s="41">
        <f t="shared" si="23"/>
        <v>0</v>
      </c>
      <c r="N44" s="11">
        <f>VLOOKUP(A44,TB!TB1_1,5,FALSE)</f>
        <v>0</v>
      </c>
      <c r="O44" s="41">
        <f t="shared" si="24"/>
        <v>0</v>
      </c>
    </row>
    <row r="45" spans="1:15" x14ac:dyDescent="0.25">
      <c r="A45" s="39" t="s">
        <v>513</v>
      </c>
      <c r="B45" s="36"/>
      <c r="C45" t="s">
        <v>511</v>
      </c>
      <c r="E45" s="134">
        <f>VLOOKUP(A45,TB!TB,4,FALSE)</f>
        <v>353.8</v>
      </c>
      <c r="F45" s="41">
        <f t="shared" si="21"/>
        <v>1.3061949006712247E-2</v>
      </c>
      <c r="H45" s="11">
        <f>VLOOKUP(A45,TB!TB,5,FALSE)</f>
        <v>353.8</v>
      </c>
      <c r="I45" s="41">
        <f t="shared" si="22"/>
        <v>1.3061949006712247E-2</v>
      </c>
      <c r="K45" s="134">
        <f>VLOOKUP(A45,TB!TB1_1,4,FALSE)</f>
        <v>564.35</v>
      </c>
      <c r="L45" s="41">
        <f t="shared" si="23"/>
        <v>5.4189194406737979E-4</v>
      </c>
      <c r="N45" s="11">
        <f>VLOOKUP(A45,TB!TB1_1,5,FALSE)</f>
        <v>564.35</v>
      </c>
      <c r="O45" s="41">
        <f t="shared" si="24"/>
        <v>5.4189194406737979E-4</v>
      </c>
    </row>
    <row r="46" spans="1:15" x14ac:dyDescent="0.25">
      <c r="A46" s="39" t="s">
        <v>527</v>
      </c>
      <c r="B46" s="36"/>
      <c r="C46" t="s">
        <v>522</v>
      </c>
      <c r="E46" s="134">
        <f>VLOOKUP(A46,TB!TB,4,FALSE)</f>
        <v>920</v>
      </c>
      <c r="F46" s="41">
        <f t="shared" si="21"/>
        <v>3.3965497699760504E-2</v>
      </c>
      <c r="H46" s="11">
        <f>VLOOKUP(A46,TB!TB,5,FALSE)</f>
        <v>920</v>
      </c>
      <c r="I46" s="41">
        <f t="shared" si="22"/>
        <v>3.3965497699760504E-2</v>
      </c>
      <c r="K46" s="134">
        <f>VLOOKUP(A46,TB!TB1_1,4,FALSE)</f>
        <v>281.25</v>
      </c>
      <c r="L46" s="41">
        <f t="shared" si="23"/>
        <v>2.7005778199512814E-4</v>
      </c>
      <c r="N46" s="11">
        <f>VLOOKUP(A46,TB!TB1_1,5,FALSE)</f>
        <v>281.25</v>
      </c>
      <c r="O46" s="41">
        <f t="shared" si="24"/>
        <v>2.7005778199512814E-4</v>
      </c>
    </row>
    <row r="47" spans="1:15" x14ac:dyDescent="0.25">
      <c r="A47" s="39" t="s">
        <v>545</v>
      </c>
      <c r="B47" s="36"/>
      <c r="C47" t="s">
        <v>540</v>
      </c>
      <c r="E47" s="134">
        <f>VLOOKUP(A47,TB!TB,4,FALSE)</f>
        <v>0</v>
      </c>
      <c r="F47" s="41">
        <f t="shared" si="21"/>
        <v>0</v>
      </c>
      <c r="H47" s="11">
        <f>VLOOKUP(A47,TB!TB,5,FALSE)</f>
        <v>0</v>
      </c>
      <c r="I47" s="41">
        <f t="shared" si="22"/>
        <v>0</v>
      </c>
      <c r="K47" s="134">
        <f>VLOOKUP(A47,TB!TB1_1,4,FALSE)</f>
        <v>0</v>
      </c>
      <c r="L47" s="41">
        <f t="shared" si="23"/>
        <v>0</v>
      </c>
      <c r="N47" s="11">
        <f>VLOOKUP(A47,TB!TB1_1,5,FALSE)</f>
        <v>0</v>
      </c>
      <c r="O47" s="41">
        <f t="shared" si="24"/>
        <v>0</v>
      </c>
    </row>
    <row r="48" spans="1:15" x14ac:dyDescent="0.25">
      <c r="A48" s="39" t="s">
        <v>574</v>
      </c>
      <c r="B48" s="36"/>
      <c r="C48" t="s">
        <v>571</v>
      </c>
      <c r="E48" s="134">
        <f>VLOOKUP(A48,TB!TB,4,FALSE)</f>
        <v>67.66</v>
      </c>
      <c r="F48" s="41">
        <f t="shared" si="21"/>
        <v>2.4979408417019518E-3</v>
      </c>
      <c r="H48" s="11">
        <f>VLOOKUP(A48,TB!TB,5,FALSE)</f>
        <v>67.66</v>
      </c>
      <c r="I48" s="41">
        <f t="shared" si="22"/>
        <v>2.4979408417019518E-3</v>
      </c>
      <c r="K48" s="134">
        <f>VLOOKUP(A48,TB!TB1_1,4,FALSE)</f>
        <v>230.76</v>
      </c>
      <c r="L48" s="41">
        <f t="shared" si="23"/>
        <v>2.215770089713627E-4</v>
      </c>
      <c r="N48" s="11">
        <f>VLOOKUP(A48,TB!TB1_1,5,FALSE)</f>
        <v>230.76</v>
      </c>
      <c r="O48" s="41">
        <f t="shared" si="24"/>
        <v>2.215770089713627E-4</v>
      </c>
    </row>
    <row r="49" spans="1:18" x14ac:dyDescent="0.25">
      <c r="A49" s="39" t="s">
        <v>588</v>
      </c>
      <c r="B49" s="36"/>
      <c r="C49" t="s">
        <v>585</v>
      </c>
      <c r="E49" s="134">
        <f>VLOOKUP(A49,TB!TB,4,FALSE)</f>
        <v>0</v>
      </c>
      <c r="F49" s="41">
        <f t="shared" si="21"/>
        <v>0</v>
      </c>
      <c r="H49" s="11">
        <f>VLOOKUP(A49,TB!TB,5,FALSE)</f>
        <v>0</v>
      </c>
      <c r="I49" s="41">
        <f t="shared" si="22"/>
        <v>0</v>
      </c>
      <c r="K49" s="134">
        <f>VLOOKUP(A49,TB!TB1_1,4,FALSE)</f>
        <v>0</v>
      </c>
      <c r="L49" s="41">
        <f t="shared" si="23"/>
        <v>0</v>
      </c>
      <c r="N49" s="11">
        <f>VLOOKUP(A49,TB!TB1_1,5,FALSE)</f>
        <v>0</v>
      </c>
      <c r="O49" s="41">
        <f t="shared" si="24"/>
        <v>0</v>
      </c>
    </row>
    <row r="50" spans="1:18" x14ac:dyDescent="0.25">
      <c r="A50" s="39" t="s">
        <v>602</v>
      </c>
      <c r="B50" s="36"/>
      <c r="C50" t="s">
        <v>597</v>
      </c>
      <c r="E50" s="134">
        <f>VLOOKUP(A50,TB!TB,4,FALSE)</f>
        <v>770.13</v>
      </c>
      <c r="F50" s="41">
        <f t="shared" si="21"/>
        <v>2.843244428643104E-2</v>
      </c>
      <c r="H50" s="11">
        <f>VLOOKUP(A50,TB!TB,5,FALSE)</f>
        <v>770.13</v>
      </c>
      <c r="I50" s="41">
        <f t="shared" si="22"/>
        <v>2.843244428643104E-2</v>
      </c>
      <c r="K50" s="134">
        <f>VLOOKUP(A50,TB!TB1_1,4,FALSE)</f>
        <v>0</v>
      </c>
      <c r="L50" s="41">
        <f t="shared" si="23"/>
        <v>0</v>
      </c>
      <c r="N50" s="11">
        <f>VLOOKUP(A50,TB!TB1_1,5,FALSE)</f>
        <v>0</v>
      </c>
      <c r="O50" s="41">
        <f t="shared" si="24"/>
        <v>0</v>
      </c>
    </row>
    <row r="51" spans="1:18" x14ac:dyDescent="0.25">
      <c r="A51" s="39" t="s">
        <v>614</v>
      </c>
      <c r="B51" s="36"/>
      <c r="C51" t="s">
        <v>611</v>
      </c>
      <c r="E51" s="134">
        <f>VLOOKUP(A51,TB!TB,4,FALSE)</f>
        <v>0</v>
      </c>
      <c r="F51" s="41">
        <f t="shared" si="21"/>
        <v>0</v>
      </c>
      <c r="H51" s="11">
        <f>VLOOKUP(A51,TB!TB,5,FALSE)</f>
        <v>0</v>
      </c>
      <c r="I51" s="41">
        <f t="shared" si="22"/>
        <v>0</v>
      </c>
      <c r="K51" s="134">
        <f>VLOOKUP(A51,TB!TB1_1,4,FALSE)</f>
        <v>0</v>
      </c>
      <c r="L51" s="41">
        <f t="shared" si="23"/>
        <v>0</v>
      </c>
      <c r="N51" s="11">
        <f>VLOOKUP(A51,TB!TB1_1,5,FALSE)</f>
        <v>0</v>
      </c>
      <c r="O51" s="41">
        <f t="shared" si="24"/>
        <v>0</v>
      </c>
    </row>
    <row r="52" spans="1:18" x14ac:dyDescent="0.25">
      <c r="A52" s="39" t="s">
        <v>626</v>
      </c>
      <c r="B52" s="36"/>
      <c r="C52" t="s">
        <v>623</v>
      </c>
      <c r="E52" s="134">
        <f>VLOOKUP(A52,TB!TB,4,FALSE)</f>
        <v>0</v>
      </c>
      <c r="F52" s="41">
        <f t="shared" si="21"/>
        <v>0</v>
      </c>
      <c r="H52" s="11">
        <f>VLOOKUP(A52,TB!TB,5,FALSE)</f>
        <v>0</v>
      </c>
      <c r="I52" s="41">
        <f t="shared" si="22"/>
        <v>0</v>
      </c>
      <c r="K52" s="134">
        <f>VLOOKUP(A52,TB!TB1_1,4,FALSE)</f>
        <v>0</v>
      </c>
      <c r="L52" s="41">
        <f t="shared" si="23"/>
        <v>0</v>
      </c>
      <c r="N52" s="11">
        <f>VLOOKUP(A52,TB!TB1_1,5,FALSE)</f>
        <v>0</v>
      </c>
      <c r="O52" s="41">
        <f t="shared" si="24"/>
        <v>0</v>
      </c>
    </row>
    <row r="53" spans="1:18" x14ac:dyDescent="0.25">
      <c r="A53" s="39" t="s">
        <v>673</v>
      </c>
      <c r="B53" s="36"/>
      <c r="C53" t="s">
        <v>670</v>
      </c>
      <c r="E53" s="134">
        <f>VLOOKUP(A53,TB!TB,4,FALSE)</f>
        <v>0</v>
      </c>
      <c r="F53" s="41">
        <f t="shared" si="21"/>
        <v>0</v>
      </c>
      <c r="H53" s="11">
        <f>VLOOKUP(A53,TB!TB,5,FALSE)</f>
        <v>0</v>
      </c>
      <c r="I53" s="41">
        <f t="shared" si="22"/>
        <v>0</v>
      </c>
      <c r="K53" s="134">
        <f>VLOOKUP(A53,TB!TB1_1,4,FALSE)</f>
        <v>10134.530000000001</v>
      </c>
      <c r="L53" s="41">
        <f t="shared" si="23"/>
        <v>9.7312309097354159E-3</v>
      </c>
      <c r="N53" s="11">
        <f>VLOOKUP(A53,TB!TB1_1,5,FALSE)</f>
        <v>10134.530000000001</v>
      </c>
      <c r="O53" s="41">
        <f t="shared" si="24"/>
        <v>9.7312309097354159E-3</v>
      </c>
    </row>
    <row r="54" spans="1:18" x14ac:dyDescent="0.25">
      <c r="A54" s="39" t="s">
        <v>683</v>
      </c>
      <c r="B54" s="36"/>
      <c r="C54" t="s">
        <v>678</v>
      </c>
      <c r="E54" s="134">
        <f>VLOOKUP(A54,TB!TB,4,FALSE)</f>
        <v>212.4</v>
      </c>
      <c r="F54" s="41">
        <f t="shared" si="21"/>
        <v>7.8415996863360118E-3</v>
      </c>
      <c r="H54" s="11">
        <f>VLOOKUP(A54,TB!TB,5,FALSE)</f>
        <v>212.4</v>
      </c>
      <c r="I54" s="41">
        <f t="shared" si="22"/>
        <v>7.8415996863360118E-3</v>
      </c>
      <c r="K54" s="134">
        <f>VLOOKUP(A54,TB!TB1_1,4,FALSE)</f>
        <v>195.24</v>
      </c>
      <c r="L54" s="41">
        <f t="shared" si="23"/>
        <v>1.8747051149059136E-4</v>
      </c>
      <c r="N54" s="11">
        <f>VLOOKUP(A54,TB!TB1_1,5,FALSE)</f>
        <v>195.24</v>
      </c>
      <c r="O54" s="41">
        <f t="shared" si="24"/>
        <v>1.8747051149059136E-4</v>
      </c>
    </row>
    <row r="55" spans="1:18" x14ac:dyDescent="0.25">
      <c r="A55" s="39" t="s">
        <v>700</v>
      </c>
      <c r="B55" s="36"/>
      <c r="C55" t="s">
        <v>696</v>
      </c>
      <c r="E55" s="134">
        <f>VLOOKUP(A55,TB!TB,4,FALSE)</f>
        <v>0</v>
      </c>
      <c r="F55" s="41">
        <f t="shared" si="21"/>
        <v>0</v>
      </c>
      <c r="H55" s="11">
        <f>VLOOKUP(A55,TB!TB,5,FALSE)</f>
        <v>0</v>
      </c>
      <c r="I55" s="41">
        <f t="shared" si="22"/>
        <v>0</v>
      </c>
      <c r="K55" s="134">
        <f>VLOOKUP(A55,TB!TB1_1,4,FALSE)</f>
        <v>0</v>
      </c>
      <c r="L55" s="41">
        <f t="shared" si="23"/>
        <v>0</v>
      </c>
      <c r="N55" s="11">
        <f>VLOOKUP(A55,TB!TB1_1,5,FALSE)</f>
        <v>0</v>
      </c>
      <c r="O55" s="41">
        <f t="shared" si="24"/>
        <v>0</v>
      </c>
    </row>
    <row r="56" spans="1:18" x14ac:dyDescent="0.25">
      <c r="A56" s="39" t="s">
        <v>730</v>
      </c>
      <c r="B56" s="36"/>
      <c r="C56" t="s">
        <v>2053</v>
      </c>
      <c r="E56" s="137">
        <f>VLOOKUP(A56,TB!TB,4,FALSE)</f>
        <v>0</v>
      </c>
      <c r="F56" s="41">
        <f t="shared" si="21"/>
        <v>0</v>
      </c>
      <c r="H56" s="59">
        <f>VLOOKUP(A56,TB!TB,5,FALSE)</f>
        <v>0</v>
      </c>
      <c r="I56" s="41">
        <f t="shared" si="22"/>
        <v>0</v>
      </c>
      <c r="K56" s="137">
        <f>VLOOKUP(A56,TB!TB1_1,4,FALSE)</f>
        <v>0</v>
      </c>
      <c r="L56" s="41">
        <f t="shared" si="23"/>
        <v>0</v>
      </c>
      <c r="N56" s="59">
        <f>VLOOKUP(A56,TB!TB1_1,5,FALSE)</f>
        <v>0</v>
      </c>
      <c r="O56" s="41">
        <f t="shared" si="24"/>
        <v>0</v>
      </c>
    </row>
    <row r="57" spans="1:18" x14ac:dyDescent="0.25">
      <c r="C57" s="43" t="s">
        <v>1003</v>
      </c>
      <c r="E57" s="135">
        <f>SUM(E33:E56)</f>
        <v>31211.040000000001</v>
      </c>
      <c r="F57" s="86">
        <f t="shared" si="21"/>
        <v>1.1522809862251446</v>
      </c>
      <c r="H57" s="74">
        <f>SUM(H33:H56)</f>
        <v>31211.040000000001</v>
      </c>
      <c r="I57" s="86">
        <f t="shared" si="22"/>
        <v>1.1522809862251446</v>
      </c>
      <c r="K57" s="135">
        <f>SUM(K33:K56)</f>
        <v>138346.70000000001</v>
      </c>
      <c r="L57" s="86">
        <f t="shared" si="23"/>
        <v>0.1328412549274503</v>
      </c>
      <c r="N57" s="74">
        <f>SUM(N33:N56)</f>
        <v>138346.70000000001</v>
      </c>
      <c r="O57" s="86">
        <f t="shared" si="24"/>
        <v>0.1328412549274503</v>
      </c>
    </row>
    <row r="58" spans="1:18" ht="15.75" thickBot="1" x14ac:dyDescent="0.3"/>
    <row r="59" spans="1:18" ht="15.75" thickTop="1" x14ac:dyDescent="0.25">
      <c r="C59" s="37" t="s">
        <v>1024</v>
      </c>
      <c r="E59" s="138">
        <f>E30-E57</f>
        <v>-25811.040000000001</v>
      </c>
      <c r="F59" s="41">
        <f t="shared" si="21"/>
        <v>-0.95291828233524611</v>
      </c>
      <c r="H59" s="40">
        <f>H30-H57</f>
        <v>-25811.040000000001</v>
      </c>
      <c r="I59" s="41">
        <f t="shared" ref="I59:I60" si="35">IF(H$14,H59/H$14,0)</f>
        <v>-0.95291828233524611</v>
      </c>
      <c r="K59" s="138">
        <f>K30-K57</f>
        <v>29327.999999999942</v>
      </c>
      <c r="L59" s="41">
        <f t="shared" ref="L59:L60" si="36">IF(K$14,K59/K$14,0)</f>
        <v>2.8160905352366584E-2</v>
      </c>
      <c r="N59" s="40">
        <f>N30-N57</f>
        <v>29327.999999999942</v>
      </c>
      <c r="O59" s="41">
        <f t="shared" ref="O59:O60" si="37">IF(N$14,N59/N$14,0)</f>
        <v>2.8160905352366584E-2</v>
      </c>
      <c r="R59" s="99"/>
    </row>
    <row r="60" spans="1:18" ht="15.75" thickBot="1" x14ac:dyDescent="0.3">
      <c r="A60" s="39" t="s">
        <v>746</v>
      </c>
      <c r="B60" s="36"/>
      <c r="C60" s="37" t="s">
        <v>743</v>
      </c>
      <c r="E60" s="137">
        <f>VLOOKUP(A60,TB!TB,4,FALSE)</f>
        <v>0</v>
      </c>
      <c r="F60" s="41">
        <f t="shared" si="21"/>
        <v>0</v>
      </c>
      <c r="H60" s="59">
        <f>VLOOKUP(A60,TB!TB,5,FALSE)</f>
        <v>0</v>
      </c>
      <c r="I60" s="41">
        <f t="shared" si="35"/>
        <v>0</v>
      </c>
      <c r="K60" s="137">
        <f>VLOOKUP(A60,TB!TB1_1,4,FALSE)</f>
        <v>8231.06</v>
      </c>
      <c r="L60" s="41">
        <f t="shared" si="36"/>
        <v>7.903508647355801E-3</v>
      </c>
      <c r="N60" s="59">
        <f>VLOOKUP(A60,TB!TB1_1,5,FALSE)</f>
        <v>8231.06</v>
      </c>
      <c r="O60" s="41">
        <f t="shared" si="37"/>
        <v>7.903508647355801E-3</v>
      </c>
    </row>
    <row r="61" spans="1:18" ht="15.75" thickTop="1" x14ac:dyDescent="0.25">
      <c r="E61" s="139"/>
      <c r="F61" s="99"/>
      <c r="H61" s="99"/>
      <c r="I61" s="99"/>
      <c r="K61" s="139"/>
      <c r="L61" s="99"/>
      <c r="N61" s="99"/>
      <c r="O61" s="99"/>
    </row>
    <row r="62" spans="1:18" x14ac:dyDescent="0.25">
      <c r="C62" s="37" t="s">
        <v>1025</v>
      </c>
      <c r="E62" s="138">
        <f>E59-E60</f>
        <v>-25811.040000000001</v>
      </c>
      <c r="F62" s="41">
        <f t="shared" si="21"/>
        <v>-0.95291828233524611</v>
      </c>
      <c r="H62" s="40">
        <f>H59-H60</f>
        <v>-25811.040000000001</v>
      </c>
      <c r="I62" s="41">
        <f t="shared" ref="I62" si="38">IF(H$14,H62/H$14,0)</f>
        <v>-0.95291828233524611</v>
      </c>
      <c r="K62" s="138">
        <f>K59-K60</f>
        <v>21096.939999999944</v>
      </c>
      <c r="L62" s="41">
        <f t="shared" ref="L62" si="39">IF(K$14,K62/K$14,0)</f>
        <v>2.0257396705010783E-2</v>
      </c>
      <c r="N62" s="40">
        <f>N59-N60</f>
        <v>21096.939999999944</v>
      </c>
      <c r="O62" s="41">
        <f t="shared" ref="O62" si="40">IF(N$14,N62/N$14,0)</f>
        <v>2.0257396705010783E-2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5" orientation="portrait" r:id="rId1"/>
  <colBreaks count="1" manualBreakCount="1">
    <brk id="16" max="57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5BB5-9C96-4FB5-85A7-543F847451AE}">
  <sheetPr>
    <tabColor rgb="FFFF0000"/>
  </sheetPr>
  <dimension ref="A1:P54"/>
  <sheetViews>
    <sheetView topLeftCell="A17" zoomScaleNormal="100" workbookViewId="0">
      <selection activeCell="E8" sqref="E8"/>
    </sheetView>
  </sheetViews>
  <sheetFormatPr defaultRowHeight="15" x14ac:dyDescent="0.25"/>
  <cols>
    <col min="1" max="1" width="11.85546875" customWidth="1"/>
    <col min="2" max="2" width="2.85546875" customWidth="1"/>
    <col min="3" max="3" width="29.42578125" customWidth="1"/>
    <col min="4" max="4" width="3" customWidth="1"/>
    <col min="5" max="5" width="18.5703125" style="136" customWidth="1"/>
    <col min="7" max="7" width="1.7109375" customWidth="1"/>
    <col min="8" max="8" width="18.28515625" customWidth="1"/>
    <col min="10" max="10" width="3" customWidth="1"/>
    <col min="11" max="11" width="18.5703125" style="136" customWidth="1"/>
    <col min="13" max="13" width="2.140625" customWidth="1"/>
    <col min="14" max="14" width="18.5703125" customWidth="1"/>
    <col min="16" max="16" width="0.140625" customWidth="1"/>
  </cols>
  <sheetData>
    <row r="1" spans="1:16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</row>
    <row r="2" spans="1:16" ht="26.25" x14ac:dyDescent="0.4">
      <c r="A2" s="149" t="s">
        <v>1324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</row>
    <row r="3" spans="1:16" ht="15.75" x14ac:dyDescent="0.25">
      <c r="A3" s="157">
        <f>DATEVALUE(TB!A3&amp;"/"&amp;TB!A4)</f>
        <v>46023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</row>
    <row r="4" spans="1:16" ht="15.75" x14ac:dyDescent="0.25">
      <c r="A4" s="6"/>
      <c r="B4" s="6"/>
      <c r="C4" s="8" t="s">
        <v>5</v>
      </c>
      <c r="D4" s="6"/>
      <c r="E4" s="132" t="s">
        <v>3</v>
      </c>
      <c r="F4" s="6"/>
      <c r="G4" s="6"/>
      <c r="H4" s="8" t="s">
        <v>4</v>
      </c>
      <c r="I4" s="6"/>
      <c r="J4" s="6"/>
      <c r="K4" s="132" t="s">
        <v>3</v>
      </c>
      <c r="L4" s="6"/>
      <c r="M4" s="6"/>
      <c r="N4" s="8" t="s">
        <v>4</v>
      </c>
      <c r="O4" s="5"/>
    </row>
    <row r="5" spans="1:16" ht="15.75" x14ac:dyDescent="0.25">
      <c r="A5" s="7" t="s">
        <v>1000</v>
      </c>
      <c r="B5" s="7"/>
      <c r="C5" s="38" t="s">
        <v>1039</v>
      </c>
      <c r="D5" s="5"/>
      <c r="E5" s="133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133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6" x14ac:dyDescent="0.25">
      <c r="A7" s="46" t="s">
        <v>196</v>
      </c>
      <c r="C7" t="s">
        <v>1046</v>
      </c>
      <c r="E7" s="134">
        <f>VLOOKUP(A7,TB!TB,4,FALSE)*-1</f>
        <v>319444.63</v>
      </c>
      <c r="F7" s="41">
        <f>IF(E$10,E7/E$10,0)</f>
        <v>0.69790458844860992</v>
      </c>
      <c r="H7" s="11">
        <f>VLOOKUP(A7,TB!TB,5,FALSE)*-1</f>
        <v>319444.63</v>
      </c>
      <c r="I7" s="41">
        <f>IF(H$10,H7/H$10,0)</f>
        <v>0.69790458844860992</v>
      </c>
      <c r="K7" s="134">
        <f>VLOOKUP(A7,TB!TB1_1,4,FALSE)*-1</f>
        <v>314340.7</v>
      </c>
      <c r="L7" s="41">
        <f>IF(K$10,K7/K$10,0)</f>
        <v>0.88139323414293436</v>
      </c>
      <c r="N7" s="11">
        <f>VLOOKUP(A7,TB!TB1_1,5,FALSE)*-1</f>
        <v>314340.7</v>
      </c>
      <c r="O7" s="41">
        <f>IF(N$10,N7/N$10,0)</f>
        <v>0.88139323414293436</v>
      </c>
    </row>
    <row r="8" spans="1:16" x14ac:dyDescent="0.25">
      <c r="A8" s="46" t="s">
        <v>188</v>
      </c>
      <c r="C8" t="s">
        <v>189</v>
      </c>
      <c r="E8" s="134">
        <f>VLOOKUP(A8,TB!TB,4,FALSE)*-1</f>
        <v>23275</v>
      </c>
      <c r="F8" s="41">
        <f t="shared" ref="F8:F10" si="0">IF(E$10,E8/E$10,0)</f>
        <v>5.0849905650758302E-2</v>
      </c>
      <c r="H8" s="11">
        <f>VLOOKUP(A8,TB!TB,5,FALSE)*-1</f>
        <v>23275</v>
      </c>
      <c r="I8" s="41">
        <f t="shared" ref="I8:I10" si="1">IF(H$10,H8/H$10,0)</f>
        <v>5.0849905650758302E-2</v>
      </c>
      <c r="K8" s="134">
        <f>VLOOKUP(A8,TB!TB1_1,4,FALSE)*-1</f>
        <v>42300</v>
      </c>
      <c r="L8" s="41">
        <f t="shared" ref="L8:L10" si="2">IF(K$10,K8/K$10,0)</f>
        <v>0.11860676585706567</v>
      </c>
      <c r="N8" s="11">
        <f>VLOOKUP(A8,TB!TB1_1,5,FALSE)*-1</f>
        <v>42300</v>
      </c>
      <c r="O8" s="41">
        <f t="shared" ref="O8:O10" si="3">IF(N$10,N8/N$10,0)</f>
        <v>0.11860676585706567</v>
      </c>
    </row>
    <row r="9" spans="1:16" x14ac:dyDescent="0.25">
      <c r="A9" s="46" t="s">
        <v>1185</v>
      </c>
      <c r="C9" s="1" t="s">
        <v>1325</v>
      </c>
      <c r="E9" s="134">
        <f>VLOOKUP(A9,TB!TB,4,FALSE)*-1</f>
        <v>115000</v>
      </c>
      <c r="F9" s="41">
        <f t="shared" ref="F9" si="4">IF(E$10,E9/E$10,0)</f>
        <v>0.25124550590063177</v>
      </c>
      <c r="H9" s="11">
        <f>VLOOKUP(A9,TB!TB,5,FALSE)*-1</f>
        <v>115000</v>
      </c>
      <c r="I9" s="41">
        <f t="shared" ref="I9" si="5">IF(H$10,H9/H$10,0)</f>
        <v>0.25124550590063177</v>
      </c>
      <c r="K9" s="134">
        <f>VLOOKUP(A9,TB!TB1_1,4,FALSE)*-1</f>
        <v>0</v>
      </c>
      <c r="L9" s="41">
        <f t="shared" ref="L9" si="6">IF(K$10,K9/K$10,0)</f>
        <v>0</v>
      </c>
      <c r="N9" s="11">
        <f>VLOOKUP(A9,TB!TB1_1,5,FALSE)*-1</f>
        <v>0</v>
      </c>
      <c r="O9" s="41">
        <f t="shared" ref="O9" si="7">IF(N$10,N9/N$10,0)</f>
        <v>0</v>
      </c>
    </row>
    <row r="10" spans="1:16" x14ac:dyDescent="0.25">
      <c r="C10" s="43" t="s">
        <v>1038</v>
      </c>
      <c r="E10" s="138">
        <f>SUM(E7:E9)</f>
        <v>457719.63</v>
      </c>
      <c r="F10" s="41">
        <f t="shared" si="0"/>
        <v>1</v>
      </c>
      <c r="H10" s="40">
        <f>SUM(H7:H9)</f>
        <v>457719.63</v>
      </c>
      <c r="I10" s="41">
        <f t="shared" si="1"/>
        <v>1</v>
      </c>
      <c r="K10" s="138">
        <f>SUM(K7:K9)</f>
        <v>356640.7</v>
      </c>
      <c r="L10" s="41">
        <f t="shared" si="2"/>
        <v>1</v>
      </c>
      <c r="N10" s="40">
        <f>SUM(N7:N9)</f>
        <v>356640.7</v>
      </c>
      <c r="O10" s="41">
        <f t="shared" si="3"/>
        <v>1</v>
      </c>
    </row>
    <row r="12" spans="1:16" x14ac:dyDescent="0.25">
      <c r="A12" s="111" t="s">
        <v>391</v>
      </c>
      <c r="C12" t="s">
        <v>1175</v>
      </c>
      <c r="E12" s="134">
        <f>VLOOKUP(A12,TB!TB,4,FALSE)</f>
        <v>0</v>
      </c>
      <c r="F12" s="41">
        <f>IF(E$10,E12/E$10,0)</f>
        <v>0</v>
      </c>
      <c r="H12" s="11">
        <f>VLOOKUP(A12,TB!TB,5,FALSE)</f>
        <v>0</v>
      </c>
      <c r="I12" s="41">
        <f>IF(H$10,H12/H$10,0)</f>
        <v>0</v>
      </c>
      <c r="K12" s="134">
        <f>VLOOKUP(A12,TB!TB1_1,4,FALSE)</f>
        <v>0</v>
      </c>
      <c r="L12" s="41">
        <f>IF(K$10,K12/K$10,0)</f>
        <v>0</v>
      </c>
      <c r="N12" s="11">
        <f>VLOOKUP(A12,TB!TB1_1,5,FALSE)</f>
        <v>0</v>
      </c>
      <c r="O12" s="41">
        <f>IF(N$10,N12/N$10,0)</f>
        <v>0</v>
      </c>
    </row>
    <row r="13" spans="1:16" x14ac:dyDescent="0.25">
      <c r="A13" s="111" t="s">
        <v>863</v>
      </c>
      <c r="C13" t="s">
        <v>2039</v>
      </c>
      <c r="E13" s="134">
        <f>VLOOKUP(A13,TB!TB,4,FALSE)</f>
        <v>1516.47</v>
      </c>
      <c r="F13" s="41">
        <f>IF(E$10,E13/E$10,0)</f>
        <v>3.3130980202880963E-3</v>
      </c>
      <c r="H13" s="11">
        <f>VLOOKUP(A13,TB!TB,5,FALSE)</f>
        <v>1516.47</v>
      </c>
      <c r="I13" s="41">
        <f>IF(H$10,H13/H$10,0)</f>
        <v>3.3130980202880963E-3</v>
      </c>
      <c r="K13" s="134">
        <f>VLOOKUP(A13,TB!TB1_1,4,FALSE)</f>
        <v>2415.2199999999998</v>
      </c>
      <c r="L13" s="41">
        <f>IF(K$10,K13/K$10,0)</f>
        <v>6.7721378967683715E-3</v>
      </c>
      <c r="N13" s="11">
        <f>VLOOKUP(A13,TB!TB1_1,5,FALSE)</f>
        <v>2415.2199999999998</v>
      </c>
      <c r="O13" s="41">
        <f>IF(N$10,N13/N$10,0)</f>
        <v>6.7721378967683715E-3</v>
      </c>
    </row>
    <row r="14" spans="1:16" x14ac:dyDescent="0.25">
      <c r="A14" s="111" t="s">
        <v>336</v>
      </c>
      <c r="C14" t="s">
        <v>1030</v>
      </c>
      <c r="E14" s="134">
        <f>VLOOKUP(A14,TB!TB,4,FALSE)</f>
        <v>0</v>
      </c>
      <c r="F14" s="41">
        <f t="shared" ref="F14:F25" si="8">IF(E$10,E14/E$10,0)</f>
        <v>0</v>
      </c>
      <c r="H14" s="11">
        <f>VLOOKUP(A14,TB!TB,5,FALSE)</f>
        <v>0</v>
      </c>
      <c r="I14" s="41">
        <f t="shared" ref="I14:I23" si="9">IF(H$10,H14/H$10,0)</f>
        <v>0</v>
      </c>
      <c r="K14" s="134">
        <f>VLOOKUP(A14,TB!TB1_1,4,FALSE)</f>
        <v>0</v>
      </c>
      <c r="L14" s="41">
        <f t="shared" ref="L14:L23" si="10">IF(K$10,K14/K$10,0)</f>
        <v>0</v>
      </c>
      <c r="N14" s="11">
        <f>VLOOKUP(A14,TB!TB1_1,5,FALSE)</f>
        <v>0</v>
      </c>
      <c r="O14" s="41">
        <f t="shared" ref="O14:O23" si="11">IF(N$10,N14/N$10,0)</f>
        <v>0</v>
      </c>
    </row>
    <row r="15" spans="1:16" x14ac:dyDescent="0.25">
      <c r="A15" s="111" t="s">
        <v>358</v>
      </c>
      <c r="C15" t="s">
        <v>1029</v>
      </c>
      <c r="E15" s="134">
        <f>VLOOKUP(A15,TB!TB,4,FALSE)</f>
        <v>0</v>
      </c>
      <c r="F15" s="41">
        <f t="shared" si="8"/>
        <v>0</v>
      </c>
      <c r="H15" s="11">
        <f>VLOOKUP(A15,TB!TB,5,FALSE)</f>
        <v>0</v>
      </c>
      <c r="I15" s="41">
        <f t="shared" si="9"/>
        <v>0</v>
      </c>
      <c r="K15" s="134">
        <f>VLOOKUP(A15,TB!TB1_1,4,FALSE)</f>
        <v>0</v>
      </c>
      <c r="L15" s="41">
        <f t="shared" si="10"/>
        <v>0</v>
      </c>
      <c r="N15" s="11">
        <f>VLOOKUP(A15,TB!TB1_1,5,FALSE)</f>
        <v>0</v>
      </c>
      <c r="O15" s="41">
        <f t="shared" si="11"/>
        <v>0</v>
      </c>
    </row>
    <row r="16" spans="1:16" x14ac:dyDescent="0.25">
      <c r="A16" s="46" t="s">
        <v>1186</v>
      </c>
      <c r="C16" s="1" t="s">
        <v>2040</v>
      </c>
      <c r="E16" s="134">
        <f>VLOOKUP(A16,TB!TB,4,FALSE)</f>
        <v>-35903.22</v>
      </c>
      <c r="F16" s="41">
        <f t="shared" ref="F16" si="12">IF(E$10,E16/E$10,0)</f>
        <v>-7.8439327585753754E-2</v>
      </c>
      <c r="H16" s="11">
        <f>VLOOKUP(A16,TB!TB,5,FALSE)</f>
        <v>-35903.22</v>
      </c>
      <c r="I16" s="41">
        <f t="shared" ref="I16" si="13">IF(H$10,H16/H$10,0)</f>
        <v>-7.8439327585753754E-2</v>
      </c>
      <c r="K16" s="134">
        <f>VLOOKUP(A16,TB!TB1_1,4,FALSE)</f>
        <v>0</v>
      </c>
      <c r="L16" s="41">
        <f t="shared" ref="L16" si="14">IF(K$10,K16/K$10,0)</f>
        <v>0</v>
      </c>
      <c r="N16" s="11">
        <f>VLOOKUP(A16,TB!TB1_1,5,FALSE)</f>
        <v>0</v>
      </c>
      <c r="O16" s="41">
        <f t="shared" ref="O16" si="15">IF(N$10,N16/N$10,0)</f>
        <v>0</v>
      </c>
    </row>
    <row r="17" spans="1:15" x14ac:dyDescent="0.25">
      <c r="A17" s="46" t="s">
        <v>1242</v>
      </c>
      <c r="C17" s="1" t="s">
        <v>1327</v>
      </c>
      <c r="E17" s="134">
        <f>VLOOKUP(A17,TB!TB,4,FALSE)</f>
        <v>20198.29</v>
      </c>
      <c r="F17" s="41">
        <f t="shared" ref="F17" si="16">IF(E$10,E17/E$10,0)</f>
        <v>4.4128083385892802E-2</v>
      </c>
      <c r="H17" s="11">
        <f>VLOOKUP(A17,TB!TB,5,FALSE)</f>
        <v>20198.29</v>
      </c>
      <c r="I17" s="41">
        <f t="shared" ref="I17" si="17">IF(H$10,H17/H$10,0)</f>
        <v>4.4128083385892802E-2</v>
      </c>
      <c r="K17" s="134">
        <f>VLOOKUP(A17,TB!TB1_1,4,FALSE)</f>
        <v>25127.84</v>
      </c>
      <c r="L17" s="41">
        <f t="shared" ref="L17" si="18">IF(K$10,K17/K$10,0)</f>
        <v>7.0457017384723611E-2</v>
      </c>
      <c r="N17" s="11">
        <f>VLOOKUP(A17,TB!TB1_1,5,FALSE)</f>
        <v>25127.84</v>
      </c>
      <c r="O17" s="41">
        <f t="shared" ref="O17" si="19">IF(N$10,N17/N$10,0)</f>
        <v>7.0457017384723611E-2</v>
      </c>
    </row>
    <row r="18" spans="1:15" x14ac:dyDescent="0.25">
      <c r="A18" s="111" t="s">
        <v>399</v>
      </c>
      <c r="C18" t="s">
        <v>1047</v>
      </c>
      <c r="E18" s="134">
        <f>VLOOKUP(A18,TB!TB,4,FALSE)</f>
        <v>16615.88</v>
      </c>
      <c r="F18" s="41">
        <f t="shared" si="8"/>
        <v>3.6301436318123388E-2</v>
      </c>
      <c r="H18" s="11">
        <f>VLOOKUP(A18,TB!TB,5,FALSE)</f>
        <v>16615.88</v>
      </c>
      <c r="I18" s="41">
        <f t="shared" si="9"/>
        <v>3.6301436318123388E-2</v>
      </c>
      <c r="K18" s="134">
        <f>VLOOKUP(A18,TB!TB1_1,4,FALSE)</f>
        <v>0</v>
      </c>
      <c r="L18" s="41">
        <f t="shared" si="10"/>
        <v>0</v>
      </c>
      <c r="N18" s="11">
        <f>VLOOKUP(A18,TB!TB1_1,5,FALSE)</f>
        <v>0</v>
      </c>
      <c r="O18" s="41">
        <f t="shared" si="11"/>
        <v>0</v>
      </c>
    </row>
    <row r="19" spans="1:15" x14ac:dyDescent="0.25">
      <c r="A19" s="111" t="s">
        <v>406</v>
      </c>
      <c r="C19" t="s">
        <v>1249</v>
      </c>
      <c r="E19" s="134">
        <f>VLOOKUP(A19,TB!TB,4,FALSE)</f>
        <v>0</v>
      </c>
      <c r="F19" s="41">
        <f t="shared" ref="F19" si="20">IF(E$10,E19/E$10,0)</f>
        <v>0</v>
      </c>
      <c r="H19" s="11">
        <f>VLOOKUP(A19,TB!TB,5,FALSE)</f>
        <v>0</v>
      </c>
      <c r="I19" s="41">
        <f t="shared" ref="I19" si="21">IF(H$10,H19/H$10,0)</f>
        <v>0</v>
      </c>
      <c r="K19" s="134">
        <f>VLOOKUP(A19,TB!TB1_1,4,FALSE)</f>
        <v>0</v>
      </c>
      <c r="L19" s="41">
        <f t="shared" ref="L19" si="22">IF(K$10,K19/K$10,0)</f>
        <v>0</v>
      </c>
      <c r="N19" s="11">
        <f>VLOOKUP(A19,TB!TB1_1,5,FALSE)</f>
        <v>0</v>
      </c>
      <c r="O19" s="41">
        <f t="shared" ref="O19" si="23">IF(N$10,N19/N$10,0)</f>
        <v>0</v>
      </c>
    </row>
    <row r="20" spans="1:15" x14ac:dyDescent="0.25">
      <c r="A20" s="111" t="s">
        <v>556</v>
      </c>
      <c r="C20" t="s">
        <v>557</v>
      </c>
      <c r="E20" s="134">
        <f>VLOOKUP(A20,TB!TB,4,FALSE)</f>
        <v>24450</v>
      </c>
      <c r="F20" s="41">
        <f>IF(E$10,E20/E$10,0)</f>
        <v>5.3416979298003889E-2</v>
      </c>
      <c r="H20" s="11">
        <f>VLOOKUP(A20,TB!TB,5,FALSE)</f>
        <v>24450</v>
      </c>
      <c r="I20" s="41">
        <f>IF(H$10,H20/H$10,0)</f>
        <v>5.3416979298003889E-2</v>
      </c>
      <c r="K20" s="134">
        <f>VLOOKUP(A20,TB!TB1_1,4,FALSE)</f>
        <v>52150</v>
      </c>
      <c r="L20" s="41">
        <f>IF(K$10,K20/K$10,0)</f>
        <v>0.14622559904127599</v>
      </c>
      <c r="N20" s="11">
        <f>VLOOKUP(A20,TB!TB1_1,5,FALSE)</f>
        <v>52150</v>
      </c>
      <c r="O20" s="41">
        <f>IF(N$10,N20/N$10,0)</f>
        <v>0.14622559904127599</v>
      </c>
    </row>
    <row r="21" spans="1:15" x14ac:dyDescent="0.25">
      <c r="A21" s="111" t="s">
        <v>695</v>
      </c>
      <c r="C21" t="s">
        <v>696</v>
      </c>
      <c r="E21" s="134">
        <f>VLOOKUP(A21,TB!TB,4,FALSE)</f>
        <v>0</v>
      </c>
      <c r="F21" s="41">
        <f>IF(E$10,E21/E$10,0)</f>
        <v>0</v>
      </c>
      <c r="H21" s="11">
        <f>VLOOKUP(A21,TB!TB,5,FALSE)</f>
        <v>0</v>
      </c>
      <c r="I21" s="41">
        <f>IF(H$10,H21/H$10,0)</f>
        <v>0</v>
      </c>
      <c r="K21" s="134">
        <f>VLOOKUP(A21,TB!TB1_1,4,FALSE)</f>
        <v>0</v>
      </c>
      <c r="L21" s="41">
        <f>IF(K$10,K21/K$10,0)</f>
        <v>0</v>
      </c>
      <c r="N21" s="11">
        <f>VLOOKUP(A21,TB!TB1_1,5,FALSE)</f>
        <v>0</v>
      </c>
      <c r="O21" s="41">
        <f>IF(N$10,N21/N$10,0)</f>
        <v>0</v>
      </c>
    </row>
    <row r="22" spans="1:15" x14ac:dyDescent="0.25">
      <c r="A22" s="111" t="s">
        <v>716</v>
      </c>
      <c r="C22" s="1" t="s">
        <v>1173</v>
      </c>
      <c r="E22" s="137">
        <f>VLOOKUP(A22,TB!TB,4,FALSE)</f>
        <v>158229.53</v>
      </c>
      <c r="F22" s="41">
        <f>IF(E$10,E22/E$10,0)</f>
        <v>0.34569094185451471</v>
      </c>
      <c r="H22" s="59">
        <f>VLOOKUP(A22,TB!TB,5,FALSE)</f>
        <v>158229.53</v>
      </c>
      <c r="I22" s="41">
        <f>IF(H$10,H22/H$10,0)</f>
        <v>0.34569094185451471</v>
      </c>
      <c r="K22" s="137">
        <f>VLOOKUP(A22,TB!TB1_1,4,FALSE)</f>
        <v>150029.43</v>
      </c>
      <c r="L22" s="41">
        <f>IF(K$10,K22/K$10,0)</f>
        <v>0.42067388831392488</v>
      </c>
      <c r="N22" s="59">
        <f>VLOOKUP(A22,TB!TB1_1,5,FALSE)</f>
        <v>150029.43</v>
      </c>
      <c r="O22" s="41">
        <f>IF(N$10,N22/N$10,0)</f>
        <v>0.42067388831392488</v>
      </c>
    </row>
    <row r="23" spans="1:15" x14ac:dyDescent="0.25">
      <c r="C23" s="43" t="s">
        <v>1033</v>
      </c>
      <c r="E23" s="135">
        <f>SUM(E12:E22)</f>
        <v>185106.95</v>
      </c>
      <c r="F23" s="86">
        <f t="shared" si="8"/>
        <v>0.40441121129106916</v>
      </c>
      <c r="G23" s="75"/>
      <c r="H23" s="74">
        <f>SUM(H12:H22)</f>
        <v>185106.95</v>
      </c>
      <c r="I23" s="86">
        <f t="shared" si="9"/>
        <v>0.40441121129106916</v>
      </c>
      <c r="J23" s="75"/>
      <c r="K23" s="135">
        <f>SUM(K12:K22)</f>
        <v>229722.49</v>
      </c>
      <c r="L23" s="86">
        <f t="shared" si="10"/>
        <v>0.64412864263669289</v>
      </c>
      <c r="M23" s="75"/>
      <c r="N23" s="74">
        <f>SUM(N12:N22)</f>
        <v>229722.49</v>
      </c>
      <c r="O23" s="86">
        <f t="shared" si="11"/>
        <v>0.64412864263669289</v>
      </c>
    </row>
    <row r="25" spans="1:15" x14ac:dyDescent="0.25">
      <c r="C25" s="43" t="s">
        <v>1034</v>
      </c>
      <c r="E25" s="138">
        <f>E10-E23</f>
        <v>272612.68</v>
      </c>
      <c r="F25" s="41">
        <f t="shared" si="8"/>
        <v>0.59558878870893084</v>
      </c>
      <c r="H25" s="40">
        <f>H10-H23</f>
        <v>272612.68</v>
      </c>
      <c r="I25" s="41">
        <f t="shared" ref="I25" si="24">IF(H$10,H25/H$10,0)</f>
        <v>0.59558878870893084</v>
      </c>
      <c r="K25" s="138">
        <f>K10-K23</f>
        <v>126918.21000000002</v>
      </c>
      <c r="L25" s="41">
        <f t="shared" ref="L25" si="25">IF(K$10,K25/K$10,0)</f>
        <v>0.35587135736330716</v>
      </c>
      <c r="N25" s="40">
        <f>N10-N23</f>
        <v>126918.21000000002</v>
      </c>
      <c r="O25" s="41">
        <f t="shared" ref="O25" si="26">IF(N$10,N25/N$10,0)</f>
        <v>0.35587135736330716</v>
      </c>
    </row>
    <row r="28" spans="1:15" x14ac:dyDescent="0.25">
      <c r="A28" s="39" t="s">
        <v>418</v>
      </c>
      <c r="C28" t="s">
        <v>419</v>
      </c>
      <c r="E28" s="134">
        <f>VLOOKUP(A28,TB!TB,4,FALSE)</f>
        <v>0</v>
      </c>
      <c r="F28" s="41">
        <f t="shared" ref="F28:F54" si="27">IF(E$10,E28/E$10,0)</f>
        <v>0</v>
      </c>
      <c r="H28" s="11">
        <f>VLOOKUP(A28,TB!TB,5,FALSE)</f>
        <v>0</v>
      </c>
      <c r="I28" s="41">
        <f t="shared" ref="I28:I49" si="28">IF(H$10,H28/H$10,0)</f>
        <v>0</v>
      </c>
      <c r="K28" s="134">
        <f>VLOOKUP(A28,TB!TB1_1,4,FALSE)</f>
        <v>0</v>
      </c>
      <c r="L28" s="41">
        <f t="shared" ref="L28:L49" si="29">IF(K$10,K28/K$10,0)</f>
        <v>0</v>
      </c>
      <c r="N28" s="11">
        <f>VLOOKUP(A28,TB!TB1_1,5,FALSE)*-1</f>
        <v>0</v>
      </c>
      <c r="O28" s="41">
        <f t="shared" ref="O28:O49" si="30">IF(N$10,N28/N$10,0)</f>
        <v>0</v>
      </c>
    </row>
    <row r="29" spans="1:15" x14ac:dyDescent="0.25">
      <c r="A29" s="39" t="s">
        <v>434</v>
      </c>
      <c r="C29" t="s">
        <v>435</v>
      </c>
      <c r="E29" s="134">
        <f>VLOOKUP(A29,TB!TB,4,FALSE)</f>
        <v>0</v>
      </c>
      <c r="F29" s="41">
        <f t="shared" si="27"/>
        <v>0</v>
      </c>
      <c r="H29" s="11">
        <f>VLOOKUP(A29,TB!TB,5,FALSE)</f>
        <v>0</v>
      </c>
      <c r="I29" s="41">
        <f t="shared" si="28"/>
        <v>0</v>
      </c>
      <c r="K29" s="134">
        <f>VLOOKUP(A29,TB!TB1_1,4,FALSE)</f>
        <v>0</v>
      </c>
      <c r="L29" s="41">
        <f t="shared" si="29"/>
        <v>0</v>
      </c>
      <c r="N29" s="11">
        <f>VLOOKUP(A29,TB!TB1_1,5,FALSE)*-1</f>
        <v>0</v>
      </c>
      <c r="O29" s="41">
        <f t="shared" si="30"/>
        <v>0</v>
      </c>
    </row>
    <row r="30" spans="1:15" x14ac:dyDescent="0.25">
      <c r="A30" s="39" t="s">
        <v>443</v>
      </c>
      <c r="C30" t="s">
        <v>444</v>
      </c>
      <c r="E30" s="134">
        <f>VLOOKUP(A30,TB!TB,4,FALSE)</f>
        <v>11040</v>
      </c>
      <c r="F30" s="41">
        <f t="shared" si="27"/>
        <v>2.411956856646065E-2</v>
      </c>
      <c r="H30" s="11">
        <f>VLOOKUP(A30,TB!TB,5,FALSE)</f>
        <v>11040</v>
      </c>
      <c r="I30" s="41">
        <f t="shared" si="28"/>
        <v>2.411956856646065E-2</v>
      </c>
      <c r="K30" s="134">
        <f>VLOOKUP(A30,TB!TB1_1,4,FALSE)</f>
        <v>10240</v>
      </c>
      <c r="L30" s="41">
        <f t="shared" si="29"/>
        <v>2.871237074175774E-2</v>
      </c>
      <c r="N30" s="11">
        <f>VLOOKUP(A30,TB!TB1_1,5,FALSE)*-1</f>
        <v>-10240</v>
      </c>
      <c r="O30" s="41">
        <f t="shared" si="30"/>
        <v>-2.871237074175774E-2</v>
      </c>
    </row>
    <row r="31" spans="1:15" x14ac:dyDescent="0.25">
      <c r="A31" s="39" t="s">
        <v>463</v>
      </c>
      <c r="C31" t="s">
        <v>464</v>
      </c>
      <c r="E31" s="134">
        <f>VLOOKUP(A31,TB!TB,4,FALSE)</f>
        <v>0</v>
      </c>
      <c r="F31" s="41">
        <f t="shared" si="27"/>
        <v>0</v>
      </c>
      <c r="H31" s="11">
        <f>VLOOKUP(A31,TB!TB,5,FALSE)</f>
        <v>0</v>
      </c>
      <c r="I31" s="41">
        <f t="shared" si="28"/>
        <v>0</v>
      </c>
      <c r="K31" s="134">
        <f>VLOOKUP(A31,TB!TB1_1,4,FALSE)</f>
        <v>0</v>
      </c>
      <c r="L31" s="41">
        <f t="shared" si="29"/>
        <v>0</v>
      </c>
      <c r="N31" s="11">
        <f>VLOOKUP(A31,TB!TB1_1,5,FALSE)*-1</f>
        <v>0</v>
      </c>
      <c r="O31" s="41">
        <f t="shared" si="30"/>
        <v>0</v>
      </c>
    </row>
    <row r="32" spans="1:15" x14ac:dyDescent="0.25">
      <c r="A32" s="39" t="s">
        <v>471</v>
      </c>
      <c r="C32" t="s">
        <v>472</v>
      </c>
      <c r="E32" s="134">
        <f>VLOOKUP(A32,TB!TB,4,FALSE)</f>
        <v>1043.52</v>
      </c>
      <c r="F32" s="41">
        <f t="shared" si="27"/>
        <v>2.2798235679776283E-3</v>
      </c>
      <c r="H32" s="11">
        <f>VLOOKUP(A32,TB!TB,5,FALSE)</f>
        <v>1043.52</v>
      </c>
      <c r="I32" s="41">
        <f t="shared" si="28"/>
        <v>2.2798235679776283E-3</v>
      </c>
      <c r="K32" s="134">
        <f>VLOOKUP(A32,TB!TB1_1,4,FALSE)</f>
        <v>869.82</v>
      </c>
      <c r="L32" s="41">
        <f t="shared" si="29"/>
        <v>2.438925226425363E-3</v>
      </c>
      <c r="N32" s="11">
        <f>VLOOKUP(A32,TB!TB1_1,5,FALSE)*-1</f>
        <v>-869.82</v>
      </c>
      <c r="O32" s="41">
        <f t="shared" si="30"/>
        <v>-2.438925226425363E-3</v>
      </c>
    </row>
    <row r="33" spans="1:15" x14ac:dyDescent="0.25">
      <c r="A33" s="39" t="s">
        <v>638</v>
      </c>
      <c r="C33" t="s">
        <v>639</v>
      </c>
      <c r="E33" s="134">
        <f>VLOOKUP(A33,TB!TB,4,FALSE)</f>
        <v>-139.19999999999999</v>
      </c>
      <c r="F33" s="41">
        <f t="shared" si="27"/>
        <v>-3.0411629931624296E-4</v>
      </c>
      <c r="H33" s="11">
        <f>VLOOKUP(A33,TB!TB,5,FALSE)</f>
        <v>-139.19999999999999</v>
      </c>
      <c r="I33" s="41">
        <f t="shared" si="28"/>
        <v>-3.0411629931624296E-4</v>
      </c>
      <c r="K33" s="134">
        <f>VLOOKUP(A33,TB!TB1_1,4,FALSE)</f>
        <v>-155.19999999999999</v>
      </c>
      <c r="L33" s="41">
        <f t="shared" si="29"/>
        <v>-4.3517186905476574E-4</v>
      </c>
      <c r="N33" s="11">
        <f>VLOOKUP(A33,TB!TB1_1,5,FALSE)*-1</f>
        <v>155.19999999999999</v>
      </c>
      <c r="O33" s="41">
        <f t="shared" si="30"/>
        <v>4.3517186905476574E-4</v>
      </c>
    </row>
    <row r="34" spans="1:15" x14ac:dyDescent="0.25">
      <c r="A34" s="39" t="s">
        <v>653</v>
      </c>
      <c r="C34" t="s">
        <v>654</v>
      </c>
      <c r="E34" s="134">
        <f>VLOOKUP(A34,TB!TB,4,FALSE)</f>
        <v>0</v>
      </c>
      <c r="F34" s="41">
        <f t="shared" si="27"/>
        <v>0</v>
      </c>
      <c r="H34" s="11">
        <f>VLOOKUP(A34,TB!TB,5,FALSE)</f>
        <v>0</v>
      </c>
      <c r="I34" s="41">
        <f t="shared" si="28"/>
        <v>0</v>
      </c>
      <c r="K34" s="134">
        <f>VLOOKUP(A34,TB!TB1_1,4,FALSE)</f>
        <v>0</v>
      </c>
      <c r="L34" s="41">
        <f t="shared" si="29"/>
        <v>0</v>
      </c>
      <c r="N34" s="11">
        <f>VLOOKUP(A34,TB!TB1_1,5,FALSE)*-1</f>
        <v>0</v>
      </c>
      <c r="O34" s="41">
        <f t="shared" si="30"/>
        <v>0</v>
      </c>
    </row>
    <row r="35" spans="1:15" x14ac:dyDescent="0.25">
      <c r="A35" s="39" t="s">
        <v>487</v>
      </c>
      <c r="C35" t="s">
        <v>488</v>
      </c>
      <c r="E35" s="134">
        <f>VLOOKUP(A35,TB!TB,4,FALSE)</f>
        <v>0</v>
      </c>
      <c r="F35" s="41">
        <f t="shared" si="27"/>
        <v>0</v>
      </c>
      <c r="H35" s="11">
        <f>VLOOKUP(A35,TB!TB,5,FALSE)</f>
        <v>0</v>
      </c>
      <c r="I35" s="41">
        <f t="shared" si="28"/>
        <v>0</v>
      </c>
      <c r="K35" s="134">
        <f>VLOOKUP(A35,TB!TB1_1,4,FALSE)</f>
        <v>0</v>
      </c>
      <c r="L35" s="41">
        <f t="shared" si="29"/>
        <v>0</v>
      </c>
      <c r="N35" s="11">
        <f>VLOOKUP(A35,TB!TB1_1,5,FALSE)*-1</f>
        <v>0</v>
      </c>
      <c r="O35" s="41">
        <f t="shared" si="30"/>
        <v>0</v>
      </c>
    </row>
    <row r="36" spans="1:15" x14ac:dyDescent="0.25">
      <c r="A36" s="39" t="s">
        <v>499</v>
      </c>
      <c r="C36" t="s">
        <v>500</v>
      </c>
      <c r="E36" s="134">
        <f>VLOOKUP(A36,TB!TB,4,FALSE)</f>
        <v>0</v>
      </c>
      <c r="F36" s="41">
        <f t="shared" si="27"/>
        <v>0</v>
      </c>
      <c r="H36" s="11">
        <f>VLOOKUP(A36,TB!TB,5,FALSE)</f>
        <v>0</v>
      </c>
      <c r="I36" s="41">
        <f t="shared" si="28"/>
        <v>0</v>
      </c>
      <c r="K36" s="134">
        <f>VLOOKUP(A36,TB!TB1_1,4,FALSE)</f>
        <v>0</v>
      </c>
      <c r="L36" s="41">
        <f t="shared" si="29"/>
        <v>0</v>
      </c>
      <c r="N36" s="11">
        <f>VLOOKUP(A36,TB!TB1_1,5,FALSE)*-1</f>
        <v>0</v>
      </c>
      <c r="O36" s="41">
        <f t="shared" si="30"/>
        <v>0</v>
      </c>
    </row>
    <row r="37" spans="1:15" x14ac:dyDescent="0.25">
      <c r="A37" s="39" t="s">
        <v>510</v>
      </c>
      <c r="C37" t="s">
        <v>511</v>
      </c>
      <c r="E37" s="134">
        <f>VLOOKUP(A37,TB!TB,4,FALSE)</f>
        <v>0</v>
      </c>
      <c r="F37" s="41">
        <f t="shared" si="27"/>
        <v>0</v>
      </c>
      <c r="H37" s="11">
        <f>VLOOKUP(A37,TB!TB,5,FALSE)</f>
        <v>0</v>
      </c>
      <c r="I37" s="41">
        <f t="shared" si="28"/>
        <v>0</v>
      </c>
      <c r="K37" s="134">
        <f>VLOOKUP(A37,TB!TB1_1,4,FALSE)</f>
        <v>0</v>
      </c>
      <c r="L37" s="41">
        <f t="shared" si="29"/>
        <v>0</v>
      </c>
      <c r="N37" s="11">
        <f>VLOOKUP(A37,TB!TB1_1,5,FALSE)*-1</f>
        <v>0</v>
      </c>
      <c r="O37" s="41">
        <f t="shared" si="30"/>
        <v>0</v>
      </c>
    </row>
    <row r="38" spans="1:15" x14ac:dyDescent="0.25">
      <c r="A38" s="39" t="s">
        <v>521</v>
      </c>
      <c r="C38" t="s">
        <v>522</v>
      </c>
      <c r="E38" s="134">
        <f>VLOOKUP(A38,TB!TB,4,FALSE)</f>
        <v>11040</v>
      </c>
      <c r="F38" s="41">
        <f t="shared" si="27"/>
        <v>2.411956856646065E-2</v>
      </c>
      <c r="H38" s="11">
        <f>VLOOKUP(A38,TB!TB,5,FALSE)</f>
        <v>11040</v>
      </c>
      <c r="I38" s="41">
        <f t="shared" si="28"/>
        <v>2.411956856646065E-2</v>
      </c>
      <c r="K38" s="134">
        <f>VLOOKUP(A38,TB!TB1_1,4,FALSE)</f>
        <v>4937.5</v>
      </c>
      <c r="L38" s="41">
        <f t="shared" si="29"/>
        <v>1.3844465872795786E-2</v>
      </c>
      <c r="N38" s="11">
        <f>VLOOKUP(A38,TB!TB1_1,5,FALSE)*-1</f>
        <v>-4937.5</v>
      </c>
      <c r="O38" s="41">
        <f t="shared" si="30"/>
        <v>-1.3844465872795786E-2</v>
      </c>
    </row>
    <row r="39" spans="1:15" x14ac:dyDescent="0.25">
      <c r="A39" s="39" t="s">
        <v>539</v>
      </c>
      <c r="C39" t="s">
        <v>540</v>
      </c>
      <c r="E39" s="134">
        <f>VLOOKUP(A39,TB!TB,4,FALSE)</f>
        <v>0</v>
      </c>
      <c r="F39" s="41">
        <f t="shared" si="27"/>
        <v>0</v>
      </c>
      <c r="H39" s="11">
        <f>VLOOKUP(A39,TB!TB,5,FALSE)</f>
        <v>0</v>
      </c>
      <c r="I39" s="41">
        <f t="shared" si="28"/>
        <v>0</v>
      </c>
      <c r="K39" s="134">
        <f>VLOOKUP(A39,TB!TB1_1,4,FALSE)</f>
        <v>160</v>
      </c>
      <c r="L39" s="41">
        <f t="shared" si="29"/>
        <v>4.4863079283996468E-4</v>
      </c>
      <c r="N39" s="11">
        <f>VLOOKUP(A39,TB!TB1_1,5,FALSE)*-1</f>
        <v>-160</v>
      </c>
      <c r="O39" s="41">
        <f t="shared" si="30"/>
        <v>-4.4863079283996468E-4</v>
      </c>
    </row>
    <row r="40" spans="1:15" x14ac:dyDescent="0.25">
      <c r="A40" s="39" t="s">
        <v>570</v>
      </c>
      <c r="C40" t="s">
        <v>571</v>
      </c>
      <c r="E40" s="134">
        <f>VLOOKUP(A40,TB!TB,4,FALSE)</f>
        <v>0</v>
      </c>
      <c r="F40" s="41">
        <f t="shared" si="27"/>
        <v>0</v>
      </c>
      <c r="H40" s="11">
        <f>VLOOKUP(A40,TB!TB,5,FALSE)</f>
        <v>0</v>
      </c>
      <c r="I40" s="41">
        <f t="shared" si="28"/>
        <v>0</v>
      </c>
      <c r="K40" s="134">
        <f>VLOOKUP(A40,TB!TB1_1,4,FALSE)</f>
        <v>0</v>
      </c>
      <c r="L40" s="41">
        <f t="shared" si="29"/>
        <v>0</v>
      </c>
      <c r="N40" s="11">
        <f>VLOOKUP(A40,TB!TB1_1,5,FALSE)*-1</f>
        <v>0</v>
      </c>
      <c r="O40" s="41">
        <f t="shared" si="30"/>
        <v>0</v>
      </c>
    </row>
    <row r="41" spans="1:15" x14ac:dyDescent="0.25">
      <c r="A41" s="39" t="s">
        <v>584</v>
      </c>
      <c r="C41" t="s">
        <v>585</v>
      </c>
      <c r="E41" s="134">
        <f>VLOOKUP(A41,TB!TB,4,FALSE)</f>
        <v>0</v>
      </c>
      <c r="F41" s="41">
        <f t="shared" si="27"/>
        <v>0</v>
      </c>
      <c r="H41" s="11">
        <f>VLOOKUP(A41,TB!TB,5,FALSE)</f>
        <v>0</v>
      </c>
      <c r="I41" s="41">
        <f t="shared" si="28"/>
        <v>0</v>
      </c>
      <c r="K41" s="134">
        <f>VLOOKUP(A41,TB!TB1_1,4,FALSE)</f>
        <v>293.26</v>
      </c>
      <c r="L41" s="41">
        <f t="shared" si="29"/>
        <v>8.2228416442655023E-4</v>
      </c>
      <c r="N41" s="11">
        <f>VLOOKUP(A41,TB!TB1_1,5,FALSE)*-1</f>
        <v>-293.26</v>
      </c>
      <c r="O41" s="41">
        <f t="shared" si="30"/>
        <v>-8.2228416442655023E-4</v>
      </c>
    </row>
    <row r="42" spans="1:15" x14ac:dyDescent="0.25">
      <c r="A42" s="39" t="s">
        <v>596</v>
      </c>
      <c r="C42" t="s">
        <v>597</v>
      </c>
      <c r="E42" s="134">
        <f>VLOOKUP(A42,TB!TB,4,FALSE)</f>
        <v>0</v>
      </c>
      <c r="F42" s="41">
        <f t="shared" si="27"/>
        <v>0</v>
      </c>
      <c r="H42" s="11">
        <f>VLOOKUP(A42,TB!TB,5,FALSE)</f>
        <v>0</v>
      </c>
      <c r="I42" s="41">
        <f t="shared" si="28"/>
        <v>0</v>
      </c>
      <c r="K42" s="134">
        <f>VLOOKUP(A42,TB!TB1_1,4,FALSE)</f>
        <v>237.94</v>
      </c>
      <c r="L42" s="41">
        <f t="shared" si="29"/>
        <v>6.6717006780213253E-4</v>
      </c>
      <c r="N42" s="11">
        <f>VLOOKUP(A42,TB!TB1_1,5,FALSE)*-1</f>
        <v>-237.94</v>
      </c>
      <c r="O42" s="41">
        <f t="shared" si="30"/>
        <v>-6.6717006780213253E-4</v>
      </c>
    </row>
    <row r="43" spans="1:15" x14ac:dyDescent="0.25">
      <c r="A43" s="39" t="s">
        <v>610</v>
      </c>
      <c r="C43" t="s">
        <v>611</v>
      </c>
      <c r="E43" s="134">
        <f>VLOOKUP(A43,TB!TB,4,FALSE)</f>
        <v>0</v>
      </c>
      <c r="F43" s="41">
        <f t="shared" si="27"/>
        <v>0</v>
      </c>
      <c r="H43" s="11">
        <f>VLOOKUP(A43,TB!TB,5,FALSE)</f>
        <v>0</v>
      </c>
      <c r="I43" s="41">
        <f t="shared" si="28"/>
        <v>0</v>
      </c>
      <c r="K43" s="134">
        <f>VLOOKUP(A43,TB!TB1_1,4,FALSE)</f>
        <v>0</v>
      </c>
      <c r="L43" s="41">
        <f t="shared" si="29"/>
        <v>0</v>
      </c>
      <c r="N43" s="11">
        <f>VLOOKUP(A43,TB!TB1_1,5,FALSE)*-1</f>
        <v>0</v>
      </c>
      <c r="O43" s="41">
        <f t="shared" si="30"/>
        <v>0</v>
      </c>
    </row>
    <row r="44" spans="1:15" x14ac:dyDescent="0.25">
      <c r="A44" s="39" t="s">
        <v>622</v>
      </c>
      <c r="C44" t="s">
        <v>623</v>
      </c>
      <c r="E44" s="134">
        <f>VLOOKUP(A44,TB!TB,4,FALSE)</f>
        <v>0</v>
      </c>
      <c r="F44" s="41">
        <f t="shared" si="27"/>
        <v>0</v>
      </c>
      <c r="H44" s="11">
        <f>VLOOKUP(A44,TB!TB,5,FALSE)</f>
        <v>0</v>
      </c>
      <c r="I44" s="41">
        <f t="shared" si="28"/>
        <v>0</v>
      </c>
      <c r="K44" s="134">
        <f>VLOOKUP(A44,TB!TB1_1,4,FALSE)</f>
        <v>0</v>
      </c>
      <c r="L44" s="41">
        <f t="shared" si="29"/>
        <v>0</v>
      </c>
      <c r="N44" s="11">
        <f>VLOOKUP(A44,TB!TB1_1,5,FALSE)*-1</f>
        <v>0</v>
      </c>
      <c r="O44" s="41">
        <f t="shared" si="30"/>
        <v>0</v>
      </c>
    </row>
    <row r="45" spans="1:15" x14ac:dyDescent="0.25">
      <c r="A45" s="39" t="s">
        <v>669</v>
      </c>
      <c r="C45" t="s">
        <v>670</v>
      </c>
      <c r="E45" s="134">
        <f>VLOOKUP(A45,TB!TB,4,FALSE)</f>
        <v>1400</v>
      </c>
      <c r="F45" s="41">
        <f t="shared" si="27"/>
        <v>3.0586409413989957E-3</v>
      </c>
      <c r="H45" s="11">
        <f>VLOOKUP(A45,TB!TB,5,FALSE)</f>
        <v>1400</v>
      </c>
      <c r="I45" s="41">
        <f t="shared" si="28"/>
        <v>3.0586409413989957E-3</v>
      </c>
      <c r="K45" s="134">
        <f>VLOOKUP(A45,TB!TB1_1,4,FALSE)</f>
        <v>8370</v>
      </c>
      <c r="L45" s="41">
        <f t="shared" si="29"/>
        <v>2.3468998350440654E-2</v>
      </c>
      <c r="N45" s="11">
        <f>VLOOKUP(A45,TB!TB1_1,5,FALSE)*-1</f>
        <v>-8370</v>
      </c>
      <c r="O45" s="41">
        <f t="shared" si="30"/>
        <v>-2.3468998350440654E-2</v>
      </c>
    </row>
    <row r="46" spans="1:15" x14ac:dyDescent="0.25">
      <c r="A46" s="39" t="s">
        <v>677</v>
      </c>
      <c r="C46" t="s">
        <v>678</v>
      </c>
      <c r="E46" s="134">
        <f>VLOOKUP(A46,TB!TB,4,FALSE)</f>
        <v>0</v>
      </c>
      <c r="F46" s="41">
        <f t="shared" si="27"/>
        <v>0</v>
      </c>
      <c r="H46" s="11">
        <f>VLOOKUP(A46,TB!TB,5,FALSE)</f>
        <v>0</v>
      </c>
      <c r="I46" s="41">
        <f t="shared" si="28"/>
        <v>0</v>
      </c>
      <c r="K46" s="134">
        <f>VLOOKUP(A46,TB!TB1_1,4,FALSE)</f>
        <v>0</v>
      </c>
      <c r="L46" s="41">
        <f t="shared" si="29"/>
        <v>0</v>
      </c>
      <c r="N46" s="11">
        <f>VLOOKUP(A46,TB!TB1_1,5,FALSE)*-1</f>
        <v>0</v>
      </c>
      <c r="O46" s="41">
        <f t="shared" si="30"/>
        <v>0</v>
      </c>
    </row>
    <row r="47" spans="1:15" x14ac:dyDescent="0.25">
      <c r="A47" s="39" t="s">
        <v>725</v>
      </c>
      <c r="C47" t="s">
        <v>2065</v>
      </c>
      <c r="E47" s="137">
        <f>VLOOKUP(A47,TB!TB,4,FALSE)</f>
        <v>0</v>
      </c>
      <c r="F47" s="41">
        <f t="shared" si="27"/>
        <v>0</v>
      </c>
      <c r="H47" s="59">
        <f>VLOOKUP(A47,TB!TB,5,FALSE)</f>
        <v>0</v>
      </c>
      <c r="I47" s="41">
        <f t="shared" si="28"/>
        <v>0</v>
      </c>
      <c r="K47" s="137">
        <f>VLOOKUP(A47,TB!TB1_1,4,FALSE)</f>
        <v>0</v>
      </c>
      <c r="L47" s="41">
        <f t="shared" si="29"/>
        <v>0</v>
      </c>
      <c r="N47" s="59">
        <f>VLOOKUP(A47,TB!TB1_1,5,FALSE)*-1</f>
        <v>0</v>
      </c>
      <c r="O47" s="41">
        <f t="shared" si="30"/>
        <v>0</v>
      </c>
    </row>
    <row r="48" spans="1:15" x14ac:dyDescent="0.25">
      <c r="A48" s="39" t="s">
        <v>1350</v>
      </c>
      <c r="C48" t="s">
        <v>1534</v>
      </c>
      <c r="E48" s="137">
        <f>VLOOKUP(A48,TB!TB,4,FALSE)</f>
        <v>0</v>
      </c>
      <c r="F48" s="41">
        <f t="shared" ref="F48" si="31">IF(E$10,E48/E$10,0)</f>
        <v>0</v>
      </c>
      <c r="H48" s="59">
        <f>VLOOKUP(A48,TB!TB,5,FALSE)</f>
        <v>0</v>
      </c>
      <c r="I48" s="41">
        <f t="shared" ref="I48" si="32">IF(H$10,H48/H$10,0)</f>
        <v>0</v>
      </c>
      <c r="K48" s="137">
        <f>VLOOKUP(A48,TB!TB1_1,4,FALSE)</f>
        <v>0</v>
      </c>
      <c r="L48" s="41">
        <f t="shared" ref="L48" si="33">IF(K$10,K48/K$10,0)</f>
        <v>0</v>
      </c>
      <c r="N48" s="59">
        <f>VLOOKUP(A48,TB!TB1_1,5,FALSE)*-1</f>
        <v>0</v>
      </c>
      <c r="O48" s="41">
        <f t="shared" ref="O48" si="34">IF(N$10,N48/N$10,0)</f>
        <v>0</v>
      </c>
    </row>
    <row r="49" spans="1:15" x14ac:dyDescent="0.25">
      <c r="C49" s="43" t="s">
        <v>1003</v>
      </c>
      <c r="E49" s="135">
        <f>SUM(E28:E47)</f>
        <v>24384.32</v>
      </c>
      <c r="F49" s="86">
        <f t="shared" si="27"/>
        <v>5.3273485342981687E-2</v>
      </c>
      <c r="H49" s="74">
        <f>SUM(H28:H47)</f>
        <v>24384.32</v>
      </c>
      <c r="I49" s="86">
        <f t="shared" si="28"/>
        <v>5.3273485342981687E-2</v>
      </c>
      <c r="K49" s="135">
        <f>SUM(K28:K47)</f>
        <v>24953.32</v>
      </c>
      <c r="L49" s="86">
        <f t="shared" si="29"/>
        <v>6.9967673347433423E-2</v>
      </c>
      <c r="N49" s="74">
        <f>SUM(N28:N47)</f>
        <v>-24953.32</v>
      </c>
      <c r="O49" s="86">
        <f t="shared" si="30"/>
        <v>-6.9967673347433423E-2</v>
      </c>
    </row>
    <row r="51" spans="1:15" x14ac:dyDescent="0.25">
      <c r="C51" s="43" t="s">
        <v>1024</v>
      </c>
      <c r="E51" s="138">
        <f>E25-E49</f>
        <v>248228.36</v>
      </c>
      <c r="F51" s="41">
        <f t="shared" si="27"/>
        <v>0.54231530336594913</v>
      </c>
      <c r="H51" s="40">
        <f>H25-H49</f>
        <v>248228.36</v>
      </c>
      <c r="I51" s="41">
        <f t="shared" ref="I51:I52" si="35">IF(H$10,H51/H$10,0)</f>
        <v>0.54231530336594913</v>
      </c>
      <c r="K51" s="138">
        <f>K25-K49</f>
        <v>101964.89000000001</v>
      </c>
      <c r="L51" s="41">
        <f t="shared" ref="L51:L52" si="36">IF(K$10,K51/K$10,0)</f>
        <v>0.28590368401587368</v>
      </c>
      <c r="N51" s="40">
        <f>N25-N49</f>
        <v>151871.53000000003</v>
      </c>
      <c r="O51" s="41">
        <f t="shared" ref="O51:O52" si="37">IF(N$10,N51/N$10,0)</f>
        <v>0.42583903071074058</v>
      </c>
    </row>
    <row r="52" spans="1:15" ht="15.75" thickBot="1" x14ac:dyDescent="0.3">
      <c r="A52" s="46" t="s">
        <v>742</v>
      </c>
      <c r="C52" t="s">
        <v>743</v>
      </c>
      <c r="E52" s="137">
        <f>VLOOKUP(A52,TB!TB,4,FALSE)</f>
        <v>0</v>
      </c>
      <c r="F52" s="41">
        <f t="shared" si="27"/>
        <v>0</v>
      </c>
      <c r="H52" s="59">
        <f>VLOOKUP(A52,TB!TB,5,FALSE)</f>
        <v>0</v>
      </c>
      <c r="I52" s="41">
        <f t="shared" si="35"/>
        <v>0</v>
      </c>
      <c r="K52" s="137">
        <f>VLOOKUP(A52,TB!TB1_1,4,FALSE)</f>
        <v>8231.06</v>
      </c>
      <c r="L52" s="41">
        <f t="shared" si="36"/>
        <v>2.3079418585708247E-2</v>
      </c>
      <c r="N52" s="59">
        <f>VLOOKUP(A52,TB!TB1_1,5,FALSE)*-1</f>
        <v>-8231.06</v>
      </c>
      <c r="O52" s="41">
        <f t="shared" si="37"/>
        <v>-2.3079418585708247E-2</v>
      </c>
    </row>
    <row r="53" spans="1:15" ht="15.75" thickTop="1" x14ac:dyDescent="0.25">
      <c r="E53" s="139"/>
      <c r="F53" s="99"/>
      <c r="H53" s="99"/>
      <c r="I53" s="99"/>
      <c r="K53" s="139"/>
      <c r="L53" s="99"/>
      <c r="N53" s="99"/>
      <c r="O53" s="99"/>
    </row>
    <row r="54" spans="1:15" x14ac:dyDescent="0.25">
      <c r="C54" s="37" t="s">
        <v>1025</v>
      </c>
      <c r="E54" s="138">
        <f>E51-E52</f>
        <v>248228.36</v>
      </c>
      <c r="F54" s="41">
        <f t="shared" si="27"/>
        <v>0.54231530336594913</v>
      </c>
      <c r="H54" s="40">
        <f>H51-H52</f>
        <v>248228.36</v>
      </c>
      <c r="I54" s="41">
        <f t="shared" ref="I54" si="38">IF(H$10,H54/H$10,0)</f>
        <v>0.54231530336594913</v>
      </c>
      <c r="K54" s="138">
        <f>K51-K52</f>
        <v>93733.830000000016</v>
      </c>
      <c r="L54" s="41">
        <f t="shared" ref="L54" si="39">IF(K$10,K54/K$10,0)</f>
        <v>0.26282426543016546</v>
      </c>
      <c r="N54" s="40">
        <f>N51-N52</f>
        <v>160102.59000000003</v>
      </c>
      <c r="O54" s="41">
        <f t="shared" ref="O54" si="40">IF(N$10,N54/N$10,0)</f>
        <v>0.44891844929644886</v>
      </c>
    </row>
  </sheetData>
  <mergeCells count="3">
    <mergeCell ref="A1:P1"/>
    <mergeCell ref="A2:P2"/>
    <mergeCell ref="A3:P3"/>
  </mergeCells>
  <pageMargins left="0.7" right="0.7" top="0.75" bottom="0.75" header="0.3" footer="0.3"/>
  <pageSetup scale="54" orientation="portrait" r:id="rId1"/>
  <colBreaks count="1" manualBreakCount="1">
    <brk id="15" max="5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152B-F0AA-49BD-A12B-7F6FE2D36660}">
  <dimension ref="A1:O61"/>
  <sheetViews>
    <sheetView topLeftCell="A37" zoomScaleNormal="100" workbookViewId="0">
      <selection activeCell="A25" sqref="A25:XFD25"/>
    </sheetView>
  </sheetViews>
  <sheetFormatPr defaultRowHeight="15" x14ac:dyDescent="0.25"/>
  <cols>
    <col min="1" max="1" width="11.7109375" style="36" customWidth="1"/>
    <col min="2" max="2" width="2.42578125" customWidth="1"/>
    <col min="3" max="3" width="30.85546875" customWidth="1"/>
    <col min="4" max="4" width="2.5703125" customWidth="1"/>
    <col min="5" max="5" width="18.42578125" style="136" customWidth="1"/>
    <col min="7" max="7" width="1.7109375" customWidth="1"/>
    <col min="8" max="8" width="18.42578125" customWidth="1"/>
    <col min="10" max="10" width="2" customWidth="1"/>
    <col min="11" max="11" width="18.28515625" style="136" customWidth="1"/>
    <col min="13" max="13" width="1.7109375" customWidth="1"/>
    <col min="14" max="14" width="18.42578125" customWidth="1"/>
  </cols>
  <sheetData>
    <row r="1" spans="1:15" ht="31.5" x14ac:dyDescent="0.5">
      <c r="A1" s="158" t="s">
        <v>1070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ht="26.25" x14ac:dyDescent="0.4">
      <c r="A2" s="159" t="s">
        <v>1072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</row>
    <row r="3" spans="1:15" ht="15.75" x14ac:dyDescent="0.25">
      <c r="A3" s="157">
        <f>DATEVALUE(TB!A3&amp;"/"&amp;TB!A4)</f>
        <v>46023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</row>
    <row r="4" spans="1:15" ht="15.75" x14ac:dyDescent="0.25">
      <c r="B4" s="6"/>
      <c r="C4" s="8" t="s">
        <v>5</v>
      </c>
      <c r="D4" s="6"/>
      <c r="E4" s="132" t="s">
        <v>3</v>
      </c>
      <c r="F4" s="6"/>
      <c r="G4" s="6"/>
      <c r="H4" s="8" t="s">
        <v>4</v>
      </c>
      <c r="I4" s="6"/>
      <c r="J4" s="6"/>
      <c r="K4" s="132" t="s">
        <v>3</v>
      </c>
      <c r="L4" s="6"/>
      <c r="M4" s="6"/>
      <c r="N4" s="8" t="s">
        <v>4</v>
      </c>
      <c r="O4" s="5"/>
    </row>
    <row r="5" spans="1:15" ht="15.75" x14ac:dyDescent="0.25">
      <c r="A5" s="7" t="s">
        <v>1000</v>
      </c>
      <c r="B5" s="5"/>
      <c r="C5" s="38" t="s">
        <v>1039</v>
      </c>
      <c r="D5" s="5"/>
      <c r="E5" s="133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133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6" spans="1:15" ht="15.75" x14ac:dyDescent="0.25">
      <c r="A6" s="38"/>
      <c r="C6" s="38"/>
      <c r="E6" s="140"/>
      <c r="F6" s="48"/>
      <c r="G6" s="49"/>
      <c r="H6" s="47"/>
      <c r="I6" s="48"/>
      <c r="K6" s="140"/>
      <c r="L6" s="48"/>
      <c r="M6" s="49"/>
      <c r="N6" s="47"/>
      <c r="O6" s="48"/>
    </row>
    <row r="7" spans="1:15" x14ac:dyDescent="0.25">
      <c r="A7" s="36" t="s">
        <v>183</v>
      </c>
      <c r="C7" t="s">
        <v>1048</v>
      </c>
      <c r="E7" s="134">
        <f>VLOOKUP(A7,TB!TB,4,FALSE)*-1</f>
        <v>239550</v>
      </c>
      <c r="F7" s="41">
        <f t="shared" ref="F7:F14" si="0">IF(E$14,E7/E$14,0)</f>
        <v>0.44816482258051749</v>
      </c>
      <c r="H7" s="11">
        <f>VLOOKUP(A7,TB!TB,5,FALSE)*-1</f>
        <v>239550</v>
      </c>
      <c r="I7" s="41">
        <f t="shared" ref="I7:I14" si="1">IF(H$14,H7/H$14,0)</f>
        <v>0.44816482258051749</v>
      </c>
      <c r="K7" s="134">
        <f>VLOOKUP(A7,TB!TB1_1,4,FALSE)*-1</f>
        <v>73800</v>
      </c>
      <c r="L7" s="41">
        <f t="shared" ref="L7:L13" si="2">IF(K$14,K7/K$14,0)</f>
        <v>0.22217856925129886</v>
      </c>
      <c r="N7" s="11">
        <f>VLOOKUP(A7,TB!TB1_1,5,FALSE)*-1</f>
        <v>73800</v>
      </c>
      <c r="O7" s="41">
        <f t="shared" ref="O7:O13" si="3">IF(N$14,N7/N$14,0)</f>
        <v>0.22217856925129886</v>
      </c>
    </row>
    <row r="8" spans="1:15" x14ac:dyDescent="0.25">
      <c r="A8" s="36" t="s">
        <v>192</v>
      </c>
      <c r="C8" t="s">
        <v>1049</v>
      </c>
      <c r="E8" s="134">
        <f>VLOOKUP(A8,TB!TB,4,FALSE)*-1</f>
        <v>221925</v>
      </c>
      <c r="F8" s="41">
        <f t="shared" si="0"/>
        <v>0.41519089230299039</v>
      </c>
      <c r="H8" s="11">
        <f>VLOOKUP(A8,TB!TB,5,FALSE)*-1</f>
        <v>221925</v>
      </c>
      <c r="I8" s="41">
        <f t="shared" si="1"/>
        <v>0.41519089230299039</v>
      </c>
      <c r="K8" s="134">
        <f>VLOOKUP(A8,TB!TB1_1,4,FALSE)*-1</f>
        <v>208035</v>
      </c>
      <c r="L8" s="41">
        <f t="shared" si="2"/>
        <v>0.62629971076143576</v>
      </c>
      <c r="N8" s="11">
        <f>VLOOKUP(A8,TB!TB1_1,5,FALSE)*-1</f>
        <v>208035</v>
      </c>
      <c r="O8" s="41">
        <f t="shared" si="3"/>
        <v>0.62629971076143576</v>
      </c>
    </row>
    <row r="9" spans="1:15" x14ac:dyDescent="0.25">
      <c r="A9" s="39" t="s">
        <v>1273</v>
      </c>
      <c r="C9" t="s">
        <v>1279</v>
      </c>
      <c r="E9" s="134">
        <f>VLOOKUP(A9,TB!TB,4,FALSE)*-1</f>
        <v>0</v>
      </c>
      <c r="F9" s="41">
        <f t="shared" si="0"/>
        <v>0</v>
      </c>
      <c r="H9" s="11">
        <f>VLOOKUP(A9,TB!TB,5,FALSE)*-1</f>
        <v>0</v>
      </c>
      <c r="I9" s="41">
        <f t="shared" si="1"/>
        <v>0</v>
      </c>
      <c r="K9" s="134">
        <v>0</v>
      </c>
      <c r="L9" s="41">
        <f t="shared" si="2"/>
        <v>0</v>
      </c>
      <c r="N9" s="11">
        <v>0</v>
      </c>
      <c r="O9" s="41">
        <f t="shared" si="3"/>
        <v>0</v>
      </c>
    </row>
    <row r="10" spans="1:15" x14ac:dyDescent="0.25">
      <c r="A10" s="36" t="s">
        <v>186</v>
      </c>
      <c r="C10" t="s">
        <v>185</v>
      </c>
      <c r="E10" s="134">
        <f>VLOOKUP(A10,TB!TB,4,FALSE)*-1</f>
        <v>550</v>
      </c>
      <c r="F10" s="41">
        <f t="shared" si="0"/>
        <v>1.0289737107880802E-3</v>
      </c>
      <c r="H10" s="11">
        <f>VLOOKUP(A10,TB!TB,5,FALSE)*-1</f>
        <v>550</v>
      </c>
      <c r="I10" s="41">
        <f t="shared" si="1"/>
        <v>1.0289737107880802E-3</v>
      </c>
      <c r="K10" s="134">
        <f>VLOOKUP(A10,TB!TB1_1,4,FALSE)*-1</f>
        <v>18200</v>
      </c>
      <c r="L10" s="41">
        <f t="shared" si="2"/>
        <v>5.4792004883111645E-2</v>
      </c>
      <c r="N10" s="11">
        <f>VLOOKUP(A10,TB!TB1_1,5,FALSE)*-1</f>
        <v>18200</v>
      </c>
      <c r="O10" s="41">
        <f t="shared" si="3"/>
        <v>5.4792004883111645E-2</v>
      </c>
    </row>
    <row r="11" spans="1:15" x14ac:dyDescent="0.25">
      <c r="A11" s="39" t="s">
        <v>1245</v>
      </c>
      <c r="C11" s="1" t="s">
        <v>1246</v>
      </c>
      <c r="E11" s="134">
        <f>VLOOKUP(A11,TB!TB,4,FALSE)*-1</f>
        <v>18495.95</v>
      </c>
      <c r="F11" s="41">
        <f t="shared" si="0"/>
        <v>3.4603356920092351E-2</v>
      </c>
      <c r="H11" s="11">
        <f>VLOOKUP(A11,TB!TB,5,FALSE)*-1</f>
        <v>18495.95</v>
      </c>
      <c r="I11" s="41">
        <f t="shared" si="1"/>
        <v>3.4603356920092351E-2</v>
      </c>
      <c r="K11" s="134">
        <f>VLOOKUP(A11,TB!TB1_1,4,FALSE)*-1</f>
        <v>0</v>
      </c>
      <c r="L11" s="41">
        <f t="shared" si="2"/>
        <v>0</v>
      </c>
      <c r="N11" s="11">
        <f>VLOOKUP(A11,TB!TB1_1,5,FALSE)*-1</f>
        <v>0</v>
      </c>
      <c r="O11" s="41">
        <f t="shared" si="3"/>
        <v>0</v>
      </c>
    </row>
    <row r="12" spans="1:15" x14ac:dyDescent="0.25">
      <c r="A12" s="36" t="s">
        <v>226</v>
      </c>
      <c r="C12" t="s">
        <v>1037</v>
      </c>
      <c r="E12" s="134">
        <f>VLOOKUP(A12,TB!TB,4,FALSE)*-1</f>
        <v>43232.22</v>
      </c>
      <c r="F12" s="41">
        <f t="shared" si="0"/>
        <v>8.0881486980012102E-2</v>
      </c>
      <c r="H12" s="11">
        <f>VLOOKUP(A12,TB!TB,5,FALSE)*-1</f>
        <v>43232.22</v>
      </c>
      <c r="I12" s="41">
        <f t="shared" si="1"/>
        <v>8.0881486980012102E-2</v>
      </c>
      <c r="K12" s="134">
        <f>VLOOKUP(A12,TB!TB1_1,4,FALSE)*-1</f>
        <v>28794</v>
      </c>
      <c r="L12" s="41">
        <f t="shared" si="2"/>
        <v>8.6685768604632785E-2</v>
      </c>
      <c r="N12" s="11">
        <f>VLOOKUP(A12,TB!TB1_1,5,FALSE)*-1</f>
        <v>28794</v>
      </c>
      <c r="O12" s="41">
        <f t="shared" si="3"/>
        <v>8.6685768604632785E-2</v>
      </c>
    </row>
    <row r="13" spans="1:15" x14ac:dyDescent="0.25">
      <c r="A13" s="36" t="s">
        <v>190</v>
      </c>
      <c r="C13" t="s">
        <v>189</v>
      </c>
      <c r="E13" s="141">
        <f>VLOOKUP(A13,TB!TB,4,FALSE)*-1</f>
        <v>10760</v>
      </c>
      <c r="F13" s="50">
        <f t="shared" si="0"/>
        <v>2.0130467505599534E-2</v>
      </c>
      <c r="G13" s="51"/>
      <c r="H13" s="29">
        <f>VLOOKUP(A13,TB!TB,5,FALSE)*-1</f>
        <v>10760</v>
      </c>
      <c r="I13" s="50">
        <f t="shared" si="1"/>
        <v>2.0130467505599534E-2</v>
      </c>
      <c r="J13" s="51"/>
      <c r="K13" s="141">
        <f>VLOOKUP(A13,TB!TB1_1,4,FALSE)*-1</f>
        <v>3336.25</v>
      </c>
      <c r="L13" s="50">
        <f t="shared" si="2"/>
        <v>1.0043946499520947E-2</v>
      </c>
      <c r="M13" s="51"/>
      <c r="N13" s="29">
        <f>VLOOKUP(A13,TB!TB1_1,5,FALSE)*-1</f>
        <v>3336.25</v>
      </c>
      <c r="O13" s="50">
        <f t="shared" si="3"/>
        <v>1.0043946499520947E-2</v>
      </c>
    </row>
    <row r="14" spans="1:15" x14ac:dyDescent="0.25">
      <c r="C14" s="43" t="s">
        <v>1038</v>
      </c>
      <c r="E14" s="138">
        <f>SUM(E7:E13)</f>
        <v>534513.17000000004</v>
      </c>
      <c r="F14" s="41">
        <f t="shared" si="0"/>
        <v>1</v>
      </c>
      <c r="H14" s="40">
        <f>SUM(H7:H13)</f>
        <v>534513.17000000004</v>
      </c>
      <c r="I14" s="41">
        <f t="shared" si="1"/>
        <v>1</v>
      </c>
      <c r="K14" s="138">
        <f>SUM(K7:K13)</f>
        <v>332165.25</v>
      </c>
      <c r="L14" s="41">
        <f t="shared" ref="L14" si="4">IF(K$10,K14/K$10,0)</f>
        <v>18.250837912087913</v>
      </c>
      <c r="N14" s="40">
        <f>SUM(N7:N13)</f>
        <v>332165.25</v>
      </c>
      <c r="O14" s="41">
        <f t="shared" ref="O14" si="5">IF(N$10,N14/N$10,0)</f>
        <v>18.250837912087913</v>
      </c>
    </row>
    <row r="16" spans="1:15" x14ac:dyDescent="0.25">
      <c r="A16" s="36" t="s">
        <v>309</v>
      </c>
      <c r="C16" t="s">
        <v>1050</v>
      </c>
      <c r="E16" s="134">
        <f>VLOOKUP(A16,TB!TB,4,FALSE)</f>
        <v>180524.11</v>
      </c>
      <c r="F16" s="41">
        <f>IF(E$14,E16/E$14,0)</f>
        <v>0.33773556973348284</v>
      </c>
      <c r="H16" s="11">
        <f>VLOOKUP(A16,TB!TB,5,FALSE)</f>
        <v>180524.11</v>
      </c>
      <c r="I16" s="41">
        <f>IF(H$14,H16/H$14,0)</f>
        <v>0.33773556973348284</v>
      </c>
      <c r="K16" s="134">
        <f>VLOOKUP(A16,TB!TB1_1,4,FALSE)</f>
        <v>64123.68</v>
      </c>
      <c r="L16" s="41">
        <f>IF(K$14,K16/K$14,0)</f>
        <v>0.19304752679577408</v>
      </c>
      <c r="N16" s="11">
        <f>VLOOKUP(A16,TB!TB1_1,5,FALSE)</f>
        <v>64123.68</v>
      </c>
      <c r="O16" s="41">
        <f>IF(N$14,N16/N$14,0)</f>
        <v>0.19304752679577408</v>
      </c>
    </row>
    <row r="17" spans="1:15" x14ac:dyDescent="0.25">
      <c r="A17" s="36" t="s">
        <v>312</v>
      </c>
      <c r="C17" t="s">
        <v>1051</v>
      </c>
      <c r="E17" s="134">
        <f>VLOOKUP(A17,TB!TB,4,FALSE)</f>
        <v>180109.91</v>
      </c>
      <c r="F17" s="41">
        <f>IF(E$14,E17/E$14,0)</f>
        <v>0.33696065898619482</v>
      </c>
      <c r="H17" s="11">
        <f>VLOOKUP(A17,TB!TB,5,FALSE)</f>
        <v>180109.91</v>
      </c>
      <c r="I17" s="41">
        <f>IF(H$14,H17/H$14,0)</f>
        <v>0.33696065898619482</v>
      </c>
      <c r="K17" s="134">
        <f>VLOOKUP(A17,TB!TB1_1,4,FALSE)</f>
        <v>172669.05</v>
      </c>
      <c r="L17" s="41">
        <f>IF(K$14,K17/K$14,0)</f>
        <v>0.51982875993199162</v>
      </c>
      <c r="N17" s="11">
        <f>VLOOKUP(A17,TB!TB1_1,5,FALSE)</f>
        <v>172669.05</v>
      </c>
      <c r="O17" s="41">
        <f>IF(N$14,N17/N$14,0)</f>
        <v>0.51982875993199162</v>
      </c>
    </row>
    <row r="18" spans="1:15" x14ac:dyDescent="0.25">
      <c r="A18" s="39" t="s">
        <v>1247</v>
      </c>
      <c r="C18" s="1" t="s">
        <v>1246</v>
      </c>
      <c r="E18" s="134">
        <f>VLOOKUP(A18,TB!TB,4,FALSE)</f>
        <v>29129</v>
      </c>
      <c r="F18" s="41">
        <f t="shared" ref="F18" si="6">IF(E$14,E18/E$14,0)</f>
        <v>5.4496318584629069E-2</v>
      </c>
      <c r="H18" s="11">
        <f>VLOOKUP(A18,TB!TB,5,FALSE)</f>
        <v>29129</v>
      </c>
      <c r="I18" s="41">
        <f t="shared" ref="I18" si="7">IF(H$14,H18/H$14,0)</f>
        <v>5.4496318584629069E-2</v>
      </c>
      <c r="K18" s="134">
        <f>VLOOKUP(A18,TB!TB1_1,4,FALSE)</f>
        <v>0</v>
      </c>
      <c r="L18" s="41">
        <f t="shared" ref="L18" si="8">IF(K$14,K18/K$14,0)</f>
        <v>0</v>
      </c>
      <c r="N18" s="11">
        <f>VLOOKUP(A18,TB!TB1_1,5,FALSE)</f>
        <v>0</v>
      </c>
      <c r="O18" s="41">
        <f t="shared" ref="O18" si="9">IF(N$14,N18/N$14,0)</f>
        <v>0</v>
      </c>
    </row>
    <row r="19" spans="1:15" x14ac:dyDescent="0.25">
      <c r="A19" s="36" t="s">
        <v>395</v>
      </c>
      <c r="C19" t="s">
        <v>1026</v>
      </c>
      <c r="E19" s="134">
        <f>VLOOKUP(A19,TB!TB,4,FALSE)</f>
        <v>7920.08</v>
      </c>
      <c r="F19" s="41">
        <f t="shared" ref="F19:F29" si="10">IF(E$14,E19/E$14,0)</f>
        <v>1.4817371104251742E-2</v>
      </c>
      <c r="H19" s="11">
        <f>VLOOKUP(A19,TB!TB,5,FALSE)</f>
        <v>7920.08</v>
      </c>
      <c r="I19" s="41">
        <f t="shared" ref="I19:I29" si="11">IF(H$14,H19/H$14,0)</f>
        <v>1.4817371104251742E-2</v>
      </c>
      <c r="K19" s="134">
        <f>VLOOKUP(A19,TB!TB1_1,4,FALSE)</f>
        <v>5532.76</v>
      </c>
      <c r="L19" s="41">
        <f t="shared" ref="L19:L29" si="12">IF(K$14,K19/K$14,0)</f>
        <v>1.6656649062477186E-2</v>
      </c>
      <c r="N19" s="11">
        <f>VLOOKUP(A19,TB!TB1_1,5,FALSE)</f>
        <v>5532.76</v>
      </c>
      <c r="O19" s="41">
        <f t="shared" ref="O19:O29" si="13">IF(N$14,N19/N$14,0)</f>
        <v>1.6656649062477186E-2</v>
      </c>
    </row>
    <row r="20" spans="1:15" x14ac:dyDescent="0.25">
      <c r="A20" s="36" t="s">
        <v>408</v>
      </c>
      <c r="C20" t="s">
        <v>1052</v>
      </c>
      <c r="E20" s="134">
        <f>VLOOKUP(A20,TB!TB,4,FALSE)</f>
        <v>0</v>
      </c>
      <c r="F20" s="41">
        <f t="shared" si="10"/>
        <v>0</v>
      </c>
      <c r="H20" s="11">
        <f>VLOOKUP(A20,TB!TB,5,FALSE)</f>
        <v>0</v>
      </c>
      <c r="I20" s="41">
        <f t="shared" si="11"/>
        <v>0</v>
      </c>
      <c r="K20" s="134">
        <f>VLOOKUP(A20,TB!TB1_1,4,FALSE)</f>
        <v>702</v>
      </c>
      <c r="L20" s="41">
        <f t="shared" si="12"/>
        <v>2.1134059026343063E-3</v>
      </c>
      <c r="N20" s="11">
        <f>VLOOKUP(A20,TB!TB1_1,5,FALSE)</f>
        <v>702</v>
      </c>
      <c r="O20" s="41">
        <f t="shared" si="13"/>
        <v>2.1134059026343063E-3</v>
      </c>
    </row>
    <row r="21" spans="1:15" x14ac:dyDescent="0.25">
      <c r="A21" s="36" t="s">
        <v>402</v>
      </c>
      <c r="C21" t="s">
        <v>1053</v>
      </c>
      <c r="E21" s="134">
        <f>VLOOKUP(A21,TB!TB,4,FALSE)</f>
        <v>0</v>
      </c>
      <c r="F21" s="41">
        <f t="shared" si="10"/>
        <v>0</v>
      </c>
      <c r="H21" s="11">
        <f>VLOOKUP(A21,TB!TB,5,FALSE)</f>
        <v>0</v>
      </c>
      <c r="I21" s="41">
        <f t="shared" si="11"/>
        <v>0</v>
      </c>
      <c r="K21" s="134">
        <f>VLOOKUP(A21,TB!TB1_1,4,FALSE)</f>
        <v>0</v>
      </c>
      <c r="L21" s="41">
        <f t="shared" si="12"/>
        <v>0</v>
      </c>
      <c r="N21" s="11">
        <f>VLOOKUP(A21,TB!TB1_1,5,FALSE)</f>
        <v>0</v>
      </c>
      <c r="O21" s="41">
        <f t="shared" si="13"/>
        <v>0</v>
      </c>
    </row>
    <row r="22" spans="1:15" x14ac:dyDescent="0.25">
      <c r="A22" s="36" t="s">
        <v>340</v>
      </c>
      <c r="C22" t="s">
        <v>1030</v>
      </c>
      <c r="E22" s="134">
        <f>VLOOKUP(A22,TB!TB,4,FALSE)</f>
        <v>0</v>
      </c>
      <c r="F22" s="41">
        <f t="shared" si="10"/>
        <v>0</v>
      </c>
      <c r="H22" s="11">
        <f>VLOOKUP(A22,TB!TB,5,FALSE)</f>
        <v>0</v>
      </c>
      <c r="I22" s="41">
        <f t="shared" si="11"/>
        <v>0</v>
      </c>
      <c r="K22" s="134">
        <f>VLOOKUP(A22,TB!TB1_1,4,FALSE)</f>
        <v>0</v>
      </c>
      <c r="L22" s="41">
        <f t="shared" si="12"/>
        <v>0</v>
      </c>
      <c r="N22" s="11">
        <f>VLOOKUP(A22,TB!TB1_1,5,FALSE)</f>
        <v>0</v>
      </c>
      <c r="O22" s="41">
        <f t="shared" si="13"/>
        <v>0</v>
      </c>
    </row>
    <row r="23" spans="1:15" x14ac:dyDescent="0.25">
      <c r="A23" s="36" t="s">
        <v>359</v>
      </c>
      <c r="C23" t="s">
        <v>1029</v>
      </c>
      <c r="E23" s="134">
        <f>VLOOKUP(A23,TB!TB,4,FALSE)</f>
        <v>0</v>
      </c>
      <c r="F23" s="41">
        <f t="shared" si="10"/>
        <v>0</v>
      </c>
      <c r="H23" s="11">
        <f>VLOOKUP(A23,TB!TB,5,FALSE)</f>
        <v>0</v>
      </c>
      <c r="I23" s="41">
        <f t="shared" si="11"/>
        <v>0</v>
      </c>
      <c r="K23" s="134">
        <f>VLOOKUP(A23,TB!TB1_1,4,FALSE)</f>
        <v>0</v>
      </c>
      <c r="L23" s="41">
        <f t="shared" si="12"/>
        <v>0</v>
      </c>
      <c r="N23" s="11">
        <f>VLOOKUP(A23,TB!TB1_1,5,FALSE)</f>
        <v>0</v>
      </c>
      <c r="O23" s="41">
        <f t="shared" si="13"/>
        <v>0</v>
      </c>
    </row>
    <row r="24" spans="1:15" x14ac:dyDescent="0.25">
      <c r="A24" s="36" t="s">
        <v>332</v>
      </c>
      <c r="C24" t="s">
        <v>1054</v>
      </c>
      <c r="E24" s="134">
        <f>VLOOKUP(A24,TB!TB,4,FALSE)</f>
        <v>33485.769999999997</v>
      </c>
      <c r="F24" s="41">
        <f t="shared" si="10"/>
        <v>6.2647230937265763E-2</v>
      </c>
      <c r="H24" s="11">
        <f>VLOOKUP(A24,TB!TB,5,FALSE)</f>
        <v>33485.769999999997</v>
      </c>
      <c r="I24" s="41">
        <f t="shared" si="11"/>
        <v>6.2647230937265763E-2</v>
      </c>
      <c r="K24" s="134">
        <f>VLOOKUP(A24,TB!TB1_1,4,FALSE)</f>
        <v>15191.5</v>
      </c>
      <c r="L24" s="41">
        <f t="shared" si="12"/>
        <v>4.5734766053944532E-2</v>
      </c>
      <c r="N24" s="11">
        <f>VLOOKUP(A24,TB!TB1_1,5,FALSE)</f>
        <v>15191.5</v>
      </c>
      <c r="O24" s="41">
        <f t="shared" si="13"/>
        <v>4.5734766053944532E-2</v>
      </c>
    </row>
    <row r="25" spans="1:15" x14ac:dyDescent="0.25">
      <c r="A25" s="36" t="s">
        <v>560</v>
      </c>
      <c r="C25" t="s">
        <v>1391</v>
      </c>
      <c r="E25" s="142">
        <f>VLOOKUP(A25,TB!TB,4,FALSE)</f>
        <v>15044.6</v>
      </c>
      <c r="F25" s="57">
        <f t="shared" si="10"/>
        <v>2.8146359798767912E-2</v>
      </c>
      <c r="G25" s="58"/>
      <c r="H25" s="26">
        <f>VLOOKUP(A25,TB!TB,5,FALSE)</f>
        <v>15044.6</v>
      </c>
      <c r="I25" s="57">
        <f t="shared" si="11"/>
        <v>2.8146359798767912E-2</v>
      </c>
      <c r="J25" s="58"/>
      <c r="K25" s="142">
        <f>VLOOKUP(A25,TB!TB1_1,4,FALSE)</f>
        <v>1620.05</v>
      </c>
      <c r="L25" s="57">
        <f t="shared" si="12"/>
        <v>4.8772410720266494E-3</v>
      </c>
      <c r="M25" s="58"/>
      <c r="N25" s="11">
        <f>VLOOKUP(A25,TB!TB1_1,5,FALSE)</f>
        <v>1620.05</v>
      </c>
      <c r="O25" s="57">
        <f t="shared" si="13"/>
        <v>4.8772410720266494E-3</v>
      </c>
    </row>
    <row r="26" spans="1:15" x14ac:dyDescent="0.25">
      <c r="A26" s="39" t="s">
        <v>1387</v>
      </c>
      <c r="C26" t="s">
        <v>1390</v>
      </c>
      <c r="E26" s="142">
        <f>VLOOKUP(A26,TB!TB,4,FALSE)</f>
        <v>0</v>
      </c>
      <c r="F26" s="57">
        <f t="shared" si="10"/>
        <v>0</v>
      </c>
      <c r="G26" s="58"/>
      <c r="H26" s="26">
        <f>VLOOKUP(A26,TB!TB,5,FALSE)</f>
        <v>0</v>
      </c>
      <c r="I26" s="57">
        <f t="shared" si="11"/>
        <v>0</v>
      </c>
      <c r="J26" s="58"/>
      <c r="K26" s="142">
        <v>0</v>
      </c>
      <c r="L26" s="57">
        <f t="shared" si="12"/>
        <v>0</v>
      </c>
      <c r="M26" s="58"/>
      <c r="N26" s="11">
        <v>0</v>
      </c>
      <c r="O26" s="57">
        <f t="shared" si="13"/>
        <v>0</v>
      </c>
    </row>
    <row r="27" spans="1:15" x14ac:dyDescent="0.25">
      <c r="A27" s="36" t="s">
        <v>713</v>
      </c>
      <c r="C27" t="s">
        <v>712</v>
      </c>
      <c r="E27" s="134">
        <f>VLOOKUP(A27,TB!TB,4,FALSE)</f>
        <v>12406.39</v>
      </c>
      <c r="F27" s="41">
        <f t="shared" si="10"/>
        <v>2.321063482869842E-2</v>
      </c>
      <c r="H27" s="11">
        <f>VLOOKUP(A27,TB!TB,5,FALSE)</f>
        <v>12406.39</v>
      </c>
      <c r="I27" s="41">
        <f t="shared" si="11"/>
        <v>2.321063482869842E-2</v>
      </c>
      <c r="K27" s="134">
        <f>VLOOKUP(A27,TB!TB1_1,4,FALSE)</f>
        <v>15095.2</v>
      </c>
      <c r="L27" s="41">
        <f t="shared" si="12"/>
        <v>4.5444850116019064E-2</v>
      </c>
      <c r="N27" s="11">
        <f>VLOOKUP(A27,TB!TB1_1,5,FALSE)</f>
        <v>15095.2</v>
      </c>
      <c r="O27" s="41">
        <f t="shared" si="13"/>
        <v>4.5444850116019064E-2</v>
      </c>
    </row>
    <row r="28" spans="1:15" x14ac:dyDescent="0.25">
      <c r="A28" s="36" t="s">
        <v>718</v>
      </c>
      <c r="C28" s="1" t="s">
        <v>719</v>
      </c>
      <c r="E28" s="134">
        <f>VLOOKUP(A28,TB!TB,4,FALSE)</f>
        <v>19951.97</v>
      </c>
      <c r="F28" s="41">
        <f t="shared" si="10"/>
        <v>3.73273683789681E-2</v>
      </c>
      <c r="H28" s="11">
        <f>VLOOKUP(A28,TB!TB,5,FALSE)</f>
        <v>19951.97</v>
      </c>
      <c r="I28" s="41">
        <f t="shared" si="11"/>
        <v>3.73273683789681E-2</v>
      </c>
      <c r="K28" s="134">
        <f>VLOOKUP(A28,TB!TB1_1,4,FALSE)</f>
        <v>32959.25</v>
      </c>
      <c r="L28" s="41">
        <f t="shared" si="12"/>
        <v>9.9225460821082273E-2</v>
      </c>
      <c r="N28" s="11">
        <f>VLOOKUP(A28,TB!TB1_1,5,FALSE)</f>
        <v>32959.25</v>
      </c>
      <c r="O28" s="41">
        <f t="shared" si="13"/>
        <v>9.9225460821082273E-2</v>
      </c>
    </row>
    <row r="29" spans="1:15" x14ac:dyDescent="0.25">
      <c r="C29" s="43" t="s">
        <v>1033</v>
      </c>
      <c r="E29" s="135">
        <f>SUM(E16:E28)</f>
        <v>478571.83000000007</v>
      </c>
      <c r="F29" s="86">
        <f t="shared" si="10"/>
        <v>0.89534151235225889</v>
      </c>
      <c r="G29" s="75"/>
      <c r="H29" s="74">
        <f>SUM(H16:H28)</f>
        <v>478571.83000000007</v>
      </c>
      <c r="I29" s="86">
        <f t="shared" si="11"/>
        <v>0.89534151235225889</v>
      </c>
      <c r="J29" s="75"/>
      <c r="K29" s="135">
        <f>SUM(K16:K28)</f>
        <v>307893.49</v>
      </c>
      <c r="L29" s="86">
        <f t="shared" si="12"/>
        <v>0.92692865975594974</v>
      </c>
      <c r="M29" s="75"/>
      <c r="N29" s="74">
        <f>SUM(N16:N28)</f>
        <v>307893.49</v>
      </c>
      <c r="O29" s="86">
        <f t="shared" si="13"/>
        <v>0.92692865975594974</v>
      </c>
    </row>
    <row r="31" spans="1:15" x14ac:dyDescent="0.25">
      <c r="C31" s="37" t="s">
        <v>1034</v>
      </c>
      <c r="E31" s="138">
        <f>E14-E29</f>
        <v>55941.339999999967</v>
      </c>
      <c r="F31" s="41">
        <f>IF(E$14,E31/E$14,0)</f>
        <v>0.10465848764774115</v>
      </c>
      <c r="H31" s="40">
        <f>H14-H29</f>
        <v>55941.339999999967</v>
      </c>
      <c r="I31" s="41">
        <f t="shared" ref="I31" si="14">IF(H$14,H31/H$14,0)</f>
        <v>0.10465848764774115</v>
      </c>
      <c r="K31" s="138">
        <f>K14-K29</f>
        <v>24271.760000000009</v>
      </c>
      <c r="L31" s="41">
        <f t="shared" ref="L31" si="15">IF(K$14,K31/K$14,0)</f>
        <v>7.3071340244050237E-2</v>
      </c>
      <c r="N31" s="40">
        <f>N14-N29</f>
        <v>24271.760000000009</v>
      </c>
      <c r="O31" s="41">
        <f t="shared" ref="O31" si="16">IF(N$14,N31/N$14,0)</f>
        <v>7.3071340244050237E-2</v>
      </c>
    </row>
    <row r="33" spans="1:15" x14ac:dyDescent="0.25">
      <c r="A33" s="36" t="s">
        <v>423</v>
      </c>
      <c r="C33" t="s">
        <v>419</v>
      </c>
      <c r="E33" s="134">
        <f>VLOOKUP(A33,TB!TB,4,FALSE)</f>
        <v>0</v>
      </c>
      <c r="F33" s="41">
        <f>IF(E$14,E33/E$14,0)</f>
        <v>0</v>
      </c>
      <c r="H33" s="11">
        <f>VLOOKUP(A33,TB!TB,5,FALSE)</f>
        <v>0</v>
      </c>
      <c r="I33" s="41">
        <f t="shared" ref="I33:I56" si="17">IF(H$14,H33/H$14,0)</f>
        <v>0</v>
      </c>
      <c r="K33" s="134">
        <f>VLOOKUP(A33,TB!TB1_1,4,FALSE)</f>
        <v>0</v>
      </c>
      <c r="L33" s="41">
        <f t="shared" ref="L33:L56" si="18">IF(K$14,K33/K$14,0)</f>
        <v>0</v>
      </c>
      <c r="N33" s="11">
        <f>VLOOKUP(A33,TB!TB1_1,5,FALSE)</f>
        <v>0</v>
      </c>
      <c r="O33" s="41">
        <f t="shared" ref="O33:O56" si="19">IF(N$14,N33/N$14,0)</f>
        <v>0</v>
      </c>
    </row>
    <row r="34" spans="1:15" x14ac:dyDescent="0.25">
      <c r="A34" s="36" t="s">
        <v>436</v>
      </c>
      <c r="C34" t="s">
        <v>435</v>
      </c>
      <c r="E34" s="134">
        <f>VLOOKUP(A34,TB!TB,4,FALSE)</f>
        <v>58879.199999999997</v>
      </c>
      <c r="F34" s="41">
        <f>IF(E$14,E34/E$14,0)</f>
        <v>0.11015481620406097</v>
      </c>
      <c r="H34" s="11">
        <f>VLOOKUP(A34,TB!TB,5,FALSE)</f>
        <v>58879.199999999997</v>
      </c>
      <c r="I34" s="41">
        <f t="shared" si="17"/>
        <v>0.11015481620406097</v>
      </c>
      <c r="K34" s="134">
        <f>VLOOKUP(A34,TB!TB1_1,4,FALSE)</f>
        <v>46104.61</v>
      </c>
      <c r="L34" s="41">
        <f t="shared" si="18"/>
        <v>0.13880022067329439</v>
      </c>
      <c r="N34" s="11">
        <f>VLOOKUP(A34,TB!TB1_1,5,FALSE)</f>
        <v>46104.61</v>
      </c>
      <c r="O34" s="41">
        <f t="shared" si="19"/>
        <v>0.13880022067329439</v>
      </c>
    </row>
    <row r="35" spans="1:15" x14ac:dyDescent="0.25">
      <c r="A35" s="36" t="s">
        <v>447</v>
      </c>
      <c r="C35" t="s">
        <v>444</v>
      </c>
      <c r="E35" s="134">
        <f>VLOOKUP(A35,TB!TB,4,FALSE)</f>
        <v>0</v>
      </c>
      <c r="F35" s="41">
        <f>IF(E$14,E35/E$14,0)</f>
        <v>0</v>
      </c>
      <c r="H35" s="11">
        <f>VLOOKUP(A35,TB!TB,5,FALSE)</f>
        <v>0</v>
      </c>
      <c r="I35" s="41">
        <f t="shared" si="17"/>
        <v>0</v>
      </c>
      <c r="K35" s="134">
        <f>VLOOKUP(A35,TB!TB1_1,4,FALSE)</f>
        <v>0</v>
      </c>
      <c r="L35" s="41">
        <f t="shared" si="18"/>
        <v>0</v>
      </c>
      <c r="N35" s="11">
        <f>VLOOKUP(A35,TB!TB1_1,5,FALSE)</f>
        <v>0</v>
      </c>
      <c r="O35" s="41">
        <f t="shared" si="19"/>
        <v>0</v>
      </c>
    </row>
    <row r="36" spans="1:15" x14ac:dyDescent="0.25">
      <c r="A36" s="36" t="s">
        <v>459</v>
      </c>
      <c r="C36" t="s">
        <v>464</v>
      </c>
      <c r="E36" s="134">
        <f>VLOOKUP(A36,TB!TB,4,FALSE)</f>
        <v>0</v>
      </c>
      <c r="F36" s="41">
        <f>IF(E$14,E36/E$14,0)</f>
        <v>0</v>
      </c>
      <c r="H36" s="11">
        <f>VLOOKUP(A36,TB!TB,5,FALSE)</f>
        <v>0</v>
      </c>
      <c r="I36" s="41">
        <f t="shared" si="17"/>
        <v>0</v>
      </c>
      <c r="K36" s="134">
        <f>VLOOKUP(A36,TB!TB1_1,4,FALSE)</f>
        <v>7386.62</v>
      </c>
      <c r="L36" s="41">
        <f t="shared" si="18"/>
        <v>2.2237786764268689E-2</v>
      </c>
      <c r="N36" s="11">
        <f>VLOOKUP(A36,TB!TB1_1,5,FALSE)</f>
        <v>7386.62</v>
      </c>
      <c r="O36" s="41">
        <f t="shared" si="19"/>
        <v>2.2237786764268689E-2</v>
      </c>
    </row>
    <row r="37" spans="1:15" x14ac:dyDescent="0.25">
      <c r="A37" s="39" t="s">
        <v>1287</v>
      </c>
      <c r="C37" t="s">
        <v>1293</v>
      </c>
      <c r="E37" s="134">
        <f>VLOOKUP(A37,TB!TB,4,FALSE)</f>
        <v>0</v>
      </c>
      <c r="F37" s="41">
        <f t="shared" ref="F37:F38" si="20">IF(E$14,E37/E$14,0)</f>
        <v>0</v>
      </c>
      <c r="H37" s="11">
        <f>VLOOKUP(A37,TB!TB,5,FALSE)</f>
        <v>0</v>
      </c>
      <c r="I37" s="41">
        <f t="shared" ref="I37:I38" si="21">IF(H$14,H37/H$14,0)</f>
        <v>0</v>
      </c>
      <c r="K37" s="134">
        <f>VLOOKUP(A37,TB!TB1_1,4,FALSE)</f>
        <v>19564.72</v>
      </c>
      <c r="L37" s="41">
        <f t="shared" ref="L37" si="22">IF(K$14,K37/K$14,0)</f>
        <v>5.8900562295423745E-2</v>
      </c>
      <c r="N37" s="11">
        <f>VLOOKUP(A37,TB!TB1_1,5,FALSE)</f>
        <v>19564.72</v>
      </c>
      <c r="O37" s="41">
        <f t="shared" ref="O37" si="23">IF(N$14,N37/N$14,0)</f>
        <v>5.8900562295423745E-2</v>
      </c>
    </row>
    <row r="38" spans="1:15" x14ac:dyDescent="0.25">
      <c r="A38" s="39" t="s">
        <v>1284</v>
      </c>
      <c r="C38" t="s">
        <v>1294</v>
      </c>
      <c r="E38" s="134">
        <f>VLOOKUP(A38,TB!TB,4,FALSE)</f>
        <v>0</v>
      </c>
      <c r="F38" s="41">
        <f t="shared" si="20"/>
        <v>0</v>
      </c>
      <c r="H38" s="11">
        <f>VLOOKUP(A38,TB!TB,5,FALSE)</f>
        <v>0</v>
      </c>
      <c r="I38" s="41">
        <f t="shared" si="21"/>
        <v>0</v>
      </c>
      <c r="K38" s="134">
        <v>0</v>
      </c>
      <c r="L38" s="41">
        <f t="shared" ref="L38" si="24">IF(K$14,K38/K$14,0)</f>
        <v>0</v>
      </c>
      <c r="N38" s="11">
        <v>0</v>
      </c>
      <c r="O38" s="41">
        <f t="shared" ref="O38" si="25">IF(N$14,N38/N$14,0)</f>
        <v>0</v>
      </c>
    </row>
    <row r="39" spans="1:15" x14ac:dyDescent="0.25">
      <c r="A39" s="36" t="s">
        <v>475</v>
      </c>
      <c r="C39" t="s">
        <v>472</v>
      </c>
      <c r="E39" s="134">
        <f>VLOOKUP(A39,TB!TB,4,FALSE)</f>
        <v>6020.88</v>
      </c>
      <c r="F39" s="41">
        <f t="shared" ref="F39:F56" si="26">IF(E$14,E39/E$14,0)</f>
        <v>1.1264231337835884E-2</v>
      </c>
      <c r="H39" s="11">
        <f>VLOOKUP(A39,TB!TB,5,FALSE)</f>
        <v>6020.88</v>
      </c>
      <c r="I39" s="41">
        <f t="shared" si="17"/>
        <v>1.1264231337835884E-2</v>
      </c>
      <c r="K39" s="134">
        <f>VLOOKUP(A39,TB!TB1_1,4,FALSE)</f>
        <v>5130.59</v>
      </c>
      <c r="L39" s="41">
        <f t="shared" si="18"/>
        <v>1.5445896282046361E-2</v>
      </c>
      <c r="N39" s="11">
        <f>VLOOKUP(A39,TB!TB1_1,5,FALSE)</f>
        <v>5130.59</v>
      </c>
      <c r="O39" s="41">
        <f t="shared" si="19"/>
        <v>1.5445896282046361E-2</v>
      </c>
    </row>
    <row r="40" spans="1:15" x14ac:dyDescent="0.25">
      <c r="A40" s="36" t="s">
        <v>642</v>
      </c>
      <c r="C40" t="s">
        <v>639</v>
      </c>
      <c r="E40" s="142">
        <f>VLOOKUP(A40,TB!TB,4,FALSE)</f>
        <v>867.33</v>
      </c>
      <c r="F40" s="41">
        <f t="shared" si="26"/>
        <v>1.6226541246869557E-3</v>
      </c>
      <c r="H40" s="26">
        <f>VLOOKUP(A40,TB!TB,5,FALSE)</f>
        <v>867.33</v>
      </c>
      <c r="I40" s="41">
        <f t="shared" si="17"/>
        <v>1.6226541246869557E-3</v>
      </c>
      <c r="K40" s="142">
        <f>VLOOKUP(A40,TB!TB1_1,4,FALSE)</f>
        <v>2658.83</v>
      </c>
      <c r="L40" s="41">
        <f t="shared" si="18"/>
        <v>8.0045399089760296E-3</v>
      </c>
      <c r="N40" s="11">
        <f>VLOOKUP(A40,TB!TB1_1,5,FALSE)</f>
        <v>2658.83</v>
      </c>
      <c r="O40" s="41">
        <f t="shared" si="19"/>
        <v>8.0045399089760296E-3</v>
      </c>
    </row>
    <row r="41" spans="1:15" x14ac:dyDescent="0.25">
      <c r="A41" s="36" t="s">
        <v>657</v>
      </c>
      <c r="C41" t="s">
        <v>654</v>
      </c>
      <c r="E41" s="134">
        <f>VLOOKUP(A41,TB!TB,4,FALSE)</f>
        <v>818.76</v>
      </c>
      <c r="F41" s="41">
        <f t="shared" si="26"/>
        <v>1.5317863917179064E-3</v>
      </c>
      <c r="H41" s="11">
        <f>VLOOKUP(A41,TB!TB,5,FALSE)</f>
        <v>818.76</v>
      </c>
      <c r="I41" s="41">
        <f t="shared" si="17"/>
        <v>1.5317863917179064E-3</v>
      </c>
      <c r="K41" s="134">
        <f>VLOOKUP(A41,TB!TB1_1,4,FALSE)</f>
        <v>749.55</v>
      </c>
      <c r="L41" s="41">
        <f t="shared" si="18"/>
        <v>2.2565575417657323E-3</v>
      </c>
      <c r="N41" s="11">
        <f>VLOOKUP(A41,TB!TB1_1,5,FALSE)</f>
        <v>749.55</v>
      </c>
      <c r="O41" s="41">
        <f t="shared" si="19"/>
        <v>2.2565575417657323E-3</v>
      </c>
    </row>
    <row r="42" spans="1:15" x14ac:dyDescent="0.25">
      <c r="A42" s="36" t="s">
        <v>489</v>
      </c>
      <c r="C42" t="s">
        <v>488</v>
      </c>
      <c r="E42" s="134">
        <f>VLOOKUP(A42,TB!TB,4,FALSE)</f>
        <v>2278.13</v>
      </c>
      <c r="F42" s="41">
        <f t="shared" si="26"/>
        <v>4.2620652359229988E-3</v>
      </c>
      <c r="H42" s="11">
        <f>VLOOKUP(A42,TB!TB,5,FALSE)</f>
        <v>2278.13</v>
      </c>
      <c r="I42" s="41">
        <f t="shared" si="17"/>
        <v>4.2620652359229988E-3</v>
      </c>
      <c r="K42" s="134">
        <f>VLOOKUP(A42,TB!TB1_1,4,FALSE)</f>
        <v>0</v>
      </c>
      <c r="L42" s="41">
        <f t="shared" si="18"/>
        <v>0</v>
      </c>
      <c r="N42" s="11">
        <f>VLOOKUP(A42,TB!TB1_1,5,FALSE)</f>
        <v>0</v>
      </c>
      <c r="O42" s="41">
        <f t="shared" si="19"/>
        <v>0</v>
      </c>
    </row>
    <row r="43" spans="1:15" x14ac:dyDescent="0.25">
      <c r="A43" s="36" t="s">
        <v>501</v>
      </c>
      <c r="C43" t="s">
        <v>500</v>
      </c>
      <c r="E43" s="134">
        <f>VLOOKUP(A43,TB!TB,4,FALSE)</f>
        <v>783.91</v>
      </c>
      <c r="F43" s="41">
        <f t="shared" si="26"/>
        <v>1.4665868756797891E-3</v>
      </c>
      <c r="H43" s="11">
        <f>VLOOKUP(A43,TB!TB,5,FALSE)</f>
        <v>783.91</v>
      </c>
      <c r="I43" s="41">
        <f t="shared" si="17"/>
        <v>1.4665868756797891E-3</v>
      </c>
      <c r="K43" s="134">
        <f>VLOOKUP(A43,TB!TB1_1,4,FALSE)</f>
        <v>893.65</v>
      </c>
      <c r="L43" s="41">
        <f t="shared" si="18"/>
        <v>2.6903777562523471E-3</v>
      </c>
      <c r="N43" s="11">
        <f>VLOOKUP(A43,TB!TB1_1,5,FALSE)</f>
        <v>893.65</v>
      </c>
      <c r="O43" s="41">
        <f t="shared" si="19"/>
        <v>2.6903777562523471E-3</v>
      </c>
    </row>
    <row r="44" spans="1:15" x14ac:dyDescent="0.25">
      <c r="A44" s="36" t="s">
        <v>512</v>
      </c>
      <c r="C44" t="s">
        <v>511</v>
      </c>
      <c r="E44" s="134">
        <f>VLOOKUP(A44,TB!TB,4,FALSE)</f>
        <v>6921.88</v>
      </c>
      <c r="F44" s="41">
        <f t="shared" si="26"/>
        <v>1.2949877362235995E-2</v>
      </c>
      <c r="H44" s="11">
        <f>VLOOKUP(A44,TB!TB,5,FALSE)</f>
        <v>6921.88</v>
      </c>
      <c r="I44" s="41">
        <f t="shared" si="17"/>
        <v>1.2949877362235995E-2</v>
      </c>
      <c r="K44" s="134">
        <f>VLOOKUP(A44,TB!TB1_1,4,FALSE)</f>
        <v>3686.79</v>
      </c>
      <c r="L44" s="41">
        <f t="shared" si="18"/>
        <v>1.1099264597967427E-2</v>
      </c>
      <c r="N44" s="11">
        <f>VLOOKUP(A44,TB!TB1_1,5,FALSE)</f>
        <v>3686.79</v>
      </c>
      <c r="O44" s="41">
        <f t="shared" si="19"/>
        <v>1.1099264597967427E-2</v>
      </c>
    </row>
    <row r="45" spans="1:15" x14ac:dyDescent="0.25">
      <c r="A45" s="36" t="s">
        <v>525</v>
      </c>
      <c r="C45" t="s">
        <v>526</v>
      </c>
      <c r="E45" s="134">
        <f>VLOOKUP(A45,TB!TB,4,FALSE)</f>
        <v>1840</v>
      </c>
      <c r="F45" s="41">
        <f t="shared" si="26"/>
        <v>3.4423847779092138E-3</v>
      </c>
      <c r="H45" s="11">
        <f>VLOOKUP(A45,TB!TB,5,FALSE)</f>
        <v>1840</v>
      </c>
      <c r="I45" s="41">
        <f t="shared" si="17"/>
        <v>3.4423847779092138E-3</v>
      </c>
      <c r="K45" s="134">
        <f>VLOOKUP(A45,TB!TB1_1,4,FALSE)</f>
        <v>562.5</v>
      </c>
      <c r="L45" s="41">
        <f t="shared" si="18"/>
        <v>1.693434216854412E-3</v>
      </c>
      <c r="N45" s="11">
        <f>VLOOKUP(A45,TB!TB1_1,5,FALSE)</f>
        <v>562.5</v>
      </c>
      <c r="O45" s="41">
        <f t="shared" si="19"/>
        <v>1.693434216854412E-3</v>
      </c>
    </row>
    <row r="46" spans="1:15" x14ac:dyDescent="0.25">
      <c r="A46" s="36" t="s">
        <v>543</v>
      </c>
      <c r="C46" t="s">
        <v>540</v>
      </c>
      <c r="E46" s="134">
        <f>VLOOKUP(A46,TB!TB,4,FALSE)</f>
        <v>456.25</v>
      </c>
      <c r="F46" s="41">
        <f t="shared" si="26"/>
        <v>8.535804646310211E-4</v>
      </c>
      <c r="H46" s="11">
        <f>VLOOKUP(A46,TB!TB,5,FALSE)</f>
        <v>456.25</v>
      </c>
      <c r="I46" s="41">
        <f t="shared" si="17"/>
        <v>8.535804646310211E-4</v>
      </c>
      <c r="K46" s="134">
        <f>VLOOKUP(A46,TB!TB1_1,4,FALSE)</f>
        <v>279.05</v>
      </c>
      <c r="L46" s="41">
        <f t="shared" si="18"/>
        <v>8.4009389904573107E-4</v>
      </c>
      <c r="N46" s="11">
        <f>VLOOKUP(A46,TB!TB1_1,5,FALSE)</f>
        <v>279.05</v>
      </c>
      <c r="O46" s="41">
        <f t="shared" si="19"/>
        <v>8.4009389904573107E-4</v>
      </c>
    </row>
    <row r="47" spans="1:15" x14ac:dyDescent="0.25">
      <c r="A47" s="36" t="s">
        <v>572</v>
      </c>
      <c r="C47" t="s">
        <v>571</v>
      </c>
      <c r="E47" s="134">
        <f>VLOOKUP(A47,TB!TB,4,FALSE)</f>
        <v>436.36</v>
      </c>
      <c r="F47" s="41">
        <f t="shared" si="26"/>
        <v>8.1636903352633942E-4</v>
      </c>
      <c r="H47" s="11">
        <f>VLOOKUP(A47,TB!TB,5,FALSE)</f>
        <v>436.36</v>
      </c>
      <c r="I47" s="41">
        <f t="shared" si="17"/>
        <v>8.1636903352633942E-4</v>
      </c>
      <c r="K47" s="134">
        <f>VLOOKUP(A47,TB!TB1_1,4,FALSE)</f>
        <v>630.94000000000005</v>
      </c>
      <c r="L47" s="41">
        <f t="shared" si="18"/>
        <v>1.8994762396126628E-3</v>
      </c>
      <c r="N47" s="11">
        <f>VLOOKUP(A47,TB!TB1_1,5,FALSE)</f>
        <v>630.94000000000005</v>
      </c>
      <c r="O47" s="41">
        <f t="shared" si="19"/>
        <v>1.8994762396126628E-3</v>
      </c>
    </row>
    <row r="48" spans="1:15" x14ac:dyDescent="0.25">
      <c r="A48" s="36" t="s">
        <v>586</v>
      </c>
      <c r="C48" t="s">
        <v>585</v>
      </c>
      <c r="E48" s="134">
        <f>VLOOKUP(A48,TB!TB,4,FALSE)</f>
        <v>11912.05</v>
      </c>
      <c r="F48" s="41">
        <f t="shared" si="26"/>
        <v>2.228579325744209E-2</v>
      </c>
      <c r="H48" s="11">
        <f>VLOOKUP(A48,TB!TB,5,FALSE)</f>
        <v>11912.05</v>
      </c>
      <c r="I48" s="41">
        <f t="shared" si="17"/>
        <v>2.228579325744209E-2</v>
      </c>
      <c r="K48" s="134">
        <f>VLOOKUP(A48,TB!TB1_1,4,FALSE)</f>
        <v>2200</v>
      </c>
      <c r="L48" s="41">
        <f t="shared" si="18"/>
        <v>6.6232093814750335E-3</v>
      </c>
      <c r="N48" s="11">
        <f>VLOOKUP(A48,TB!TB1_1,5,FALSE)</f>
        <v>2200</v>
      </c>
      <c r="O48" s="41">
        <f t="shared" si="19"/>
        <v>6.6232093814750335E-3</v>
      </c>
    </row>
    <row r="49" spans="1:15" x14ac:dyDescent="0.25">
      <c r="A49" s="36" t="s">
        <v>600</v>
      </c>
      <c r="C49" t="s">
        <v>597</v>
      </c>
      <c r="E49" s="134">
        <f>VLOOKUP(A49,TB!TB,4,FALSE)</f>
        <v>4110.3500000000004</v>
      </c>
      <c r="F49" s="41">
        <f t="shared" si="26"/>
        <v>7.6898947129777923E-3</v>
      </c>
      <c r="H49" s="11">
        <f>VLOOKUP(A49,TB!TB,5,FALSE)</f>
        <v>4110.3500000000004</v>
      </c>
      <c r="I49" s="41">
        <f t="shared" si="17"/>
        <v>7.6898947129777923E-3</v>
      </c>
      <c r="K49" s="134">
        <f>VLOOKUP(A49,TB!TB1_1,4,FALSE)</f>
        <v>59.95</v>
      </c>
      <c r="L49" s="41">
        <f t="shared" si="18"/>
        <v>1.8048245564519468E-4</v>
      </c>
      <c r="N49" s="11">
        <f>VLOOKUP(A49,TB!TB1_1,5,FALSE)</f>
        <v>59.95</v>
      </c>
      <c r="O49" s="41">
        <f t="shared" si="19"/>
        <v>1.8048245564519468E-4</v>
      </c>
    </row>
    <row r="50" spans="1:15" x14ac:dyDescent="0.25">
      <c r="A50" s="36" t="s">
        <v>612</v>
      </c>
      <c r="C50" t="s">
        <v>611</v>
      </c>
      <c r="E50" s="134">
        <f>VLOOKUP(A50,TB!TB,4,FALSE)</f>
        <v>0</v>
      </c>
      <c r="F50" s="41">
        <f t="shared" si="26"/>
        <v>0</v>
      </c>
      <c r="H50" s="11">
        <f>VLOOKUP(A50,TB!TB,5,FALSE)</f>
        <v>0</v>
      </c>
      <c r="I50" s="41">
        <f t="shared" si="17"/>
        <v>0</v>
      </c>
      <c r="K50" s="134">
        <f>VLOOKUP(A50,TB!TB1_1,4,FALSE)</f>
        <v>0</v>
      </c>
      <c r="L50" s="41">
        <f t="shared" si="18"/>
        <v>0</v>
      </c>
      <c r="N50" s="11">
        <f>VLOOKUP(A50,TB!TB1_1,5,FALSE)</f>
        <v>0</v>
      </c>
      <c r="O50" s="41">
        <f t="shared" si="19"/>
        <v>0</v>
      </c>
    </row>
    <row r="51" spans="1:15" x14ac:dyDescent="0.25">
      <c r="A51" s="36" t="s">
        <v>624</v>
      </c>
      <c r="C51" t="s">
        <v>623</v>
      </c>
      <c r="E51" s="134">
        <f>VLOOKUP(A51,TB!TB,4,FALSE)</f>
        <v>0</v>
      </c>
      <c r="F51" s="41">
        <f t="shared" si="26"/>
        <v>0</v>
      </c>
      <c r="H51" s="11">
        <f>VLOOKUP(A51,TB!TB,5,FALSE)</f>
        <v>0</v>
      </c>
      <c r="I51" s="41">
        <f t="shared" si="17"/>
        <v>0</v>
      </c>
      <c r="K51" s="134">
        <f>VLOOKUP(A51,TB!TB1_1,4,FALSE)</f>
        <v>0</v>
      </c>
      <c r="L51" s="41">
        <f t="shared" si="18"/>
        <v>0</v>
      </c>
      <c r="N51" s="11">
        <f>VLOOKUP(A51,TB!TB1_1,5,FALSE)</f>
        <v>0</v>
      </c>
      <c r="O51" s="41">
        <f t="shared" si="19"/>
        <v>0</v>
      </c>
    </row>
    <row r="52" spans="1:15" x14ac:dyDescent="0.25">
      <c r="A52" s="36" t="s">
        <v>671</v>
      </c>
      <c r="C52" t="s">
        <v>670</v>
      </c>
      <c r="E52" s="134">
        <f>VLOOKUP(A52,TB!TB,4,FALSE)</f>
        <v>0</v>
      </c>
      <c r="F52" s="41">
        <f t="shared" si="26"/>
        <v>0</v>
      </c>
      <c r="H52" s="11">
        <f>VLOOKUP(A52,TB!TB,5,FALSE)</f>
        <v>0</v>
      </c>
      <c r="I52" s="41">
        <f t="shared" si="17"/>
        <v>0</v>
      </c>
      <c r="K52" s="134">
        <f>VLOOKUP(A52,TB!TB1_1,4,FALSE)</f>
        <v>0</v>
      </c>
      <c r="L52" s="41">
        <f t="shared" si="18"/>
        <v>0</v>
      </c>
      <c r="N52" s="11">
        <f>VLOOKUP(A52,TB!TB1_1,5,FALSE)</f>
        <v>0</v>
      </c>
      <c r="O52" s="41">
        <f t="shared" si="19"/>
        <v>0</v>
      </c>
    </row>
    <row r="53" spans="1:15" x14ac:dyDescent="0.25">
      <c r="A53" s="36" t="s">
        <v>681</v>
      </c>
      <c r="C53" t="s">
        <v>678</v>
      </c>
      <c r="E53" s="134">
        <f>VLOOKUP(A53,TB!TB,4,FALSE)</f>
        <v>390.98</v>
      </c>
      <c r="F53" s="41">
        <f t="shared" si="26"/>
        <v>7.3146934807986116E-4</v>
      </c>
      <c r="H53" s="11">
        <f>VLOOKUP(A53,TB!TB,5,FALSE)</f>
        <v>390.98</v>
      </c>
      <c r="I53" s="41">
        <f t="shared" si="17"/>
        <v>7.3146934807986116E-4</v>
      </c>
      <c r="K53" s="134">
        <f>VLOOKUP(A53,TB!TB1_1,4,FALSE)</f>
        <v>1151.1099999999999</v>
      </c>
      <c r="L53" s="41">
        <f t="shared" si="18"/>
        <v>3.465473886868057E-3</v>
      </c>
      <c r="N53" s="11">
        <f>VLOOKUP(A53,TB!TB1_1,5,FALSE)</f>
        <v>1151.1099999999999</v>
      </c>
      <c r="O53" s="41">
        <f t="shared" si="19"/>
        <v>3.465473886868057E-3</v>
      </c>
    </row>
    <row r="54" spans="1:15" x14ac:dyDescent="0.25">
      <c r="A54" s="36" t="s">
        <v>699</v>
      </c>
      <c r="C54" t="s">
        <v>696</v>
      </c>
      <c r="E54" s="134">
        <f>VLOOKUP(A54,TB!TB,4,FALSE)</f>
        <v>0</v>
      </c>
      <c r="F54" s="41">
        <f t="shared" si="26"/>
        <v>0</v>
      </c>
      <c r="H54" s="11">
        <f>VLOOKUP(A54,TB!TB,5,FALSE)</f>
        <v>0</v>
      </c>
      <c r="I54" s="41">
        <f t="shared" si="17"/>
        <v>0</v>
      </c>
      <c r="K54" s="134">
        <f>VLOOKUP(A54,TB!TB1_1,4,FALSE)</f>
        <v>0</v>
      </c>
      <c r="L54" s="41">
        <f t="shared" si="18"/>
        <v>0</v>
      </c>
      <c r="N54" s="11">
        <f>VLOOKUP(A54,TB!TB1_1,5,FALSE)</f>
        <v>0</v>
      </c>
      <c r="O54" s="41">
        <f t="shared" si="19"/>
        <v>0</v>
      </c>
    </row>
    <row r="55" spans="1:15" s="126" customFormat="1" x14ac:dyDescent="0.25">
      <c r="A55" s="125" t="s">
        <v>729</v>
      </c>
      <c r="C55" s="126" t="s">
        <v>2053</v>
      </c>
      <c r="E55" s="141">
        <f>VLOOKUP(A55,TB!TB,4,FALSE)</f>
        <v>-24385.81</v>
      </c>
      <c r="F55" s="128">
        <f t="shared" si="26"/>
        <v>-4.5622468011405591E-2</v>
      </c>
      <c r="G55" s="129"/>
      <c r="H55" s="127">
        <f>VLOOKUP(A55,TB!TB,5,FALSE)</f>
        <v>-24385.81</v>
      </c>
      <c r="I55" s="128">
        <f t="shared" si="17"/>
        <v>-4.5622468011405591E-2</v>
      </c>
      <c r="J55" s="129"/>
      <c r="K55" s="141">
        <f>VLOOKUP(A55,TB!TB1_1,4,FALSE)</f>
        <v>0</v>
      </c>
      <c r="L55" s="128">
        <f t="shared" si="18"/>
        <v>0</v>
      </c>
      <c r="M55" s="129"/>
      <c r="N55" s="130">
        <f>VLOOKUP(A55,TB!TB1_1,5,FALSE)</f>
        <v>0</v>
      </c>
      <c r="O55" s="128">
        <f t="shared" si="19"/>
        <v>0</v>
      </c>
    </row>
    <row r="56" spans="1:15" x14ac:dyDescent="0.25">
      <c r="C56" s="43" t="s">
        <v>1003</v>
      </c>
      <c r="E56" s="138">
        <f>SUM(E33:E55)</f>
        <v>71330.27</v>
      </c>
      <c r="F56" s="41">
        <f t="shared" si="26"/>
        <v>0.13344904111530123</v>
      </c>
      <c r="H56" s="40">
        <f>SUM(H33:H55)</f>
        <v>71330.27</v>
      </c>
      <c r="I56" s="41">
        <f t="shared" si="17"/>
        <v>0.13344904111530123</v>
      </c>
      <c r="K56" s="138">
        <f>SUM(K33:K55)</f>
        <v>91058.91</v>
      </c>
      <c r="L56" s="41">
        <f t="shared" si="18"/>
        <v>0.27413737589949583</v>
      </c>
      <c r="N56" s="102">
        <f>SUM(N33:N55)</f>
        <v>91058.91</v>
      </c>
      <c r="O56" s="41">
        <f t="shared" si="19"/>
        <v>0.27413737589949583</v>
      </c>
    </row>
    <row r="58" spans="1:15" x14ac:dyDescent="0.25">
      <c r="C58" s="37" t="s">
        <v>1024</v>
      </c>
      <c r="E58" s="138">
        <f>E31-E56</f>
        <v>-15388.930000000037</v>
      </c>
      <c r="F58" s="41">
        <f>IF(E$14,E58/E$14,0)</f>
        <v>-2.8790553467560088E-2</v>
      </c>
      <c r="H58" s="40">
        <f>H31-H56</f>
        <v>-15388.930000000037</v>
      </c>
      <c r="I58" s="41">
        <f t="shared" ref="I58:I59" si="27">IF(H$14,H58/H$14,0)</f>
        <v>-2.8790553467560088E-2</v>
      </c>
      <c r="K58" s="138">
        <f>K31-K56</f>
        <v>-66787.149999999994</v>
      </c>
      <c r="L58" s="41">
        <f t="shared" ref="L58:L59" si="28">IF(K$14,K58/K$14,0)</f>
        <v>-0.20106603565544559</v>
      </c>
      <c r="N58" s="40">
        <f>N31-N56</f>
        <v>-66787.149999999994</v>
      </c>
      <c r="O58" s="41">
        <f t="shared" ref="O58:O59" si="29">IF(N$14,N58/N$14,0)</f>
        <v>-0.20106603565544559</v>
      </c>
    </row>
    <row r="59" spans="1:15" x14ac:dyDescent="0.25">
      <c r="A59" s="36" t="s">
        <v>745</v>
      </c>
      <c r="C59" s="37" t="s">
        <v>743</v>
      </c>
      <c r="E59" s="141">
        <f>VLOOKUP(A59,TB!TB,4,FALSE)</f>
        <v>0</v>
      </c>
      <c r="F59" s="50">
        <f>IF(E$14,E59/E$14,0)</f>
        <v>0</v>
      </c>
      <c r="G59" s="52"/>
      <c r="H59" s="29">
        <f>VLOOKUP(A59,TB!TB,5,FALSE)</f>
        <v>0</v>
      </c>
      <c r="I59" s="50">
        <f t="shared" si="27"/>
        <v>0</v>
      </c>
      <c r="J59" s="52"/>
      <c r="K59" s="141">
        <f>VLOOKUP(A59,TB!TB1_1,4,FALSE)</f>
        <v>16462.12</v>
      </c>
      <c r="L59" s="50">
        <f t="shared" si="28"/>
        <v>4.9560030737712625E-2</v>
      </c>
      <c r="M59" s="52"/>
      <c r="N59" s="29">
        <f>VLOOKUP(A59,TB!TB1_1,5,FALSE)*-1</f>
        <v>-16462.12</v>
      </c>
      <c r="O59" s="50">
        <f t="shared" si="29"/>
        <v>-4.9560030737712625E-2</v>
      </c>
    </row>
    <row r="61" spans="1:15" x14ac:dyDescent="0.25">
      <c r="C61" s="37" t="s">
        <v>1025</v>
      </c>
      <c r="E61" s="138">
        <f>E58-E59</f>
        <v>-15388.930000000037</v>
      </c>
      <c r="F61" s="41">
        <f>IF(E$14,E61/E$14,0)</f>
        <v>-2.8790553467560088E-2</v>
      </c>
      <c r="H61" s="40">
        <f>H58-H59</f>
        <v>-15388.930000000037</v>
      </c>
      <c r="I61" s="41">
        <f t="shared" ref="I61" si="30">IF(H$14,H61/H$14,0)</f>
        <v>-2.8790553467560088E-2</v>
      </c>
      <c r="K61" s="138">
        <f>K58-K59</f>
        <v>-83249.26999999999</v>
      </c>
      <c r="L61" s="41">
        <f t="shared" ref="L61" si="31">IF(K$14,K61/K$14,0)</f>
        <v>-0.25062606639315821</v>
      </c>
      <c r="N61" s="40">
        <f>N58-N59</f>
        <v>-50325.03</v>
      </c>
      <c r="O61" s="41">
        <f t="shared" ref="O61" si="32">IF(N$14,N61/N$14,0)</f>
        <v>-0.15150600491773297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DCE5-AA4C-4AF4-8DA2-66B66A6CCE35}">
  <dimension ref="A1:O87"/>
  <sheetViews>
    <sheetView topLeftCell="A48" zoomScaleNormal="100" workbookViewId="0">
      <selection activeCell="H82" sqref="H82"/>
    </sheetView>
  </sheetViews>
  <sheetFormatPr defaultRowHeight="15" x14ac:dyDescent="0.25"/>
  <cols>
    <col min="1" max="1" width="15.140625" style="36" bestFit="1" customWidth="1"/>
    <col min="2" max="2" width="2.85546875" customWidth="1"/>
    <col min="3" max="3" width="27.5703125" customWidth="1"/>
    <col min="4" max="4" width="9.140625" hidden="1" customWidth="1"/>
    <col min="5" max="5" width="17.7109375" style="136" customWidth="1"/>
    <col min="6" max="6" width="8.28515625" customWidth="1"/>
    <col min="7" max="7" width="3.85546875" customWidth="1"/>
    <col min="8" max="8" width="18.28515625" customWidth="1"/>
    <col min="9" max="9" width="8.5703125" customWidth="1"/>
    <col min="11" max="11" width="18.5703125" style="136" customWidth="1"/>
    <col min="12" max="12" width="8" customWidth="1"/>
    <col min="14" max="14" width="18.28515625" customWidth="1"/>
    <col min="15" max="15" width="8.140625" customWidth="1"/>
  </cols>
  <sheetData>
    <row r="1" spans="1:15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1073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53"/>
      <c r="B4" s="6"/>
      <c r="C4" s="8" t="s">
        <v>5</v>
      </c>
      <c r="D4" s="6"/>
      <c r="E4" s="132" t="s">
        <v>3</v>
      </c>
      <c r="F4" s="6"/>
      <c r="G4" s="6"/>
      <c r="H4" s="8" t="s">
        <v>4</v>
      </c>
      <c r="I4" s="6"/>
      <c r="J4" s="6"/>
      <c r="K4" s="132" t="s">
        <v>3</v>
      </c>
      <c r="L4" s="6"/>
      <c r="M4" s="6"/>
      <c r="N4" s="8" t="s">
        <v>4</v>
      </c>
      <c r="O4" s="5"/>
    </row>
    <row r="5" spans="1:15" ht="15.75" x14ac:dyDescent="0.25">
      <c r="A5" s="54" t="s">
        <v>1000</v>
      </c>
      <c r="B5" s="5"/>
      <c r="C5" s="38" t="s">
        <v>1039</v>
      </c>
      <c r="D5" s="5"/>
      <c r="E5" s="133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133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6" spans="1:15" ht="15.75" x14ac:dyDescent="0.25">
      <c r="A6" s="55"/>
      <c r="C6" s="38"/>
      <c r="E6" s="140"/>
      <c r="F6" s="48"/>
      <c r="G6" s="49"/>
      <c r="H6" s="47"/>
      <c r="I6" s="48"/>
      <c r="K6" s="140"/>
      <c r="L6" s="48"/>
      <c r="M6" s="49"/>
      <c r="N6" s="47"/>
      <c r="O6" s="48"/>
    </row>
    <row r="7" spans="1:15" x14ac:dyDescent="0.25">
      <c r="A7" s="36" t="s">
        <v>198</v>
      </c>
      <c r="C7" t="s">
        <v>1056</v>
      </c>
      <c r="E7" s="134">
        <f>VLOOKUP(A7,TB!TB,4,FALSE)*-1</f>
        <v>132129.07</v>
      </c>
      <c r="F7" s="41">
        <f t="shared" ref="F7:F32" si="0">IF(E$32,E7/E$32,0)</f>
        <v>0.37029116249767396</v>
      </c>
      <c r="H7" s="11">
        <f>VLOOKUP(A7,TB!TB,5,FALSE)*-1</f>
        <v>132129.07</v>
      </c>
      <c r="I7" s="41">
        <f t="shared" ref="I7:I32" si="1">IF(H$32,H7/H$32,0)</f>
        <v>0.37029116249767396</v>
      </c>
      <c r="K7" s="134">
        <f>VLOOKUP(A7,TB!TB1_1,4,FALSE)*-1</f>
        <v>136717.10999999999</v>
      </c>
      <c r="L7" s="41">
        <f t="shared" ref="L7:L32" si="2">IF(K$32,K7/K$32,0)</f>
        <v>0.38023550680954937</v>
      </c>
      <c r="N7" s="11">
        <f>VLOOKUP(A7,TB!TB1_1,5,FALSE)*-1</f>
        <v>136717.10999999999</v>
      </c>
      <c r="O7" s="41">
        <f t="shared" ref="O7:O32" si="3">IF(N$32,N7/N$32,0)</f>
        <v>0.38023550680954937</v>
      </c>
    </row>
    <row r="8" spans="1:15" x14ac:dyDescent="0.25">
      <c r="A8" s="36" t="s">
        <v>200</v>
      </c>
      <c r="C8" t="s">
        <v>1057</v>
      </c>
      <c r="E8" s="134">
        <f>VLOOKUP(A8,TB!TB,4,FALSE)*-1</f>
        <v>47878.25</v>
      </c>
      <c r="F8" s="41">
        <f t="shared" si="0"/>
        <v>0.13417859408875168</v>
      </c>
      <c r="H8" s="11">
        <f>VLOOKUP(A8,TB!TB,5,FALSE)*-1</f>
        <v>47878.25</v>
      </c>
      <c r="I8" s="41">
        <f t="shared" si="1"/>
        <v>0.13417859408875168</v>
      </c>
      <c r="K8" s="134">
        <f>VLOOKUP(A8,TB!TB1_1,4,FALSE)*-1</f>
        <v>51636.03</v>
      </c>
      <c r="L8" s="41">
        <f t="shared" si="2"/>
        <v>0.14360932612372437</v>
      </c>
      <c r="N8" s="11">
        <f>VLOOKUP(A8,TB!TB1_1,5,FALSE)*-1</f>
        <v>51636.03</v>
      </c>
      <c r="O8" s="41">
        <f t="shared" si="3"/>
        <v>0.14360932612372437</v>
      </c>
    </row>
    <row r="9" spans="1:15" x14ac:dyDescent="0.25">
      <c r="A9" s="36" t="s">
        <v>202</v>
      </c>
      <c r="C9" t="s">
        <v>1058</v>
      </c>
      <c r="E9" s="134">
        <f>VLOOKUP(A9,TB!TB,4,FALSE)*-1</f>
        <v>0</v>
      </c>
      <c r="F9" s="41">
        <f t="shared" si="0"/>
        <v>0</v>
      </c>
      <c r="H9" s="11">
        <f>VLOOKUP(A9,TB!TB,5,FALSE)*-1</f>
        <v>0</v>
      </c>
      <c r="I9" s="41">
        <f t="shared" si="1"/>
        <v>0</v>
      </c>
      <c r="K9" s="134">
        <f>VLOOKUP(A9,TB!TB1_1,4,FALSE)*-1</f>
        <v>1272.33</v>
      </c>
      <c r="L9" s="41">
        <f t="shared" si="2"/>
        <v>3.5385844710950519E-3</v>
      </c>
      <c r="N9" s="11">
        <f>VLOOKUP(A9,TB!TB1_1,5,FALSE)*-1</f>
        <v>1272.33</v>
      </c>
      <c r="O9" s="41">
        <f t="shared" si="3"/>
        <v>3.5385844710950519E-3</v>
      </c>
    </row>
    <row r="10" spans="1:15" x14ac:dyDescent="0.25">
      <c r="A10" s="36" t="s">
        <v>206</v>
      </c>
      <c r="C10" t="s">
        <v>1059</v>
      </c>
      <c r="E10" s="134">
        <f>VLOOKUP(A10,TB!TB,4,FALSE)*-1</f>
        <v>42014.11</v>
      </c>
      <c r="F10" s="41">
        <f t="shared" si="0"/>
        <v>0.11774436642296164</v>
      </c>
      <c r="H10" s="11">
        <f>VLOOKUP(A10,TB!TB,5,FALSE)*-1</f>
        <v>42014.11</v>
      </c>
      <c r="I10" s="41">
        <f t="shared" si="1"/>
        <v>0.11774436642296164</v>
      </c>
      <c r="K10" s="134">
        <f>VLOOKUP(A10,TB!TB1_1,4,FALSE)*-1</f>
        <v>52716.39</v>
      </c>
      <c r="L10" s="41">
        <f t="shared" si="2"/>
        <v>0.14661400660692625</v>
      </c>
      <c r="N10" s="11">
        <f>VLOOKUP(A10,TB!TB1_1,5,FALSE)*-1</f>
        <v>52716.39</v>
      </c>
      <c r="O10" s="41">
        <f t="shared" si="3"/>
        <v>0.14661400660692625</v>
      </c>
    </row>
    <row r="11" spans="1:15" x14ac:dyDescent="0.25">
      <c r="A11" s="39" t="s">
        <v>2069</v>
      </c>
      <c r="C11" t="s">
        <v>2072</v>
      </c>
      <c r="E11" s="134">
        <f>VLOOKUP(A11,TB!TB,4,FALSE)*-1</f>
        <v>2046.32</v>
      </c>
      <c r="F11" s="41">
        <f t="shared" ref="F11" si="4">IF(E$32,E11/E$32,0)</f>
        <v>5.7348031863256139E-3</v>
      </c>
      <c r="H11" s="11">
        <f>VLOOKUP(A11,TB!TB,5,FALSE)*-1</f>
        <v>2046.32</v>
      </c>
      <c r="I11" s="41">
        <f t="shared" ref="I11" si="5">IF(H$32,H11/H$32,0)</f>
        <v>5.7348031863256139E-3</v>
      </c>
      <c r="K11" s="134">
        <v>0</v>
      </c>
      <c r="L11" s="41">
        <f t="shared" ref="L11" si="6">IF(K$32,K11/K$32,0)</f>
        <v>0</v>
      </c>
      <c r="N11" s="11">
        <v>0</v>
      </c>
      <c r="O11" s="41">
        <f t="shared" ref="O11" si="7">IF(N$32,N11/N$32,0)</f>
        <v>0</v>
      </c>
    </row>
    <row r="12" spans="1:15" x14ac:dyDescent="0.25">
      <c r="A12" s="39" t="s">
        <v>208</v>
      </c>
      <c r="C12" t="s">
        <v>2077</v>
      </c>
      <c r="E12" s="134">
        <f>VLOOKUP(A12,TB!TB,4,FALSE)*-1</f>
        <v>13032.79</v>
      </c>
      <c r="F12" s="41">
        <f t="shared" si="0"/>
        <v>3.6524339115442651E-2</v>
      </c>
      <c r="H12" s="11">
        <f>VLOOKUP(A12,TB!TB,5,FALSE)*-1</f>
        <v>13032.79</v>
      </c>
      <c r="I12" s="41">
        <f t="shared" si="1"/>
        <v>3.6524339115442651E-2</v>
      </c>
      <c r="K12" s="134">
        <f>VLOOKUP(A12,TB!TB1_1,4,FALSE)*-1</f>
        <v>5050.8</v>
      </c>
      <c r="L12" s="41">
        <f t="shared" si="2"/>
        <v>1.4047206657554949E-2</v>
      </c>
      <c r="N12" s="11">
        <f>VLOOKUP(A12,TB!TB1_1,5,FALSE)*-1</f>
        <v>5050.8</v>
      </c>
      <c r="O12" s="41">
        <f t="shared" si="3"/>
        <v>1.4047206657554949E-2</v>
      </c>
    </row>
    <row r="13" spans="1:15" x14ac:dyDescent="0.25">
      <c r="A13" s="39" t="s">
        <v>210</v>
      </c>
      <c r="C13" s="5" t="s">
        <v>211</v>
      </c>
      <c r="E13" s="134">
        <f>VLOOKUP(A13,TB!TB,4,FALSE)*-1</f>
        <v>1044.46</v>
      </c>
      <c r="F13" s="41">
        <f t="shared" si="0"/>
        <v>2.9270947535036803E-3</v>
      </c>
      <c r="H13" s="11">
        <f>VLOOKUP(A13,TB!TB,5,FALSE)*-1</f>
        <v>1044.46</v>
      </c>
      <c r="I13" s="41">
        <f t="shared" si="1"/>
        <v>2.9270947535036803E-3</v>
      </c>
      <c r="K13" s="134">
        <f>VLOOKUP(A13,TB!TB1_1,4,FALSE)*-1</f>
        <v>-360.16</v>
      </c>
      <c r="L13" s="41">
        <f t="shared" si="2"/>
        <v>-1.0016714084471749E-3</v>
      </c>
      <c r="N13" s="11">
        <f>VLOOKUP(A13,TB!TB1_1,5,FALSE)*-1</f>
        <v>-360.16</v>
      </c>
      <c r="O13" s="41">
        <f t="shared" si="3"/>
        <v>-1.0016714084471749E-3</v>
      </c>
    </row>
    <row r="14" spans="1:15" x14ac:dyDescent="0.25">
      <c r="A14" s="39" t="s">
        <v>2078</v>
      </c>
      <c r="C14" s="5" t="s">
        <v>2079</v>
      </c>
      <c r="E14" s="134">
        <f>VLOOKUP(A14,TB!TB,4,FALSE)*-1</f>
        <v>357.17</v>
      </c>
      <c r="F14" s="41">
        <f t="shared" ref="F14" si="8">IF(E$32,E14/E$32,0)</f>
        <v>1.000967421546933E-3</v>
      </c>
      <c r="H14" s="11">
        <f>VLOOKUP(A14,TB!TB,5,FALSE)*-1</f>
        <v>357.17</v>
      </c>
      <c r="I14" s="41">
        <f t="shared" ref="I14" si="9">IF(H$32,H14/H$32,0)</f>
        <v>1.000967421546933E-3</v>
      </c>
      <c r="K14" s="134">
        <v>0</v>
      </c>
      <c r="L14" s="41">
        <f t="shared" ref="L14" si="10">IF(K$32,K14/K$32,0)</f>
        <v>0</v>
      </c>
      <c r="N14" s="11">
        <v>0</v>
      </c>
      <c r="O14" s="41">
        <f t="shared" ref="O14" si="11">IF(N$32,N14/N$32,0)</f>
        <v>0</v>
      </c>
    </row>
    <row r="15" spans="1:15" x14ac:dyDescent="0.25">
      <c r="A15" s="39" t="s">
        <v>212</v>
      </c>
      <c r="C15" s="5" t="s">
        <v>213</v>
      </c>
      <c r="E15" s="134">
        <f>VLOOKUP(A15,TB!TB,4,FALSE)*-1</f>
        <v>9825.1299999999992</v>
      </c>
      <c r="F15" s="41">
        <f t="shared" si="0"/>
        <v>2.7534885467602025E-2</v>
      </c>
      <c r="H15" s="11">
        <f>VLOOKUP(A15,TB!TB,5,FALSE)*-1</f>
        <v>9825.1299999999992</v>
      </c>
      <c r="I15" s="41">
        <f t="shared" si="1"/>
        <v>2.7534885467602025E-2</v>
      </c>
      <c r="K15" s="134">
        <f>VLOOKUP(A15,TB!TB1_1,4,FALSE)*-1</f>
        <v>17214.34</v>
      </c>
      <c r="L15" s="41">
        <f t="shared" si="2"/>
        <v>4.787625553445285E-2</v>
      </c>
      <c r="N15" s="11">
        <f>VLOOKUP(A15,TB!TB1_1,5,FALSE)*-1</f>
        <v>17214.34</v>
      </c>
      <c r="O15" s="41">
        <f t="shared" si="3"/>
        <v>4.787625553445285E-2</v>
      </c>
    </row>
    <row r="16" spans="1:15" x14ac:dyDescent="0.25">
      <c r="A16" s="36" t="s">
        <v>214</v>
      </c>
      <c r="C16" s="5" t="s">
        <v>215</v>
      </c>
      <c r="E16" s="134">
        <f>VLOOKUP(A16,TB!TB,4,FALSE)*-1</f>
        <v>26290.97</v>
      </c>
      <c r="F16" s="41">
        <f t="shared" si="0"/>
        <v>7.3680332757140199E-2</v>
      </c>
      <c r="H16" s="11">
        <f>VLOOKUP(A16,TB!TB,5,FALSE)*-1</f>
        <v>26290.97</v>
      </c>
      <c r="I16" s="41">
        <f t="shared" si="1"/>
        <v>7.3680332757140199E-2</v>
      </c>
      <c r="K16" s="134">
        <f>VLOOKUP(A16,TB!TB1_1,4,FALSE)*-1</f>
        <v>31657.279999999999</v>
      </c>
      <c r="L16" s="41">
        <f t="shared" si="2"/>
        <v>8.8044736353860995E-2</v>
      </c>
      <c r="N16" s="11">
        <f>VLOOKUP(A16,TB!TB1_1,5,FALSE)*-1</f>
        <v>31657.279999999999</v>
      </c>
      <c r="O16" s="41">
        <f t="shared" si="3"/>
        <v>8.8044736353860995E-2</v>
      </c>
    </row>
    <row r="17" spans="1:15" x14ac:dyDescent="0.25">
      <c r="A17" s="36" t="s">
        <v>216</v>
      </c>
      <c r="C17" s="5" t="s">
        <v>217</v>
      </c>
      <c r="E17" s="134">
        <f>VLOOKUP(A17,TB!TB,4,FALSE)*-1</f>
        <v>17981.82</v>
      </c>
      <c r="F17" s="41">
        <f t="shared" si="0"/>
        <v>5.0393974858249764E-2</v>
      </c>
      <c r="H17" s="11">
        <f>VLOOKUP(A17,TB!TB,5,FALSE)*-1</f>
        <v>17981.82</v>
      </c>
      <c r="I17" s="41">
        <f t="shared" si="1"/>
        <v>5.0393974858249764E-2</v>
      </c>
      <c r="K17" s="134">
        <f>VLOOKUP(A17,TB!TB1_1,4,FALSE)*-1</f>
        <v>13408.77</v>
      </c>
      <c r="L17" s="41">
        <f t="shared" si="2"/>
        <v>3.729226324812368E-2</v>
      </c>
      <c r="N17" s="11">
        <f>VLOOKUP(A17,TB!TB1_1,5,FALSE)*-1</f>
        <v>13408.77</v>
      </c>
      <c r="O17" s="41">
        <f t="shared" si="3"/>
        <v>3.729226324812368E-2</v>
      </c>
    </row>
    <row r="18" spans="1:15" x14ac:dyDescent="0.25">
      <c r="A18" s="39" t="s">
        <v>2075</v>
      </c>
      <c r="C18" s="5" t="s">
        <v>2076</v>
      </c>
      <c r="E18" s="134">
        <f>VLOOKUP(A18,TB!TB,4,FALSE)*-1</f>
        <v>565.20000000000005</v>
      </c>
      <c r="F18" s="41">
        <f t="shared" ref="F18" si="12">IF(E$32,E18/E$32,0)</f>
        <v>1.5839706208761277E-3</v>
      </c>
      <c r="H18" s="11">
        <f>VLOOKUP(A18,TB!TB,5,FALSE)*-1</f>
        <v>565.20000000000005</v>
      </c>
      <c r="I18" s="41">
        <f t="shared" ref="I18" si="13">IF(H$32,H18/H$32,0)</f>
        <v>1.5839706208761277E-3</v>
      </c>
      <c r="K18" s="134">
        <v>0</v>
      </c>
      <c r="L18" s="41">
        <f t="shared" ref="L18" si="14">IF(K$32,K18/K$32,0)</f>
        <v>0</v>
      </c>
      <c r="N18" s="11">
        <v>0</v>
      </c>
      <c r="O18" s="41">
        <f t="shared" ref="O18" si="15">IF(N$32,N18/N$32,0)</f>
        <v>0</v>
      </c>
    </row>
    <row r="19" spans="1:15" x14ac:dyDescent="0.25">
      <c r="A19" s="36" t="s">
        <v>218</v>
      </c>
      <c r="C19" s="5" t="s">
        <v>219</v>
      </c>
      <c r="E19" s="134">
        <f>VLOOKUP(A19,TB!TB,4,FALSE)*-1</f>
        <v>40289.65</v>
      </c>
      <c r="F19" s="41">
        <f t="shared" si="0"/>
        <v>0.11291157453181506</v>
      </c>
      <c r="H19" s="11">
        <f>VLOOKUP(A19,TB!TB,5,FALSE)*-1</f>
        <v>40289.65</v>
      </c>
      <c r="I19" s="41">
        <f t="shared" si="1"/>
        <v>0.11291157453181506</v>
      </c>
      <c r="K19" s="134">
        <f>VLOOKUP(A19,TB!TB1_1,4,FALSE)*-1</f>
        <v>31584.85</v>
      </c>
      <c r="L19" s="41">
        <f t="shared" si="2"/>
        <v>8.7843295160741741E-2</v>
      </c>
      <c r="N19" s="11">
        <f>VLOOKUP(A19,TB!TB1_1,5,FALSE)*-1</f>
        <v>31584.85</v>
      </c>
      <c r="O19" s="41">
        <f t="shared" si="3"/>
        <v>8.7843295160741741E-2</v>
      </c>
    </row>
    <row r="20" spans="1:15" x14ac:dyDescent="0.25">
      <c r="A20" s="36" t="s">
        <v>220</v>
      </c>
      <c r="C20" s="5" t="s">
        <v>1310</v>
      </c>
      <c r="E20" s="134">
        <f>VLOOKUP(A20,TB!TB,4,FALSE)*-1</f>
        <v>14301.48</v>
      </c>
      <c r="F20" s="41">
        <f t="shared" si="0"/>
        <v>4.0079837500084078E-2</v>
      </c>
      <c r="H20" s="11">
        <f>VLOOKUP(A20,TB!TB,5,FALSE)*-1</f>
        <v>14301.48</v>
      </c>
      <c r="I20" s="41">
        <f t="shared" si="1"/>
        <v>4.0079837500084078E-2</v>
      </c>
      <c r="K20" s="134">
        <f>VLOOKUP(A20,TB!TB1_1,4,FALSE)*-1</f>
        <v>6354.38</v>
      </c>
      <c r="L20" s="41">
        <f t="shared" si="2"/>
        <v>1.7672703144181914E-2</v>
      </c>
      <c r="N20" s="11">
        <f>VLOOKUP(A20,TB!TB1_1,5,FALSE)*-1</f>
        <v>6354.38</v>
      </c>
      <c r="O20" s="41">
        <f t="shared" si="3"/>
        <v>1.7672703144181914E-2</v>
      </c>
    </row>
    <row r="21" spans="1:15" x14ac:dyDescent="0.25">
      <c r="A21" s="36" t="s">
        <v>222</v>
      </c>
      <c r="C21" s="5" t="s">
        <v>1315</v>
      </c>
      <c r="E21" s="134">
        <f>VLOOKUP(A21,TB!TB,4,FALSE)*-1</f>
        <v>0</v>
      </c>
      <c r="F21" s="41">
        <f t="shared" si="0"/>
        <v>0</v>
      </c>
      <c r="H21" s="11">
        <f>VLOOKUP(A21,TB!TB,5,FALSE)*-1</f>
        <v>0</v>
      </c>
      <c r="I21" s="41">
        <f t="shared" si="1"/>
        <v>0</v>
      </c>
      <c r="K21" s="134">
        <f>VLOOKUP(A21,TB!TB1_1,4,FALSE)*-1</f>
        <v>0</v>
      </c>
      <c r="L21" s="41">
        <f t="shared" si="2"/>
        <v>0</v>
      </c>
      <c r="N21" s="11">
        <f>VLOOKUP(A21,TB!TB1_1,5,FALSE)*-1</f>
        <v>0</v>
      </c>
      <c r="O21" s="41">
        <f t="shared" si="3"/>
        <v>0</v>
      </c>
    </row>
    <row r="22" spans="1:15" x14ac:dyDescent="0.25">
      <c r="A22" s="39" t="s">
        <v>2073</v>
      </c>
      <c r="C22" s="5" t="s">
        <v>2074</v>
      </c>
      <c r="E22" s="134">
        <f>VLOOKUP(A22,TB!TB,4,FALSE)*-1</f>
        <v>333.74</v>
      </c>
      <c r="F22" s="41">
        <f t="shared" ref="F22" si="16">IF(E$32,E22/E$32,0)</f>
        <v>9.3530494517197246E-4</v>
      </c>
      <c r="H22" s="11">
        <f>VLOOKUP(A22,TB!TB,5,FALSE)*-1</f>
        <v>333.74</v>
      </c>
      <c r="I22" s="41">
        <f t="shared" ref="I22" si="17">IF(H$32,H22/H$32,0)</f>
        <v>9.3530494517197246E-4</v>
      </c>
      <c r="K22" s="134">
        <v>0</v>
      </c>
      <c r="L22" s="41">
        <f t="shared" ref="L22" si="18">IF(K$32,K22/K$32,0)</f>
        <v>0</v>
      </c>
      <c r="N22" s="11">
        <v>0</v>
      </c>
      <c r="O22" s="41">
        <f t="shared" ref="O22" si="19">IF(N$32,N22/N$32,0)</f>
        <v>0</v>
      </c>
    </row>
    <row r="23" spans="1:15" x14ac:dyDescent="0.25">
      <c r="A23" s="36" t="s">
        <v>224</v>
      </c>
      <c r="C23" s="5" t="s">
        <v>1311</v>
      </c>
      <c r="E23" s="134">
        <f>VLOOKUP(A23,TB!TB,4,FALSE)*-1</f>
        <v>2128.79</v>
      </c>
      <c r="F23" s="41">
        <f t="shared" si="0"/>
        <v>5.9659250141806284E-3</v>
      </c>
      <c r="H23" s="11">
        <f>VLOOKUP(A23,TB!TB,5,FALSE)*-1</f>
        <v>2128.79</v>
      </c>
      <c r="I23" s="41">
        <f t="shared" si="1"/>
        <v>5.9659250141806284E-3</v>
      </c>
      <c r="K23" s="134">
        <f>VLOOKUP(A23,TB!TB1_1,4,FALSE)*-1</f>
        <v>1324.71</v>
      </c>
      <c r="L23" s="41">
        <f t="shared" si="2"/>
        <v>3.6842629150490255E-3</v>
      </c>
      <c r="N23" s="11">
        <f>VLOOKUP(A23,TB!TB1_1,5,FALSE)*-1</f>
        <v>1324.71</v>
      </c>
      <c r="O23" s="41">
        <f t="shared" si="3"/>
        <v>3.6842629150490255E-3</v>
      </c>
    </row>
    <row r="24" spans="1:15" x14ac:dyDescent="0.25">
      <c r="A24" s="36" t="s">
        <v>276</v>
      </c>
      <c r="C24" t="s">
        <v>1061</v>
      </c>
      <c r="E24" s="134">
        <f>VLOOKUP(A24,TB!TB,4,FALSE)*-1</f>
        <v>0</v>
      </c>
      <c r="F24" s="41">
        <f t="shared" si="0"/>
        <v>0</v>
      </c>
      <c r="H24" s="11">
        <f>VLOOKUP(A24,TB!TB,5,FALSE)*-1</f>
        <v>0</v>
      </c>
      <c r="I24" s="41">
        <f t="shared" si="1"/>
        <v>0</v>
      </c>
      <c r="K24" s="134">
        <f>VLOOKUP(A24,TB!TB1_1,4,FALSE)*-1</f>
        <v>0</v>
      </c>
      <c r="L24" s="41">
        <f t="shared" si="2"/>
        <v>0</v>
      </c>
      <c r="N24" s="11">
        <f>VLOOKUP(A24,TB!TB1_1,5,FALSE)*-1</f>
        <v>0</v>
      </c>
      <c r="O24" s="41">
        <f t="shared" si="3"/>
        <v>0</v>
      </c>
    </row>
    <row r="25" spans="1:15" x14ac:dyDescent="0.25">
      <c r="A25" s="36" t="s">
        <v>278</v>
      </c>
      <c r="C25" t="s">
        <v>1171</v>
      </c>
      <c r="E25" s="134">
        <f>VLOOKUP(A25,TB!TB,4,FALSE)*-1</f>
        <v>0</v>
      </c>
      <c r="F25" s="41">
        <f t="shared" si="0"/>
        <v>0</v>
      </c>
      <c r="H25" s="11">
        <f>VLOOKUP(A25,TB!TB,5,FALSE)*-1</f>
        <v>0</v>
      </c>
      <c r="I25" s="41">
        <f t="shared" si="1"/>
        <v>0</v>
      </c>
      <c r="K25" s="134">
        <f>VLOOKUP(A25,TB!TB1_1,4,FALSE)*-1</f>
        <v>0</v>
      </c>
      <c r="L25" s="41">
        <f t="shared" si="2"/>
        <v>0</v>
      </c>
      <c r="N25" s="11">
        <f>VLOOKUP(A25,TB!TB1_1,5,FALSE)*-1</f>
        <v>0</v>
      </c>
      <c r="O25" s="41">
        <f t="shared" si="3"/>
        <v>0</v>
      </c>
    </row>
    <row r="26" spans="1:15" x14ac:dyDescent="0.25">
      <c r="A26" s="36" t="s">
        <v>279</v>
      </c>
      <c r="C26" t="s">
        <v>1062</v>
      </c>
      <c r="E26" s="134">
        <f>VLOOKUP(A26,TB!TB,4,FALSE)*-1</f>
        <v>0</v>
      </c>
      <c r="F26" s="41">
        <f t="shared" si="0"/>
        <v>0</v>
      </c>
      <c r="H26" s="11">
        <f>VLOOKUP(A26,TB!TB,5,FALSE)*-1</f>
        <v>0</v>
      </c>
      <c r="I26" s="41">
        <f t="shared" si="1"/>
        <v>0</v>
      </c>
      <c r="K26" s="134">
        <f>VLOOKUP(A26,TB!TB1_1,4,FALSE)*-1</f>
        <v>0</v>
      </c>
      <c r="L26" s="41">
        <f t="shared" si="2"/>
        <v>0</v>
      </c>
      <c r="N26" s="11">
        <f>VLOOKUP(A26,TB!TB1_1,5,FALSE)*-1</f>
        <v>0</v>
      </c>
      <c r="O26" s="41">
        <f t="shared" si="3"/>
        <v>0</v>
      </c>
    </row>
    <row r="27" spans="1:15" x14ac:dyDescent="0.25">
      <c r="A27" s="36" t="s">
        <v>281</v>
      </c>
      <c r="C27" t="s">
        <v>1063</v>
      </c>
      <c r="E27" s="134">
        <f>VLOOKUP(A27,TB!TB,4,FALSE)*-1</f>
        <v>0</v>
      </c>
      <c r="F27" s="41">
        <f t="shared" si="0"/>
        <v>0</v>
      </c>
      <c r="H27" s="11">
        <f>VLOOKUP(A27,TB!TB,5,FALSE)*-1</f>
        <v>0</v>
      </c>
      <c r="I27" s="41">
        <f t="shared" si="1"/>
        <v>0</v>
      </c>
      <c r="K27" s="134">
        <f>VLOOKUP(A27,TB!TB1_1,4,FALSE)*-1</f>
        <v>0</v>
      </c>
      <c r="L27" s="41">
        <f t="shared" si="2"/>
        <v>0</v>
      </c>
      <c r="N27" s="11">
        <f>VLOOKUP(A27,TB!TB1_1,5,FALSE)*-1</f>
        <v>0</v>
      </c>
      <c r="O27" s="41">
        <f t="shared" si="3"/>
        <v>0</v>
      </c>
    </row>
    <row r="28" spans="1:15" x14ac:dyDescent="0.25">
      <c r="A28" s="36" t="s">
        <v>285</v>
      </c>
      <c r="C28" t="s">
        <v>1064</v>
      </c>
      <c r="E28" s="134">
        <f>VLOOKUP(A28,TB!TB,4,FALSE)*-1</f>
        <v>0</v>
      </c>
      <c r="F28" s="41">
        <f t="shared" si="0"/>
        <v>0</v>
      </c>
      <c r="H28" s="11">
        <f>VLOOKUP(A28,TB!TB,5,FALSE)*-1</f>
        <v>0</v>
      </c>
      <c r="I28" s="41">
        <f t="shared" si="1"/>
        <v>0</v>
      </c>
      <c r="K28" s="134">
        <f>VLOOKUP(A28,TB!TB1_1,4,FALSE)*-1</f>
        <v>0</v>
      </c>
      <c r="L28" s="41">
        <f t="shared" si="2"/>
        <v>0</v>
      </c>
      <c r="N28" s="11">
        <f>VLOOKUP(A28,TB!TB1_1,5,FALSE)*-1</f>
        <v>0</v>
      </c>
      <c r="O28" s="41">
        <f t="shared" si="3"/>
        <v>0</v>
      </c>
    </row>
    <row r="29" spans="1:15" x14ac:dyDescent="0.25">
      <c r="A29" s="36" t="s">
        <v>287</v>
      </c>
      <c r="C29" t="s">
        <v>288</v>
      </c>
      <c r="E29" s="134">
        <f>VLOOKUP(A29,TB!TB,4,FALSE)*-1</f>
        <v>0</v>
      </c>
      <c r="F29" s="41">
        <f t="shared" si="0"/>
        <v>0</v>
      </c>
      <c r="H29" s="11">
        <f>VLOOKUP(A29,TB!TB,5,FALSE)*-1</f>
        <v>0</v>
      </c>
      <c r="I29" s="41">
        <f t="shared" si="1"/>
        <v>0</v>
      </c>
      <c r="K29" s="134">
        <f>VLOOKUP(A29,TB!TB1_1,4,FALSE)*-1</f>
        <v>0</v>
      </c>
      <c r="L29" s="41">
        <f t="shared" si="2"/>
        <v>0</v>
      </c>
      <c r="N29" s="11">
        <f>VLOOKUP(A29,TB!TB1_1,5,FALSE)*-1</f>
        <v>0</v>
      </c>
      <c r="O29" s="41">
        <f t="shared" si="3"/>
        <v>0</v>
      </c>
    </row>
    <row r="30" spans="1:15" x14ac:dyDescent="0.25">
      <c r="A30" s="36" t="s">
        <v>283</v>
      </c>
      <c r="C30" t="s">
        <v>284</v>
      </c>
      <c r="E30" s="134">
        <f>VLOOKUP(A30,TB!TB,4,FALSE)*-1</f>
        <v>-1372</v>
      </c>
      <c r="F30" s="41">
        <f t="shared" si="0"/>
        <v>-3.8450242247736145E-3</v>
      </c>
      <c r="H30" s="11">
        <f>VLOOKUP(A30,TB!TB,5,FALSE)*-1</f>
        <v>-1372</v>
      </c>
      <c r="I30" s="41">
        <f t="shared" si="1"/>
        <v>-3.8450242247736145E-3</v>
      </c>
      <c r="K30" s="134">
        <f>VLOOKUP(A30,TB!TB1_1,4,FALSE)*-1</f>
        <v>428.01</v>
      </c>
      <c r="L30" s="41">
        <f t="shared" si="2"/>
        <v>1.1903747765700668E-3</v>
      </c>
      <c r="N30" s="11">
        <f>VLOOKUP(A30,TB!TB1_1,5,FALSE)*-1</f>
        <v>428.01</v>
      </c>
      <c r="O30" s="41">
        <f t="shared" si="3"/>
        <v>1.1903747765700668E-3</v>
      </c>
    </row>
    <row r="31" spans="1:15" x14ac:dyDescent="0.25">
      <c r="A31" s="36" t="s">
        <v>204</v>
      </c>
      <c r="C31" t="s">
        <v>189</v>
      </c>
      <c r="E31" s="141">
        <f>VLOOKUP(A31,TB!TB,4,FALSE)*-1</f>
        <v>7977.85</v>
      </c>
      <c r="F31" s="50">
        <f t="shared" si="0"/>
        <v>2.2357891043447653E-2</v>
      </c>
      <c r="H31" s="29">
        <f>VLOOKUP(A31,TB!TB,5,FALSE)*-1</f>
        <v>7977.85</v>
      </c>
      <c r="I31" s="50">
        <f t="shared" si="1"/>
        <v>2.2357891043447653E-2</v>
      </c>
      <c r="K31" s="141">
        <f>VLOOKUP(A31,TB!TB1_1,4,FALSE)*-1</f>
        <v>10554.19</v>
      </c>
      <c r="L31" s="50">
        <f t="shared" si="2"/>
        <v>2.9353149606616748E-2</v>
      </c>
      <c r="N31" s="29">
        <f>VLOOKUP(A31,TB!TB1_1,5,FALSE)*-1</f>
        <v>10554.19</v>
      </c>
      <c r="O31" s="50">
        <f t="shared" si="3"/>
        <v>2.9353149606616748E-2</v>
      </c>
    </row>
    <row r="32" spans="1:15" x14ac:dyDescent="0.25">
      <c r="C32" s="43" t="s">
        <v>1038</v>
      </c>
      <c r="E32" s="138">
        <f>SUM(E7:E31)</f>
        <v>356824.8</v>
      </c>
      <c r="F32" s="41">
        <f t="shared" si="0"/>
        <v>1</v>
      </c>
      <c r="H32" s="40">
        <f>SUM(H7:H31)</f>
        <v>356824.8</v>
      </c>
      <c r="I32" s="41">
        <f t="shared" si="1"/>
        <v>1</v>
      </c>
      <c r="K32" s="138">
        <f>SUM(K7:K31)</f>
        <v>359559.03</v>
      </c>
      <c r="L32" s="41">
        <f t="shared" si="2"/>
        <v>1</v>
      </c>
      <c r="N32" s="40">
        <f>SUM(N7:N31)</f>
        <v>359559.03</v>
      </c>
      <c r="O32" s="41">
        <f t="shared" si="3"/>
        <v>1</v>
      </c>
    </row>
    <row r="34" spans="1:15" x14ac:dyDescent="0.25">
      <c r="A34" s="36" t="s">
        <v>314</v>
      </c>
      <c r="C34" t="s">
        <v>1065</v>
      </c>
      <c r="E34" s="134">
        <f>VLOOKUP(A34,TB!TB,4,FALSE)</f>
        <v>81638.13</v>
      </c>
      <c r="F34" s="41">
        <f t="shared" ref="F34:F54" si="20">IF(E$32,E34/E$32,0)</f>
        <v>0.22879051568164546</v>
      </c>
      <c r="H34" s="11">
        <f>VLOOKUP(A34,TB!TB,5,FALSE)</f>
        <v>81638.13</v>
      </c>
      <c r="I34" s="41">
        <f t="shared" ref="I34:I53" si="21">IF(H$32,H34/H$32,0)</f>
        <v>0.22879051568164546</v>
      </c>
      <c r="K34" s="134">
        <f>VLOOKUP(A34,TB!TB1_1,4,FALSE)</f>
        <v>84969.87</v>
      </c>
      <c r="L34" s="41">
        <f t="shared" ref="L34:L53" si="22">IF(K$32,K34/K$32,0)</f>
        <v>0.23631688515791133</v>
      </c>
      <c r="N34" s="11">
        <f>VLOOKUP(A34,TB!TB1_1,5,FALSE)</f>
        <v>84969.87</v>
      </c>
      <c r="O34" s="41">
        <f t="shared" ref="O34:O53" si="23">IF(N$32,N34/N$32,0)</f>
        <v>0.23631688515791133</v>
      </c>
    </row>
    <row r="35" spans="1:15" x14ac:dyDescent="0.25">
      <c r="A35" s="36" t="s">
        <v>316</v>
      </c>
      <c r="C35" t="s">
        <v>1066</v>
      </c>
      <c r="E35" s="134">
        <f>VLOOKUP(A35,TB!TB,4,FALSE)</f>
        <v>28710.34</v>
      </c>
      <c r="F35" s="41">
        <f t="shared" si="20"/>
        <v>8.0460606998168288E-2</v>
      </c>
      <c r="H35" s="11">
        <f>VLOOKUP(A35,TB!TB,5,FALSE)</f>
        <v>28710.34</v>
      </c>
      <c r="I35" s="41">
        <f t="shared" si="21"/>
        <v>8.0460606998168288E-2</v>
      </c>
      <c r="K35" s="134">
        <f>VLOOKUP(A35,TB!TB1_1,4,FALSE)</f>
        <v>32756.66</v>
      </c>
      <c r="L35" s="41">
        <f t="shared" si="22"/>
        <v>9.1102314966196224E-2</v>
      </c>
      <c r="N35" s="11">
        <f>VLOOKUP(A35,TB!TB1_1,5,FALSE)</f>
        <v>32756.66</v>
      </c>
      <c r="O35" s="41">
        <f t="shared" si="23"/>
        <v>9.1102314966196224E-2</v>
      </c>
    </row>
    <row r="36" spans="1:15" x14ac:dyDescent="0.25">
      <c r="A36" s="36" t="s">
        <v>318</v>
      </c>
      <c r="C36" t="s">
        <v>319</v>
      </c>
      <c r="E36" s="134">
        <f>VLOOKUP(A36,TB!TB,4,FALSE)</f>
        <v>0</v>
      </c>
      <c r="F36" s="41">
        <f t="shared" si="20"/>
        <v>0</v>
      </c>
      <c r="H36" s="11">
        <f>VLOOKUP(A36,TB!TB,5,FALSE)</f>
        <v>0</v>
      </c>
      <c r="I36" s="41">
        <f t="shared" si="21"/>
        <v>0</v>
      </c>
      <c r="K36" s="134">
        <f>VLOOKUP(A36,TB!TB1_1,4,FALSE)</f>
        <v>787.62</v>
      </c>
      <c r="L36" s="41">
        <f t="shared" si="22"/>
        <v>2.1905165335438801E-3</v>
      </c>
      <c r="N36" s="11">
        <f>VLOOKUP(A36,TB!TB1_1,5,FALSE)</f>
        <v>787.62</v>
      </c>
      <c r="O36" s="41">
        <f t="shared" si="23"/>
        <v>2.1905165335438801E-3</v>
      </c>
    </row>
    <row r="37" spans="1:15" x14ac:dyDescent="0.25">
      <c r="A37" s="39" t="s">
        <v>2080</v>
      </c>
      <c r="C37" t="s">
        <v>2081</v>
      </c>
      <c r="E37" s="134">
        <f>VLOOKUP(A37,TB!TB,4,FALSE)</f>
        <v>1197.72</v>
      </c>
      <c r="F37" s="41">
        <f t="shared" ref="F37" si="24">IF(E$32,E37/E$32,0)</f>
        <v>3.356605258378902E-3</v>
      </c>
      <c r="H37" s="11">
        <f>VLOOKUP(A37,TB!TB,5,FALSE)</f>
        <v>1197.72</v>
      </c>
      <c r="I37" s="41">
        <f t="shared" ref="I37" si="25">IF(H$32,H37/H$32,0)</f>
        <v>3.356605258378902E-3</v>
      </c>
      <c r="K37" s="134">
        <v>0</v>
      </c>
      <c r="L37" s="41">
        <f t="shared" ref="L37" si="26">IF(K$32,K37/K$32,0)</f>
        <v>0</v>
      </c>
      <c r="N37" s="11">
        <v>0</v>
      </c>
      <c r="O37" s="41">
        <f t="shared" ref="O37" si="27">IF(N$32,N37/N$32,0)</f>
        <v>0</v>
      </c>
    </row>
    <row r="38" spans="1:15" x14ac:dyDescent="0.25">
      <c r="A38" s="36" t="s">
        <v>320</v>
      </c>
      <c r="C38" t="s">
        <v>1067</v>
      </c>
      <c r="E38" s="134">
        <f>VLOOKUP(A38,TB!TB,4,FALSE)</f>
        <v>27131.37</v>
      </c>
      <c r="F38" s="41">
        <f t="shared" si="20"/>
        <v>7.6035550219603565E-2</v>
      </c>
      <c r="H38" s="11">
        <f>VLOOKUP(A38,TB!TB,5,FALSE)</f>
        <v>27131.37</v>
      </c>
      <c r="I38" s="41">
        <f t="shared" si="21"/>
        <v>7.6035550219603565E-2</v>
      </c>
      <c r="K38" s="134">
        <f>VLOOKUP(A38,TB!TB1_1,4,FALSE)</f>
        <v>36308.550000000003</v>
      </c>
      <c r="L38" s="41">
        <f t="shared" si="22"/>
        <v>0.10098077636932105</v>
      </c>
      <c r="N38" s="11">
        <f>VLOOKUP(A38,TB!TB1_1,5,FALSE)</f>
        <v>36308.550000000003</v>
      </c>
      <c r="O38" s="41">
        <f t="shared" si="23"/>
        <v>0.10098077636932105</v>
      </c>
    </row>
    <row r="39" spans="1:15" x14ac:dyDescent="0.25">
      <c r="A39" s="36" t="s">
        <v>322</v>
      </c>
      <c r="C39" t="s">
        <v>209</v>
      </c>
      <c r="E39" s="134">
        <f>VLOOKUP(A39,TB!TB,4,FALSE)</f>
        <v>8330.02</v>
      </c>
      <c r="F39" s="41">
        <f t="shared" si="20"/>
        <v>2.3344845986041331E-2</v>
      </c>
      <c r="H39" s="11">
        <f>VLOOKUP(A39,TB!TB,5,FALSE)</f>
        <v>8330.02</v>
      </c>
      <c r="I39" s="41">
        <f>IF(H$32,H39/H$32,0)</f>
        <v>2.3344845986041331E-2</v>
      </c>
      <c r="K39" s="134">
        <f>VLOOKUP(A39,TB!TB1_1,4,FALSE)</f>
        <v>3096.43</v>
      </c>
      <c r="L39" s="41">
        <f>IF(K$32,K39/K$32,0)</f>
        <v>8.6117431121115213E-3</v>
      </c>
      <c r="N39" s="11">
        <f>VLOOKUP(A39,TB!TB1_1,5,FALSE)</f>
        <v>3096.43</v>
      </c>
      <c r="O39" s="41">
        <f>IF(N$32,N39/N$32,0)</f>
        <v>8.6117431121115213E-3</v>
      </c>
    </row>
    <row r="40" spans="1:15" x14ac:dyDescent="0.25">
      <c r="A40" s="36" t="s">
        <v>323</v>
      </c>
      <c r="C40" t="s">
        <v>211</v>
      </c>
      <c r="E40" s="134">
        <f>VLOOKUP(A40,TB!TB,4,FALSE)</f>
        <v>627.49</v>
      </c>
      <c r="F40" s="41">
        <f t="shared" si="20"/>
        <v>1.7585380836757983E-3</v>
      </c>
      <c r="H40" s="11">
        <f>VLOOKUP(A40,TB!TB,5,FALSE)</f>
        <v>627.49</v>
      </c>
      <c r="I40" s="41">
        <f t="shared" si="21"/>
        <v>1.7585380836757983E-3</v>
      </c>
      <c r="K40" s="134">
        <f>VLOOKUP(A40,TB!TB1_1,4,FALSE)</f>
        <v>-98.57</v>
      </c>
      <c r="L40" s="41">
        <f t="shared" si="22"/>
        <v>-2.7414135587138498E-4</v>
      </c>
      <c r="N40" s="11">
        <f>VLOOKUP(A40,TB!TB1_1,5,FALSE)</f>
        <v>-98.57</v>
      </c>
      <c r="O40" s="41">
        <f t="shared" si="23"/>
        <v>-2.7414135587138498E-4</v>
      </c>
    </row>
    <row r="41" spans="1:15" x14ac:dyDescent="0.25">
      <c r="A41" s="39" t="s">
        <v>2082</v>
      </c>
      <c r="C41" t="s">
        <v>2079</v>
      </c>
      <c r="E41" s="134">
        <f>VLOOKUP(A41,TB!TB,4,FALSE)</f>
        <v>211.65</v>
      </c>
      <c r="F41" s="41">
        <f t="shared" ref="F41" si="28">IF(E$32,E41/E$32,0)</f>
        <v>5.9314823409135247E-4</v>
      </c>
      <c r="H41" s="11">
        <f>VLOOKUP(A41,TB!TB,5,FALSE)</f>
        <v>211.65</v>
      </c>
      <c r="I41" s="41">
        <f t="shared" ref="I41" si="29">IF(H$32,H41/H$32,0)</f>
        <v>5.9314823409135247E-4</v>
      </c>
      <c r="K41" s="134">
        <v>0</v>
      </c>
      <c r="L41" s="41">
        <f t="shared" ref="L41" si="30">IF(K$32,K41/K$32,0)</f>
        <v>0</v>
      </c>
      <c r="N41" s="11">
        <v>0</v>
      </c>
      <c r="O41" s="41">
        <f t="shared" ref="O41" si="31">IF(N$32,N41/N$32,0)</f>
        <v>0</v>
      </c>
    </row>
    <row r="42" spans="1:15" x14ac:dyDescent="0.25">
      <c r="A42" s="36" t="s">
        <v>324</v>
      </c>
      <c r="C42" t="s">
        <v>1176</v>
      </c>
      <c r="E42" s="134">
        <f>VLOOKUP(A42,TB!TB,4,FALSE)</f>
        <v>7473.65</v>
      </c>
      <c r="F42" s="41">
        <f t="shared" si="20"/>
        <v>2.0944872665801254E-2</v>
      </c>
      <c r="H42" s="11">
        <f>VLOOKUP(A42,TB!TB,5,FALSE)</f>
        <v>7473.65</v>
      </c>
      <c r="I42" s="41">
        <f t="shared" si="21"/>
        <v>2.0944872665801254E-2</v>
      </c>
      <c r="K42" s="134">
        <f>VLOOKUP(A42,TB!TB1_1,4,FALSE)</f>
        <v>15327.18</v>
      </c>
      <c r="L42" s="41">
        <f t="shared" si="22"/>
        <v>4.2627715399054224E-2</v>
      </c>
      <c r="N42" s="11">
        <f>VLOOKUP(A42,TB!TB1_1,5,FALSE)</f>
        <v>15327.18</v>
      </c>
      <c r="O42" s="41">
        <f t="shared" si="23"/>
        <v>4.2627715399054224E-2</v>
      </c>
    </row>
    <row r="43" spans="1:15" x14ac:dyDescent="0.25">
      <c r="A43" s="36" t="s">
        <v>325</v>
      </c>
      <c r="C43" t="s">
        <v>1316</v>
      </c>
      <c r="E43" s="134">
        <f>VLOOKUP(A43,TB!TB,4,FALSE)</f>
        <v>16905.689999999999</v>
      </c>
      <c r="F43" s="41">
        <f t="shared" si="20"/>
        <v>4.7378125063056151E-2</v>
      </c>
      <c r="H43" s="11">
        <f>VLOOKUP(A43,TB!TB,5,FALSE)</f>
        <v>16905.689999999999</v>
      </c>
      <c r="I43" s="41">
        <f t="shared" si="21"/>
        <v>4.7378125063056151E-2</v>
      </c>
      <c r="K43" s="134">
        <f>VLOOKUP(A43,TB!TB1_1,4,FALSE)</f>
        <v>20769.97</v>
      </c>
      <c r="L43" s="41">
        <f t="shared" si="22"/>
        <v>5.7765118567596536E-2</v>
      </c>
      <c r="N43" s="11">
        <f>VLOOKUP(A43,TB!TB1_1,5,FALSE)</f>
        <v>20769.97</v>
      </c>
      <c r="O43" s="41">
        <f t="shared" si="23"/>
        <v>5.7765118567596536E-2</v>
      </c>
    </row>
    <row r="44" spans="1:15" x14ac:dyDescent="0.25">
      <c r="A44" s="36" t="s">
        <v>326</v>
      </c>
      <c r="C44" t="s">
        <v>217</v>
      </c>
      <c r="E44" s="134">
        <f>VLOOKUP(A44,TB!TB,4,FALSE)</f>
        <v>10876.04</v>
      </c>
      <c r="F44" s="41">
        <f t="shared" si="20"/>
        <v>3.0480056318955413E-2</v>
      </c>
      <c r="H44" s="11">
        <f>VLOOKUP(A44,TB!TB,5,FALSE)</f>
        <v>10876.04</v>
      </c>
      <c r="I44" s="41">
        <f t="shared" si="21"/>
        <v>3.0480056318955413E-2</v>
      </c>
      <c r="K44" s="134">
        <f>VLOOKUP(A44,TB!TB1_1,4,FALSE)</f>
        <v>8849.76</v>
      </c>
      <c r="L44" s="41">
        <f t="shared" si="22"/>
        <v>2.4612815314358813E-2</v>
      </c>
      <c r="N44" s="11">
        <f>VLOOKUP(A44,TB!TB1_1,5,FALSE)</f>
        <v>8849.76</v>
      </c>
      <c r="O44" s="41">
        <f t="shared" si="23"/>
        <v>2.4612815314358813E-2</v>
      </c>
    </row>
    <row r="45" spans="1:15" x14ac:dyDescent="0.25">
      <c r="A45" s="39" t="s">
        <v>2083</v>
      </c>
      <c r="C45" t="s">
        <v>2076</v>
      </c>
      <c r="E45" s="134">
        <f>VLOOKUP(A45,TB!TB,4,FALSE)</f>
        <v>316</v>
      </c>
      <c r="F45" s="41">
        <f t="shared" ref="F45" si="32">IF(E$32,E45/E$32,0)</f>
        <v>8.855886698458179E-4</v>
      </c>
      <c r="H45" s="11">
        <f>VLOOKUP(A45,TB!TB,5,FALSE)</f>
        <v>316</v>
      </c>
      <c r="I45" s="41">
        <f t="shared" ref="I45" si="33">IF(H$32,H45/H$32,0)</f>
        <v>8.855886698458179E-4</v>
      </c>
      <c r="K45" s="134">
        <v>0</v>
      </c>
      <c r="L45" s="41">
        <f t="shared" ref="L45" si="34">IF(K$32,K45/K$32,0)</f>
        <v>0</v>
      </c>
      <c r="N45" s="11">
        <v>0</v>
      </c>
      <c r="O45" s="41">
        <f t="shared" ref="O45" si="35">IF(N$32,N45/N$32,0)</f>
        <v>0</v>
      </c>
    </row>
    <row r="46" spans="1:15" x14ac:dyDescent="0.25">
      <c r="A46" s="36" t="s">
        <v>327</v>
      </c>
      <c r="C46" t="s">
        <v>219</v>
      </c>
      <c r="E46" s="134">
        <f>VLOOKUP(A46,TB!TB,4,FALSE)</f>
        <v>27592.34</v>
      </c>
      <c r="F46" s="41">
        <f t="shared" si="20"/>
        <v>7.7327416704220109E-2</v>
      </c>
      <c r="H46" s="11">
        <f>VLOOKUP(A46,TB!TB,5,FALSE)</f>
        <v>27592.34</v>
      </c>
      <c r="I46" s="41">
        <f t="shared" si="21"/>
        <v>7.7327416704220109E-2</v>
      </c>
      <c r="K46" s="134">
        <f>VLOOKUP(A46,TB!TB1_1,4,FALSE)</f>
        <v>21058.75</v>
      </c>
      <c r="L46" s="41">
        <f t="shared" si="22"/>
        <v>5.856826902664633E-2</v>
      </c>
      <c r="N46" s="11">
        <f>VLOOKUP(A46,TB!TB1_1,5,FALSE)</f>
        <v>21058.75</v>
      </c>
      <c r="O46" s="41">
        <f t="shared" si="23"/>
        <v>5.856826902664633E-2</v>
      </c>
    </row>
    <row r="47" spans="1:15" x14ac:dyDescent="0.25">
      <c r="A47" s="36" t="s">
        <v>328</v>
      </c>
      <c r="C47" t="s">
        <v>1310</v>
      </c>
      <c r="E47" s="134">
        <f>VLOOKUP(A47,TB!TB,4,FALSE)</f>
        <v>7745.44</v>
      </c>
      <c r="F47" s="41">
        <f t="shared" si="20"/>
        <v>2.1706562996742378E-2</v>
      </c>
      <c r="H47" s="11">
        <f>VLOOKUP(A47,TB!TB,5,FALSE)</f>
        <v>7745.44</v>
      </c>
      <c r="I47" s="41">
        <f t="shared" si="21"/>
        <v>2.1706562996742378E-2</v>
      </c>
      <c r="K47" s="134">
        <f>VLOOKUP(A47,TB!TB1_1,4,FALSE)</f>
        <v>3791.53</v>
      </c>
      <c r="L47" s="41">
        <f t="shared" si="22"/>
        <v>1.0544944455990996E-2</v>
      </c>
      <c r="N47" s="11">
        <f>VLOOKUP(A47,TB!TB1_1,5,FALSE)</f>
        <v>3791.53</v>
      </c>
      <c r="O47" s="41">
        <f t="shared" si="23"/>
        <v>1.0544944455990996E-2</v>
      </c>
    </row>
    <row r="48" spans="1:15" x14ac:dyDescent="0.25">
      <c r="A48" s="36" t="s">
        <v>329</v>
      </c>
      <c r="C48" t="s">
        <v>1315</v>
      </c>
      <c r="E48" s="134">
        <f>VLOOKUP(A48,TB!TB,4,FALSE)</f>
        <v>0</v>
      </c>
      <c r="F48" s="41">
        <f t="shared" si="20"/>
        <v>0</v>
      </c>
      <c r="H48" s="11">
        <f>VLOOKUP(A48,TB!TB,5,FALSE)</f>
        <v>0</v>
      </c>
      <c r="I48" s="41">
        <f t="shared" si="21"/>
        <v>0</v>
      </c>
      <c r="K48" s="134">
        <f>VLOOKUP(A48,TB!TB1_1,4,FALSE)</f>
        <v>0</v>
      </c>
      <c r="L48" s="41">
        <f t="shared" si="22"/>
        <v>0</v>
      </c>
      <c r="N48" s="11">
        <f>VLOOKUP(A48,TB!TB1_1,5,FALSE)</f>
        <v>0</v>
      </c>
      <c r="O48" s="41">
        <f t="shared" si="23"/>
        <v>0</v>
      </c>
    </row>
    <row r="49" spans="1:15" x14ac:dyDescent="0.25">
      <c r="A49" s="39" t="s">
        <v>2084</v>
      </c>
      <c r="C49" t="s">
        <v>2074</v>
      </c>
      <c r="E49" s="134">
        <f>VLOOKUP(A49,TB!TB,4,FALSE)</f>
        <v>185.58</v>
      </c>
      <c r="F49" s="41">
        <f t="shared" ref="F49" si="36">IF(E$32,E49/E$32,0)</f>
        <v>5.2008716882907249E-4</v>
      </c>
      <c r="H49" s="11">
        <f>VLOOKUP(A49,TB!TB,5,FALSE)</f>
        <v>185.58</v>
      </c>
      <c r="I49" s="41">
        <f t="shared" ref="I49" si="37">IF(H$32,H49/H$32,0)</f>
        <v>5.2008716882907249E-4</v>
      </c>
      <c r="K49" s="134">
        <v>0</v>
      </c>
      <c r="L49" s="41">
        <f t="shared" ref="L49" si="38">IF(K$32,K49/K$32,0)</f>
        <v>0</v>
      </c>
      <c r="N49" s="11">
        <v>0</v>
      </c>
      <c r="O49" s="41">
        <f t="shared" ref="O49" si="39">IF(N$32,N49/N$32,0)</f>
        <v>0</v>
      </c>
    </row>
    <row r="50" spans="1:15" x14ac:dyDescent="0.25">
      <c r="A50" s="36" t="s">
        <v>330</v>
      </c>
      <c r="C50" t="s">
        <v>1317</v>
      </c>
      <c r="E50" s="134">
        <f>VLOOKUP(A50,TB!TB,4,FALSE)</f>
        <v>1274.6099999999999</v>
      </c>
      <c r="F50" s="41">
        <f t="shared" si="20"/>
        <v>3.572089159722082E-3</v>
      </c>
      <c r="H50" s="11">
        <f>VLOOKUP(A50,TB!TB,5,FALSE)</f>
        <v>1274.6099999999999</v>
      </c>
      <c r="I50" s="41">
        <f t="shared" si="21"/>
        <v>3.572089159722082E-3</v>
      </c>
      <c r="K50" s="134">
        <f>VLOOKUP(A50,TB!TB1_1,4,FALSE)</f>
        <v>774.5</v>
      </c>
      <c r="L50" s="41">
        <f t="shared" si="22"/>
        <v>2.1540273929429609E-3</v>
      </c>
      <c r="N50" s="11">
        <f>VLOOKUP(A50,TB!TB1_1,5,FALSE)</f>
        <v>774.5</v>
      </c>
      <c r="O50" s="41">
        <f t="shared" si="23"/>
        <v>2.1540273929429609E-3</v>
      </c>
    </row>
    <row r="51" spans="1:15" x14ac:dyDescent="0.25">
      <c r="A51" s="36" t="s">
        <v>379</v>
      </c>
      <c r="C51" t="s">
        <v>380</v>
      </c>
      <c r="E51" s="134">
        <f>VLOOKUP(A51,TB!TB,4,FALSE)</f>
        <v>-1374.23</v>
      </c>
      <c r="F51" s="41">
        <f t="shared" si="20"/>
        <v>-3.851273790386767E-3</v>
      </c>
      <c r="H51" s="11">
        <f>VLOOKUP(A51,TB!TB,5,FALSE)</f>
        <v>-1374.23</v>
      </c>
      <c r="I51" s="41">
        <f>IF(H$32,H51/H$32,0)</f>
        <v>-3.851273790386767E-3</v>
      </c>
      <c r="K51" s="134">
        <f>VLOOKUP(A51,TB!TB1_1,4,FALSE)</f>
        <v>450.52</v>
      </c>
      <c r="L51" s="41">
        <f>IF(K$32,K51/K$32,0)</f>
        <v>1.2529792395980152E-3</v>
      </c>
      <c r="N51" s="11">
        <f>VLOOKUP(A51,TB!TB1_1,5,FALSE)</f>
        <v>450.52</v>
      </c>
      <c r="O51" s="41">
        <f>IF(N$32,N51/N$32,0)</f>
        <v>1.2529792395980152E-3</v>
      </c>
    </row>
    <row r="52" spans="1:15" x14ac:dyDescent="0.25">
      <c r="A52" s="36" t="s">
        <v>381</v>
      </c>
      <c r="C52" t="s">
        <v>382</v>
      </c>
      <c r="E52" s="134">
        <f>VLOOKUP(A52,TB!TB,4,FALSE)</f>
        <v>-1264.71</v>
      </c>
      <c r="F52" s="41">
        <f t="shared" si="20"/>
        <v>-3.5443444513946344E-3</v>
      </c>
      <c r="H52" s="11">
        <f>VLOOKUP(A52,TB!TB,5,FALSE)</f>
        <v>-1264.71</v>
      </c>
      <c r="I52" s="41">
        <f>IF(H$32,H52/H$32,0)</f>
        <v>-3.5443444513946344E-3</v>
      </c>
      <c r="K52" s="134">
        <f>VLOOKUP(A52,TB!TB1_1,4,FALSE)</f>
        <v>421.74</v>
      </c>
      <c r="L52" s="41">
        <f>IF(K$32,K52/K$32,0)</f>
        <v>1.1729367497737436E-3</v>
      </c>
      <c r="N52" s="11">
        <f>VLOOKUP(A52,TB!TB1_1,5,FALSE)</f>
        <v>421.74</v>
      </c>
      <c r="O52" s="41">
        <f>IF(N$32,N52/N$32,0)</f>
        <v>1.1729367497737436E-3</v>
      </c>
    </row>
    <row r="53" spans="1:15" x14ac:dyDescent="0.25">
      <c r="A53" s="36" t="s">
        <v>410</v>
      </c>
      <c r="C53" t="s">
        <v>1068</v>
      </c>
      <c r="E53" s="137">
        <f>VLOOKUP(A53,TB!TB,4,FALSE)</f>
        <v>0</v>
      </c>
      <c r="F53" s="41">
        <f t="shared" si="20"/>
        <v>0</v>
      </c>
      <c r="H53" s="59">
        <f>VLOOKUP(A53,TB!TB,5,FALSE)</f>
        <v>0</v>
      </c>
      <c r="I53" s="41">
        <f t="shared" si="21"/>
        <v>0</v>
      </c>
      <c r="K53" s="137">
        <f>VLOOKUP(A53,TB!TB1_1,4,FALSE)</f>
        <v>0</v>
      </c>
      <c r="L53" s="41">
        <f t="shared" si="22"/>
        <v>0</v>
      </c>
      <c r="N53" s="59">
        <f>VLOOKUP(A53,TB!TB1_1,5,FALSE)</f>
        <v>0</v>
      </c>
      <c r="O53" s="41">
        <f t="shared" si="23"/>
        <v>0</v>
      </c>
    </row>
    <row r="54" spans="1:15" x14ac:dyDescent="0.25">
      <c r="A54" s="36" t="s">
        <v>562</v>
      </c>
      <c r="C54" t="s">
        <v>557</v>
      </c>
      <c r="E54" s="137">
        <f>VLOOKUP(A54,TB!TB,4,FALSE)</f>
        <v>10068.51</v>
      </c>
      <c r="F54" s="87">
        <f t="shared" si="20"/>
        <v>2.8216956893130748E-2</v>
      </c>
      <c r="G54" s="60"/>
      <c r="H54" s="59">
        <f>VLOOKUP(A54,TB!TB,5,FALSE)</f>
        <v>10068.51</v>
      </c>
      <c r="I54" s="87">
        <f>IF(H$32,H54/H$32,0)</f>
        <v>2.8216956893130748E-2</v>
      </c>
      <c r="J54" s="60"/>
      <c r="K54" s="137">
        <f>VLOOKUP(A54,TB!TB1_1,4,FALSE)</f>
        <v>9298.36</v>
      </c>
      <c r="L54" s="87">
        <f>IF(K$32,K54/K$32,0)</f>
        <v>2.5860454679722547E-2</v>
      </c>
      <c r="M54" s="58"/>
      <c r="N54" s="26">
        <f>VLOOKUP(A54,TB!TB1_1,5,FALSE)</f>
        <v>9298.36</v>
      </c>
      <c r="O54" s="101">
        <f>IF(N$32,N54/N$32,0)</f>
        <v>2.5860454679722547E-2</v>
      </c>
    </row>
    <row r="55" spans="1:15" x14ac:dyDescent="0.25">
      <c r="C55" s="43" t="s">
        <v>1033</v>
      </c>
      <c r="E55" s="135">
        <f>SUM(E34:E54)</f>
        <v>227645.63999999996</v>
      </c>
      <c r="F55" s="86">
        <f t="shared" ref="F55" si="40">IF(E$32,E55/E$32,0)</f>
        <v>0.63797594786012624</v>
      </c>
      <c r="H55" s="74">
        <f>SUM(H34:H54)</f>
        <v>227645.63999999996</v>
      </c>
      <c r="I55" s="86">
        <f t="shared" ref="I55" si="41">IF(H$32,H55/H$32,0)</f>
        <v>0.63797594786012624</v>
      </c>
      <c r="K55" s="135">
        <f>SUM(K34:K54)</f>
        <v>238562.87</v>
      </c>
      <c r="L55" s="86">
        <f t="shared" ref="L55" si="42">IF(K$32,K55/K$32,0)</f>
        <v>0.66348735560889671</v>
      </c>
      <c r="N55" s="74">
        <f>SUM(N34:N54)</f>
        <v>238562.87</v>
      </c>
      <c r="O55" s="86">
        <f t="shared" ref="O55" si="43">IF(N$32,N55/N$32,0)</f>
        <v>0.66348735560889671</v>
      </c>
    </row>
    <row r="57" spans="1:15" x14ac:dyDescent="0.25">
      <c r="C57" s="37" t="s">
        <v>1034</v>
      </c>
      <c r="E57" s="138">
        <f>E32-E55</f>
        <v>129179.16000000003</v>
      </c>
      <c r="F57" s="41">
        <f t="shared" ref="F57" si="44">IF(E$32,E57/E$32,0)</f>
        <v>0.36202405213987376</v>
      </c>
      <c r="H57" s="40">
        <f>H32-H55</f>
        <v>129179.16000000003</v>
      </c>
      <c r="I57" s="41">
        <f t="shared" ref="I57" si="45">IF(H$32,H57/H$32,0)</f>
        <v>0.36202405213987376</v>
      </c>
      <c r="K57" s="138">
        <f>K32-K55</f>
        <v>120996.16000000003</v>
      </c>
      <c r="L57" s="41">
        <f t="shared" ref="L57" si="46">IF(K$32,K57/K$32,0)</f>
        <v>0.33651264439110323</v>
      </c>
      <c r="N57" s="40">
        <f>N32-N55</f>
        <v>120996.16000000003</v>
      </c>
      <c r="O57" s="41">
        <f t="shared" ref="O57" si="47">IF(N$32,N57/N$32,0)</f>
        <v>0.33651264439110323</v>
      </c>
    </row>
    <row r="59" spans="1:15" x14ac:dyDescent="0.25">
      <c r="A59" s="36" t="s">
        <v>427</v>
      </c>
      <c r="C59" t="s">
        <v>419</v>
      </c>
      <c r="E59" s="134">
        <f>VLOOKUP(A59,TB!TB,4,FALSE)</f>
        <v>0</v>
      </c>
      <c r="F59" s="41">
        <f t="shared" ref="F59:F79" si="48">IF(E$32,E59/E$32,0)</f>
        <v>0</v>
      </c>
      <c r="G59" s="58"/>
      <c r="H59" s="11">
        <f>VLOOKUP(A59,TB!TB,5,FALSE)</f>
        <v>0</v>
      </c>
      <c r="I59" s="41">
        <f t="shared" ref="I59:I79" si="49">IF(H$32,H59/H$32,0)</f>
        <v>0</v>
      </c>
      <c r="J59" s="58"/>
      <c r="K59" s="134">
        <f>VLOOKUP(A59,TB!TB1_1,4,FALSE)</f>
        <v>0</v>
      </c>
      <c r="L59" s="41">
        <f t="shared" ref="L59:L79" si="50">IF(K$32,K59/K$32,0)</f>
        <v>0</v>
      </c>
      <c r="M59" s="58"/>
      <c r="N59" s="11">
        <f>VLOOKUP(A59,TB!TB1_1,5,FALSE)</f>
        <v>0</v>
      </c>
      <c r="O59" s="41">
        <f t="shared" ref="O59:O79" si="51">IF(N$32,N59/N$32,0)</f>
        <v>0</v>
      </c>
    </row>
    <row r="60" spans="1:15" x14ac:dyDescent="0.25">
      <c r="A60" s="36" t="s">
        <v>439</v>
      </c>
      <c r="C60" t="s">
        <v>435</v>
      </c>
      <c r="E60" s="134">
        <f>VLOOKUP(A60,TB!TB,4,FALSE)</f>
        <v>38117.5</v>
      </c>
      <c r="F60" s="41">
        <f t="shared" si="48"/>
        <v>0.10682413330015178</v>
      </c>
      <c r="G60" s="58"/>
      <c r="H60" s="11">
        <f>VLOOKUP(A60,TB!TB,5,FALSE)</f>
        <v>38117.5</v>
      </c>
      <c r="I60" s="41">
        <f t="shared" si="49"/>
        <v>0.10682413330015178</v>
      </c>
      <c r="J60" s="58"/>
      <c r="K60" s="134">
        <f>VLOOKUP(A60,TB!TB1_1,4,FALSE)</f>
        <v>35160</v>
      </c>
      <c r="L60" s="41">
        <f t="shared" si="50"/>
        <v>9.7786446915267292E-2</v>
      </c>
      <c r="M60" s="58"/>
      <c r="N60" s="11">
        <f>VLOOKUP(A60,TB!TB1_1,5,FALSE)</f>
        <v>35160</v>
      </c>
      <c r="O60" s="41">
        <f t="shared" si="51"/>
        <v>9.7786446915267292E-2</v>
      </c>
    </row>
    <row r="61" spans="1:15" x14ac:dyDescent="0.25">
      <c r="A61" s="36" t="s">
        <v>451</v>
      </c>
      <c r="C61" t="s">
        <v>444</v>
      </c>
      <c r="E61" s="142">
        <f>VLOOKUP(A61,TB!TB,4,FALSE)</f>
        <v>0</v>
      </c>
      <c r="F61" s="41">
        <f t="shared" si="48"/>
        <v>0</v>
      </c>
      <c r="G61" s="58"/>
      <c r="H61" s="26">
        <f>VLOOKUP(A61,TB!TB,5,FALSE)</f>
        <v>0</v>
      </c>
      <c r="I61" s="41">
        <f t="shared" si="49"/>
        <v>0</v>
      </c>
      <c r="J61" s="58"/>
      <c r="K61" s="142">
        <f>VLOOKUP(A61,TB!TB1_1,4,FALSE)</f>
        <v>0</v>
      </c>
      <c r="L61" s="41">
        <f t="shared" si="50"/>
        <v>0</v>
      </c>
      <c r="M61" s="58"/>
      <c r="N61" s="26">
        <f>VLOOKUP(A61,TB!TB1_1,5,FALSE)</f>
        <v>0</v>
      </c>
      <c r="O61" s="41">
        <f t="shared" si="51"/>
        <v>0</v>
      </c>
    </row>
    <row r="62" spans="1:15" x14ac:dyDescent="0.25">
      <c r="A62" s="36" t="s">
        <v>1044</v>
      </c>
      <c r="C62" t="s">
        <v>464</v>
      </c>
      <c r="E62" s="134">
        <f>VLOOKUP(A62,TB!TB,4,FALSE)</f>
        <v>1047.78</v>
      </c>
      <c r="F62" s="41">
        <f t="shared" si="48"/>
        <v>2.9363990395286426E-3</v>
      </c>
      <c r="G62" s="58"/>
      <c r="H62" s="11">
        <f>VLOOKUP(A62,TB!TB,5,FALSE)</f>
        <v>1047.78</v>
      </c>
      <c r="I62" s="41">
        <f t="shared" si="49"/>
        <v>2.9363990395286426E-3</v>
      </c>
      <c r="J62" s="58"/>
      <c r="K62" s="134">
        <f>VLOOKUP(A62,TB!TB1_1,4,FALSE)</f>
        <v>1380.98</v>
      </c>
      <c r="L62" s="41">
        <f t="shared" si="50"/>
        <v>3.8407601666964114E-3</v>
      </c>
      <c r="M62" s="58"/>
      <c r="N62" s="11">
        <f>VLOOKUP(A62,TB!TB1_1,5,FALSE)</f>
        <v>1380.98</v>
      </c>
      <c r="O62" s="41">
        <f t="shared" si="51"/>
        <v>3.8407601666964114E-3</v>
      </c>
    </row>
    <row r="63" spans="1:15" x14ac:dyDescent="0.25">
      <c r="A63" s="36" t="s">
        <v>479</v>
      </c>
      <c r="C63" t="s">
        <v>472</v>
      </c>
      <c r="E63" s="134">
        <f>VLOOKUP(A63,TB!TB,4,FALSE)</f>
        <v>3727.41</v>
      </c>
      <c r="F63" s="41">
        <f t="shared" si="48"/>
        <v>1.0446050835031646E-2</v>
      </c>
      <c r="G63" s="58"/>
      <c r="H63" s="11">
        <f>VLOOKUP(A63,TB!TB,5,FALSE)</f>
        <v>3727.41</v>
      </c>
      <c r="I63" s="41">
        <f t="shared" si="49"/>
        <v>1.0446050835031646E-2</v>
      </c>
      <c r="J63" s="58"/>
      <c r="K63" s="134">
        <f>VLOOKUP(A63,TB!TB1_1,4,FALSE)</f>
        <v>3079.62</v>
      </c>
      <c r="L63" s="41">
        <f t="shared" si="50"/>
        <v>8.5649914007165928E-3</v>
      </c>
      <c r="M63" s="58"/>
      <c r="N63" s="11">
        <f>VLOOKUP(A63,TB!TB1_1,5,FALSE)</f>
        <v>3079.62</v>
      </c>
      <c r="O63" s="41">
        <f t="shared" si="51"/>
        <v>8.5649914007165928E-3</v>
      </c>
    </row>
    <row r="64" spans="1:15" x14ac:dyDescent="0.25">
      <c r="A64" s="36" t="s">
        <v>646</v>
      </c>
      <c r="C64" t="s">
        <v>639</v>
      </c>
      <c r="E64" s="134">
        <f>VLOOKUP(A64,TB!TB,4,FALSE)</f>
        <v>-579.65</v>
      </c>
      <c r="F64" s="41">
        <f t="shared" si="48"/>
        <v>-1.6244666850510391E-3</v>
      </c>
      <c r="G64" s="58"/>
      <c r="H64" s="11">
        <f>VLOOKUP(A64,TB!TB,5,FALSE)</f>
        <v>-579.65</v>
      </c>
      <c r="I64" s="41">
        <f t="shared" si="49"/>
        <v>-1.6244666850510391E-3</v>
      </c>
      <c r="J64" s="58"/>
      <c r="K64" s="134">
        <f>VLOOKUP(A64,TB!TB1_1,4,FALSE)</f>
        <v>1308.01</v>
      </c>
      <c r="L64" s="41">
        <f t="shared" si="50"/>
        <v>3.6378171339487703E-3</v>
      </c>
      <c r="M64" s="58"/>
      <c r="N64" s="11">
        <f>VLOOKUP(A64,TB!TB1_1,5,FALSE)</f>
        <v>1308.01</v>
      </c>
      <c r="O64" s="41">
        <f t="shared" si="51"/>
        <v>3.6378171339487703E-3</v>
      </c>
    </row>
    <row r="65" spans="1:15" x14ac:dyDescent="0.25">
      <c r="A65" s="36" t="s">
        <v>661</v>
      </c>
      <c r="C65" t="s">
        <v>654</v>
      </c>
      <c r="E65" s="134">
        <f>VLOOKUP(A65,TB!TB,4,FALSE)</f>
        <v>622.14</v>
      </c>
      <c r="F65" s="41">
        <f t="shared" si="48"/>
        <v>1.7435447311958138E-3</v>
      </c>
      <c r="G65" s="58"/>
      <c r="H65" s="11">
        <f>VLOOKUP(A65,TB!TB,5,FALSE)</f>
        <v>622.14</v>
      </c>
      <c r="I65" s="41">
        <f t="shared" si="49"/>
        <v>1.7435447311958138E-3</v>
      </c>
      <c r="J65" s="58"/>
      <c r="K65" s="134">
        <f>VLOOKUP(A65,TB!TB1_1,4,FALSE)</f>
        <v>468.41</v>
      </c>
      <c r="L65" s="41">
        <f t="shared" si="50"/>
        <v>1.3027346302497255E-3</v>
      </c>
      <c r="M65" s="58"/>
      <c r="N65" s="11">
        <f>VLOOKUP(A65,TB!TB1_1,5,FALSE)</f>
        <v>468.41</v>
      </c>
      <c r="O65" s="41">
        <f t="shared" si="51"/>
        <v>1.3027346302497255E-3</v>
      </c>
    </row>
    <row r="66" spans="1:15" x14ac:dyDescent="0.25">
      <c r="A66" s="36" t="s">
        <v>493</v>
      </c>
      <c r="C66" t="s">
        <v>488</v>
      </c>
      <c r="E66" s="134">
        <f>VLOOKUP(A66,TB!TB,4,FALSE)</f>
        <v>0</v>
      </c>
      <c r="F66" s="41">
        <f t="shared" si="48"/>
        <v>0</v>
      </c>
      <c r="G66" s="58"/>
      <c r="H66" s="11">
        <f>VLOOKUP(A66,TB!TB,5,FALSE)</f>
        <v>0</v>
      </c>
      <c r="I66" s="41">
        <f t="shared" si="49"/>
        <v>0</v>
      </c>
      <c r="J66" s="58"/>
      <c r="K66" s="134">
        <f>VLOOKUP(A66,TB!TB1_1,4,FALSE)</f>
        <v>0</v>
      </c>
      <c r="L66" s="41">
        <f t="shared" si="50"/>
        <v>0</v>
      </c>
      <c r="M66" s="58"/>
      <c r="N66" s="11">
        <f>VLOOKUP(A66,TB!TB1_1,5,FALSE)</f>
        <v>0</v>
      </c>
      <c r="O66" s="41">
        <f t="shared" si="51"/>
        <v>0</v>
      </c>
    </row>
    <row r="67" spans="1:15" x14ac:dyDescent="0.25">
      <c r="A67" s="36" t="s">
        <v>505</v>
      </c>
      <c r="C67" t="s">
        <v>500</v>
      </c>
      <c r="E67" s="134">
        <f>VLOOKUP(A67,TB!TB,4,FALSE)</f>
        <v>1069.5</v>
      </c>
      <c r="F67" s="41">
        <f t="shared" si="48"/>
        <v>2.9972692481015895E-3</v>
      </c>
      <c r="G67" s="58"/>
      <c r="H67" s="11">
        <f>VLOOKUP(A67,TB!TB,5,FALSE)</f>
        <v>1069.5</v>
      </c>
      <c r="I67" s="41">
        <f t="shared" si="49"/>
        <v>2.9972692481015895E-3</v>
      </c>
      <c r="J67" s="58"/>
      <c r="K67" s="134">
        <f>VLOOKUP(A67,TB!TB1_1,4,FALSE)</f>
        <v>0</v>
      </c>
      <c r="L67" s="41">
        <f t="shared" si="50"/>
        <v>0</v>
      </c>
      <c r="M67" s="58"/>
      <c r="N67" s="11">
        <f>VLOOKUP(A67,TB!TB1_1,5,FALSE)</f>
        <v>0</v>
      </c>
      <c r="O67" s="41">
        <f t="shared" si="51"/>
        <v>0</v>
      </c>
    </row>
    <row r="68" spans="1:15" x14ac:dyDescent="0.25">
      <c r="A68" s="36" t="s">
        <v>515</v>
      </c>
      <c r="C68" t="s">
        <v>511</v>
      </c>
      <c r="E68" s="134">
        <f>VLOOKUP(A68,TB!TB,4,FALSE)</f>
        <v>436.58</v>
      </c>
      <c r="F68" s="41">
        <f t="shared" si="48"/>
        <v>1.2235136122825544E-3</v>
      </c>
      <c r="G68" s="58"/>
      <c r="H68" s="11">
        <f>VLOOKUP(A68,TB!TB,5,FALSE)</f>
        <v>436.58</v>
      </c>
      <c r="I68" s="41">
        <f t="shared" si="49"/>
        <v>1.2235136122825544E-3</v>
      </c>
      <c r="J68" s="58"/>
      <c r="K68" s="134">
        <f>VLOOKUP(A68,TB!TB1_1,4,FALSE)</f>
        <v>394.17</v>
      </c>
      <c r="L68" s="41">
        <f t="shared" si="50"/>
        <v>1.0962594931908677E-3</v>
      </c>
      <c r="M68" s="58"/>
      <c r="N68" s="11">
        <f>VLOOKUP(A68,TB!TB1_1,5,FALSE)</f>
        <v>394.17</v>
      </c>
      <c r="O68" s="41">
        <f t="shared" si="51"/>
        <v>1.0962594931908677E-3</v>
      </c>
    </row>
    <row r="69" spans="1:15" x14ac:dyDescent="0.25">
      <c r="A69" s="36" t="s">
        <v>529</v>
      </c>
      <c r="C69" t="s">
        <v>522</v>
      </c>
      <c r="E69" s="134">
        <f>VLOOKUP(A69,TB!TB,4,FALSE)</f>
        <v>3680</v>
      </c>
      <c r="F69" s="41">
        <f t="shared" si="48"/>
        <v>1.0313184509596868E-2</v>
      </c>
      <c r="G69" s="58"/>
      <c r="H69" s="11">
        <f>VLOOKUP(A69,TB!TB,5,FALSE)</f>
        <v>3680</v>
      </c>
      <c r="I69" s="41">
        <f t="shared" si="49"/>
        <v>1.0313184509596868E-2</v>
      </c>
      <c r="J69" s="58"/>
      <c r="K69" s="134">
        <f>VLOOKUP(A69,TB!TB1_1,4,FALSE)</f>
        <v>1687.5</v>
      </c>
      <c r="L69" s="41">
        <f t="shared" si="50"/>
        <v>4.6932488387233656E-3</v>
      </c>
      <c r="M69" s="58"/>
      <c r="N69" s="11">
        <f>VLOOKUP(A69,TB!TB1_1,5,FALSE)</f>
        <v>1687.5</v>
      </c>
      <c r="O69" s="41">
        <f t="shared" si="51"/>
        <v>4.6932488387233656E-3</v>
      </c>
    </row>
    <row r="70" spans="1:15" x14ac:dyDescent="0.25">
      <c r="A70" s="36" t="s">
        <v>547</v>
      </c>
      <c r="C70" t="s">
        <v>540</v>
      </c>
      <c r="E70" s="134">
        <f>VLOOKUP(A70,TB!TB,4,FALSE)</f>
        <v>456.25</v>
      </c>
      <c r="F70" s="41">
        <f t="shared" si="48"/>
        <v>1.2786387044846658E-3</v>
      </c>
      <c r="G70" s="58"/>
      <c r="H70" s="11">
        <f>VLOOKUP(A70,TB!TB,5,FALSE)</f>
        <v>456.25</v>
      </c>
      <c r="I70" s="41">
        <f t="shared" si="49"/>
        <v>1.2786387044846658E-3</v>
      </c>
      <c r="J70" s="58"/>
      <c r="K70" s="134">
        <f>VLOOKUP(A70,TB!TB1_1,4,FALSE)</f>
        <v>180</v>
      </c>
      <c r="L70" s="41">
        <f t="shared" si="50"/>
        <v>5.0061320946382575E-4</v>
      </c>
      <c r="M70" s="58"/>
      <c r="N70" s="11">
        <f>VLOOKUP(A70,TB!TB1_1,5,FALSE)</f>
        <v>180</v>
      </c>
      <c r="O70" s="41">
        <f t="shared" si="51"/>
        <v>5.0061320946382575E-4</v>
      </c>
    </row>
    <row r="71" spans="1:15" x14ac:dyDescent="0.25">
      <c r="A71" s="36" t="s">
        <v>576</v>
      </c>
      <c r="C71" t="s">
        <v>571</v>
      </c>
      <c r="E71" s="134">
        <f>VLOOKUP(A71,TB!TB,4,FALSE)</f>
        <v>0</v>
      </c>
      <c r="F71" s="41">
        <f t="shared" si="48"/>
        <v>0</v>
      </c>
      <c r="G71" s="58"/>
      <c r="H71" s="11">
        <f>VLOOKUP(A71,TB!TB,5,FALSE)</f>
        <v>0</v>
      </c>
      <c r="I71" s="41">
        <f t="shared" si="49"/>
        <v>0</v>
      </c>
      <c r="J71" s="58"/>
      <c r="K71" s="134">
        <f>VLOOKUP(A71,TB!TB1_1,4,FALSE)</f>
        <v>0</v>
      </c>
      <c r="L71" s="41">
        <f t="shared" si="50"/>
        <v>0</v>
      </c>
      <c r="M71" s="58"/>
      <c r="N71" s="11">
        <f>VLOOKUP(A71,TB!TB1_1,5,FALSE)</f>
        <v>0</v>
      </c>
      <c r="O71" s="41">
        <f t="shared" si="51"/>
        <v>0</v>
      </c>
    </row>
    <row r="72" spans="1:15" x14ac:dyDescent="0.25">
      <c r="A72" s="36" t="s">
        <v>590</v>
      </c>
      <c r="C72" t="s">
        <v>585</v>
      </c>
      <c r="E72" s="134">
        <f>VLOOKUP(A72,TB!TB,4,FALSE)</f>
        <v>1273</v>
      </c>
      <c r="F72" s="41">
        <f t="shared" si="48"/>
        <v>3.5675771414991338E-3</v>
      </c>
      <c r="G72" s="58"/>
      <c r="H72" s="11">
        <f>VLOOKUP(A72,TB!TB,5,FALSE)</f>
        <v>1273</v>
      </c>
      <c r="I72" s="41">
        <f t="shared" si="49"/>
        <v>3.5675771414991338E-3</v>
      </c>
      <c r="J72" s="58"/>
      <c r="K72" s="134">
        <f>VLOOKUP(A72,TB!TB1_1,4,FALSE)</f>
        <v>848</v>
      </c>
      <c r="L72" s="41">
        <f t="shared" si="50"/>
        <v>2.3584444534740234E-3</v>
      </c>
      <c r="M72" s="58"/>
      <c r="N72" s="11">
        <f>VLOOKUP(A72,TB!TB1_1,5,FALSE)</f>
        <v>848</v>
      </c>
      <c r="O72" s="41">
        <f t="shared" si="51"/>
        <v>2.3584444534740234E-3</v>
      </c>
    </row>
    <row r="73" spans="1:15" x14ac:dyDescent="0.25">
      <c r="A73" s="36" t="s">
        <v>604</v>
      </c>
      <c r="C73" t="s">
        <v>597</v>
      </c>
      <c r="E73" s="134">
        <f>VLOOKUP(A73,TB!TB,4,FALSE)</f>
        <v>1750.87</v>
      </c>
      <c r="F73" s="41">
        <f t="shared" si="48"/>
        <v>4.9068058049776811E-3</v>
      </c>
      <c r="G73" s="58"/>
      <c r="H73" s="11">
        <f>VLOOKUP(A73,TB!TB,5,FALSE)</f>
        <v>1750.87</v>
      </c>
      <c r="I73" s="41">
        <f t="shared" si="49"/>
        <v>4.9068058049776811E-3</v>
      </c>
      <c r="J73" s="58"/>
      <c r="K73" s="134">
        <f>VLOOKUP(A73,TB!TB1_1,4,FALSE)</f>
        <v>860.7</v>
      </c>
      <c r="L73" s="41">
        <f t="shared" si="50"/>
        <v>2.3937654965861931E-3</v>
      </c>
      <c r="M73" s="58"/>
      <c r="N73" s="11">
        <f>VLOOKUP(A73,TB!TB1_1,5,FALSE)</f>
        <v>860.7</v>
      </c>
      <c r="O73" s="41">
        <f t="shared" si="51"/>
        <v>2.3937654965861931E-3</v>
      </c>
    </row>
    <row r="74" spans="1:15" x14ac:dyDescent="0.25">
      <c r="A74" s="36" t="s">
        <v>616</v>
      </c>
      <c r="C74" t="s">
        <v>611</v>
      </c>
      <c r="E74" s="134">
        <f>VLOOKUP(A74,TB!TB,4,FALSE)</f>
        <v>0</v>
      </c>
      <c r="F74" s="41">
        <f t="shared" si="48"/>
        <v>0</v>
      </c>
      <c r="G74" s="58"/>
      <c r="H74" s="11">
        <f>VLOOKUP(A74,TB!TB,5,FALSE)</f>
        <v>0</v>
      </c>
      <c r="I74" s="41">
        <f t="shared" si="49"/>
        <v>0</v>
      </c>
      <c r="J74" s="58"/>
      <c r="K74" s="134">
        <f>VLOOKUP(A74,TB!TB1_1,4,FALSE)</f>
        <v>0</v>
      </c>
      <c r="L74" s="41">
        <f t="shared" si="50"/>
        <v>0</v>
      </c>
      <c r="M74" s="58"/>
      <c r="N74" s="11">
        <f>VLOOKUP(A74,TB!TB1_1,5,FALSE)</f>
        <v>0</v>
      </c>
      <c r="O74" s="41">
        <f t="shared" si="51"/>
        <v>0</v>
      </c>
    </row>
    <row r="75" spans="1:15" x14ac:dyDescent="0.25">
      <c r="A75" s="36" t="s">
        <v>628</v>
      </c>
      <c r="C75" t="s">
        <v>623</v>
      </c>
      <c r="E75" s="134">
        <f>VLOOKUP(A75,TB!TB,4,FALSE)</f>
        <v>0</v>
      </c>
      <c r="F75" s="41">
        <f t="shared" si="48"/>
        <v>0</v>
      </c>
      <c r="G75" s="58"/>
      <c r="H75" s="11">
        <f>VLOOKUP(A75,TB!TB,5,FALSE)</f>
        <v>0</v>
      </c>
      <c r="I75" s="41">
        <f t="shared" si="49"/>
        <v>0</v>
      </c>
      <c r="J75" s="58"/>
      <c r="K75" s="134">
        <f>VLOOKUP(A75,TB!TB1_1,4,FALSE)</f>
        <v>0</v>
      </c>
      <c r="L75" s="41">
        <f t="shared" si="50"/>
        <v>0</v>
      </c>
      <c r="M75" s="58"/>
      <c r="N75" s="11">
        <f>VLOOKUP(A75,TB!TB1_1,5,FALSE)</f>
        <v>0</v>
      </c>
      <c r="O75" s="41">
        <f t="shared" si="51"/>
        <v>0</v>
      </c>
    </row>
    <row r="76" spans="1:15" x14ac:dyDescent="0.25">
      <c r="A76" s="36" t="s">
        <v>685</v>
      </c>
      <c r="C76" t="s">
        <v>678</v>
      </c>
      <c r="E76" s="134">
        <f>VLOOKUP(A76,TB!TB,4,FALSE)</f>
        <v>1028.18</v>
      </c>
      <c r="F76" s="41">
        <f t="shared" si="48"/>
        <v>2.8814701220318769E-3</v>
      </c>
      <c r="G76" s="58"/>
      <c r="H76" s="11">
        <f>VLOOKUP(A76,TB!TB,5,FALSE)</f>
        <v>1028.18</v>
      </c>
      <c r="I76" s="41">
        <f t="shared" si="49"/>
        <v>2.8814701220318769E-3</v>
      </c>
      <c r="J76" s="58"/>
      <c r="K76" s="134">
        <f>VLOOKUP(A76,TB!TB1_1,4,FALSE)</f>
        <v>1736.82</v>
      </c>
      <c r="L76" s="41">
        <f t="shared" si="50"/>
        <v>4.8304168581164543E-3</v>
      </c>
      <c r="M76" s="58"/>
      <c r="N76" s="11">
        <f>VLOOKUP(A76,TB!TB1_1,5,FALSE)</f>
        <v>1736.82</v>
      </c>
      <c r="O76" s="41">
        <f t="shared" si="51"/>
        <v>4.8304168581164543E-3</v>
      </c>
    </row>
    <row r="77" spans="1:15" x14ac:dyDescent="0.25">
      <c r="A77" s="36" t="s">
        <v>701</v>
      </c>
      <c r="C77" t="s">
        <v>696</v>
      </c>
      <c r="E77" s="134">
        <f>VLOOKUP(A77,TB!TB,4,FALSE)</f>
        <v>0</v>
      </c>
      <c r="F77" s="41">
        <f t="shared" si="48"/>
        <v>0</v>
      </c>
      <c r="G77" s="58"/>
      <c r="H77" s="11">
        <f>VLOOKUP(A77,TB!TB,5,FALSE)</f>
        <v>0</v>
      </c>
      <c r="I77" s="41">
        <f t="shared" si="49"/>
        <v>0</v>
      </c>
      <c r="J77" s="58"/>
      <c r="K77" s="134">
        <f>VLOOKUP(A77,TB!TB1_1,4,FALSE)</f>
        <v>0</v>
      </c>
      <c r="L77" s="41">
        <f t="shared" si="50"/>
        <v>0</v>
      </c>
      <c r="M77" s="58"/>
      <c r="N77" s="11">
        <f>VLOOKUP(A77,TB!TB1_1,5,FALSE)</f>
        <v>0</v>
      </c>
      <c r="O77" s="41">
        <f t="shared" si="51"/>
        <v>0</v>
      </c>
    </row>
    <row r="78" spans="1:15" x14ac:dyDescent="0.25">
      <c r="A78" s="36" t="s">
        <v>705</v>
      </c>
      <c r="C78" t="s">
        <v>1069</v>
      </c>
      <c r="E78" s="134">
        <f>VLOOKUP(A78,TB!TB,4,FALSE)</f>
        <v>0</v>
      </c>
      <c r="F78" s="41">
        <f t="shared" si="48"/>
        <v>0</v>
      </c>
      <c r="G78" s="58"/>
      <c r="H78" s="11">
        <f>VLOOKUP(A78,TB!TB,5,FALSE)</f>
        <v>0</v>
      </c>
      <c r="I78" s="41">
        <f t="shared" si="49"/>
        <v>0</v>
      </c>
      <c r="J78" s="58"/>
      <c r="K78" s="134">
        <f>VLOOKUP(A78,TB!TB1_1,4,FALSE)</f>
        <v>0</v>
      </c>
      <c r="L78" s="41">
        <f t="shared" si="50"/>
        <v>0</v>
      </c>
      <c r="M78" s="58"/>
      <c r="N78" s="11">
        <f>VLOOKUP(A78,TB!TB1_1,5,FALSE)</f>
        <v>0</v>
      </c>
      <c r="O78" s="41">
        <f t="shared" si="51"/>
        <v>0</v>
      </c>
    </row>
    <row r="79" spans="1:15" s="126" customFormat="1" x14ac:dyDescent="0.25">
      <c r="A79" s="125" t="s">
        <v>731</v>
      </c>
      <c r="C79" s="126" t="s">
        <v>2053</v>
      </c>
      <c r="E79" s="137">
        <f>VLOOKUP(A79,TB!TB,4,FALSE)</f>
        <v>168.97</v>
      </c>
      <c r="F79" s="131">
        <f t="shared" si="48"/>
        <v>4.7353771374635396E-4</v>
      </c>
      <c r="H79" s="130">
        <f>VLOOKUP(A79,TB!TB,5,FALSE)</f>
        <v>168.97</v>
      </c>
      <c r="I79" s="131">
        <f t="shared" si="49"/>
        <v>4.7353771374635396E-4</v>
      </c>
      <c r="K79" s="137">
        <f>VLOOKUP(A79,TB!TB1_1,4,FALSE)</f>
        <v>0</v>
      </c>
      <c r="L79" s="131">
        <f t="shared" si="50"/>
        <v>0</v>
      </c>
      <c r="N79" s="130">
        <f>VLOOKUP(A79,TB!TB1_1,5,FALSE)</f>
        <v>0</v>
      </c>
      <c r="O79" s="131">
        <f t="shared" si="51"/>
        <v>0</v>
      </c>
    </row>
    <row r="80" spans="1:15" x14ac:dyDescent="0.25">
      <c r="C80" s="43" t="s">
        <v>1003</v>
      </c>
      <c r="E80" s="135">
        <f>SUM(E59:E79)</f>
        <v>52798.530000000006</v>
      </c>
      <c r="F80" s="86">
        <f t="shared" ref="F80" si="52">IF(E$32,E80/E$32,0)</f>
        <v>0.14796765807757759</v>
      </c>
      <c r="H80" s="74">
        <f>SUM(H59:H79)</f>
        <v>52798.530000000006</v>
      </c>
      <c r="I80" s="86">
        <f t="shared" ref="I80" si="53">IF(H$32,H80/H$32,0)</f>
        <v>0.14796765807757759</v>
      </c>
      <c r="K80" s="135">
        <f>SUM(K59:K79)</f>
        <v>47104.210000000006</v>
      </c>
      <c r="L80" s="86">
        <f t="shared" ref="L80" si="54">IF(K$32,K80/K$32,0)</f>
        <v>0.13100549859643354</v>
      </c>
      <c r="N80" s="74">
        <f>SUM(N59:N79)</f>
        <v>47104.210000000006</v>
      </c>
      <c r="O80" s="86">
        <f t="shared" ref="O80" si="55">IF(N$32,N80/N$32,0)</f>
        <v>0.13100549859643354</v>
      </c>
    </row>
    <row r="83" spans="1:15" x14ac:dyDescent="0.25">
      <c r="C83" s="43" t="s">
        <v>1024</v>
      </c>
      <c r="E83" s="138">
        <f>E57-E80</f>
        <v>76380.630000000034</v>
      </c>
      <c r="F83" s="41">
        <f t="shared" ref="F83" si="56">IF(E$32,E83/E$32,0)</f>
        <v>0.21405639406229621</v>
      </c>
      <c r="H83" s="40">
        <f>H57-H80</f>
        <v>76380.630000000034</v>
      </c>
      <c r="I83" s="41">
        <f t="shared" ref="I83" si="57">IF(H$32,H83/H$32,0)</f>
        <v>0.21405639406229621</v>
      </c>
      <c r="K83" s="138">
        <f>K57-K80</f>
        <v>73891.950000000026</v>
      </c>
      <c r="L83" s="41">
        <f t="shared" ref="L83" si="58">IF(K$32,K83/K$32,0)</f>
        <v>0.20550714579466972</v>
      </c>
      <c r="N83" s="40">
        <f>N57-N80</f>
        <v>73891.950000000026</v>
      </c>
      <c r="O83" s="41">
        <f t="shared" ref="O83" si="59">IF(N$32,N83/N$32,0)</f>
        <v>0.20550714579466972</v>
      </c>
    </row>
    <row r="85" spans="1:15" ht="15.75" thickBot="1" x14ac:dyDescent="0.3">
      <c r="A85" s="36" t="s">
        <v>747</v>
      </c>
      <c r="C85" t="s">
        <v>743</v>
      </c>
      <c r="E85" s="137">
        <f>VLOOKUP(A85,TB!TB,4,FALSE)</f>
        <v>0</v>
      </c>
      <c r="F85" s="41">
        <f t="shared" ref="F85" si="60">IF(E$32,E85/E$32,0)</f>
        <v>0</v>
      </c>
      <c r="G85" s="60"/>
      <c r="H85" s="59">
        <f>VLOOKUP(A85,TB!TB,5,FALSE)</f>
        <v>0</v>
      </c>
      <c r="I85" s="41">
        <f t="shared" ref="I85" si="61">IF(H$32,H85/H$32,0)</f>
        <v>0</v>
      </c>
      <c r="J85" s="60"/>
      <c r="K85" s="137">
        <f>VLOOKUP(A85,TB!TB1_1,4,FALSE)</f>
        <v>32924.269999999997</v>
      </c>
      <c r="L85" s="41">
        <f t="shared" ref="L85" si="62">IF(K$32,K85/K$32,0)</f>
        <v>9.1568469299741953E-2</v>
      </c>
      <c r="M85" s="60"/>
      <c r="N85" s="59">
        <f>VLOOKUP(A85,TB!TB1_1,5,FALSE)</f>
        <v>32924.269999999997</v>
      </c>
      <c r="O85" s="41">
        <f t="shared" ref="O85" si="63">IF(N$32,N85/N$32,0)</f>
        <v>9.1568469299741953E-2</v>
      </c>
    </row>
    <row r="86" spans="1:15" ht="15.75" thickTop="1" x14ac:dyDescent="0.25">
      <c r="E86" s="139"/>
      <c r="F86" s="99"/>
      <c r="H86" s="99"/>
      <c r="I86" s="99"/>
      <c r="K86" s="139"/>
      <c r="L86" s="99"/>
      <c r="N86" s="99"/>
      <c r="O86" s="99"/>
    </row>
    <row r="87" spans="1:15" x14ac:dyDescent="0.25">
      <c r="C87" s="43" t="s">
        <v>1025</v>
      </c>
      <c r="E87" s="138">
        <f>E83-E85</f>
        <v>76380.630000000034</v>
      </c>
      <c r="F87" s="41">
        <f t="shared" ref="F87" si="64">IF(E$32,E87/E$32,0)</f>
        <v>0.21405639406229621</v>
      </c>
      <c r="H87" s="40">
        <f>H83-H85</f>
        <v>76380.630000000034</v>
      </c>
      <c r="I87" s="41">
        <f t="shared" ref="I87" si="65">IF(H$32,H87/H$32,0)</f>
        <v>0.21405639406229621</v>
      </c>
      <c r="K87" s="138">
        <f>K83-K85</f>
        <v>40967.680000000029</v>
      </c>
      <c r="L87" s="41">
        <f t="shared" ref="L87" si="66">IF(K$32,K87/K$32,0)</f>
        <v>0.11393867649492777</v>
      </c>
      <c r="N87" s="40">
        <f>N83-N85</f>
        <v>40967.680000000029</v>
      </c>
      <c r="O87" s="41">
        <f t="shared" ref="O87" si="67">IF(N$32,N87/N$32,0)</f>
        <v>0.11393867649492777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29A4A-A562-4377-AA48-C50C51CE86DC}">
  <sheetPr>
    <pageSetUpPr fitToPage="1"/>
  </sheetPr>
  <dimension ref="A1:Q82"/>
  <sheetViews>
    <sheetView topLeftCell="A53" zoomScaleNormal="100" workbookViewId="0">
      <selection activeCell="J81" sqref="J81"/>
    </sheetView>
  </sheetViews>
  <sheetFormatPr defaultRowHeight="15" x14ac:dyDescent="0.25"/>
  <cols>
    <col min="1" max="1" width="11.5703125" style="36" customWidth="1"/>
    <col min="2" max="2" width="2.5703125" customWidth="1"/>
    <col min="3" max="3" width="27.28515625" customWidth="1"/>
    <col min="4" max="4" width="1.85546875" customWidth="1"/>
    <col min="5" max="5" width="19.5703125" customWidth="1"/>
    <col min="6" max="6" width="6.7109375" customWidth="1"/>
    <col min="7" max="7" width="18.28515625" style="136" customWidth="1"/>
    <col min="8" max="8" width="8.28515625" customWidth="1"/>
    <col min="9" max="9" width="2" customWidth="1"/>
    <col min="10" max="10" width="18.42578125" customWidth="1"/>
    <col min="11" max="11" width="8" customWidth="1"/>
    <col min="12" max="12" width="2.140625" customWidth="1"/>
    <col min="13" max="13" width="18.28515625" style="136" customWidth="1"/>
    <col min="14" max="14" width="8.140625" customWidth="1"/>
    <col min="15" max="15" width="3.140625" customWidth="1"/>
    <col min="16" max="16" width="18" customWidth="1"/>
    <col min="17" max="17" width="8.42578125" customWidth="1"/>
  </cols>
  <sheetData>
    <row r="1" spans="1:17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</row>
    <row r="2" spans="1:17" ht="26.25" x14ac:dyDescent="0.4">
      <c r="A2" s="149" t="s">
        <v>1075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</row>
    <row r="3" spans="1:17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7" ht="15.75" x14ac:dyDescent="0.25">
      <c r="A4" s="53"/>
      <c r="B4" s="6"/>
      <c r="C4" s="8" t="s">
        <v>5</v>
      </c>
      <c r="D4" s="6"/>
      <c r="E4" s="6"/>
      <c r="F4" s="6"/>
      <c r="G4" s="132" t="s">
        <v>3</v>
      </c>
      <c r="H4" s="6"/>
      <c r="I4" s="6"/>
      <c r="J4" s="8" t="s">
        <v>4</v>
      </c>
      <c r="K4" s="6"/>
      <c r="L4" s="6"/>
      <c r="M4" s="132" t="s">
        <v>3</v>
      </c>
      <c r="N4" s="6"/>
      <c r="O4" s="6"/>
      <c r="P4" s="8" t="s">
        <v>4</v>
      </c>
      <c r="Q4" s="5"/>
    </row>
    <row r="5" spans="1:17" ht="15.75" x14ac:dyDescent="0.25">
      <c r="A5" s="54" t="s">
        <v>1000</v>
      </c>
      <c r="B5" s="5"/>
      <c r="C5" s="38" t="s">
        <v>1039</v>
      </c>
      <c r="D5" s="5"/>
      <c r="E5" s="5"/>
      <c r="F5" s="5"/>
      <c r="G5" s="133">
        <f>TB!A4</f>
        <v>2026</v>
      </c>
      <c r="H5" s="16" t="s">
        <v>1005</v>
      </c>
      <c r="I5" s="8"/>
      <c r="J5" s="31">
        <f>TB!A4</f>
        <v>2026</v>
      </c>
      <c r="K5" s="16" t="s">
        <v>1005</v>
      </c>
      <c r="L5" s="5"/>
      <c r="M5" s="133">
        <f>TB!O4</f>
        <v>2025</v>
      </c>
      <c r="N5" s="16" t="s">
        <v>1005</v>
      </c>
      <c r="O5" s="8"/>
      <c r="P5" s="31">
        <f>TB!O4</f>
        <v>2025</v>
      </c>
      <c r="Q5" s="16" t="s">
        <v>1005</v>
      </c>
    </row>
    <row r="7" spans="1:17" x14ac:dyDescent="0.25">
      <c r="A7" s="36" t="s">
        <v>782</v>
      </c>
      <c r="C7" t="s">
        <v>1076</v>
      </c>
      <c r="G7" s="134">
        <f>VLOOKUP(A7,TB!TB,4,FALSE)*-1</f>
        <v>173527.67999999999</v>
      </c>
      <c r="H7" s="41">
        <f>IF(G$29,G7/G$29,0)</f>
        <v>0.66079912256828066</v>
      </c>
      <c r="J7" s="11">
        <f>VLOOKUP(A7,TB!TB,5,FALSE)*-1</f>
        <v>173527.67999999999</v>
      </c>
      <c r="K7" s="41">
        <f>IF(J$29,J7/J$29,0)</f>
        <v>0.66079912256828066</v>
      </c>
      <c r="M7" s="134">
        <f>VLOOKUP(A7,TB!TB1_1,4,FALSE)*-1</f>
        <v>153442.06</v>
      </c>
      <c r="N7" s="41">
        <f>IF(M$29,M7/M$29,0)</f>
        <v>0.78627301754660694</v>
      </c>
      <c r="P7" s="11">
        <f>VLOOKUP(A7,TB!TB1_1,5,FALSE)*-1</f>
        <v>153442.06</v>
      </c>
      <c r="Q7" s="41">
        <f>IF(P$29,P7/P$29,0)</f>
        <v>0.78627301754660694</v>
      </c>
    </row>
    <row r="8" spans="1:17" x14ac:dyDescent="0.25">
      <c r="A8" s="36" t="s">
        <v>238</v>
      </c>
      <c r="C8" t="s">
        <v>239</v>
      </c>
      <c r="G8" s="134">
        <f>VLOOKUP(A8,TB!TB,4,FALSE)*-1</f>
        <v>30654.62</v>
      </c>
      <c r="H8" s="41">
        <f t="shared" ref="H8:H52" si="0">IF(G$29,G8/G$29,0)</f>
        <v>0.11673380292218549</v>
      </c>
      <c r="J8" s="11">
        <f>VLOOKUP(A8,TB!TB,5,FALSE)*-1</f>
        <v>30654.62</v>
      </c>
      <c r="K8" s="41">
        <f t="shared" ref="K8:K29" si="1">IF(J$29,J8/J$29,0)</f>
        <v>0.11673380292218549</v>
      </c>
      <c r="M8" s="134">
        <f>VLOOKUP(A8,TB!TB1_1,4,FALSE)*-1</f>
        <v>-5638.7</v>
      </c>
      <c r="N8" s="41">
        <f t="shared" ref="N8:N29" si="2">IF(M$29,M8/M$29,0)</f>
        <v>-2.8894018133229265E-2</v>
      </c>
      <c r="P8" s="11">
        <f>VLOOKUP(A8,TB!TB1_1,5,FALSE)*-1</f>
        <v>-5638.7</v>
      </c>
      <c r="Q8" s="41">
        <f t="shared" ref="Q8:Q29" si="3">IF(P$29,P8/P$29,0)</f>
        <v>-2.8894018133229265E-2</v>
      </c>
    </row>
    <row r="9" spans="1:17" x14ac:dyDescent="0.25">
      <c r="A9" s="36" t="s">
        <v>236</v>
      </c>
      <c r="C9" t="s">
        <v>1077</v>
      </c>
      <c r="G9" s="134">
        <f>VLOOKUP(A9,TB!TB,4,FALSE)*-1</f>
        <v>0</v>
      </c>
      <c r="H9" s="41">
        <f t="shared" si="0"/>
        <v>0</v>
      </c>
      <c r="J9" s="11">
        <f>VLOOKUP(A9,TB!TB,5,FALSE)*-1</f>
        <v>0</v>
      </c>
      <c r="K9" s="41">
        <f t="shared" si="1"/>
        <v>0</v>
      </c>
      <c r="M9" s="134">
        <f>VLOOKUP(A9,TB!TB1_1,4,FALSE)*-1</f>
        <v>0</v>
      </c>
      <c r="N9" s="41">
        <f t="shared" si="2"/>
        <v>0</v>
      </c>
      <c r="P9" s="11">
        <f>VLOOKUP(A9,TB!TB1_1,5,FALSE)*-1</f>
        <v>0</v>
      </c>
      <c r="Q9" s="41">
        <f t="shared" si="3"/>
        <v>0</v>
      </c>
    </row>
    <row r="10" spans="1:17" x14ac:dyDescent="0.25">
      <c r="A10" s="36" t="s">
        <v>234</v>
      </c>
      <c r="C10" t="s">
        <v>1078</v>
      </c>
      <c r="G10" s="134">
        <f>VLOOKUP(A10,TB!TB,4,FALSE)*-1</f>
        <v>0</v>
      </c>
      <c r="H10" s="41">
        <f t="shared" si="0"/>
        <v>0</v>
      </c>
      <c r="J10" s="11">
        <f>VLOOKUP(A10,TB!TB,5,FALSE)*-1</f>
        <v>0</v>
      </c>
      <c r="K10" s="41">
        <f t="shared" si="1"/>
        <v>0</v>
      </c>
      <c r="M10" s="134">
        <f>VLOOKUP(A10,TB!TB1_1,4,FALSE)*-1</f>
        <v>0</v>
      </c>
      <c r="N10" s="41">
        <f t="shared" si="2"/>
        <v>0</v>
      </c>
      <c r="P10" s="11">
        <f>VLOOKUP(A10,TB!TB1_1,5,FALSE)*-1</f>
        <v>0</v>
      </c>
      <c r="Q10" s="41">
        <f t="shared" si="3"/>
        <v>0</v>
      </c>
    </row>
    <row r="11" spans="1:17" x14ac:dyDescent="0.25">
      <c r="A11" s="36" t="s">
        <v>246</v>
      </c>
      <c r="C11" t="s">
        <v>247</v>
      </c>
      <c r="G11" s="134">
        <f>VLOOKUP(A11,TB!TB,4,FALSE)*-1</f>
        <v>3538.74</v>
      </c>
      <c r="H11" s="41">
        <f t="shared" si="0"/>
        <v>1.3475638509068279E-2</v>
      </c>
      <c r="J11" s="11">
        <f>VLOOKUP(A11,TB!TB,5,FALSE)*-1</f>
        <v>3538.74</v>
      </c>
      <c r="K11" s="41">
        <f t="shared" si="1"/>
        <v>1.3475638509068279E-2</v>
      </c>
      <c r="M11" s="134">
        <f>VLOOKUP(A11,TB!TB1_1,4,FALSE)*-1</f>
        <v>7077.48</v>
      </c>
      <c r="N11" s="41">
        <f t="shared" si="2"/>
        <v>3.6266663496473908E-2</v>
      </c>
      <c r="P11" s="11">
        <f>VLOOKUP(A11,TB!TB1_1,5,FALSE)*-1</f>
        <v>7077.48</v>
      </c>
      <c r="Q11" s="41">
        <f t="shared" si="3"/>
        <v>3.6266663496473908E-2</v>
      </c>
    </row>
    <row r="12" spans="1:17" x14ac:dyDescent="0.25">
      <c r="A12" s="36" t="s">
        <v>242</v>
      </c>
      <c r="C12" t="s">
        <v>1313</v>
      </c>
      <c r="G12" s="134">
        <f>VLOOKUP(A12,TB!TB,4,FALSE)*-1</f>
        <v>28594.48</v>
      </c>
      <c r="H12" s="41">
        <f t="shared" si="0"/>
        <v>0.10888872192779994</v>
      </c>
      <c r="J12" s="11">
        <f>VLOOKUP(A12,TB!TB,5,FALSE)*-1</f>
        <v>28594.48</v>
      </c>
      <c r="K12" s="41">
        <f t="shared" si="1"/>
        <v>0.10888872192779994</v>
      </c>
      <c r="M12" s="134">
        <f>VLOOKUP(A12,TB!TB1_1,4,FALSE)*-1</f>
        <v>20610</v>
      </c>
      <c r="N12" s="41">
        <f t="shared" si="2"/>
        <v>0.10561046229199197</v>
      </c>
      <c r="P12" s="11">
        <f>VLOOKUP(A12,TB!TB1_1,5,FALSE)*-1</f>
        <v>20610</v>
      </c>
      <c r="Q12" s="41">
        <f t="shared" si="3"/>
        <v>0.10561046229199197</v>
      </c>
    </row>
    <row r="13" spans="1:17" x14ac:dyDescent="0.25">
      <c r="A13" s="36" t="s">
        <v>244</v>
      </c>
      <c r="C13" t="s">
        <v>245</v>
      </c>
      <c r="G13" s="134">
        <f>VLOOKUP(A13,TB!TB,4,FALSE)*-1</f>
        <v>17544.43</v>
      </c>
      <c r="H13" s="41">
        <f t="shared" si="0"/>
        <v>6.6809767467418582E-2</v>
      </c>
      <c r="J13" s="11">
        <f>VLOOKUP(A13,TB!TB,5,FALSE)*-1</f>
        <v>17544.43</v>
      </c>
      <c r="K13" s="41">
        <f t="shared" si="1"/>
        <v>6.6809767467418582E-2</v>
      </c>
      <c r="M13" s="134">
        <f>VLOOKUP(A13,TB!TB1_1,4,FALSE)*-1</f>
        <v>16631.45</v>
      </c>
      <c r="N13" s="41">
        <f t="shared" si="2"/>
        <v>8.5223441197775349E-2</v>
      </c>
      <c r="P13" s="11">
        <f>VLOOKUP(A13,TB!TB1_1,5,FALSE)*-1</f>
        <v>16631.45</v>
      </c>
      <c r="Q13" s="41">
        <f t="shared" si="3"/>
        <v>8.5223441197775349E-2</v>
      </c>
    </row>
    <row r="14" spans="1:17" x14ac:dyDescent="0.25">
      <c r="A14" s="36" t="s">
        <v>248</v>
      </c>
      <c r="C14" t="s">
        <v>1348</v>
      </c>
      <c r="G14" s="134">
        <f>VLOOKUP(A14,TB!TB,4,FALSE)*-1</f>
        <v>4237.6000000000004</v>
      </c>
      <c r="H14" s="41">
        <f t="shared" si="0"/>
        <v>1.613692041405352E-2</v>
      </c>
      <c r="J14" s="11">
        <f>VLOOKUP(A14,TB!TB,5,FALSE)*-1</f>
        <v>4237.6000000000004</v>
      </c>
      <c r="K14" s="41">
        <f t="shared" si="1"/>
        <v>1.613692041405352E-2</v>
      </c>
      <c r="M14" s="134">
        <f>VLOOKUP(A14,TB!TB1_1,4,FALSE)*-1</f>
        <v>1065</v>
      </c>
      <c r="N14" s="41">
        <f t="shared" si="2"/>
        <v>5.4573091868496577E-3</v>
      </c>
      <c r="P14" s="11">
        <f>VLOOKUP(A14,TB!TB1_1,5,FALSE)*-1</f>
        <v>1065</v>
      </c>
      <c r="Q14" s="41">
        <f t="shared" si="3"/>
        <v>5.4573091868496577E-3</v>
      </c>
    </row>
    <row r="15" spans="1:17" x14ac:dyDescent="0.25">
      <c r="A15" s="36" t="s">
        <v>250</v>
      </c>
      <c r="C15" t="s">
        <v>1347</v>
      </c>
      <c r="G15" s="134">
        <f>VLOOKUP(A15,TB!TB,4,FALSE)*-1</f>
        <v>2311.21</v>
      </c>
      <c r="H15" s="41">
        <f t="shared" si="0"/>
        <v>8.8011638262612407E-3</v>
      </c>
      <c r="J15" s="11">
        <f>VLOOKUP(A15,TB!TB,5,FALSE)*-1</f>
        <v>2311.21</v>
      </c>
      <c r="K15" s="41">
        <f t="shared" si="1"/>
        <v>8.8011638262612407E-3</v>
      </c>
      <c r="M15" s="134">
        <f>VLOOKUP(A15,TB!TB1_1,4,FALSE)*-1</f>
        <v>1931.74</v>
      </c>
      <c r="N15" s="41">
        <f t="shared" si="2"/>
        <v>9.8986877451689749E-3</v>
      </c>
      <c r="P15" s="11">
        <f>VLOOKUP(A15,TB!TB1_1,5,FALSE)*-1</f>
        <v>1931.74</v>
      </c>
      <c r="Q15" s="41">
        <f t="shared" si="3"/>
        <v>9.8986877451689749E-3</v>
      </c>
    </row>
    <row r="16" spans="1:17" x14ac:dyDescent="0.25">
      <c r="A16" s="36" t="s">
        <v>304</v>
      </c>
      <c r="C16" t="s">
        <v>1079</v>
      </c>
      <c r="G16" s="134">
        <f>VLOOKUP(A16,TB!TB,4,FALSE)*-1</f>
        <v>0</v>
      </c>
      <c r="H16" s="41">
        <f t="shared" si="0"/>
        <v>0</v>
      </c>
      <c r="J16" s="11">
        <f>VLOOKUP(A16,TB!TB,5,FALSE)*-1</f>
        <v>0</v>
      </c>
      <c r="K16" s="41">
        <f t="shared" si="1"/>
        <v>0</v>
      </c>
      <c r="M16" s="134">
        <f>VLOOKUP(A16,TB!TB1_1,4,FALSE)*-1</f>
        <v>0</v>
      </c>
      <c r="N16" s="41">
        <f t="shared" si="2"/>
        <v>0</v>
      </c>
      <c r="P16" s="11">
        <f>VLOOKUP(A16,TB!TB1_1,5,FALSE)*-1</f>
        <v>0</v>
      </c>
      <c r="Q16" s="41">
        <f t="shared" si="3"/>
        <v>0</v>
      </c>
    </row>
    <row r="17" spans="1:17" x14ac:dyDescent="0.25">
      <c r="A17" s="36" t="s">
        <v>306</v>
      </c>
      <c r="C17" t="s">
        <v>1080</v>
      </c>
      <c r="G17" s="134">
        <f>VLOOKUP(A17,TB!TB,4,FALSE)*-1</f>
        <v>0</v>
      </c>
      <c r="H17" s="41">
        <f t="shared" si="0"/>
        <v>0</v>
      </c>
      <c r="J17" s="11">
        <f>VLOOKUP(A17,TB!TB,5,FALSE)*-1</f>
        <v>0</v>
      </c>
      <c r="K17" s="41">
        <f t="shared" si="1"/>
        <v>0</v>
      </c>
      <c r="M17" s="134">
        <f>VLOOKUP(A17,TB!TB1_1,4,FALSE)*-1</f>
        <v>0</v>
      </c>
      <c r="N17" s="41">
        <f t="shared" si="2"/>
        <v>0</v>
      </c>
      <c r="P17" s="11">
        <f>VLOOKUP(A17,TB!TB1_1,5,FALSE)*-1</f>
        <v>0</v>
      </c>
      <c r="Q17" s="41">
        <f t="shared" si="3"/>
        <v>0</v>
      </c>
    </row>
    <row r="18" spans="1:17" x14ac:dyDescent="0.25">
      <c r="A18" s="36" t="s">
        <v>289</v>
      </c>
      <c r="C18" t="s">
        <v>1081</v>
      </c>
      <c r="G18" s="134">
        <f>VLOOKUP(A18,TB!TB,4,FALSE)*-1</f>
        <v>0</v>
      </c>
      <c r="H18" s="41">
        <f t="shared" si="0"/>
        <v>0</v>
      </c>
      <c r="J18" s="11">
        <f>VLOOKUP(A18,TB!TB,5,FALSE)*-1</f>
        <v>0</v>
      </c>
      <c r="K18" s="41">
        <f t="shared" si="1"/>
        <v>0</v>
      </c>
      <c r="M18" s="134">
        <f>VLOOKUP(A18,TB!TB1_1,4,FALSE)*-1</f>
        <v>0</v>
      </c>
      <c r="N18" s="41">
        <f t="shared" si="2"/>
        <v>0</v>
      </c>
      <c r="P18" s="11">
        <f>VLOOKUP(A18,TB!TB1_1,5,FALSE)*-1</f>
        <v>0</v>
      </c>
      <c r="Q18" s="41">
        <f t="shared" si="3"/>
        <v>0</v>
      </c>
    </row>
    <row r="19" spans="1:17" x14ac:dyDescent="0.25">
      <c r="A19" s="39" t="s">
        <v>1256</v>
      </c>
      <c r="C19" t="s">
        <v>1340</v>
      </c>
      <c r="G19" s="134">
        <f>VLOOKUP(A19,TB!TB,4,FALSE)*-1</f>
        <v>0</v>
      </c>
      <c r="H19" s="41">
        <f t="shared" ref="H19" si="4">IF(G$29,G19/G$29,0)</f>
        <v>0</v>
      </c>
      <c r="J19" s="11">
        <f>VLOOKUP(A19,TB!TB,5,FALSE)*-1</f>
        <v>0</v>
      </c>
      <c r="K19" s="41">
        <f t="shared" ref="K19" si="5">IF(J$29,J19/J$29,0)</f>
        <v>0</v>
      </c>
      <c r="M19" s="134">
        <f>VLOOKUP(A19,TB!TB1_1,4,FALSE)*-1</f>
        <v>0</v>
      </c>
      <c r="N19" s="41">
        <f t="shared" ref="N19" si="6">IF(M$29,M19/M$29,0)</f>
        <v>0</v>
      </c>
      <c r="P19" s="11">
        <f>VLOOKUP(A19,TB!TB1_1,5,FALSE)*-1</f>
        <v>0</v>
      </c>
      <c r="Q19" s="41">
        <f t="shared" ref="Q19" si="7">IF(P$29,P19/P$29,0)</f>
        <v>0</v>
      </c>
    </row>
    <row r="20" spans="1:17" x14ac:dyDescent="0.25">
      <c r="A20" s="36" t="s">
        <v>291</v>
      </c>
      <c r="C20" t="s">
        <v>1082</v>
      </c>
      <c r="G20" s="134">
        <f>VLOOKUP(A20,TB!TB,4,FALSE)*-1</f>
        <v>0</v>
      </c>
      <c r="H20" s="41">
        <f t="shared" si="0"/>
        <v>0</v>
      </c>
      <c r="J20" s="11">
        <f>VLOOKUP(A20,TB!TB,5,FALSE)*-1</f>
        <v>0</v>
      </c>
      <c r="K20" s="41">
        <f t="shared" si="1"/>
        <v>0</v>
      </c>
      <c r="M20" s="134">
        <f>VLOOKUP(A20,TB!TB1_1,4,FALSE)*-1</f>
        <v>0</v>
      </c>
      <c r="N20" s="41">
        <f t="shared" si="2"/>
        <v>0</v>
      </c>
      <c r="P20" s="11">
        <f>VLOOKUP(A20,TB!TB1_1,5,FALSE)*-1</f>
        <v>0</v>
      </c>
      <c r="Q20" s="41">
        <f t="shared" si="3"/>
        <v>0</v>
      </c>
    </row>
    <row r="21" spans="1:17" x14ac:dyDescent="0.25">
      <c r="A21" s="36" t="s">
        <v>232</v>
      </c>
      <c r="C21" t="s">
        <v>1346</v>
      </c>
      <c r="G21" s="134">
        <f>VLOOKUP(A21,TB!TB,4,FALSE)*-1</f>
        <v>2194.0100000000002</v>
      </c>
      <c r="H21" s="41">
        <f t="shared" si="0"/>
        <v>8.3548623649324048E-3</v>
      </c>
      <c r="J21" s="11">
        <f>VLOOKUP(A21,TB!TB,5,FALSE)*-1</f>
        <v>2194.0100000000002</v>
      </c>
      <c r="K21" s="41">
        <f t="shared" si="1"/>
        <v>8.3548623649324048E-3</v>
      </c>
      <c r="M21" s="134">
        <f>VLOOKUP(A21,TB!TB1_1,4,FALSE)*-1</f>
        <v>32.090000000000003</v>
      </c>
      <c r="N21" s="41">
        <f t="shared" si="2"/>
        <v>1.6443666836244651E-4</v>
      </c>
      <c r="P21" s="11">
        <f>VLOOKUP(A21,TB!TB1_1,5,FALSE)*-1</f>
        <v>32.090000000000003</v>
      </c>
      <c r="Q21" s="41">
        <f t="shared" si="3"/>
        <v>1.6443666836244651E-4</v>
      </c>
    </row>
    <row r="22" spans="1:17" x14ac:dyDescent="0.25">
      <c r="A22" s="36" t="s">
        <v>293</v>
      </c>
      <c r="C22" t="s">
        <v>1083</v>
      </c>
      <c r="G22" s="134">
        <f>VLOOKUP(A22,TB!TB,4,FALSE)*-1</f>
        <v>0</v>
      </c>
      <c r="H22" s="41">
        <f t="shared" si="0"/>
        <v>0</v>
      </c>
      <c r="J22" s="11">
        <f>VLOOKUP(A22,TB!TB,5,FALSE)*-1</f>
        <v>0</v>
      </c>
      <c r="K22" s="41">
        <f t="shared" si="1"/>
        <v>0</v>
      </c>
      <c r="M22" s="134">
        <f>VLOOKUP(A22,TB!TB1_1,4,FALSE)*-1</f>
        <v>0</v>
      </c>
      <c r="N22" s="41">
        <f t="shared" si="2"/>
        <v>0</v>
      </c>
      <c r="P22" s="11">
        <f>VLOOKUP(A22,TB!TB1_1,5,FALSE)*-1</f>
        <v>0</v>
      </c>
      <c r="Q22" s="41">
        <f t="shared" si="3"/>
        <v>0</v>
      </c>
    </row>
    <row r="23" spans="1:17" x14ac:dyDescent="0.25">
      <c r="A23" s="36" t="s">
        <v>295</v>
      </c>
      <c r="C23" t="s">
        <v>1084</v>
      </c>
      <c r="G23" s="134">
        <f>VLOOKUP(A23,TB!TB,4,FALSE)*-1</f>
        <v>0</v>
      </c>
      <c r="H23" s="41">
        <f t="shared" si="0"/>
        <v>0</v>
      </c>
      <c r="J23" s="11">
        <f>VLOOKUP(A23,TB!TB,5,FALSE)*-1</f>
        <v>0</v>
      </c>
      <c r="K23" s="41">
        <f t="shared" si="1"/>
        <v>0</v>
      </c>
      <c r="M23" s="134">
        <f>VLOOKUP(A23,TB!TB1_1,4,FALSE)*-1</f>
        <v>0</v>
      </c>
      <c r="N23" s="41">
        <f t="shared" si="2"/>
        <v>0</v>
      </c>
      <c r="P23" s="11">
        <f>VLOOKUP(A23,TB!TB1_1,5,FALSE)*-1</f>
        <v>0</v>
      </c>
      <c r="Q23" s="41">
        <f t="shared" si="3"/>
        <v>0</v>
      </c>
    </row>
    <row r="24" spans="1:17" x14ac:dyDescent="0.25">
      <c r="A24" s="36" t="s">
        <v>297</v>
      </c>
      <c r="C24" t="s">
        <v>1085</v>
      </c>
      <c r="G24" s="134">
        <f>VLOOKUP(A24,TB!TB,4,FALSE)*-1</f>
        <v>0</v>
      </c>
      <c r="H24" s="41">
        <f t="shared" si="0"/>
        <v>0</v>
      </c>
      <c r="J24" s="11">
        <f>VLOOKUP(A24,TB!TB,5,FALSE)*-1</f>
        <v>0</v>
      </c>
      <c r="K24" s="41">
        <f t="shared" si="1"/>
        <v>0</v>
      </c>
      <c r="M24" s="134">
        <f>VLOOKUP(A24,TB!TB1_1,4,FALSE)*-1</f>
        <v>0</v>
      </c>
      <c r="N24" s="41">
        <f t="shared" si="2"/>
        <v>0</v>
      </c>
      <c r="P24" s="11">
        <f>VLOOKUP(A24,TB!TB1_1,5,FALSE)*-1</f>
        <v>0</v>
      </c>
      <c r="Q24" s="41">
        <f t="shared" si="3"/>
        <v>0</v>
      </c>
    </row>
    <row r="25" spans="1:17" x14ac:dyDescent="0.25">
      <c r="A25" s="36" t="s">
        <v>299</v>
      </c>
      <c r="C25" t="s">
        <v>1086</v>
      </c>
      <c r="G25" s="134">
        <f>VLOOKUP(A25,TB!TB,4,FALSE)*-1</f>
        <v>0</v>
      </c>
      <c r="H25" s="41">
        <f t="shared" si="0"/>
        <v>0</v>
      </c>
      <c r="J25" s="11">
        <f>VLOOKUP(A25,TB!TB,5,FALSE)*-1</f>
        <v>0</v>
      </c>
      <c r="K25" s="41">
        <f t="shared" si="1"/>
        <v>0</v>
      </c>
      <c r="M25" s="134">
        <f>VLOOKUP(A25,TB!TB1_1,4,FALSE)*-1</f>
        <v>0</v>
      </c>
      <c r="N25" s="41">
        <f t="shared" si="2"/>
        <v>0</v>
      </c>
      <c r="P25" s="11">
        <f>VLOOKUP(A25,TB!TB1_1,5,FALSE)*-1</f>
        <v>0</v>
      </c>
      <c r="Q25" s="41">
        <f t="shared" si="3"/>
        <v>0</v>
      </c>
    </row>
    <row r="26" spans="1:17" x14ac:dyDescent="0.25">
      <c r="A26" s="36" t="s">
        <v>240</v>
      </c>
      <c r="C26" t="s">
        <v>241</v>
      </c>
      <c r="G26" s="134">
        <f>VLOOKUP(A26,TB!TB,4,FALSE)*-1</f>
        <v>0</v>
      </c>
      <c r="H26" s="41">
        <f t="shared" si="0"/>
        <v>0</v>
      </c>
      <c r="J26" s="11">
        <f>VLOOKUP(A26,TB!TB,5,FALSE)*-1</f>
        <v>0</v>
      </c>
      <c r="K26" s="41">
        <f t="shared" si="1"/>
        <v>0</v>
      </c>
      <c r="M26" s="134">
        <f>VLOOKUP(A26,TB!TB1_1,4,FALSE)*-1</f>
        <v>0</v>
      </c>
      <c r="N26" s="41">
        <f t="shared" si="2"/>
        <v>0</v>
      </c>
      <c r="P26" s="11">
        <f>VLOOKUP(A26,TB!TB1_1,5,FALSE)*-1</f>
        <v>0</v>
      </c>
      <c r="Q26" s="41">
        <f t="shared" si="3"/>
        <v>0</v>
      </c>
    </row>
    <row r="27" spans="1:17" x14ac:dyDescent="0.25">
      <c r="A27" s="36" t="s">
        <v>302</v>
      </c>
      <c r="C27" t="s">
        <v>1087</v>
      </c>
      <c r="G27" s="134">
        <f>VLOOKUP(A27,TB!TB,4,FALSE)*-1</f>
        <v>0</v>
      </c>
      <c r="H27" s="41">
        <f t="shared" si="0"/>
        <v>0</v>
      </c>
      <c r="J27" s="11">
        <f>VLOOKUP(A27,TB!TB,5,FALSE)*-1</f>
        <v>0</v>
      </c>
      <c r="K27" s="41">
        <f t="shared" si="1"/>
        <v>0</v>
      </c>
      <c r="M27" s="134">
        <f>VLOOKUP(A27,TB!TB1_1,4,FALSE)*-1</f>
        <v>0</v>
      </c>
      <c r="N27" s="41">
        <f t="shared" si="2"/>
        <v>0</v>
      </c>
      <c r="P27" s="11">
        <f>VLOOKUP(A27,TB!TB1_1,5,FALSE)*-1</f>
        <v>0</v>
      </c>
      <c r="Q27" s="41">
        <f t="shared" si="3"/>
        <v>0</v>
      </c>
    </row>
    <row r="28" spans="1:17" x14ac:dyDescent="0.25">
      <c r="A28" s="36" t="s">
        <v>300</v>
      </c>
      <c r="C28" t="s">
        <v>1088</v>
      </c>
      <c r="G28" s="141">
        <f>VLOOKUP(A28,TB!TB,4,FALSE)*-1</f>
        <v>0</v>
      </c>
      <c r="H28" s="50">
        <f t="shared" si="0"/>
        <v>0</v>
      </c>
      <c r="J28" s="29">
        <f>VLOOKUP(A28,TB!TB,5,FALSE)*-1</f>
        <v>0</v>
      </c>
      <c r="K28" s="50">
        <f t="shared" si="1"/>
        <v>0</v>
      </c>
      <c r="M28" s="141">
        <f>VLOOKUP(A28,TB!TB1_1,4,FALSE)*-1</f>
        <v>0</v>
      </c>
      <c r="N28" s="50">
        <f t="shared" si="2"/>
        <v>0</v>
      </c>
      <c r="P28" s="29">
        <f>VLOOKUP(A28,TB!TB1_1,5,FALSE)*-1</f>
        <v>0</v>
      </c>
      <c r="Q28" s="50">
        <f t="shared" si="3"/>
        <v>0</v>
      </c>
    </row>
    <row r="29" spans="1:17" x14ac:dyDescent="0.25">
      <c r="C29" s="88" t="s">
        <v>1038</v>
      </c>
      <c r="G29" s="142">
        <f>SUM(G7:G28)</f>
        <v>262602.76999999996</v>
      </c>
      <c r="H29" s="41">
        <f t="shared" si="0"/>
        <v>1</v>
      </c>
      <c r="I29" s="52"/>
      <c r="J29" s="26">
        <f>SUM(J7:J28)</f>
        <v>262602.76999999996</v>
      </c>
      <c r="K29" s="41">
        <f t="shared" si="1"/>
        <v>1</v>
      </c>
      <c r="L29" s="52"/>
      <c r="M29" s="142">
        <f>SUM(M7:M28)</f>
        <v>195151.12</v>
      </c>
      <c r="N29" s="41">
        <f t="shared" si="2"/>
        <v>1</v>
      </c>
      <c r="O29" s="52"/>
      <c r="P29" s="26">
        <f>SUM(P7:P28)</f>
        <v>195151.12</v>
      </c>
      <c r="Q29" s="41">
        <f t="shared" si="3"/>
        <v>1</v>
      </c>
    </row>
    <row r="30" spans="1:17" x14ac:dyDescent="0.25">
      <c r="G30" s="134"/>
      <c r="H30" s="41"/>
      <c r="J30" s="11"/>
      <c r="K30" s="41"/>
      <c r="M30" s="134"/>
      <c r="N30" s="41"/>
      <c r="P30" s="11"/>
      <c r="Q30" s="41"/>
    </row>
    <row r="31" spans="1:17" x14ac:dyDescent="0.25">
      <c r="A31" s="36" t="s">
        <v>334</v>
      </c>
      <c r="C31" t="s">
        <v>1090</v>
      </c>
      <c r="G31" s="134">
        <f>VLOOKUP(A31,TB!TB,4,FALSE)</f>
        <v>52951.75</v>
      </c>
      <c r="H31" s="41">
        <f>IF(G$29,G31/G$29,0)</f>
        <v>0.20164200857439549</v>
      </c>
      <c r="J31" s="11">
        <f>VLOOKUP(A31,TB!TB,5,FALSE)</f>
        <v>52951.75</v>
      </c>
      <c r="K31" s="41">
        <f>IF(J$29,J31/J$29,0)</f>
        <v>0.20164200857439549</v>
      </c>
      <c r="M31" s="134">
        <f>VLOOKUP(A31,TB!TB1_1,4,FALSE)</f>
        <v>45417.75</v>
      </c>
      <c r="N31" s="41">
        <f>IF(M$29,M31/M$29,0)</f>
        <v>0.23273117776623573</v>
      </c>
      <c r="P31" s="11">
        <f>VLOOKUP(A31,TB!TB1_1,5,FALSE)</f>
        <v>45417.75</v>
      </c>
      <c r="Q31" s="41">
        <f>IF(P$29,P31/P$29,0)</f>
        <v>0.23273117776623573</v>
      </c>
    </row>
    <row r="32" spans="1:17" x14ac:dyDescent="0.25">
      <c r="A32" s="36" t="s">
        <v>344</v>
      </c>
      <c r="C32" t="s">
        <v>247</v>
      </c>
      <c r="G32" s="134">
        <f>VLOOKUP(A32,TB!TB,4,FALSE)</f>
        <v>0</v>
      </c>
      <c r="H32" s="41">
        <f>IF(G$29,G32/G$29,0)</f>
        <v>0</v>
      </c>
      <c r="J32" s="11">
        <f>VLOOKUP(A32,TB!TB,5,FALSE)</f>
        <v>0</v>
      </c>
      <c r="K32" s="41">
        <f>IF(J$29,J32/J$29,0)</f>
        <v>0</v>
      </c>
      <c r="M32" s="134">
        <f>VLOOKUP(A32,TB!TB1_1,4,FALSE)</f>
        <v>0</v>
      </c>
      <c r="N32" s="41">
        <f>IF(M$29,M32/M$29,0)</f>
        <v>0</v>
      </c>
      <c r="P32" s="11">
        <f>VLOOKUP(A32,TB!TB1_1,5,FALSE)</f>
        <v>0</v>
      </c>
      <c r="Q32" s="41">
        <f>IF(P$29,P32/P$29,0)</f>
        <v>0</v>
      </c>
    </row>
    <row r="33" spans="1:17" x14ac:dyDescent="0.25">
      <c r="A33" s="36" t="s">
        <v>348</v>
      </c>
      <c r="C33" t="s">
        <v>1344</v>
      </c>
      <c r="G33" s="134">
        <f>VLOOKUP(A33,TB!TB,4,FALSE)</f>
        <v>6964.75</v>
      </c>
      <c r="H33" s="41">
        <f t="shared" ref="H33:H35" si="8">IF(G$29,G33/G$29,0)</f>
        <v>2.6521997464078545E-2</v>
      </c>
      <c r="J33" s="11">
        <f>VLOOKUP(A33,TB!TB,5,FALSE)</f>
        <v>6964.75</v>
      </c>
      <c r="K33" s="41">
        <f t="shared" ref="K33:K35" si="9">IF(J$29,J33/J$29,0)</f>
        <v>2.6521997464078545E-2</v>
      </c>
      <c r="M33" s="134">
        <f>VLOOKUP(A33,TB!TB1_1,4,FALSE)</f>
        <v>-1302.5</v>
      </c>
      <c r="N33" s="41">
        <f t="shared" ref="N33:N35" si="10">IF(M$29,M33/M$29,0)</f>
        <v>-6.6743147566870227E-3</v>
      </c>
      <c r="P33" s="11">
        <f>VLOOKUP(A33,TB!TB1_1,5,FALSE)</f>
        <v>-1302.5</v>
      </c>
      <c r="Q33" s="41">
        <f t="shared" ref="Q33:Q35" si="11">IF(P$29,P33/P$29,0)</f>
        <v>-6.6743147566870227E-3</v>
      </c>
    </row>
    <row r="34" spans="1:17" x14ac:dyDescent="0.25">
      <c r="A34" s="36" t="s">
        <v>350</v>
      </c>
      <c r="C34" t="s">
        <v>1177</v>
      </c>
      <c r="G34" s="134">
        <f>VLOOKUP(A34,TB!TB,4,FALSE)</f>
        <v>0</v>
      </c>
      <c r="H34" s="41">
        <f t="shared" si="8"/>
        <v>0</v>
      </c>
      <c r="J34" s="11">
        <f>VLOOKUP(A34,TB!TB,5,FALSE)</f>
        <v>0</v>
      </c>
      <c r="K34" s="41">
        <f t="shared" si="9"/>
        <v>0</v>
      </c>
      <c r="M34" s="134">
        <f>VLOOKUP(A34,TB!TB1_1,4,FALSE)</f>
        <v>0</v>
      </c>
      <c r="N34" s="41">
        <f t="shared" si="10"/>
        <v>0</v>
      </c>
      <c r="P34" s="11">
        <f>VLOOKUP(A34,TB!TB1_1,5,FALSE)</f>
        <v>0</v>
      </c>
      <c r="Q34" s="41">
        <f t="shared" si="11"/>
        <v>0</v>
      </c>
    </row>
    <row r="35" spans="1:17" x14ac:dyDescent="0.25">
      <c r="A35" s="36" t="s">
        <v>352</v>
      </c>
      <c r="C35" t="s">
        <v>1314</v>
      </c>
      <c r="G35" s="134">
        <f>VLOOKUP(A35,TB!TB,4,FALSE)</f>
        <v>9618.25</v>
      </c>
      <c r="H35" s="41">
        <f t="shared" si="8"/>
        <v>3.6626612887594452E-2</v>
      </c>
      <c r="J35" s="11">
        <f>VLOOKUP(A35,TB!TB,5,FALSE)</f>
        <v>9618.25</v>
      </c>
      <c r="K35" s="41">
        <f t="shared" si="9"/>
        <v>3.6626612887594452E-2</v>
      </c>
      <c r="M35" s="134">
        <f>VLOOKUP(A35,TB!TB1_1,4,FALSE)</f>
        <v>7870.5</v>
      </c>
      <c r="N35" s="41">
        <f t="shared" si="10"/>
        <v>4.0330283525915715E-2</v>
      </c>
      <c r="P35" s="11">
        <f>VLOOKUP(A35,TB!TB1_1,5,FALSE)</f>
        <v>7870.5</v>
      </c>
      <c r="Q35" s="41">
        <f t="shared" si="11"/>
        <v>4.0330283525915715E-2</v>
      </c>
    </row>
    <row r="36" spans="1:17" x14ac:dyDescent="0.25">
      <c r="A36" s="36" t="s">
        <v>354</v>
      </c>
      <c r="C36" t="s">
        <v>355</v>
      </c>
      <c r="G36" s="134">
        <f>VLOOKUP(A36,TB!TB,4,FALSE)</f>
        <v>1497.58</v>
      </c>
      <c r="H36" s="41">
        <f t="shared" ref="H36:H45" si="12">IF(G$29,G36/G$29,0)</f>
        <v>5.7028339800071423E-3</v>
      </c>
      <c r="J36" s="11">
        <f>VLOOKUP(A36,TB!TB,5,FALSE)</f>
        <v>1497.58</v>
      </c>
      <c r="K36" s="41">
        <f t="shared" ref="K36:K45" si="13">IF(J$29,J36/J$29,0)</f>
        <v>5.7028339800071423E-3</v>
      </c>
      <c r="M36" s="134">
        <f>VLOOKUP(A36,TB!TB1_1,4,FALSE)</f>
        <v>1932.15</v>
      </c>
      <c r="N36" s="41">
        <f t="shared" ref="N36:N45" si="14">IF(M$29,M36/M$29,0)</f>
        <v>9.9007886811000624E-3</v>
      </c>
      <c r="P36" s="11">
        <f>VLOOKUP(A36,TB!TB1_1,5,FALSE)</f>
        <v>1932.15</v>
      </c>
      <c r="Q36" s="41">
        <f t="shared" ref="Q36:Q45" si="15">IF(P$29,P36/P$29,0)</f>
        <v>9.9007886811000624E-3</v>
      </c>
    </row>
    <row r="37" spans="1:17" x14ac:dyDescent="0.25">
      <c r="A37" s="36" t="s">
        <v>356</v>
      </c>
      <c r="C37" t="s">
        <v>357</v>
      </c>
      <c r="G37" s="134">
        <f>VLOOKUP(A37,TB!TB,4,FALSE)</f>
        <v>8952.66</v>
      </c>
      <c r="H37" s="41">
        <f t="shared" si="12"/>
        <v>3.4092024238738992E-2</v>
      </c>
      <c r="J37" s="11">
        <f>VLOOKUP(A37,TB!TB,5,FALSE)</f>
        <v>8952.66</v>
      </c>
      <c r="K37" s="41">
        <f t="shared" si="13"/>
        <v>3.4092024238738992E-2</v>
      </c>
      <c r="M37" s="134">
        <f>VLOOKUP(A37,TB!TB1_1,4,FALSE)</f>
        <v>5453.66</v>
      </c>
      <c r="N37" s="41">
        <f t="shared" si="14"/>
        <v>2.7945829877891553E-2</v>
      </c>
      <c r="P37" s="11">
        <f>VLOOKUP(A37,TB!TB1_1,5,FALSE)</f>
        <v>5453.66</v>
      </c>
      <c r="Q37" s="41">
        <f t="shared" si="15"/>
        <v>2.7945829877891553E-2</v>
      </c>
    </row>
    <row r="38" spans="1:17" x14ac:dyDescent="0.25">
      <c r="A38" s="36" t="s">
        <v>363</v>
      </c>
      <c r="C38" t="s">
        <v>1092</v>
      </c>
      <c r="G38" s="134">
        <f>VLOOKUP(A38,TB!TB,4,FALSE)</f>
        <v>0</v>
      </c>
      <c r="H38" s="41">
        <f t="shared" si="12"/>
        <v>0</v>
      </c>
      <c r="J38" s="11">
        <f>VLOOKUP(A38,TB!TB,5,FALSE)</f>
        <v>0</v>
      </c>
      <c r="K38" s="41">
        <f t="shared" si="13"/>
        <v>0</v>
      </c>
      <c r="M38" s="134">
        <f>VLOOKUP(A38,TB!TB1_1,4,FALSE)</f>
        <v>0</v>
      </c>
      <c r="N38" s="41">
        <f t="shared" si="14"/>
        <v>0</v>
      </c>
      <c r="P38" s="11">
        <f>VLOOKUP(A38,TB!TB1_1,5,FALSE)</f>
        <v>0</v>
      </c>
      <c r="Q38" s="41">
        <f t="shared" si="15"/>
        <v>0</v>
      </c>
    </row>
    <row r="39" spans="1:17" x14ac:dyDescent="0.25">
      <c r="A39" s="36" t="s">
        <v>365</v>
      </c>
      <c r="C39" t="s">
        <v>1089</v>
      </c>
      <c r="G39" s="134">
        <f>VLOOKUP(A39,TB!TB,4,FALSE)</f>
        <v>0</v>
      </c>
      <c r="H39" s="41">
        <f t="shared" si="12"/>
        <v>0</v>
      </c>
      <c r="J39" s="11">
        <f>VLOOKUP(A39,TB!TB,5,FALSE)</f>
        <v>0</v>
      </c>
      <c r="K39" s="41">
        <f t="shared" si="13"/>
        <v>0</v>
      </c>
      <c r="M39" s="134">
        <f>VLOOKUP(A39,TB!TB1_1,4,FALSE)</f>
        <v>0</v>
      </c>
      <c r="N39" s="41">
        <f t="shared" si="14"/>
        <v>0</v>
      </c>
      <c r="P39" s="11">
        <f>VLOOKUP(A39,TB!TB1_1,5,FALSE)</f>
        <v>0</v>
      </c>
      <c r="Q39" s="41">
        <f t="shared" si="15"/>
        <v>0</v>
      </c>
    </row>
    <row r="40" spans="1:17" x14ac:dyDescent="0.25">
      <c r="A40" s="36" t="s">
        <v>377</v>
      </c>
      <c r="C40" t="s">
        <v>1091</v>
      </c>
      <c r="G40" s="134">
        <f>VLOOKUP(A40,TB!TB,4,FALSE)</f>
        <v>0</v>
      </c>
      <c r="H40" s="41">
        <f t="shared" si="12"/>
        <v>0</v>
      </c>
      <c r="J40" s="11">
        <f>VLOOKUP(A40,TB!TB,5,FALSE)</f>
        <v>0</v>
      </c>
      <c r="K40" s="41">
        <f t="shared" si="13"/>
        <v>0</v>
      </c>
      <c r="M40" s="134">
        <f>VLOOKUP(A40,TB!TB1_1,4,FALSE)</f>
        <v>0</v>
      </c>
      <c r="N40" s="41">
        <f t="shared" si="14"/>
        <v>0</v>
      </c>
      <c r="P40" s="11">
        <f>VLOOKUP(A40,TB!TB1_1,5,FALSE)</f>
        <v>0</v>
      </c>
      <c r="Q40" s="41">
        <f t="shared" si="15"/>
        <v>0</v>
      </c>
    </row>
    <row r="41" spans="1:17" x14ac:dyDescent="0.25">
      <c r="A41" s="36" t="s">
        <v>383</v>
      </c>
      <c r="C41" t="s">
        <v>1093</v>
      </c>
      <c r="G41" s="134">
        <f>VLOOKUP(A41,TB!TB,4,FALSE)</f>
        <v>8764.75</v>
      </c>
      <c r="H41" s="41">
        <f t="shared" si="12"/>
        <v>3.3376456767763726E-2</v>
      </c>
      <c r="J41" s="11">
        <f>VLOOKUP(A41,TB!TB,5,FALSE)</f>
        <v>8764.75</v>
      </c>
      <c r="K41" s="41">
        <f t="shared" si="13"/>
        <v>3.3376456767763726E-2</v>
      </c>
      <c r="M41" s="134">
        <f>VLOOKUP(A41,TB!TB1_1,4,FALSE)</f>
        <v>12935.75</v>
      </c>
      <c r="N41" s="41">
        <f t="shared" si="14"/>
        <v>6.628580968431029E-2</v>
      </c>
      <c r="P41" s="11">
        <f>VLOOKUP(A41,TB!TB1_1,5,FALSE)</f>
        <v>12935.75</v>
      </c>
      <c r="Q41" s="41">
        <f t="shared" si="15"/>
        <v>6.628580968431029E-2</v>
      </c>
    </row>
    <row r="42" spans="1:17" x14ac:dyDescent="0.25">
      <c r="A42" s="36" t="s">
        <v>384</v>
      </c>
      <c r="C42" t="s">
        <v>1082</v>
      </c>
      <c r="G42" s="134">
        <f>VLOOKUP(A42,TB!TB,4,FALSE)</f>
        <v>4558.25</v>
      </c>
      <c r="H42" s="41">
        <f t="shared" si="12"/>
        <v>1.7357966178346104E-2</v>
      </c>
      <c r="J42" s="11">
        <f>VLOOKUP(A42,TB!TB,5,FALSE)</f>
        <v>4558.25</v>
      </c>
      <c r="K42" s="41">
        <f t="shared" si="13"/>
        <v>1.7357966178346104E-2</v>
      </c>
      <c r="M42" s="134">
        <f>VLOOKUP(A42,TB!TB1_1,4,FALSE)</f>
        <v>10271</v>
      </c>
      <c r="N42" s="41">
        <f t="shared" si="14"/>
        <v>5.263100719073506E-2</v>
      </c>
      <c r="P42" s="11">
        <f>VLOOKUP(A42,TB!TB1_1,5,FALSE)</f>
        <v>10271</v>
      </c>
      <c r="Q42" s="41">
        <f t="shared" si="15"/>
        <v>5.263100719073506E-2</v>
      </c>
    </row>
    <row r="43" spans="1:17" x14ac:dyDescent="0.25">
      <c r="A43" s="36" t="s">
        <v>387</v>
      </c>
      <c r="C43" t="s">
        <v>388</v>
      </c>
      <c r="G43" s="134">
        <f>VLOOKUP(A43,TB!TB,4,FALSE)</f>
        <v>0</v>
      </c>
      <c r="H43" s="41">
        <f t="shared" si="12"/>
        <v>0</v>
      </c>
      <c r="J43" s="11">
        <f>VLOOKUP(A43,TB!TB,5,FALSE)</f>
        <v>0</v>
      </c>
      <c r="K43" s="41">
        <f t="shared" si="13"/>
        <v>0</v>
      </c>
      <c r="M43" s="134">
        <f>VLOOKUP(A43,TB!TB1_1,4,FALSE)</f>
        <v>0</v>
      </c>
      <c r="N43" s="41">
        <f t="shared" si="14"/>
        <v>0</v>
      </c>
      <c r="P43" s="11">
        <f>VLOOKUP(A43,TB!TB1_1,5,FALSE)</f>
        <v>0</v>
      </c>
      <c r="Q43" s="41">
        <f t="shared" si="15"/>
        <v>0</v>
      </c>
    </row>
    <row r="44" spans="1:17" x14ac:dyDescent="0.25">
      <c r="A44" s="36" t="s">
        <v>412</v>
      </c>
      <c r="C44" t="s">
        <v>1094</v>
      </c>
      <c r="G44" s="134">
        <f>VLOOKUP(A44,TB!TB,4,FALSE)</f>
        <v>40203.47</v>
      </c>
      <c r="H44" s="41">
        <f t="shared" si="12"/>
        <v>0.15309613832329341</v>
      </c>
      <c r="J44" s="11">
        <f>VLOOKUP(A44,TB!TB,5,FALSE)</f>
        <v>40203.47</v>
      </c>
      <c r="K44" s="41">
        <f t="shared" si="13"/>
        <v>0.15309613832329341</v>
      </c>
      <c r="M44" s="134">
        <f>VLOOKUP(A44,TB!TB1_1,4,FALSE)</f>
        <v>67787.759999999995</v>
      </c>
      <c r="N44" s="41">
        <f t="shared" si="14"/>
        <v>0.34736034310230962</v>
      </c>
      <c r="P44" s="11">
        <f>VLOOKUP(A44,TB!TB1_1,5,FALSE)</f>
        <v>67787.759999999995</v>
      </c>
      <c r="Q44" s="41">
        <f t="shared" si="15"/>
        <v>0.34736034310230962</v>
      </c>
    </row>
    <row r="45" spans="1:17" x14ac:dyDescent="0.25">
      <c r="A45" s="36" t="s">
        <v>414</v>
      </c>
      <c r="C45" t="s">
        <v>1095</v>
      </c>
      <c r="G45" s="137">
        <f>VLOOKUP(A45,TB!TB,4,FALSE)</f>
        <v>1846</v>
      </c>
      <c r="H45" s="41">
        <f t="shared" si="12"/>
        <v>7.0296288192238047E-3</v>
      </c>
      <c r="J45" s="59">
        <f>VLOOKUP(A45,TB!TB,5,FALSE)</f>
        <v>1846</v>
      </c>
      <c r="K45" s="41">
        <f t="shared" si="13"/>
        <v>7.0296288192238047E-3</v>
      </c>
      <c r="M45" s="137">
        <f>VLOOKUP(A45,TB!TB1_1,4,FALSE)</f>
        <v>16431.53</v>
      </c>
      <c r="N45" s="41">
        <f t="shared" si="14"/>
        <v>8.4199004340841085E-2</v>
      </c>
      <c r="P45" s="59">
        <f>VLOOKUP(A45,TB!TB1_1,5,FALSE)</f>
        <v>16431.53</v>
      </c>
      <c r="Q45" s="41">
        <f t="shared" si="15"/>
        <v>8.4199004340841085E-2</v>
      </c>
    </row>
    <row r="46" spans="1:17" x14ac:dyDescent="0.25">
      <c r="A46" s="39" t="s">
        <v>1276</v>
      </c>
      <c r="C46" t="s">
        <v>1345</v>
      </c>
      <c r="G46" s="137">
        <f>VLOOKUP(A46,TB!TB,4,FALSE)</f>
        <v>-67399.39</v>
      </c>
      <c r="H46" s="41">
        <f t="shared" ref="H46" si="16">IF(G$29,G46/G$29,0)</f>
        <v>-0.2566590976934478</v>
      </c>
      <c r="J46" s="59">
        <f>VLOOKUP(A46,TB!TB,5,FALSE)</f>
        <v>-67399.39</v>
      </c>
      <c r="K46" s="41">
        <f t="shared" ref="K46" si="17">IF(J$29,J46/J$29,0)</f>
        <v>-0.2566590976934478</v>
      </c>
      <c r="M46" s="137">
        <v>0</v>
      </c>
      <c r="N46" s="41">
        <f t="shared" ref="N46" si="18">IF(M$29,M46/M$29,0)</f>
        <v>0</v>
      </c>
      <c r="P46" s="59">
        <v>0</v>
      </c>
      <c r="Q46" s="41">
        <f t="shared" ref="Q46" si="19">IF(P$29,P46/P$29,0)</f>
        <v>0</v>
      </c>
    </row>
    <row r="47" spans="1:17" x14ac:dyDescent="0.25">
      <c r="A47" s="36" t="s">
        <v>441</v>
      </c>
      <c r="C47" t="s">
        <v>442</v>
      </c>
      <c r="G47" s="137">
        <f>VLOOKUP(A47,TB!TB,4,FALSE)</f>
        <v>7044.8</v>
      </c>
      <c r="H47" s="87">
        <f>IF(G$29,G47/G$29,0)</f>
        <v>2.6826830501445211E-2</v>
      </c>
      <c r="I47" s="60"/>
      <c r="J47" s="59">
        <f>VLOOKUP(A47,TB!TB,5,FALSE)</f>
        <v>7044.8</v>
      </c>
      <c r="K47" s="87">
        <f>IF(J$29,J47/J$29,0)</f>
        <v>2.6826830501445211E-2</v>
      </c>
      <c r="L47" s="60"/>
      <c r="M47" s="137">
        <f>VLOOKUP(A47,TB!TB1_1,4,FALSE)</f>
        <v>6216.35</v>
      </c>
      <c r="N47" s="87">
        <f>IF(M$29,M47/M$29,0)</f>
        <v>3.1854031890772648E-2</v>
      </c>
      <c r="O47" s="60"/>
      <c r="P47" s="59">
        <f>VLOOKUP(A47,TB!TB1_1,5,FALSE)</f>
        <v>6216.35</v>
      </c>
      <c r="Q47" s="87">
        <f>IF(P$29,P47/P$29,0)</f>
        <v>3.1854031890772648E-2</v>
      </c>
    </row>
    <row r="48" spans="1:17" x14ac:dyDescent="0.25">
      <c r="C48" s="88" t="s">
        <v>1033</v>
      </c>
      <c r="G48" s="143">
        <f>SUM(G31:G47)</f>
        <v>75002.870000000024</v>
      </c>
      <c r="H48" s="98">
        <f t="shared" si="0"/>
        <v>0.28561340004143915</v>
      </c>
      <c r="J48" s="94">
        <f>SUM(J31:J47)</f>
        <v>75002.870000000024</v>
      </c>
      <c r="K48" s="98">
        <f t="shared" ref="K48" si="20">IF(J$29,J48/J$29,0)</f>
        <v>0.28561340004143915</v>
      </c>
      <c r="M48" s="143">
        <f>SUM(M31:M47)</f>
        <v>173013.95</v>
      </c>
      <c r="N48" s="98">
        <f t="shared" ref="N48" si="21">IF(M$29,M48/M$29,0)</f>
        <v>0.88656396130342485</v>
      </c>
      <c r="P48" s="94">
        <f>SUM(P31:P47)</f>
        <v>173013.95</v>
      </c>
      <c r="Q48" s="98">
        <f t="shared" ref="Q48" si="22">IF(P$29,P48/P$29,0)</f>
        <v>0.88656396130342485</v>
      </c>
    </row>
    <row r="49" spans="1:17" x14ac:dyDescent="0.25">
      <c r="G49" s="134"/>
      <c r="H49" s="41"/>
      <c r="J49" s="11"/>
      <c r="K49" s="41"/>
      <c r="M49" s="134"/>
      <c r="N49" s="41"/>
      <c r="P49" s="11"/>
      <c r="Q49" s="41"/>
    </row>
    <row r="50" spans="1:17" x14ac:dyDescent="0.25">
      <c r="C50" s="88" t="s">
        <v>1034</v>
      </c>
      <c r="G50" s="134">
        <f>G29-G48</f>
        <v>187599.89999999994</v>
      </c>
      <c r="H50" s="41">
        <f t="shared" si="0"/>
        <v>0.7143865999585608</v>
      </c>
      <c r="J50" s="11">
        <f>J29-J48</f>
        <v>187599.89999999994</v>
      </c>
      <c r="K50" s="41">
        <f t="shared" ref="K50" si="23">IF(J$29,J50/J$29,0)</f>
        <v>0.7143865999585608</v>
      </c>
      <c r="M50" s="134">
        <f>M29-M48</f>
        <v>22137.169999999984</v>
      </c>
      <c r="N50" s="41">
        <f t="shared" ref="N50" si="24">IF(M$29,M50/M$29,0)</f>
        <v>0.11343603869657516</v>
      </c>
      <c r="P50" s="11">
        <f>P29-P48</f>
        <v>22137.169999999984</v>
      </c>
      <c r="Q50" s="41">
        <f t="shared" ref="Q50" si="25">IF(P$29,P50/P$29,0)</f>
        <v>0.11343603869657516</v>
      </c>
    </row>
    <row r="51" spans="1:17" x14ac:dyDescent="0.25">
      <c r="G51" s="134"/>
      <c r="H51" s="41"/>
      <c r="J51" s="11"/>
      <c r="K51" s="41"/>
      <c r="M51" s="134"/>
      <c r="N51" s="41"/>
      <c r="P51" s="11"/>
      <c r="Q51" s="41"/>
    </row>
    <row r="52" spans="1:17" x14ac:dyDescent="0.25">
      <c r="A52" s="36" t="s">
        <v>429</v>
      </c>
      <c r="C52" t="s">
        <v>419</v>
      </c>
      <c r="G52" s="134">
        <f>VLOOKUP(A52,TB!TB,4,FALSE)</f>
        <v>10870.02</v>
      </c>
      <c r="H52" s="41">
        <f t="shared" si="0"/>
        <v>4.139339428902445E-2</v>
      </c>
      <c r="J52" s="11">
        <f>VLOOKUP(A52,TB!TB,5,FALSE)</f>
        <v>10870.02</v>
      </c>
      <c r="K52" s="41">
        <f t="shared" ref="K52:K75" si="26">IF(J$29,J52/J$29,0)</f>
        <v>4.139339428902445E-2</v>
      </c>
      <c r="M52" s="134">
        <f>VLOOKUP(A52,TB!TB1_1,4,FALSE)</f>
        <v>9960</v>
      </c>
      <c r="N52" s="41">
        <f t="shared" ref="N52:N76" si="27">IF(M$29,M52/M$29,0)</f>
        <v>5.103737042349539E-2</v>
      </c>
      <c r="P52" s="11">
        <f>VLOOKUP(A52,TB!TB1_1,5,FALSE)</f>
        <v>9960</v>
      </c>
      <c r="Q52" s="41">
        <f t="shared" ref="Q52:Q76" si="28">IF(P$29,P52/P$29,0)</f>
        <v>5.103737042349539E-2</v>
      </c>
    </row>
    <row r="53" spans="1:17" x14ac:dyDescent="0.25">
      <c r="A53" s="36" t="s">
        <v>453</v>
      </c>
      <c r="C53" t="s">
        <v>444</v>
      </c>
      <c r="G53" s="134">
        <f>VLOOKUP(A53,TB!TB,4,FALSE)</f>
        <v>16717.38</v>
      </c>
      <c r="H53" s="41">
        <f t="shared" ref="H53" si="29">IF(G$29,G53/G$29,0)</f>
        <v>6.3660333819022558E-2</v>
      </c>
      <c r="J53" s="11">
        <f>VLOOKUP(A53,TB!TB,5,FALSE)</f>
        <v>16717.38</v>
      </c>
      <c r="K53" s="41">
        <f t="shared" si="26"/>
        <v>6.3660333819022558E-2</v>
      </c>
      <c r="M53" s="134">
        <f>VLOOKUP(A53,TB!TB1_1,4,FALSE)</f>
        <v>16805.400000000001</v>
      </c>
      <c r="N53" s="41">
        <f t="shared" si="27"/>
        <v>8.6114801698294136E-2</v>
      </c>
      <c r="P53" s="11">
        <f>VLOOKUP(A53,TB!TB1_1,5,FALSE)</f>
        <v>16805.400000000001</v>
      </c>
      <c r="Q53" s="41">
        <f t="shared" si="28"/>
        <v>8.6114801698294136E-2</v>
      </c>
    </row>
    <row r="54" spans="1:17" x14ac:dyDescent="0.25">
      <c r="A54" s="36" t="s">
        <v>467</v>
      </c>
      <c r="C54" t="s">
        <v>464</v>
      </c>
      <c r="G54" s="134">
        <f>VLOOKUP(A54,TB!TB,4,FALSE)</f>
        <v>0</v>
      </c>
      <c r="H54" s="41">
        <f t="shared" ref="H54" si="30">IF(G$29,G54/G$29,0)</f>
        <v>0</v>
      </c>
      <c r="J54" s="11">
        <f>VLOOKUP(A54,TB!TB,5,FALSE)</f>
        <v>0</v>
      </c>
      <c r="K54" s="41">
        <f t="shared" si="26"/>
        <v>0</v>
      </c>
      <c r="M54" s="134">
        <f>VLOOKUP(A54,TB!TB1_1,4,FALSE)</f>
        <v>0</v>
      </c>
      <c r="N54" s="41">
        <f t="shared" si="27"/>
        <v>0</v>
      </c>
      <c r="P54" s="11">
        <f>VLOOKUP(A54,TB!TB1_1,5,FALSE)</f>
        <v>0</v>
      </c>
      <c r="Q54" s="41">
        <f t="shared" si="28"/>
        <v>0</v>
      </c>
    </row>
    <row r="55" spans="1:17" x14ac:dyDescent="0.25">
      <c r="A55" s="36" t="s">
        <v>481</v>
      </c>
      <c r="C55" t="s">
        <v>472</v>
      </c>
      <c r="G55" s="134">
        <f>VLOOKUP(A55,TB!TB,4,FALSE)</f>
        <v>19489.78</v>
      </c>
      <c r="H55" s="41">
        <f t="shared" ref="H55" si="31">IF(G$29,G55/G$29,0)</f>
        <v>7.4217724359876336E-2</v>
      </c>
      <c r="J55" s="11">
        <f>VLOOKUP(A55,TB!TB,5,FALSE)</f>
        <v>19489.78</v>
      </c>
      <c r="K55" s="41">
        <f t="shared" si="26"/>
        <v>7.4217724359876336E-2</v>
      </c>
      <c r="M55" s="134">
        <f>VLOOKUP(A55,TB!TB1_1,4,FALSE)</f>
        <v>16263.21</v>
      </c>
      <c r="N55" s="41">
        <f t="shared" si="27"/>
        <v>8.3336493277619925E-2</v>
      </c>
      <c r="P55" s="11">
        <f>VLOOKUP(A55,TB!TB1_1,5,FALSE)</f>
        <v>16263.21</v>
      </c>
      <c r="Q55" s="41">
        <f t="shared" si="28"/>
        <v>8.3336493277619925E-2</v>
      </c>
    </row>
    <row r="56" spans="1:17" x14ac:dyDescent="0.25">
      <c r="A56" s="36" t="s">
        <v>648</v>
      </c>
      <c r="C56" t="s">
        <v>639</v>
      </c>
      <c r="G56" s="134">
        <f>VLOOKUP(A56,TB!TB,4,FALSE)</f>
        <v>4110.6000000000004</v>
      </c>
      <c r="H56" s="41">
        <f t="shared" ref="H56" si="32">IF(G$29,G56/G$29,0)</f>
        <v>1.5653300229849065E-2</v>
      </c>
      <c r="J56" s="11">
        <f>VLOOKUP(A56,TB!TB,5,FALSE)</f>
        <v>4110.6000000000004</v>
      </c>
      <c r="K56" s="41">
        <f t="shared" si="26"/>
        <v>1.5653300229849065E-2</v>
      </c>
      <c r="M56" s="134">
        <f>VLOOKUP(A56,TB!TB1_1,4,FALSE)</f>
        <v>22407.33</v>
      </c>
      <c r="N56" s="41">
        <f t="shared" si="27"/>
        <v>0.11482040174814268</v>
      </c>
      <c r="P56" s="11">
        <f>VLOOKUP(A56,TB!TB1_1,5,FALSE)</f>
        <v>22407.33</v>
      </c>
      <c r="Q56" s="41">
        <f t="shared" si="28"/>
        <v>0.11482040174814268</v>
      </c>
    </row>
    <row r="57" spans="1:17" x14ac:dyDescent="0.25">
      <c r="A57" s="36" t="s">
        <v>663</v>
      </c>
      <c r="C57" t="s">
        <v>654</v>
      </c>
      <c r="G57" s="134">
        <f>VLOOKUP(A57,TB!TB,4,FALSE)</f>
        <v>2212.25</v>
      </c>
      <c r="H57" s="41">
        <f t="shared" ref="H57" si="33">IF(G$29,G57/G$29,0)</f>
        <v>8.4243208858764147E-3</v>
      </c>
      <c r="J57" s="11">
        <f>VLOOKUP(A57,TB!TB,5,FALSE)</f>
        <v>2212.25</v>
      </c>
      <c r="K57" s="41">
        <f t="shared" si="26"/>
        <v>8.4243208858764147E-3</v>
      </c>
      <c r="M57" s="134">
        <f>VLOOKUP(A57,TB!TB1_1,4,FALSE)</f>
        <v>2106.48</v>
      </c>
      <c r="N57" s="41">
        <f t="shared" si="27"/>
        <v>1.079409639053058E-2</v>
      </c>
      <c r="P57" s="11">
        <f>VLOOKUP(A57,TB!TB1_1,5,FALSE)</f>
        <v>2106.48</v>
      </c>
      <c r="Q57" s="41">
        <f t="shared" si="28"/>
        <v>1.079409639053058E-2</v>
      </c>
    </row>
    <row r="58" spans="1:17" x14ac:dyDescent="0.25">
      <c r="A58" s="36" t="s">
        <v>495</v>
      </c>
      <c r="C58" t="s">
        <v>488</v>
      </c>
      <c r="G58" s="134">
        <f>VLOOKUP(A58,TB!TB,4,FALSE)</f>
        <v>0</v>
      </c>
      <c r="H58" s="41">
        <f t="shared" ref="H58" si="34">IF(G$29,G58/G$29,0)</f>
        <v>0</v>
      </c>
      <c r="J58" s="11">
        <f>VLOOKUP(A58,TB!TB,5,FALSE)</f>
        <v>0</v>
      </c>
      <c r="K58" s="41">
        <f t="shared" si="26"/>
        <v>0</v>
      </c>
      <c r="M58" s="134">
        <f>VLOOKUP(A58,TB!TB1_1,4,FALSE)</f>
        <v>0</v>
      </c>
      <c r="N58" s="41">
        <f t="shared" si="27"/>
        <v>0</v>
      </c>
      <c r="P58" s="11">
        <f>VLOOKUP(A58,TB!TB1_1,5,FALSE)</f>
        <v>0</v>
      </c>
      <c r="Q58" s="41">
        <f t="shared" si="28"/>
        <v>0</v>
      </c>
    </row>
    <row r="59" spans="1:17" x14ac:dyDescent="0.25">
      <c r="A59" s="36" t="s">
        <v>507</v>
      </c>
      <c r="C59" t="s">
        <v>500</v>
      </c>
      <c r="G59" s="134">
        <f>VLOOKUP(A59,TB!TB,4,FALSE)</f>
        <v>145.91999999999999</v>
      </c>
      <c r="H59" s="41">
        <f t="shared" ref="H59" si="35">IF(G$29,G59/G$29,0)</f>
        <v>5.5566816755207881E-4</v>
      </c>
      <c r="J59" s="11">
        <f>VLOOKUP(A59,TB!TB,5,FALSE)</f>
        <v>145.91999999999999</v>
      </c>
      <c r="K59" s="41">
        <f t="shared" si="26"/>
        <v>5.5566816755207881E-4</v>
      </c>
      <c r="M59" s="134">
        <f>VLOOKUP(A59,TB!TB1_1,4,FALSE)</f>
        <v>0</v>
      </c>
      <c r="N59" s="41">
        <f t="shared" si="27"/>
        <v>0</v>
      </c>
      <c r="P59" s="11">
        <f>VLOOKUP(A59,TB!TB1_1,5,FALSE)</f>
        <v>0</v>
      </c>
      <c r="Q59" s="41">
        <f t="shared" si="28"/>
        <v>0</v>
      </c>
    </row>
    <row r="60" spans="1:17" x14ac:dyDescent="0.25">
      <c r="A60" s="36" t="s">
        <v>517</v>
      </c>
      <c r="C60" t="s">
        <v>511</v>
      </c>
      <c r="G60" s="134">
        <f>VLOOKUP(A60,TB!TB,4,FALSE)</f>
        <v>9077</v>
      </c>
      <c r="H60" s="41">
        <f t="shared" ref="H60" si="36">IF(G$29,G60/G$29,0)</f>
        <v>3.4565515055305779E-2</v>
      </c>
      <c r="J60" s="11">
        <f>VLOOKUP(A60,TB!TB,5,FALSE)</f>
        <v>9077</v>
      </c>
      <c r="K60" s="41">
        <f t="shared" si="26"/>
        <v>3.4565515055305779E-2</v>
      </c>
      <c r="M60" s="134">
        <f>VLOOKUP(A60,TB!TB1_1,4,FALSE)</f>
        <v>9756.11</v>
      </c>
      <c r="N60" s="41">
        <f t="shared" si="27"/>
        <v>4.9992590357667434E-2</v>
      </c>
      <c r="P60" s="11">
        <f>VLOOKUP(A60,TB!TB1_1,5,FALSE)</f>
        <v>9756.11</v>
      </c>
      <c r="Q60" s="41">
        <f t="shared" si="28"/>
        <v>4.9992590357667434E-2</v>
      </c>
    </row>
    <row r="61" spans="1:17" x14ac:dyDescent="0.25">
      <c r="A61" s="36" t="s">
        <v>530</v>
      </c>
      <c r="C61" t="s">
        <v>522</v>
      </c>
      <c r="G61" s="134">
        <f>VLOOKUP(A61,TB!TB,4,FALSE)</f>
        <v>11040</v>
      </c>
      <c r="H61" s="41">
        <f t="shared" ref="H61" si="37">IF(G$29,G61/G$29,0)</f>
        <v>4.204068372926912E-2</v>
      </c>
      <c r="J61" s="11">
        <f>VLOOKUP(A61,TB!TB,5,FALSE)</f>
        <v>11040</v>
      </c>
      <c r="K61" s="41">
        <f t="shared" si="26"/>
        <v>4.204068372926912E-2</v>
      </c>
      <c r="M61" s="134">
        <f>VLOOKUP(A61,TB!TB1_1,4,FALSE)</f>
        <v>4533.75</v>
      </c>
      <c r="N61" s="41">
        <f t="shared" si="27"/>
        <v>2.3231995798948017E-2</v>
      </c>
      <c r="P61" s="11">
        <f>VLOOKUP(A61,TB!TB1_1,5,FALSE)</f>
        <v>4533.75</v>
      </c>
      <c r="Q61" s="41">
        <f t="shared" si="28"/>
        <v>2.3231995798948017E-2</v>
      </c>
    </row>
    <row r="62" spans="1:17" x14ac:dyDescent="0.25">
      <c r="A62" s="36" t="s">
        <v>549</v>
      </c>
      <c r="C62" t="s">
        <v>540</v>
      </c>
      <c r="G62" s="134">
        <f>VLOOKUP(A62,TB!TB,4,FALSE)</f>
        <v>456.25</v>
      </c>
      <c r="H62" s="41">
        <f t="shared" ref="H62" si="38">IF(G$29,G62/G$29,0)</f>
        <v>1.7374150318368693E-3</v>
      </c>
      <c r="J62" s="11">
        <f>VLOOKUP(A62,TB!TB,5,FALSE)</f>
        <v>456.25</v>
      </c>
      <c r="K62" s="41">
        <f t="shared" si="26"/>
        <v>1.7374150318368693E-3</v>
      </c>
      <c r="M62" s="134">
        <f>VLOOKUP(A62,TB!TB1_1,4,FALSE)</f>
        <v>180</v>
      </c>
      <c r="N62" s="41">
        <f t="shared" si="27"/>
        <v>9.2236211608726613E-4</v>
      </c>
      <c r="P62" s="11">
        <f>VLOOKUP(A62,TB!TB1_1,5,FALSE)</f>
        <v>180</v>
      </c>
      <c r="Q62" s="41">
        <f t="shared" si="28"/>
        <v>9.2236211608726613E-4</v>
      </c>
    </row>
    <row r="63" spans="1:17" x14ac:dyDescent="0.25">
      <c r="A63" s="36" t="s">
        <v>555</v>
      </c>
      <c r="C63" t="s">
        <v>245</v>
      </c>
      <c r="G63" s="134">
        <f>VLOOKUP(A63,TB!TB,4,FALSE)</f>
        <v>6996.54</v>
      </c>
      <c r="H63" s="41">
        <f t="shared" ref="H63" si="39">IF(G$29,G63/G$29,0)</f>
        <v>2.6643054831447518E-2</v>
      </c>
      <c r="J63" s="11">
        <f>VLOOKUP(A63,TB!TB,5,FALSE)</f>
        <v>6996.54</v>
      </c>
      <c r="K63" s="41">
        <f t="shared" si="26"/>
        <v>2.6643054831447518E-2</v>
      </c>
      <c r="M63" s="134">
        <f>VLOOKUP(A63,TB!TB1_1,4,FALSE)</f>
        <v>7216.33</v>
      </c>
      <c r="N63" s="41">
        <f t="shared" si="27"/>
        <v>3.6978163384355674E-2</v>
      </c>
      <c r="P63" s="11">
        <f>VLOOKUP(A63,TB!TB1_1,5,FALSE)</f>
        <v>7216.33</v>
      </c>
      <c r="Q63" s="41">
        <f t="shared" si="28"/>
        <v>3.6978163384355674E-2</v>
      </c>
    </row>
    <row r="64" spans="1:17" x14ac:dyDescent="0.25">
      <c r="A64" s="36" t="s">
        <v>564</v>
      </c>
      <c r="C64" t="s">
        <v>557</v>
      </c>
      <c r="G64" s="134">
        <f>VLOOKUP(A64,TB!TB,4,FALSE)</f>
        <v>3965.2</v>
      </c>
      <c r="H64" s="41">
        <f t="shared" ref="H64" si="40">IF(G$29,G64/G$29,0)</f>
        <v>1.5099612239429159E-2</v>
      </c>
      <c r="J64" s="11">
        <f>VLOOKUP(A64,TB!TB,5,FALSE)</f>
        <v>3965.2</v>
      </c>
      <c r="K64" s="41">
        <f t="shared" si="26"/>
        <v>1.5099612239429159E-2</v>
      </c>
      <c r="M64" s="134">
        <f>VLOOKUP(A64,TB!TB1_1,4,FALSE)</f>
        <v>6688.68</v>
      </c>
      <c r="N64" s="41">
        <f t="shared" si="27"/>
        <v>3.4274361325725422E-2</v>
      </c>
      <c r="P64" s="11">
        <f>VLOOKUP(A64,TB!TB1_1,5,FALSE)</f>
        <v>6688.68</v>
      </c>
      <c r="Q64" s="41">
        <f t="shared" si="28"/>
        <v>3.4274361325725422E-2</v>
      </c>
    </row>
    <row r="65" spans="1:17" x14ac:dyDescent="0.25">
      <c r="A65" s="36" t="s">
        <v>578</v>
      </c>
      <c r="C65" t="s">
        <v>571</v>
      </c>
      <c r="G65" s="134">
        <f>VLOOKUP(A65,TB!TB,4,FALSE)</f>
        <v>1264.8800000000001</v>
      </c>
      <c r="H65" s="41">
        <f t="shared" ref="H65" si="41">IF(G$29,G65/G$29,0)</f>
        <v>4.8167047133585083E-3</v>
      </c>
      <c r="J65" s="11">
        <f>VLOOKUP(A65,TB!TB,5,FALSE)</f>
        <v>1264.8800000000001</v>
      </c>
      <c r="K65" s="41">
        <f t="shared" si="26"/>
        <v>4.8167047133585083E-3</v>
      </c>
      <c r="M65" s="134">
        <f>VLOOKUP(A65,TB!TB1_1,4,FALSE)</f>
        <v>1506.17</v>
      </c>
      <c r="N65" s="41">
        <f t="shared" si="27"/>
        <v>7.7179674910397653E-3</v>
      </c>
      <c r="P65" s="11">
        <f>VLOOKUP(A65,TB!TB1_1,5,FALSE)</f>
        <v>1506.17</v>
      </c>
      <c r="Q65" s="41">
        <f t="shared" si="28"/>
        <v>7.7179674910397653E-3</v>
      </c>
    </row>
    <row r="66" spans="1:17" x14ac:dyDescent="0.25">
      <c r="A66" s="36" t="s">
        <v>592</v>
      </c>
      <c r="C66" t="s">
        <v>585</v>
      </c>
      <c r="G66" s="134">
        <f>VLOOKUP(A66,TB!TB,4,FALSE)</f>
        <v>726.26</v>
      </c>
      <c r="H66" s="41">
        <f t="shared" ref="H66" si="42">IF(G$29,G66/G$29,0)</f>
        <v>2.7656220077191115E-3</v>
      </c>
      <c r="J66" s="11">
        <f>VLOOKUP(A66,TB!TB,5,FALSE)</f>
        <v>726.26</v>
      </c>
      <c r="K66" s="41">
        <f t="shared" si="26"/>
        <v>2.7656220077191115E-3</v>
      </c>
      <c r="M66" s="134">
        <f>VLOOKUP(A66,TB!TB1_1,4,FALSE)</f>
        <v>1731.24</v>
      </c>
      <c r="N66" s="41">
        <f t="shared" si="27"/>
        <v>8.8712788325273264E-3</v>
      </c>
      <c r="P66" s="11">
        <f>VLOOKUP(A66,TB!TB1_1,5,FALSE)</f>
        <v>1731.24</v>
      </c>
      <c r="Q66" s="41">
        <f t="shared" si="28"/>
        <v>8.8712788325273264E-3</v>
      </c>
    </row>
    <row r="67" spans="1:17" x14ac:dyDescent="0.25">
      <c r="A67" s="36" t="s">
        <v>606</v>
      </c>
      <c r="C67" t="s">
        <v>597</v>
      </c>
      <c r="G67" s="134">
        <f>VLOOKUP(A67,TB!TB,4,FALSE)</f>
        <v>2041.37</v>
      </c>
      <c r="H67" s="41">
        <f t="shared" ref="H67" si="43">IF(G$29,G67/G$29,0)</f>
        <v>7.7736042159799006E-3</v>
      </c>
      <c r="J67" s="11">
        <f>VLOOKUP(A67,TB!TB,5,FALSE)</f>
        <v>2041.37</v>
      </c>
      <c r="K67" s="41">
        <f t="shared" si="26"/>
        <v>7.7736042159799006E-3</v>
      </c>
      <c r="M67" s="134">
        <f>VLOOKUP(A67,TB!TB1_1,4,FALSE)</f>
        <v>1634.11</v>
      </c>
      <c r="N67" s="41">
        <f t="shared" si="27"/>
        <v>8.3735619862186795E-3</v>
      </c>
      <c r="P67" s="11">
        <f>VLOOKUP(A67,TB!TB1_1,5,FALSE)</f>
        <v>1634.11</v>
      </c>
      <c r="Q67" s="41">
        <f t="shared" si="28"/>
        <v>8.3735619862186795E-3</v>
      </c>
    </row>
    <row r="68" spans="1:17" x14ac:dyDescent="0.25">
      <c r="A68" s="36" t="s">
        <v>618</v>
      </c>
      <c r="C68" t="s">
        <v>611</v>
      </c>
      <c r="G68" s="134">
        <f>VLOOKUP(A68,TB!TB,4,FALSE)</f>
        <v>0</v>
      </c>
      <c r="H68" s="41">
        <f t="shared" ref="H68" si="44">IF(G$29,G68/G$29,0)</f>
        <v>0</v>
      </c>
      <c r="J68" s="11">
        <f>VLOOKUP(A68,TB!TB,5,FALSE)</f>
        <v>0</v>
      </c>
      <c r="K68" s="41">
        <f t="shared" si="26"/>
        <v>0</v>
      </c>
      <c r="M68" s="134">
        <f>VLOOKUP(A68,TB!TB1_1,4,FALSE)</f>
        <v>0</v>
      </c>
      <c r="N68" s="41">
        <f t="shared" si="27"/>
        <v>0</v>
      </c>
      <c r="P68" s="11">
        <f>VLOOKUP(A68,TB!TB1_1,5,FALSE)</f>
        <v>0</v>
      </c>
      <c r="Q68" s="41">
        <f t="shared" si="28"/>
        <v>0</v>
      </c>
    </row>
    <row r="69" spans="1:17" x14ac:dyDescent="0.25">
      <c r="A69" s="36" t="s">
        <v>630</v>
      </c>
      <c r="C69" t="s">
        <v>623</v>
      </c>
      <c r="G69" s="134">
        <f>VLOOKUP(A69,TB!TB,4,FALSE)</f>
        <v>0</v>
      </c>
      <c r="H69" s="41">
        <f t="shared" ref="H69" si="45">IF(G$29,G69/G$29,0)</f>
        <v>0</v>
      </c>
      <c r="J69" s="11">
        <f>VLOOKUP(A69,TB!TB,5,FALSE)</f>
        <v>0</v>
      </c>
      <c r="K69" s="41">
        <f t="shared" si="26"/>
        <v>0</v>
      </c>
      <c r="M69" s="134">
        <f>VLOOKUP(A69,TB!TB1_1,4,FALSE)</f>
        <v>0</v>
      </c>
      <c r="N69" s="41">
        <f t="shared" si="27"/>
        <v>0</v>
      </c>
      <c r="P69" s="11">
        <f>VLOOKUP(A69,TB!TB1_1,5,FALSE)</f>
        <v>0</v>
      </c>
      <c r="Q69" s="41">
        <f t="shared" si="28"/>
        <v>0</v>
      </c>
    </row>
    <row r="70" spans="1:17" x14ac:dyDescent="0.25">
      <c r="A70" s="36" t="s">
        <v>687</v>
      </c>
      <c r="C70" t="s">
        <v>678</v>
      </c>
      <c r="G70" s="134">
        <f>VLOOKUP(A70,TB!TB,4,FALSE)</f>
        <v>2090.15</v>
      </c>
      <c r="H70" s="41">
        <f t="shared" ref="H70" si="46">IF(G$29,G70/G$29,0)</f>
        <v>7.9593600631097695E-3</v>
      </c>
      <c r="J70" s="11">
        <f>VLOOKUP(A70,TB!TB,5,FALSE)</f>
        <v>2090.15</v>
      </c>
      <c r="K70" s="41">
        <f t="shared" si="26"/>
        <v>7.9593600631097695E-3</v>
      </c>
      <c r="M70" s="134">
        <f>VLOOKUP(A70,TB!TB1_1,4,FALSE)</f>
        <v>2713.01</v>
      </c>
      <c r="N70" s="41">
        <f t="shared" si="27"/>
        <v>1.390209802536619E-2</v>
      </c>
      <c r="P70" s="11">
        <f>VLOOKUP(A70,TB!TB1_1,5,FALSE)</f>
        <v>2713.01</v>
      </c>
      <c r="Q70" s="41">
        <f t="shared" si="28"/>
        <v>1.390209802536619E-2</v>
      </c>
    </row>
    <row r="71" spans="1:17" x14ac:dyDescent="0.25">
      <c r="A71" s="36" t="s">
        <v>702</v>
      </c>
      <c r="C71" t="s">
        <v>696</v>
      </c>
      <c r="G71" s="134">
        <f>VLOOKUP(A71,TB!TB,4,FALSE)</f>
        <v>0</v>
      </c>
      <c r="H71" s="41">
        <f t="shared" ref="H71" si="47">IF(G$29,G71/G$29,0)</f>
        <v>0</v>
      </c>
      <c r="J71" s="11">
        <f>VLOOKUP(A71,TB!TB,5,FALSE)</f>
        <v>0</v>
      </c>
      <c r="K71" s="41">
        <f t="shared" si="26"/>
        <v>0</v>
      </c>
      <c r="M71" s="134">
        <f>VLOOKUP(A71,TB!TB1_1,4,FALSE)</f>
        <v>0</v>
      </c>
      <c r="N71" s="41">
        <f t="shared" si="27"/>
        <v>0</v>
      </c>
      <c r="P71" s="11">
        <f>VLOOKUP(A71,TB!TB1_1,5,FALSE)</f>
        <v>0</v>
      </c>
      <c r="Q71" s="41">
        <f t="shared" si="28"/>
        <v>0</v>
      </c>
    </row>
    <row r="72" spans="1:17" x14ac:dyDescent="0.25">
      <c r="A72" s="36" t="s">
        <v>706</v>
      </c>
      <c r="C72" t="s">
        <v>1069</v>
      </c>
      <c r="G72" s="134">
        <f>VLOOKUP(A72,TB!TB,4,FALSE)</f>
        <v>111.93</v>
      </c>
      <c r="H72" s="41">
        <f t="shared" ref="H72" si="48">IF(G$29,G72/G$29,0)</f>
        <v>4.2623312770082364E-4</v>
      </c>
      <c r="J72" s="11">
        <f>VLOOKUP(A72,TB!TB,5,FALSE)</f>
        <v>111.93</v>
      </c>
      <c r="K72" s="41">
        <f t="shared" si="26"/>
        <v>4.2623312770082364E-4</v>
      </c>
      <c r="M72" s="134">
        <f>VLOOKUP(A72,TB!TB1_1,4,FALSE)</f>
        <v>204.41</v>
      </c>
      <c r="N72" s="41">
        <f t="shared" si="27"/>
        <v>1.0474446674966558E-3</v>
      </c>
      <c r="P72" s="11">
        <f>VLOOKUP(A72,TB!TB1_1,5,FALSE)</f>
        <v>204.41</v>
      </c>
      <c r="Q72" s="41">
        <f t="shared" si="28"/>
        <v>1.0474446674966558E-3</v>
      </c>
    </row>
    <row r="73" spans="1:17" x14ac:dyDescent="0.25">
      <c r="A73" s="36" t="s">
        <v>709</v>
      </c>
      <c r="C73" t="s">
        <v>710</v>
      </c>
      <c r="G73" s="134">
        <f>VLOOKUP(A73,TB!TB,4,FALSE)</f>
        <v>25984.720000000001</v>
      </c>
      <c r="H73" s="41">
        <f t="shared" ref="H73" si="49">IF(G$29,G73/G$29,0)</f>
        <v>9.8950669865363591E-2</v>
      </c>
      <c r="J73" s="11">
        <f>VLOOKUP(A73,TB!TB,5,FALSE)</f>
        <v>25984.720000000001</v>
      </c>
      <c r="K73" s="41">
        <f t="shared" si="26"/>
        <v>9.8950669865363591E-2</v>
      </c>
      <c r="M73" s="134">
        <f>VLOOKUP(A73,TB!TB1_1,4,FALSE)</f>
        <v>23959.79</v>
      </c>
      <c r="N73" s="41">
        <f t="shared" si="27"/>
        <v>0.12277557003003622</v>
      </c>
      <c r="P73" s="11">
        <f>VLOOKUP(A73,TB!TB1_1,5,FALSE)</f>
        <v>23959.79</v>
      </c>
      <c r="Q73" s="41">
        <f t="shared" si="28"/>
        <v>0.12277557003003622</v>
      </c>
    </row>
    <row r="74" spans="1:17" x14ac:dyDescent="0.25">
      <c r="A74" s="36" t="s">
        <v>733</v>
      </c>
      <c r="C74" t="s">
        <v>2053</v>
      </c>
      <c r="G74" s="134">
        <f>VLOOKUP(A74,TB!TB,4,FALSE)</f>
        <v>0</v>
      </c>
      <c r="H74" s="41">
        <f t="shared" ref="H74" si="50">IF(G$29,G74/G$29,0)</f>
        <v>0</v>
      </c>
      <c r="J74" s="11">
        <f>VLOOKUP(A74,TB!TB,5,FALSE)</f>
        <v>0</v>
      </c>
      <c r="K74" s="41">
        <f t="shared" si="26"/>
        <v>0</v>
      </c>
      <c r="M74" s="134">
        <f>VLOOKUP(A74,TB!TB1_1,4,FALSE)</f>
        <v>0</v>
      </c>
      <c r="N74" s="41">
        <f t="shared" si="27"/>
        <v>0</v>
      </c>
      <c r="P74" s="11">
        <f>VLOOKUP(A74,TB!TB1_1,5,FALSE)</f>
        <v>0</v>
      </c>
      <c r="Q74" s="41">
        <f t="shared" si="28"/>
        <v>0</v>
      </c>
    </row>
    <row r="75" spans="1:17" x14ac:dyDescent="0.25">
      <c r="A75" s="36" t="s">
        <v>740</v>
      </c>
      <c r="C75" t="s">
        <v>1096</v>
      </c>
      <c r="G75" s="141">
        <f>VLOOKUP(A75,TB!TB,4,FALSE)</f>
        <v>1027.68</v>
      </c>
      <c r="H75" s="50">
        <f t="shared" ref="H75:K82" si="51">IF(G$29,G75/G$29,0)</f>
        <v>3.9134392984506603E-3</v>
      </c>
      <c r="I75" s="51"/>
      <c r="J75" s="29">
        <f>VLOOKUP(A75,TB!TB,5,FALSE)</f>
        <v>1027.68</v>
      </c>
      <c r="K75" s="50">
        <f t="shared" si="26"/>
        <v>3.9134392984506603E-3</v>
      </c>
      <c r="L75" s="51"/>
      <c r="M75" s="141">
        <f>VLOOKUP(A75,TB!TB1_1,4,FALSE)</f>
        <v>1531.13</v>
      </c>
      <c r="N75" s="50">
        <f t="shared" si="27"/>
        <v>7.8458683711371997E-3</v>
      </c>
      <c r="O75" s="51"/>
      <c r="P75" s="29">
        <f>VLOOKUP(A75,TB!TB1_1,5,FALSE)</f>
        <v>1531.13</v>
      </c>
      <c r="Q75" s="50">
        <f t="shared" si="28"/>
        <v>7.8458683711371997E-3</v>
      </c>
    </row>
    <row r="76" spans="1:17" x14ac:dyDescent="0.25">
      <c r="C76" s="88" t="s">
        <v>1003</v>
      </c>
      <c r="G76" s="138">
        <f>SUM(G52:G75)</f>
        <v>118327.92999999996</v>
      </c>
      <c r="H76" s="41">
        <f t="shared" si="51"/>
        <v>0.45059665593017156</v>
      </c>
      <c r="J76" s="40">
        <f>SUM(J52:J75)</f>
        <v>118327.92999999996</v>
      </c>
      <c r="K76" s="41">
        <f t="shared" si="51"/>
        <v>0.45059665593017156</v>
      </c>
      <c r="M76" s="138">
        <f>SUM(M52:M75)</f>
        <v>129197.15000000002</v>
      </c>
      <c r="N76" s="41">
        <f t="shared" si="27"/>
        <v>0.6620364259246887</v>
      </c>
      <c r="P76" s="40">
        <f>SUM(P52:P75)</f>
        <v>129197.15000000002</v>
      </c>
      <c r="Q76" s="41">
        <f t="shared" si="28"/>
        <v>0.6620364259246887</v>
      </c>
    </row>
    <row r="78" spans="1:17" x14ac:dyDescent="0.25">
      <c r="C78" s="88" t="s">
        <v>1024</v>
      </c>
      <c r="G78" s="138">
        <f>G50-G76</f>
        <v>69271.969999999972</v>
      </c>
      <c r="H78" s="41">
        <f t="shared" si="51"/>
        <v>0.26378994402838929</v>
      </c>
      <c r="J78" s="40">
        <f>J50-J76</f>
        <v>69271.969999999972</v>
      </c>
      <c r="K78" s="41">
        <f t="shared" si="51"/>
        <v>0.26378994402838929</v>
      </c>
      <c r="M78" s="138">
        <f>M50-M76</f>
        <v>-107059.98000000004</v>
      </c>
      <c r="N78" s="41">
        <f t="shared" ref="N78" si="52">IF(M$29,M78/M$29,0)</f>
        <v>-0.54860038722811344</v>
      </c>
      <c r="P78" s="40">
        <f>P50-P76</f>
        <v>-107059.98000000004</v>
      </c>
      <c r="Q78" s="41">
        <f t="shared" ref="Q78" si="53">IF(P$29,P78/P$29,0)</f>
        <v>-0.54860038722811344</v>
      </c>
    </row>
    <row r="80" spans="1:17" ht="15.75" thickBot="1" x14ac:dyDescent="0.3">
      <c r="A80" s="36" t="s">
        <v>748</v>
      </c>
      <c r="C80" t="s">
        <v>743</v>
      </c>
      <c r="G80" s="137">
        <f>VLOOKUP(A80,TB!TB,4,FALSE)</f>
        <v>0</v>
      </c>
      <c r="H80" s="41">
        <f t="shared" si="51"/>
        <v>0</v>
      </c>
      <c r="J80" s="59">
        <f>VLOOKUP(A80,TB!TB,5,FALSE)</f>
        <v>0</v>
      </c>
      <c r="K80" s="41">
        <f t="shared" ref="K80" si="54">IF(J$29,J80/J$29,0)</f>
        <v>0</v>
      </c>
      <c r="M80" s="137">
        <f>VLOOKUP(A80,TB!TB1_1,4,FALSE)</f>
        <v>49386.38</v>
      </c>
      <c r="N80" s="41">
        <f t="shared" ref="N80" si="55">IF(M$29,M80/M$29,0)</f>
        <v>0.25306736645938799</v>
      </c>
      <c r="P80" s="59">
        <f>VLOOKUP(A80,TB!TB1_1,5,FALSE)</f>
        <v>49386.38</v>
      </c>
      <c r="Q80" s="41">
        <f t="shared" ref="Q80" si="56">IF(P$29,P80/P$29,0)</f>
        <v>0.25306736645938799</v>
      </c>
    </row>
    <row r="81" spans="3:17" ht="15.75" thickTop="1" x14ac:dyDescent="0.25">
      <c r="G81" s="139"/>
      <c r="H81" s="99"/>
      <c r="J81" s="99"/>
      <c r="K81" s="99"/>
      <c r="M81" s="139"/>
      <c r="N81" s="99"/>
      <c r="P81" s="99"/>
      <c r="Q81" s="99"/>
    </row>
    <row r="82" spans="3:17" x14ac:dyDescent="0.25">
      <c r="C82" s="88" t="s">
        <v>1025</v>
      </c>
      <c r="G82" s="138">
        <f>G78-G80</f>
        <v>69271.969999999972</v>
      </c>
      <c r="H82" s="41">
        <f t="shared" si="51"/>
        <v>0.26378994402838929</v>
      </c>
      <c r="J82" s="40">
        <f>J78-J80</f>
        <v>69271.969999999972</v>
      </c>
      <c r="K82" s="41">
        <f t="shared" si="51"/>
        <v>0.26378994402838929</v>
      </c>
      <c r="M82" s="138">
        <f>M78-M80</f>
        <v>-156446.36000000004</v>
      </c>
      <c r="N82" s="41">
        <f t="shared" ref="N82" si="57">IF(M$29,M82/M$29,0)</f>
        <v>-0.80166775368750154</v>
      </c>
      <c r="P82" s="40">
        <f>P78-P80</f>
        <v>-156446.36000000004</v>
      </c>
      <c r="Q82" s="41">
        <f t="shared" ref="Q82" si="58">IF(P$29,P82/P$29,0)</f>
        <v>-0.80166775368750154</v>
      </c>
    </row>
  </sheetData>
  <mergeCells count="3">
    <mergeCell ref="A1:Q1"/>
    <mergeCell ref="A2:Q2"/>
    <mergeCell ref="A3:Q3"/>
  </mergeCells>
  <pageMargins left="0.7" right="0.7" top="0.75" bottom="0.75" header="0.3" footer="0.3"/>
  <pageSetup scale="4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0455-6619-4607-9B71-AFE3F3D1EEC6}">
  <dimension ref="A1:O41"/>
  <sheetViews>
    <sheetView zoomScaleNormal="100" workbookViewId="0">
      <selection activeCell="E20" sqref="E20"/>
    </sheetView>
  </sheetViews>
  <sheetFormatPr defaultRowHeight="15" x14ac:dyDescent="0.25"/>
  <cols>
    <col min="1" max="1" width="9.140625" style="36"/>
    <col min="2" max="2" width="1.7109375" customWidth="1"/>
    <col min="3" max="3" width="25.7109375" customWidth="1"/>
    <col min="4" max="4" width="2.28515625" customWidth="1"/>
    <col min="5" max="5" width="18.140625" style="136" customWidth="1"/>
    <col min="7" max="7" width="2" customWidth="1"/>
    <col min="8" max="8" width="18.42578125" customWidth="1"/>
    <col min="10" max="10" width="2.5703125" customWidth="1"/>
    <col min="11" max="11" width="18.28515625" style="136" customWidth="1"/>
    <col min="13" max="13" width="1.5703125" customWidth="1"/>
    <col min="14" max="14" width="18.28515625" customWidth="1"/>
  </cols>
  <sheetData>
    <row r="1" spans="1:15" ht="31.5" x14ac:dyDescent="0.5">
      <c r="A1" s="148" t="s">
        <v>1071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1112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53"/>
      <c r="B4" s="6"/>
      <c r="C4" s="8" t="s">
        <v>5</v>
      </c>
      <c r="D4" s="6"/>
      <c r="E4" s="132" t="s">
        <v>3</v>
      </c>
      <c r="F4" s="6"/>
      <c r="G4" s="6"/>
      <c r="H4" s="8" t="s">
        <v>4</v>
      </c>
      <c r="I4" s="6"/>
      <c r="J4" s="6"/>
      <c r="K4" s="132" t="s">
        <v>3</v>
      </c>
      <c r="L4" s="6"/>
      <c r="M4" s="6"/>
      <c r="N4" s="8" t="s">
        <v>4</v>
      </c>
      <c r="O4" s="5"/>
    </row>
    <row r="5" spans="1:15" ht="15.75" x14ac:dyDescent="0.25">
      <c r="A5" s="54" t="s">
        <v>1000</v>
      </c>
      <c r="B5" s="5"/>
      <c r="C5" s="38" t="s">
        <v>1039</v>
      </c>
      <c r="D5" s="5"/>
      <c r="E5" s="133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133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5" x14ac:dyDescent="0.25">
      <c r="A7" s="39" t="s">
        <v>1023</v>
      </c>
      <c r="C7" t="s">
        <v>2102</v>
      </c>
      <c r="E7" s="134">
        <f>VLOOKUP(A7,TB!TB,4,FALSE)*-1</f>
        <v>25150.94</v>
      </c>
      <c r="F7" s="41">
        <f>IF(E$11,E7/E$11,0)</f>
        <v>9.8705255224589825E-2</v>
      </c>
      <c r="H7" s="11">
        <f>VLOOKUP(A7,TB!TB,5,FALSE)*-1</f>
        <v>25150.94</v>
      </c>
      <c r="I7" s="41">
        <f>IF(H$11,H7/H$11,0)</f>
        <v>9.8705255224589825E-2</v>
      </c>
      <c r="K7" s="134">
        <f>VLOOKUP(A7,TB!TB1_1,4,FALSE)*-1</f>
        <v>67512.98</v>
      </c>
      <c r="L7" s="41">
        <f>IF(K$11,K7/K$11,0)</f>
        <v>0.27188795762681722</v>
      </c>
      <c r="N7" s="11">
        <f>VLOOKUP(A7,TB!TB1_1,5,FALSE)*-1</f>
        <v>67512.98</v>
      </c>
      <c r="O7" s="41">
        <f>IF(N$11,N7/N$11,0)</f>
        <v>0.27188795762681722</v>
      </c>
    </row>
    <row r="8" spans="1:15" x14ac:dyDescent="0.25">
      <c r="A8" s="36" t="s">
        <v>260</v>
      </c>
      <c r="C8" s="36" t="s">
        <v>1098</v>
      </c>
      <c r="E8" s="134">
        <f>VLOOKUP(A8,TB!TB,4,FALSE)*-1</f>
        <v>226195.08</v>
      </c>
      <c r="F8" s="41">
        <f>IF(E$11,E8/E$11,0)</f>
        <v>0.88770610967011621</v>
      </c>
      <c r="H8" s="11">
        <f>VLOOKUP(A8,TB!TB,5,FALSE)*-1</f>
        <v>226195.08</v>
      </c>
      <c r="I8" s="41">
        <f>IF(H$11,H8/H$11,0)</f>
        <v>0.88770610967011621</v>
      </c>
      <c r="K8" s="134">
        <f>VLOOKUP(A8,TB!TB1_1,4,FALSE)*-1</f>
        <v>180536.29</v>
      </c>
      <c r="L8" s="41">
        <f>IF(K$11,K8/K$11,0)</f>
        <v>0.72705490359961589</v>
      </c>
      <c r="N8" s="11">
        <f>VLOOKUP(A8,TB!TB1_1,5,FALSE)*-1</f>
        <v>180536.29</v>
      </c>
      <c r="O8" s="41">
        <f>IF(N$11,N8/N$11,0)</f>
        <v>0.72705490359961589</v>
      </c>
    </row>
    <row r="9" spans="1:15" x14ac:dyDescent="0.25">
      <c r="A9" s="36" t="s">
        <v>262</v>
      </c>
      <c r="C9" s="36" t="s">
        <v>1099</v>
      </c>
      <c r="E9" s="134">
        <f>VLOOKUP(A9,TB!TB,4,FALSE)*-1</f>
        <v>0</v>
      </c>
      <c r="F9" s="41">
        <f>IF(E$11,E9/E$11,0)</f>
        <v>0</v>
      </c>
      <c r="H9" s="11">
        <f>VLOOKUP(A9,TB!TB,5,FALSE)*-1</f>
        <v>0</v>
      </c>
      <c r="I9" s="41">
        <f>IF(H$11,H9/H$11,0)</f>
        <v>0</v>
      </c>
      <c r="K9" s="134">
        <f>VLOOKUP(A9,TB!TB1_1,4,FALSE)*-1</f>
        <v>0</v>
      </c>
      <c r="L9" s="41">
        <f>IF(K$11,K9/K$11,0)</f>
        <v>0</v>
      </c>
      <c r="N9" s="11">
        <f>VLOOKUP(A9,TB!TB1_1,5,FALSE)*-1</f>
        <v>0</v>
      </c>
      <c r="O9" s="41">
        <f>IF(N$11,N9/N$11,0)</f>
        <v>0</v>
      </c>
    </row>
    <row r="10" spans="1:15" x14ac:dyDescent="0.25">
      <c r="A10" s="36" t="s">
        <v>264</v>
      </c>
      <c r="C10" s="36" t="s">
        <v>265</v>
      </c>
      <c r="E10" s="141">
        <f>VLOOKUP(A10,TB!TB,4,FALSE)*-1</f>
        <v>3462.5</v>
      </c>
      <c r="F10" s="61">
        <f>IF(E$11,E10/E$11,0)</f>
        <v>1.3588635105293968E-2</v>
      </c>
      <c r="G10" s="40"/>
      <c r="H10" s="29">
        <f>VLOOKUP(A10,TB!TB,5,FALSE)*-1</f>
        <v>3462.5</v>
      </c>
      <c r="I10" s="61">
        <f>IF(H$11,H10/H$11,0)</f>
        <v>1.3588635105293968E-2</v>
      </c>
      <c r="J10" s="40"/>
      <c r="K10" s="141">
        <f>VLOOKUP(A10,TB!TB1_1,4,FALSE)*-1</f>
        <v>262.5</v>
      </c>
      <c r="L10" s="61">
        <f>IF(K$11,K10/K$11,0)</f>
        <v>1.0571387735667946E-3</v>
      </c>
      <c r="M10" s="40"/>
      <c r="N10" s="29">
        <f>VLOOKUP(A10,TB!TB1_1,5,FALSE)*-1</f>
        <v>262.5</v>
      </c>
      <c r="O10" s="61">
        <f>IF(N$11,N10/N$11,0)</f>
        <v>1.0571387735667946E-3</v>
      </c>
    </row>
    <row r="11" spans="1:15" x14ac:dyDescent="0.25">
      <c r="C11" s="88" t="s">
        <v>1038</v>
      </c>
      <c r="E11" s="138">
        <f>SUM(E7:E10)</f>
        <v>254808.52</v>
      </c>
      <c r="F11" s="41">
        <f>IF(E$11,E11/E$11,0)</f>
        <v>1</v>
      </c>
      <c r="H11" s="40">
        <f>SUM(H7:H10)</f>
        <v>254808.52</v>
      </c>
      <c r="I11" s="41">
        <f>IF(H$11,H11/H$11,0)</f>
        <v>1</v>
      </c>
      <c r="K11" s="138">
        <f>SUM(K7:K10)</f>
        <v>248311.77000000002</v>
      </c>
      <c r="L11" s="41">
        <f>IF(K$11,K11/K$11,0)</f>
        <v>1</v>
      </c>
      <c r="N11" s="40">
        <f>SUM(N7:N10)</f>
        <v>248311.77000000002</v>
      </c>
      <c r="O11" s="41">
        <f>IF(N$11,N11/N$11,0)</f>
        <v>1</v>
      </c>
    </row>
    <row r="12" spans="1:15" x14ac:dyDescent="0.25">
      <c r="C12" s="36"/>
    </row>
    <row r="13" spans="1:15" x14ac:dyDescent="0.25">
      <c r="A13" s="36" t="s">
        <v>346</v>
      </c>
      <c r="C13" s="36" t="s">
        <v>1030</v>
      </c>
      <c r="E13" s="134">
        <f>VLOOKUP(A13,TB!TB,4,FALSE)</f>
        <v>0</v>
      </c>
      <c r="F13" s="57">
        <f t="shared" ref="F13:F20" si="0">IF(E$11,E13/E$11,0)</f>
        <v>0</v>
      </c>
      <c r="G13" s="58"/>
      <c r="H13" s="11">
        <f>VLOOKUP(A13,TB!TB,5,FALSE)</f>
        <v>0</v>
      </c>
      <c r="I13" s="57">
        <f t="shared" ref="I13:I20" si="1">IF(H$11,H13/H$11,0)</f>
        <v>0</v>
      </c>
      <c r="J13" s="58"/>
      <c r="K13" s="134">
        <f>VLOOKUP(A13,TB!TB1_1,4,FALSE)</f>
        <v>0</v>
      </c>
      <c r="L13" s="57">
        <f t="shared" ref="L13:L20" si="2">IF(K$11,K13/K$11,0)</f>
        <v>0</v>
      </c>
      <c r="M13" s="58"/>
      <c r="N13" s="11">
        <f>VLOOKUP(A13,TB!TB1_1,5,FALSE)</f>
        <v>0</v>
      </c>
      <c r="O13" s="57">
        <f t="shared" ref="O13:O20" si="3">IF(N$11,N13/N$11,0)</f>
        <v>0</v>
      </c>
    </row>
    <row r="14" spans="1:15" x14ac:dyDescent="0.25">
      <c r="A14" s="36" t="s">
        <v>385</v>
      </c>
      <c r="C14" s="36" t="s">
        <v>386</v>
      </c>
      <c r="E14" s="142">
        <f>VLOOKUP(A14,TB!TB,4,FALSE)</f>
        <v>7600</v>
      </c>
      <c r="F14" s="41">
        <f t="shared" si="0"/>
        <v>2.9826318209453907E-2</v>
      </c>
      <c r="H14" s="26">
        <f>VLOOKUP(A14,TB!TB,5,FALSE)</f>
        <v>7600</v>
      </c>
      <c r="I14" s="41">
        <f t="shared" si="1"/>
        <v>2.9826318209453907E-2</v>
      </c>
      <c r="K14" s="134">
        <f>VLOOKUP(A14,TB!TB1_1,4,FALSE)</f>
        <v>9374</v>
      </c>
      <c r="L14" s="41">
        <f t="shared" si="2"/>
        <v>3.7750929003486221E-2</v>
      </c>
      <c r="N14" s="11">
        <f>VLOOKUP(A14,TB!TB1_1,5,FALSE)</f>
        <v>9374</v>
      </c>
      <c r="O14" s="41">
        <f t="shared" si="3"/>
        <v>3.7750929003486221E-2</v>
      </c>
    </row>
    <row r="15" spans="1:15" x14ac:dyDescent="0.25">
      <c r="A15" s="39" t="s">
        <v>400</v>
      </c>
      <c r="C15" s="36" t="s">
        <v>1047</v>
      </c>
      <c r="E15" s="142">
        <f>VLOOKUP(A15,TB!TB,4,FALSE)</f>
        <v>1515.64</v>
      </c>
      <c r="F15" s="41">
        <f t="shared" ref="F15" si="4">IF(E$11,E15/E$11,0)</f>
        <v>5.948152754075885E-3</v>
      </c>
      <c r="H15" s="26">
        <f>VLOOKUP(A15,TB!TB,5,FALSE)</f>
        <v>1515.64</v>
      </c>
      <c r="I15" s="41">
        <f t="shared" ref="I15" si="5">IF(H$11,H15/H$11,0)</f>
        <v>5.948152754075885E-3</v>
      </c>
      <c r="K15" s="134">
        <f>VLOOKUP(A15,TB!TB1_1,4,FALSE)</f>
        <v>447.97</v>
      </c>
      <c r="L15" s="41">
        <f t="shared" ref="L15" si="6">IF(K$11,K15/K$11,0)</f>
        <v>1.8040626910274934E-3</v>
      </c>
      <c r="N15" s="11">
        <f>VLOOKUP(A15,TB!TB1_1,5,FALSE)</f>
        <v>447.97</v>
      </c>
      <c r="O15" s="41">
        <f t="shared" ref="O15" si="7">IF(N$11,N15/N$11,0)</f>
        <v>1.8040626910274934E-3</v>
      </c>
    </row>
    <row r="16" spans="1:15" x14ac:dyDescent="0.25">
      <c r="A16" s="36" t="s">
        <v>416</v>
      </c>
      <c r="C16" s="36" t="s">
        <v>417</v>
      </c>
      <c r="E16" s="134">
        <f>VLOOKUP(A16,TB!TB,4,FALSE)</f>
        <v>22625.759999999998</v>
      </c>
      <c r="F16" s="57">
        <f t="shared" si="0"/>
        <v>8.8795147038254446E-2</v>
      </c>
      <c r="G16" s="58"/>
      <c r="H16" s="11">
        <f>VLOOKUP(A16,TB!TB,5,FALSE)</f>
        <v>22625.759999999998</v>
      </c>
      <c r="I16" s="57">
        <f t="shared" si="1"/>
        <v>8.8795147038254446E-2</v>
      </c>
      <c r="J16" s="58"/>
      <c r="K16" s="134">
        <f>VLOOKUP(A16,TB!TB1_1,4,FALSE)</f>
        <v>26362.720000000001</v>
      </c>
      <c r="L16" s="57">
        <f t="shared" si="2"/>
        <v>0.10616782281403736</v>
      </c>
      <c r="M16" s="58"/>
      <c r="N16" s="11">
        <f>VLOOKUP(A16,TB!TB1_1,5,FALSE)</f>
        <v>26362.720000000001</v>
      </c>
      <c r="O16" s="57">
        <f t="shared" si="3"/>
        <v>0.10616782281403736</v>
      </c>
    </row>
    <row r="17" spans="1:15" x14ac:dyDescent="0.25">
      <c r="A17" s="36" t="s">
        <v>568</v>
      </c>
      <c r="C17" s="36" t="s">
        <v>1102</v>
      </c>
      <c r="E17" s="142">
        <f>VLOOKUP(A17,TB!TB,4,FALSE)</f>
        <v>0</v>
      </c>
      <c r="F17" s="57">
        <f t="shared" si="0"/>
        <v>0</v>
      </c>
      <c r="G17" s="58"/>
      <c r="H17" s="26">
        <f>VLOOKUP(A17,TB!TB,5,FALSE)</f>
        <v>0</v>
      </c>
      <c r="I17" s="57">
        <f t="shared" si="1"/>
        <v>0</v>
      </c>
      <c r="J17" s="58"/>
      <c r="K17" s="134">
        <f>VLOOKUP(A17,TB!TB1_1,4,FALSE)</f>
        <v>0</v>
      </c>
      <c r="L17" s="57">
        <f t="shared" si="2"/>
        <v>0</v>
      </c>
      <c r="M17" s="58"/>
      <c r="N17" s="11">
        <f>VLOOKUP(A17,TB!TB1_1,5,FALSE)</f>
        <v>0</v>
      </c>
      <c r="O17" s="57">
        <f t="shared" si="3"/>
        <v>0</v>
      </c>
    </row>
    <row r="18" spans="1:15" x14ac:dyDescent="0.25">
      <c r="A18" s="36" t="s">
        <v>704</v>
      </c>
      <c r="C18" s="36" t="s">
        <v>1100</v>
      </c>
      <c r="E18" s="134">
        <f>VLOOKUP(A18,TB!TB,4,FALSE)</f>
        <v>0</v>
      </c>
      <c r="F18" s="41">
        <f t="shared" si="0"/>
        <v>0</v>
      </c>
      <c r="H18" s="11">
        <f>VLOOKUP(A18,TB!TB,5,FALSE)</f>
        <v>0</v>
      </c>
      <c r="I18" s="41">
        <f t="shared" si="1"/>
        <v>0</v>
      </c>
      <c r="K18" s="134">
        <f>VLOOKUP(A18,TB!TB1_1,4,FALSE)</f>
        <v>0</v>
      </c>
      <c r="L18" s="41">
        <f t="shared" si="2"/>
        <v>0</v>
      </c>
      <c r="N18" s="11">
        <f>VLOOKUP(A18,TB!TB1_1,5,FALSE)</f>
        <v>0</v>
      </c>
      <c r="O18" s="41">
        <f t="shared" si="3"/>
        <v>0</v>
      </c>
    </row>
    <row r="19" spans="1:15" x14ac:dyDescent="0.25">
      <c r="A19" s="36" t="s">
        <v>723</v>
      </c>
      <c r="C19" s="36" t="s">
        <v>1101</v>
      </c>
      <c r="E19" s="137">
        <f>VLOOKUP(A19,TB!TB,4,FALSE)</f>
        <v>50355.26</v>
      </c>
      <c r="F19" s="41">
        <f t="shared" si="0"/>
        <v>0.19762000108944552</v>
      </c>
      <c r="H19" s="59">
        <f>VLOOKUP(A19,TB!TB,5,FALSE)</f>
        <v>50355.26</v>
      </c>
      <c r="I19" s="41">
        <f t="shared" si="1"/>
        <v>0.19762000108944552</v>
      </c>
      <c r="K19" s="134">
        <f>VLOOKUP(A19,TB!TB1_1,4,FALSE)</f>
        <v>29396.560000000001</v>
      </c>
      <c r="L19" s="41">
        <f t="shared" si="2"/>
        <v>0.11838568908755312</v>
      </c>
      <c r="N19" s="11">
        <f>VLOOKUP(A19,TB!TB1_1,5,FALSE)</f>
        <v>29396.560000000001</v>
      </c>
      <c r="O19" s="41">
        <f t="shared" si="3"/>
        <v>0.11838568908755312</v>
      </c>
    </row>
    <row r="20" spans="1:15" x14ac:dyDescent="0.25">
      <c r="C20" s="88" t="s">
        <v>1033</v>
      </c>
      <c r="E20" s="135">
        <f>SUM(E13:E19)</f>
        <v>82096.66</v>
      </c>
      <c r="F20" s="86">
        <f t="shared" si="0"/>
        <v>0.32218961909122978</v>
      </c>
      <c r="H20" s="74">
        <f>SUM(H13:H19)</f>
        <v>82096.66</v>
      </c>
      <c r="I20" s="86">
        <f t="shared" si="1"/>
        <v>0.32218961909122978</v>
      </c>
      <c r="K20" s="135">
        <f>SUM(K13:K19)</f>
        <v>65581.25</v>
      </c>
      <c r="L20" s="86">
        <f t="shared" si="2"/>
        <v>0.26410850359610416</v>
      </c>
      <c r="N20" s="74">
        <f>SUM(N13:N19)</f>
        <v>65581.25</v>
      </c>
      <c r="O20" s="86">
        <f t="shared" si="3"/>
        <v>0.26410850359610416</v>
      </c>
    </row>
    <row r="22" spans="1:15" x14ac:dyDescent="0.25">
      <c r="C22" s="88" t="s">
        <v>1034</v>
      </c>
      <c r="E22" s="138">
        <f>E11-E20</f>
        <v>172711.86</v>
      </c>
      <c r="F22" s="41">
        <f>IF(E$11,E22/E$11,0)</f>
        <v>0.67781038090877022</v>
      </c>
      <c r="H22" s="40">
        <f>H11-H20</f>
        <v>172711.86</v>
      </c>
      <c r="I22" s="41">
        <f t="shared" ref="I22" si="8">IF(H$11,H22/H$11,0)</f>
        <v>0.67781038090877022</v>
      </c>
      <c r="K22" s="138">
        <f>K11-K20</f>
        <v>182730.52000000002</v>
      </c>
      <c r="L22" s="41">
        <f t="shared" ref="L22" si="9">IF(K$11,K22/K$11,0)</f>
        <v>0.73589149640389584</v>
      </c>
      <c r="N22" s="40">
        <f>N11-N20</f>
        <v>182730.52000000002</v>
      </c>
      <c r="O22" s="41">
        <f t="shared" ref="O22" si="10">IF(N$11,N22/N$11,0)</f>
        <v>0.73589149640389584</v>
      </c>
    </row>
    <row r="23" spans="1:15" x14ac:dyDescent="0.25">
      <c r="C23" s="36"/>
    </row>
    <row r="24" spans="1:15" x14ac:dyDescent="0.25">
      <c r="A24" s="36" t="s">
        <v>432</v>
      </c>
      <c r="C24" s="36" t="s">
        <v>1103</v>
      </c>
      <c r="E24" s="134">
        <f>VLOOKUP(A24,TB!TB,4,FALSE)</f>
        <v>0</v>
      </c>
      <c r="F24" s="41">
        <f t="shared" ref="F24:F41" si="11">IF(E$11,E24/E$11,0)</f>
        <v>0</v>
      </c>
      <c r="H24" s="11">
        <f>VLOOKUP(A24,TB!TB,5,FALSE)</f>
        <v>0</v>
      </c>
      <c r="I24" s="41">
        <f t="shared" ref="I24:I35" si="12">IF(H$11,H24/H$11,0)</f>
        <v>0</v>
      </c>
      <c r="K24" s="134">
        <f>VLOOKUP(A24,TB!TB1_1,4,FALSE)</f>
        <v>0</v>
      </c>
      <c r="L24" s="41">
        <f t="shared" ref="L24:L35" si="13">IF(K$11,K24/K$11,0)</f>
        <v>0</v>
      </c>
      <c r="N24" s="11">
        <f>VLOOKUP(A24,TB!TB1_1,5,FALSE)</f>
        <v>0</v>
      </c>
      <c r="O24" s="41">
        <f t="shared" ref="O24:O35" si="14">IF(N$11,N24/N$11,0)</f>
        <v>0</v>
      </c>
    </row>
    <row r="25" spans="1:15" x14ac:dyDescent="0.25">
      <c r="A25" s="36" t="s">
        <v>457</v>
      </c>
      <c r="C25" s="36" t="s">
        <v>1104</v>
      </c>
      <c r="E25" s="134">
        <f>VLOOKUP(A25,TB!TB,4,FALSE)</f>
        <v>0</v>
      </c>
      <c r="F25" s="41">
        <f t="shared" si="11"/>
        <v>0</v>
      </c>
      <c r="H25" s="11">
        <f>VLOOKUP(A25,TB!TB,5,FALSE)</f>
        <v>0</v>
      </c>
      <c r="I25" s="41">
        <f t="shared" si="12"/>
        <v>0</v>
      </c>
      <c r="K25" s="134">
        <f>VLOOKUP(A25,TB!TB1_1,4,FALSE)</f>
        <v>0</v>
      </c>
      <c r="L25" s="41">
        <f t="shared" si="13"/>
        <v>0</v>
      </c>
      <c r="N25" s="11">
        <f>VLOOKUP(A25,TB!TB1_1,5,FALSE)</f>
        <v>0</v>
      </c>
      <c r="O25" s="41">
        <f t="shared" si="14"/>
        <v>0</v>
      </c>
    </row>
    <row r="26" spans="1:15" x14ac:dyDescent="0.25">
      <c r="A26" s="36" t="s">
        <v>469</v>
      </c>
      <c r="C26" s="36" t="s">
        <v>1105</v>
      </c>
      <c r="E26" s="134">
        <f>VLOOKUP(A26,TB!TB,4,FALSE)</f>
        <v>0</v>
      </c>
      <c r="F26" s="41">
        <f t="shared" si="11"/>
        <v>0</v>
      </c>
      <c r="H26" s="11">
        <f>VLOOKUP(A26,TB!TB,5,FALSE)</f>
        <v>0</v>
      </c>
      <c r="I26" s="41">
        <f t="shared" si="12"/>
        <v>0</v>
      </c>
      <c r="K26" s="134">
        <f>VLOOKUP(A26,TB!TB1_1,4,FALSE)</f>
        <v>0</v>
      </c>
      <c r="L26" s="41">
        <f t="shared" si="13"/>
        <v>0</v>
      </c>
      <c r="N26" s="11">
        <f>VLOOKUP(A26,TB!TB1_1,5,FALSE)</f>
        <v>0</v>
      </c>
      <c r="O26" s="41">
        <f t="shared" si="14"/>
        <v>0</v>
      </c>
    </row>
    <row r="27" spans="1:15" x14ac:dyDescent="0.25">
      <c r="A27" s="36" t="s">
        <v>485</v>
      </c>
      <c r="C27" s="36" t="s">
        <v>1106</v>
      </c>
      <c r="E27" s="134">
        <f>VLOOKUP(A27,TB!TB,4,FALSE)</f>
        <v>0</v>
      </c>
      <c r="F27" s="41">
        <f t="shared" si="11"/>
        <v>0</v>
      </c>
      <c r="H27" s="11">
        <f>VLOOKUP(A27,TB!TB,5,FALSE)</f>
        <v>0</v>
      </c>
      <c r="I27" s="41">
        <f t="shared" si="12"/>
        <v>0</v>
      </c>
      <c r="K27" s="134">
        <f>VLOOKUP(A27,TB!TB1_1,4,FALSE)</f>
        <v>0</v>
      </c>
      <c r="L27" s="41">
        <f t="shared" si="13"/>
        <v>0</v>
      </c>
      <c r="N27" s="11">
        <f>VLOOKUP(A27,TB!TB1_1,5,FALSE)</f>
        <v>0</v>
      </c>
      <c r="O27" s="41">
        <f t="shared" si="14"/>
        <v>0</v>
      </c>
    </row>
    <row r="28" spans="1:15" x14ac:dyDescent="0.25">
      <c r="A28" s="36" t="s">
        <v>651</v>
      </c>
      <c r="C28" s="36" t="s">
        <v>639</v>
      </c>
      <c r="E28" s="142">
        <f>VLOOKUP(A28,TB!TB,4,FALSE)</f>
        <v>0</v>
      </c>
      <c r="F28" s="41">
        <f t="shared" si="11"/>
        <v>0</v>
      </c>
      <c r="H28" s="26">
        <f>VLOOKUP(A28,TB!TB,5,FALSE)</f>
        <v>0</v>
      </c>
      <c r="I28" s="41">
        <f t="shared" si="12"/>
        <v>0</v>
      </c>
      <c r="K28" s="134">
        <f>VLOOKUP(A28,TB!TB1_1,4,FALSE)</f>
        <v>0</v>
      </c>
      <c r="L28" s="41">
        <f t="shared" si="13"/>
        <v>0</v>
      </c>
      <c r="N28" s="11">
        <f>VLOOKUP(A28,TB!TB1_1,5,FALSE)</f>
        <v>0</v>
      </c>
      <c r="O28" s="41">
        <f t="shared" si="14"/>
        <v>0</v>
      </c>
    </row>
    <row r="29" spans="1:15" x14ac:dyDescent="0.25">
      <c r="A29" s="36" t="s">
        <v>667</v>
      </c>
      <c r="C29" s="36" t="s">
        <v>654</v>
      </c>
      <c r="E29" s="134">
        <f>VLOOKUP(A29,TB!TB,4,FALSE)</f>
        <v>0</v>
      </c>
      <c r="F29" s="41">
        <f t="shared" si="11"/>
        <v>0</v>
      </c>
      <c r="H29" s="11">
        <f>VLOOKUP(A29,TB!TB,5,FALSE)</f>
        <v>0</v>
      </c>
      <c r="I29" s="41">
        <f t="shared" si="12"/>
        <v>0</v>
      </c>
      <c r="K29" s="134">
        <f>VLOOKUP(A29,TB!TB1_1,4,FALSE)</f>
        <v>0</v>
      </c>
      <c r="L29" s="41">
        <f t="shared" si="13"/>
        <v>0</v>
      </c>
      <c r="N29" s="11">
        <f>VLOOKUP(A29,TB!TB1_1,5,FALSE)</f>
        <v>0</v>
      </c>
      <c r="O29" s="41">
        <f t="shared" si="14"/>
        <v>0</v>
      </c>
    </row>
    <row r="30" spans="1:15" x14ac:dyDescent="0.25">
      <c r="A30" s="36" t="s">
        <v>534</v>
      </c>
      <c r="C30" s="36" t="s">
        <v>1107</v>
      </c>
      <c r="E30" s="134">
        <f>VLOOKUP(A30,TB!TB,4,FALSE)</f>
        <v>5520</v>
      </c>
      <c r="F30" s="41">
        <f t="shared" si="11"/>
        <v>2.1663325857392838E-2</v>
      </c>
      <c r="H30" s="11">
        <f>VLOOKUP(A30,TB!TB,5,FALSE)</f>
        <v>5520</v>
      </c>
      <c r="I30" s="41">
        <f t="shared" si="12"/>
        <v>2.1663325857392838E-2</v>
      </c>
      <c r="K30" s="134">
        <f>VLOOKUP(A30,TB!TB1_1,4,FALSE)</f>
        <v>2283.75</v>
      </c>
      <c r="L30" s="41">
        <f t="shared" si="13"/>
        <v>9.1971073300311131E-3</v>
      </c>
      <c r="N30" s="11">
        <f>VLOOKUP(A30,TB!TB1_1,5,FALSE)</f>
        <v>2283.75</v>
      </c>
      <c r="O30" s="41">
        <f t="shared" si="14"/>
        <v>9.1971073300311131E-3</v>
      </c>
    </row>
    <row r="31" spans="1:15" x14ac:dyDescent="0.25">
      <c r="A31" s="36" t="s">
        <v>553</v>
      </c>
      <c r="C31" s="36" t="s">
        <v>1108</v>
      </c>
      <c r="E31" s="134">
        <f>VLOOKUP(A31,TB!TB,4,FALSE)</f>
        <v>0</v>
      </c>
      <c r="F31" s="41">
        <f t="shared" si="11"/>
        <v>0</v>
      </c>
      <c r="H31" s="11">
        <f>VLOOKUP(A31,TB!TB,5,FALSE)</f>
        <v>0</v>
      </c>
      <c r="I31" s="41">
        <f t="shared" si="12"/>
        <v>0</v>
      </c>
      <c r="K31" s="134">
        <f>VLOOKUP(A31,TB!TB1_1,4,FALSE)</f>
        <v>0</v>
      </c>
      <c r="L31" s="41">
        <f t="shared" si="13"/>
        <v>0</v>
      </c>
      <c r="N31" s="11">
        <f>VLOOKUP(A31,TB!TB1_1,5,FALSE)</f>
        <v>0</v>
      </c>
      <c r="O31" s="41">
        <f t="shared" si="14"/>
        <v>0</v>
      </c>
    </row>
    <row r="32" spans="1:15" x14ac:dyDescent="0.25">
      <c r="A32" s="36" t="s">
        <v>608</v>
      </c>
      <c r="C32" s="36" t="s">
        <v>1109</v>
      </c>
      <c r="E32" s="134">
        <f>VLOOKUP(A32,TB!TB,4,FALSE)</f>
        <v>1516.37</v>
      </c>
      <c r="F32" s="41">
        <f t="shared" si="11"/>
        <v>5.9510176504302134E-3</v>
      </c>
      <c r="H32" s="11">
        <f>VLOOKUP(A32,TB!TB,5,FALSE)</f>
        <v>1516.37</v>
      </c>
      <c r="I32" s="41">
        <f t="shared" si="12"/>
        <v>5.9510176504302134E-3</v>
      </c>
      <c r="K32" s="134">
        <f>VLOOKUP(A32,TB!TB1_1,4,FALSE)</f>
        <v>0</v>
      </c>
      <c r="L32" s="41">
        <f t="shared" si="13"/>
        <v>0</v>
      </c>
      <c r="N32" s="11">
        <f>VLOOKUP(A32,TB!TB1_1,5,FALSE)</f>
        <v>0</v>
      </c>
      <c r="O32" s="41">
        <f t="shared" si="14"/>
        <v>0</v>
      </c>
    </row>
    <row r="33" spans="1:15" x14ac:dyDescent="0.25">
      <c r="A33" s="36" t="s">
        <v>691</v>
      </c>
      <c r="C33" s="36" t="s">
        <v>1110</v>
      </c>
      <c r="E33" s="134">
        <f>VLOOKUP(A33,TB!TB,4,FALSE)</f>
        <v>603.36</v>
      </c>
      <c r="F33" s="41">
        <f>IF(E$11,E33/E$11,0)</f>
        <v>2.3678957045863303E-3</v>
      </c>
      <c r="H33" s="11">
        <f>VLOOKUP(A33,TB!TB,5,FALSE)</f>
        <v>603.36</v>
      </c>
      <c r="I33" s="41">
        <f>IF(H$11,H33/H$11,0)</f>
        <v>2.3678957045863303E-3</v>
      </c>
      <c r="K33" s="134">
        <f>VLOOKUP(A33,TB!TB1_1,4,FALSE)</f>
        <v>1346.27</v>
      </c>
      <c r="L33" s="41">
        <f>IF(K$11,K33/K$11,0)</f>
        <v>5.4216922540562609E-3</v>
      </c>
      <c r="N33" s="11">
        <f>VLOOKUP(A33,TB!TB1_1,5,FALSE)</f>
        <v>1346.27</v>
      </c>
      <c r="O33" s="41">
        <f>IF(N$11,N33/N$11,0)</f>
        <v>5.4216922540562609E-3</v>
      </c>
    </row>
    <row r="34" spans="1:15" x14ac:dyDescent="0.25">
      <c r="A34" s="36" t="s">
        <v>736</v>
      </c>
      <c r="C34" s="36" t="s">
        <v>1111</v>
      </c>
      <c r="E34" s="141">
        <f>VLOOKUP(A34,TB!TB,4,FALSE)</f>
        <v>0</v>
      </c>
      <c r="F34" s="50">
        <f t="shared" si="11"/>
        <v>0</v>
      </c>
      <c r="H34" s="29">
        <f>VLOOKUP(A34,TB!TB,5,FALSE)</f>
        <v>0</v>
      </c>
      <c r="I34" s="50">
        <f t="shared" si="12"/>
        <v>0</v>
      </c>
      <c r="K34" s="137">
        <f>VLOOKUP(A34,TB!TB1_1,4,FALSE)</f>
        <v>0</v>
      </c>
      <c r="L34" s="50">
        <f t="shared" si="13"/>
        <v>0</v>
      </c>
      <c r="N34" s="59">
        <f>VLOOKUP(A34,TB!TB1_1,5,FALSE)</f>
        <v>0</v>
      </c>
      <c r="O34" s="50">
        <f t="shared" si="14"/>
        <v>0</v>
      </c>
    </row>
    <row r="35" spans="1:15" x14ac:dyDescent="0.25">
      <c r="C35" s="88" t="s">
        <v>1003</v>
      </c>
      <c r="E35" s="138">
        <f>SUM(E24:E34)</f>
        <v>7639.73</v>
      </c>
      <c r="F35" s="41">
        <f t="shared" si="11"/>
        <v>2.9982239212409379E-2</v>
      </c>
      <c r="H35" s="40">
        <f>SUM(H24:H34)</f>
        <v>7639.73</v>
      </c>
      <c r="I35" s="41">
        <f t="shared" si="12"/>
        <v>2.9982239212409379E-2</v>
      </c>
      <c r="K35" s="135">
        <f>SUM(K24:K34)</f>
        <v>3630.02</v>
      </c>
      <c r="L35" s="41">
        <f t="shared" si="13"/>
        <v>1.4618799584087374E-2</v>
      </c>
      <c r="N35" s="74">
        <f>SUM(N24:N34)</f>
        <v>3630.02</v>
      </c>
      <c r="O35" s="41">
        <f t="shared" si="14"/>
        <v>1.4618799584087374E-2</v>
      </c>
    </row>
    <row r="36" spans="1:15" x14ac:dyDescent="0.25">
      <c r="C36" s="36"/>
    </row>
    <row r="37" spans="1:15" x14ac:dyDescent="0.25">
      <c r="C37" s="88" t="s">
        <v>1024</v>
      </c>
      <c r="E37" s="138">
        <f>E22-E35</f>
        <v>165072.12999999998</v>
      </c>
      <c r="F37" s="41">
        <f t="shared" si="11"/>
        <v>0.64782814169636083</v>
      </c>
      <c r="H37" s="40">
        <f>H22-H35</f>
        <v>165072.12999999998</v>
      </c>
      <c r="I37" s="41">
        <f t="shared" ref="I37" si="15">IF(H$11,H37/H$11,0)</f>
        <v>0.64782814169636083</v>
      </c>
      <c r="K37" s="138">
        <f>K22-K35</f>
        <v>179100.50000000003</v>
      </c>
      <c r="L37" s="41">
        <f t="shared" ref="L37" si="16">IF(K$11,K37/K$11,0)</f>
        <v>0.72127269681980843</v>
      </c>
      <c r="N37" s="40">
        <f>N22-N35</f>
        <v>179100.50000000003</v>
      </c>
      <c r="O37" s="41">
        <f t="shared" ref="O37" si="17">IF(N$11,N37/N$11,0)</f>
        <v>0.72127269681980843</v>
      </c>
    </row>
    <row r="38" spans="1:15" x14ac:dyDescent="0.25">
      <c r="C38" s="36"/>
    </row>
    <row r="39" spans="1:15" ht="15.75" thickBot="1" x14ac:dyDescent="0.3">
      <c r="A39" s="36" t="s">
        <v>750</v>
      </c>
      <c r="C39" s="36" t="s">
        <v>743</v>
      </c>
      <c r="E39" s="137">
        <f>VLOOKUP(A39,TB!TB,4,FALSE)</f>
        <v>0</v>
      </c>
      <c r="F39" s="41">
        <f t="shared" si="11"/>
        <v>0</v>
      </c>
      <c r="H39" s="59">
        <f>VLOOKUP(A39,TB!TB,5,FALSE)</f>
        <v>0</v>
      </c>
      <c r="I39" s="41">
        <f t="shared" ref="I39" si="18">IF(H$11,H39/H$11,0)</f>
        <v>0</v>
      </c>
      <c r="K39" s="134">
        <f>VLOOKUP(A39,TB!TB1_1,4,FALSE)</f>
        <v>24693.19</v>
      </c>
      <c r="L39" s="41">
        <f t="shared" ref="L39" si="19">IF(K$11,K39/K$11,0)</f>
        <v>9.9444299398292704E-2</v>
      </c>
      <c r="N39" s="59">
        <f>VLOOKUP(A39,TB!TB1_1,5,FALSE)</f>
        <v>24693.19</v>
      </c>
      <c r="O39" s="41">
        <f t="shared" ref="O39" si="20">IF(N$11,N39/N$11,0)</f>
        <v>9.9444299398292704E-2</v>
      </c>
    </row>
    <row r="40" spans="1:15" ht="15.75" thickTop="1" x14ac:dyDescent="0.25">
      <c r="C40" s="36"/>
      <c r="E40" s="139"/>
      <c r="F40" s="99"/>
      <c r="H40" s="99"/>
      <c r="I40" s="99"/>
      <c r="K40" s="139"/>
      <c r="L40" s="99"/>
      <c r="N40" s="99"/>
      <c r="O40" s="99"/>
    </row>
    <row r="41" spans="1:15" x14ac:dyDescent="0.25">
      <c r="C41" s="88" t="s">
        <v>1025</v>
      </c>
      <c r="E41" s="138">
        <f>E37-E39</f>
        <v>165072.12999999998</v>
      </c>
      <c r="F41" s="41">
        <f t="shared" si="11"/>
        <v>0.64782814169636083</v>
      </c>
      <c r="H41" s="40">
        <f>H37-H39</f>
        <v>165072.12999999998</v>
      </c>
      <c r="I41" s="41">
        <f t="shared" ref="I41" si="21">IF(H$11,H41/H$11,0)</f>
        <v>0.64782814169636083</v>
      </c>
      <c r="K41" s="138">
        <f>K37-K39</f>
        <v>154407.31000000003</v>
      </c>
      <c r="L41" s="41">
        <f t="shared" ref="L41" si="22">IF(K$11,K41/K$11,0)</f>
        <v>0.62182839742151574</v>
      </c>
      <c r="N41" s="40">
        <f>N37-N39</f>
        <v>154407.31000000003</v>
      </c>
      <c r="O41" s="41">
        <f t="shared" ref="O41" si="23">IF(N$11,N41/N$11,0)</f>
        <v>0.62182839742151574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F2B5-63CF-4B77-9514-AF480EFB3B1E}">
  <dimension ref="A1:O50"/>
  <sheetViews>
    <sheetView zoomScaleNormal="100" workbookViewId="0">
      <selection activeCell="A2" sqref="A2:O2"/>
    </sheetView>
  </sheetViews>
  <sheetFormatPr defaultRowHeight="15" x14ac:dyDescent="0.25"/>
  <cols>
    <col min="1" max="1" width="10.5703125" style="36" customWidth="1"/>
    <col min="2" max="2" width="3.5703125" customWidth="1"/>
    <col min="3" max="3" width="27.42578125" customWidth="1"/>
    <col min="4" max="4" width="2.7109375" customWidth="1"/>
    <col min="5" max="5" width="18.140625" customWidth="1"/>
    <col min="6" max="6" width="8.28515625" customWidth="1"/>
    <col min="7" max="7" width="2.5703125" customWidth="1"/>
    <col min="8" max="8" width="18.28515625" customWidth="1"/>
    <col min="9" max="9" width="8.85546875" bestFit="1" customWidth="1"/>
    <col min="10" max="10" width="3.140625" customWidth="1"/>
    <col min="11" max="11" width="18.140625" customWidth="1"/>
    <col min="12" max="12" width="8" customWidth="1"/>
    <col min="13" max="13" width="2" customWidth="1"/>
    <col min="14" max="14" width="18.28515625" customWidth="1"/>
    <col min="15" max="15" width="8.28515625" customWidth="1"/>
  </cols>
  <sheetData>
    <row r="1" spans="1:15" ht="31.5" x14ac:dyDescent="0.5">
      <c r="A1" s="148" t="s">
        <v>1071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1097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53"/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54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5" x14ac:dyDescent="0.25">
      <c r="A7" s="36" t="s">
        <v>266</v>
      </c>
      <c r="C7" t="s">
        <v>1113</v>
      </c>
      <c r="E7" s="11">
        <f>VLOOKUP(A7,TB!TB,4,FALSE)*-1</f>
        <v>0</v>
      </c>
      <c r="F7" s="41">
        <f>IF(E$14,E7/E$14,0)</f>
        <v>0</v>
      </c>
      <c r="H7" s="11">
        <f>VLOOKUP(A7,TB!TB,5,FALSE)*-1</f>
        <v>0</v>
      </c>
      <c r="I7" s="41">
        <f>IF(H$14,H7/H$14,0)</f>
        <v>0</v>
      </c>
      <c r="K7" s="11">
        <f>VLOOKUP(A7,TB!TB1_1,4,FALSE)*-1</f>
        <v>0</v>
      </c>
      <c r="L7" s="41">
        <f>IF(K$14,K7/K$14,0)</f>
        <v>0</v>
      </c>
      <c r="N7" s="11">
        <f>VLOOKUP(A7,TB!TB1_1,5,FALSE)*-1</f>
        <v>0</v>
      </c>
      <c r="O7" s="41">
        <f>IF(N$14,N7/N$14,0)</f>
        <v>0</v>
      </c>
    </row>
    <row r="8" spans="1:15" x14ac:dyDescent="0.25">
      <c r="A8" s="36" t="s">
        <v>272</v>
      </c>
      <c r="C8" t="s">
        <v>1114</v>
      </c>
      <c r="E8" s="11">
        <f>VLOOKUP(A8,TB!TB,4,FALSE)*-1</f>
        <v>28739.73</v>
      </c>
      <c r="F8" s="41">
        <f t="shared" ref="F8:F47" si="0">IF(E$14,E8/E$14,0)</f>
        <v>1</v>
      </c>
      <c r="H8" s="11">
        <f>VLOOKUP(A8,TB!TB,5,FALSE)*-1</f>
        <v>28739.73</v>
      </c>
      <c r="I8" s="41">
        <f t="shared" ref="I8:I27" si="1">IF(H$14,H8/H$14,0)</f>
        <v>1</v>
      </c>
      <c r="K8" s="11">
        <f>VLOOKUP(A8,TB!TB1_1,4,FALSE)*-1</f>
        <v>0</v>
      </c>
      <c r="L8" s="41">
        <f t="shared" ref="L8:L27" si="2">IF(K$14,K8/K$14,0)</f>
        <v>0</v>
      </c>
      <c r="N8" s="11">
        <f>VLOOKUP(A8,TB!TB1_1,5,FALSE)*-1</f>
        <v>0</v>
      </c>
      <c r="O8" s="41">
        <f t="shared" ref="O8:O27" si="3">IF(N$14,N8/N$14,0)</f>
        <v>0</v>
      </c>
    </row>
    <row r="9" spans="1:15" x14ac:dyDescent="0.25">
      <c r="A9" s="36" t="s">
        <v>274</v>
      </c>
      <c r="C9" t="s">
        <v>1115</v>
      </c>
      <c r="E9" s="11">
        <f>VLOOKUP(A9,TB!TB,4,FALSE)*-1</f>
        <v>0</v>
      </c>
      <c r="F9" s="41">
        <f t="shared" si="0"/>
        <v>0</v>
      </c>
      <c r="H9" s="11">
        <f>VLOOKUP(A9,TB!TB,5,FALSE)*-1</f>
        <v>0</v>
      </c>
      <c r="I9" s="41">
        <f t="shared" si="1"/>
        <v>0</v>
      </c>
      <c r="K9" s="11">
        <f>VLOOKUP(A9,TB!TB1_1,4,FALSE)*-1</f>
        <v>0</v>
      </c>
      <c r="L9" s="41">
        <f t="shared" si="2"/>
        <v>0</v>
      </c>
      <c r="N9" s="11">
        <f>VLOOKUP(A9,TB!TB1_1,5,FALSE)*-1</f>
        <v>0</v>
      </c>
      <c r="O9" s="41">
        <f t="shared" si="3"/>
        <v>0</v>
      </c>
    </row>
    <row r="10" spans="1:15" x14ac:dyDescent="0.25">
      <c r="A10" s="36" t="s">
        <v>268</v>
      </c>
      <c r="C10" t="s">
        <v>1116</v>
      </c>
      <c r="E10" s="11">
        <f>VLOOKUP(A10,TB!TB,4,FALSE)*-1</f>
        <v>0</v>
      </c>
      <c r="F10" s="41">
        <f t="shared" si="0"/>
        <v>0</v>
      </c>
      <c r="H10" s="11">
        <f>VLOOKUP(A10,TB!TB,5,FALSE)*-1</f>
        <v>0</v>
      </c>
      <c r="I10" s="41">
        <f t="shared" si="1"/>
        <v>0</v>
      </c>
      <c r="K10" s="11">
        <f>VLOOKUP(A10,TB!TB1_1,4,FALSE)*-1</f>
        <v>0</v>
      </c>
      <c r="L10" s="41">
        <f t="shared" si="2"/>
        <v>0</v>
      </c>
      <c r="N10" s="11">
        <f>VLOOKUP(A10,TB!TB1_1,5,FALSE)*-1</f>
        <v>0</v>
      </c>
      <c r="O10" s="41">
        <f t="shared" si="3"/>
        <v>0</v>
      </c>
    </row>
    <row r="11" spans="1:15" x14ac:dyDescent="0.25">
      <c r="A11" s="36" t="s">
        <v>270</v>
      </c>
      <c r="C11" t="s">
        <v>1117</v>
      </c>
      <c r="E11" s="11">
        <f>VLOOKUP(A11,TB!TB,4,FALSE)*-1</f>
        <v>0</v>
      </c>
      <c r="F11" s="41">
        <f t="shared" si="0"/>
        <v>0</v>
      </c>
      <c r="H11" s="11">
        <f>VLOOKUP(A11,TB!TB,5,FALSE)*-1</f>
        <v>0</v>
      </c>
      <c r="I11" s="41">
        <f t="shared" si="1"/>
        <v>0</v>
      </c>
      <c r="K11" s="11">
        <f>VLOOKUP(A11,TB!TB1_1,4,FALSE)*-1</f>
        <v>0</v>
      </c>
      <c r="L11" s="41">
        <f t="shared" si="2"/>
        <v>0</v>
      </c>
      <c r="N11" s="11">
        <f>VLOOKUP(A11,TB!TB1_1,5,FALSE)*-1</f>
        <v>0</v>
      </c>
      <c r="O11" s="41">
        <f t="shared" si="3"/>
        <v>0</v>
      </c>
    </row>
    <row r="12" spans="1:15" x14ac:dyDescent="0.25">
      <c r="A12" s="39" t="s">
        <v>1269</v>
      </c>
      <c r="C12" t="s">
        <v>1278</v>
      </c>
      <c r="E12" s="11">
        <f>VLOOKUP(A12,TB!TB,4,FALSE)*-1</f>
        <v>0</v>
      </c>
      <c r="F12" s="41">
        <f t="shared" ref="F12" si="4">IF(E$14,E12/E$14,0)</f>
        <v>0</v>
      </c>
      <c r="H12" s="11">
        <f>VLOOKUP(A12,TB!TB,5,FALSE)*-1</f>
        <v>0</v>
      </c>
      <c r="I12" s="41">
        <f t="shared" ref="I12" si="5">IF(H$14,H12/H$14,0)</f>
        <v>0</v>
      </c>
      <c r="K12" s="11">
        <v>0</v>
      </c>
      <c r="L12" s="41">
        <f t="shared" ref="L12" si="6">IF(K$14,K12/K$14,0)</f>
        <v>0</v>
      </c>
      <c r="N12" s="11">
        <v>0</v>
      </c>
      <c r="O12" s="41">
        <f t="shared" ref="O12" si="7">IF(N$14,N12/N$14,0)</f>
        <v>0</v>
      </c>
    </row>
    <row r="13" spans="1:15" x14ac:dyDescent="0.25">
      <c r="A13" s="36" t="s">
        <v>230</v>
      </c>
      <c r="C13" t="s">
        <v>249</v>
      </c>
      <c r="E13" s="29">
        <f>VLOOKUP(A13,TB!TB,4,FALSE)*-1</f>
        <v>0</v>
      </c>
      <c r="F13" s="50">
        <f t="shared" si="0"/>
        <v>0</v>
      </c>
      <c r="H13" s="29">
        <f>VLOOKUP(A13,TB!TB,5,FALSE)*-1</f>
        <v>0</v>
      </c>
      <c r="I13" s="50">
        <f t="shared" si="1"/>
        <v>0</v>
      </c>
      <c r="K13" s="29">
        <f>VLOOKUP(A13,TB!TB1_1,4,FALSE)*-1</f>
        <v>0</v>
      </c>
      <c r="L13" s="50">
        <f t="shared" si="2"/>
        <v>0</v>
      </c>
      <c r="N13" s="29">
        <f>VLOOKUP(A13,TB!TB1_1,5,FALSE)*-1</f>
        <v>0</v>
      </c>
      <c r="O13" s="50">
        <f t="shared" si="3"/>
        <v>0</v>
      </c>
    </row>
    <row r="14" spans="1:15" x14ac:dyDescent="0.25">
      <c r="C14" s="43" t="s">
        <v>1038</v>
      </c>
      <c r="E14" s="40">
        <f>SUM(E7:E13)</f>
        <v>28739.73</v>
      </c>
      <c r="F14" s="41">
        <f t="shared" si="0"/>
        <v>1</v>
      </c>
      <c r="H14" s="40">
        <f>SUM(H7:H13)</f>
        <v>28739.73</v>
      </c>
      <c r="I14" s="41">
        <f t="shared" si="1"/>
        <v>1</v>
      </c>
      <c r="K14" s="40">
        <f>SUM(K7:K13)</f>
        <v>0</v>
      </c>
      <c r="L14" s="41">
        <f t="shared" si="2"/>
        <v>0</v>
      </c>
      <c r="N14" s="40">
        <f>SUM(N7:N13)</f>
        <v>0</v>
      </c>
      <c r="O14" s="41">
        <f t="shared" si="3"/>
        <v>0</v>
      </c>
    </row>
    <row r="15" spans="1:15" x14ac:dyDescent="0.25">
      <c r="C15" s="37" t="s">
        <v>1211</v>
      </c>
    </row>
    <row r="16" spans="1:15" x14ac:dyDescent="0.25">
      <c r="A16" s="36" t="s">
        <v>367</v>
      </c>
      <c r="C16" t="s">
        <v>1118</v>
      </c>
      <c r="E16" s="11">
        <f>VLOOKUP(A16,TB!TB,4,FALSE)</f>
        <v>0</v>
      </c>
      <c r="F16" s="41">
        <f t="shared" si="0"/>
        <v>0</v>
      </c>
      <c r="H16" s="11">
        <f>VLOOKUP(A16,TB!TB,5,FALSE)</f>
        <v>0</v>
      </c>
      <c r="I16" s="41">
        <f t="shared" si="1"/>
        <v>0</v>
      </c>
      <c r="K16" s="11">
        <f>VLOOKUP(A16,TB!TB1_1,4,FALSE)</f>
        <v>0</v>
      </c>
      <c r="L16" s="41">
        <f t="shared" si="2"/>
        <v>0</v>
      </c>
      <c r="N16" s="11">
        <f>VLOOKUP(A16,TB!TB1_1,5,FALSE)</f>
        <v>0</v>
      </c>
      <c r="O16" s="41">
        <f t="shared" si="3"/>
        <v>0</v>
      </c>
    </row>
    <row r="17" spans="1:15" x14ac:dyDescent="0.25">
      <c r="A17" s="36" t="s">
        <v>373</v>
      </c>
      <c r="C17" t="s">
        <v>1119</v>
      </c>
      <c r="E17" s="11">
        <f>VLOOKUP(A17,TB!TB,4,FALSE)</f>
        <v>21007.8</v>
      </c>
      <c r="F17" s="41">
        <f t="shared" si="0"/>
        <v>0.73096720115324676</v>
      </c>
      <c r="H17" s="11">
        <f>VLOOKUP(A17,TB!TB,5,FALSE)</f>
        <v>21007.8</v>
      </c>
      <c r="I17" s="41">
        <f t="shared" si="1"/>
        <v>0.73096720115324676</v>
      </c>
      <c r="K17" s="11">
        <f>VLOOKUP(A17,TB!TB1_1,4,FALSE)</f>
        <v>0</v>
      </c>
      <c r="L17" s="41">
        <f t="shared" si="2"/>
        <v>0</v>
      </c>
      <c r="N17" s="11">
        <f>VLOOKUP(A17,TB!TB1_1,5,FALSE)</f>
        <v>0</v>
      </c>
      <c r="O17" s="41">
        <f t="shared" si="3"/>
        <v>0</v>
      </c>
    </row>
    <row r="18" spans="1:15" x14ac:dyDescent="0.25">
      <c r="A18" s="36" t="s">
        <v>375</v>
      </c>
      <c r="C18" t="s">
        <v>1120</v>
      </c>
      <c r="E18" s="11">
        <f>VLOOKUP(A18,TB!TB,4,FALSE)</f>
        <v>0</v>
      </c>
      <c r="F18" s="41">
        <f t="shared" si="0"/>
        <v>0</v>
      </c>
      <c r="H18" s="11">
        <f>VLOOKUP(A18,TB!TB,5,FALSE)</f>
        <v>0</v>
      </c>
      <c r="I18" s="41">
        <f t="shared" si="1"/>
        <v>0</v>
      </c>
      <c r="K18" s="11">
        <f>VLOOKUP(A18,TB!TB1_1,4,FALSE)</f>
        <v>0</v>
      </c>
      <c r="L18" s="41">
        <f t="shared" si="2"/>
        <v>0</v>
      </c>
      <c r="N18" s="11">
        <f>VLOOKUP(A18,TB!TB1_1,5,FALSE)</f>
        <v>0</v>
      </c>
      <c r="O18" s="41">
        <f t="shared" si="3"/>
        <v>0</v>
      </c>
    </row>
    <row r="19" spans="1:15" x14ac:dyDescent="0.25">
      <c r="A19" s="36" t="s">
        <v>369</v>
      </c>
      <c r="C19" t="s">
        <v>269</v>
      </c>
      <c r="E19" s="11">
        <f>VLOOKUP(A19,TB!TB,4,FALSE)</f>
        <v>0</v>
      </c>
      <c r="F19" s="41">
        <f t="shared" si="0"/>
        <v>0</v>
      </c>
      <c r="H19" s="11">
        <f>VLOOKUP(A19,TB!TB,5,FALSE)</f>
        <v>0</v>
      </c>
      <c r="I19" s="41">
        <f t="shared" si="1"/>
        <v>0</v>
      </c>
      <c r="K19" s="11">
        <f>VLOOKUP(A19,TB!TB1_1,4,FALSE)</f>
        <v>0</v>
      </c>
      <c r="L19" s="41">
        <f t="shared" si="2"/>
        <v>0</v>
      </c>
      <c r="N19" s="11">
        <f>VLOOKUP(A19,TB!TB1_1,5,FALSE)</f>
        <v>0</v>
      </c>
      <c r="O19" s="41">
        <f t="shared" si="3"/>
        <v>0</v>
      </c>
    </row>
    <row r="20" spans="1:15" x14ac:dyDescent="0.25">
      <c r="A20" s="36" t="s">
        <v>371</v>
      </c>
      <c r="C20" t="s">
        <v>1121</v>
      </c>
      <c r="E20" s="11">
        <f>VLOOKUP(A20,TB!TB,4,FALSE)</f>
        <v>0</v>
      </c>
      <c r="F20" s="41">
        <f t="shared" si="0"/>
        <v>0</v>
      </c>
      <c r="H20" s="11">
        <f>VLOOKUP(A20,TB!TB,5,FALSE)</f>
        <v>0</v>
      </c>
      <c r="I20" s="41">
        <f t="shared" si="1"/>
        <v>0</v>
      </c>
      <c r="K20" s="11">
        <f>VLOOKUP(A20,TB!TB1_1,4,FALSE)</f>
        <v>0</v>
      </c>
      <c r="L20" s="41">
        <f t="shared" si="2"/>
        <v>0</v>
      </c>
      <c r="N20" s="11">
        <f>VLOOKUP(A20,TB!TB1_1,5,FALSE)</f>
        <v>0</v>
      </c>
      <c r="O20" s="41">
        <f t="shared" si="3"/>
        <v>0</v>
      </c>
    </row>
    <row r="21" spans="1:15" x14ac:dyDescent="0.25">
      <c r="A21" s="36" t="s">
        <v>393</v>
      </c>
      <c r="C21" t="s">
        <v>1122</v>
      </c>
      <c r="E21" s="11">
        <f>VLOOKUP(A21,TB!TB,4,FALSE)</f>
        <v>11441.65</v>
      </c>
      <c r="F21" s="41">
        <f t="shared" si="0"/>
        <v>0.3981126475440096</v>
      </c>
      <c r="H21" s="11">
        <f>VLOOKUP(A21,TB!TB,5,FALSE)</f>
        <v>11441.65</v>
      </c>
      <c r="I21" s="41">
        <f t="shared" si="1"/>
        <v>0.3981126475440096</v>
      </c>
      <c r="K21" s="11">
        <f>VLOOKUP(A21,TB!TB1_1,4,FALSE)</f>
        <v>3418.2</v>
      </c>
      <c r="L21" s="41">
        <f t="shared" si="2"/>
        <v>0</v>
      </c>
      <c r="N21" s="11">
        <f>VLOOKUP(A21,TB!TB1_1,5,FALSE)</f>
        <v>3418.2</v>
      </c>
      <c r="O21" s="41">
        <f t="shared" si="3"/>
        <v>0</v>
      </c>
    </row>
    <row r="22" spans="1:15" x14ac:dyDescent="0.25">
      <c r="A22" s="36" t="s">
        <v>842</v>
      </c>
      <c r="C22" t="s">
        <v>1029</v>
      </c>
      <c r="E22" s="11">
        <f>VLOOKUP(A22,TB!TB,4,FALSE)</f>
        <v>0</v>
      </c>
      <c r="F22" s="41">
        <f t="shared" si="0"/>
        <v>0</v>
      </c>
      <c r="H22" s="11">
        <f>VLOOKUP(A22,TB!TB,5,FALSE)</f>
        <v>0</v>
      </c>
      <c r="I22" s="41">
        <f t="shared" si="1"/>
        <v>0</v>
      </c>
      <c r="K22" s="11">
        <f>VLOOKUP(A22,TB!TB1_1,4,FALSE)</f>
        <v>0</v>
      </c>
      <c r="L22" s="41">
        <f t="shared" si="2"/>
        <v>0</v>
      </c>
      <c r="N22" s="11">
        <f>VLOOKUP(A22,TB!TB1_1,5,FALSE)</f>
        <v>0</v>
      </c>
      <c r="O22" s="41">
        <f t="shared" si="3"/>
        <v>0</v>
      </c>
    </row>
    <row r="23" spans="1:15" x14ac:dyDescent="0.25">
      <c r="A23" s="36" t="s">
        <v>338</v>
      </c>
      <c r="C23" t="s">
        <v>1123</v>
      </c>
      <c r="E23" s="11">
        <f>VLOOKUP(A23,TB!TB,4,FALSE)</f>
        <v>0</v>
      </c>
      <c r="F23" s="41">
        <f>IF(E$14,E23/E$14,0)</f>
        <v>0</v>
      </c>
      <c r="H23" s="11">
        <f>VLOOKUP(A23,TB!TB,5,FALSE)</f>
        <v>0</v>
      </c>
      <c r="I23" s="41">
        <f>IF(H$14,H23/H$14,0)</f>
        <v>0</v>
      </c>
      <c r="K23" s="11">
        <f>VLOOKUP(A23,TB!TB1_1,4,FALSE)</f>
        <v>0</v>
      </c>
      <c r="L23" s="41">
        <f>IF(K$14,K23/K$14,0)</f>
        <v>0</v>
      </c>
      <c r="N23" s="11">
        <f>VLOOKUP(A23,TB!TB1_1,5,FALSE)</f>
        <v>0</v>
      </c>
      <c r="O23" s="41">
        <f>IF(N$14,N23/N$14,0)</f>
        <v>0</v>
      </c>
    </row>
    <row r="24" spans="1:15" x14ac:dyDescent="0.25">
      <c r="A24" s="36" t="s">
        <v>389</v>
      </c>
      <c r="C24" t="s">
        <v>1124</v>
      </c>
      <c r="E24" s="11">
        <f>VLOOKUP(A24,TB!TB,4,FALSE)</f>
        <v>0</v>
      </c>
      <c r="F24" s="41">
        <f>IF(E$14,E24/E$14,0)</f>
        <v>0</v>
      </c>
      <c r="H24" s="11">
        <f>VLOOKUP(A24,TB!TB,5,FALSE)</f>
        <v>0</v>
      </c>
      <c r="I24" s="41">
        <f>IF(H$14,H24/H$14,0)</f>
        <v>0</v>
      </c>
      <c r="K24" s="11">
        <f>VLOOKUP(A24,TB!TB1_1,4,FALSE)</f>
        <v>0</v>
      </c>
      <c r="L24" s="41">
        <f>IF(K$14,K24/K$14,0)</f>
        <v>0</v>
      </c>
      <c r="N24" s="11">
        <f>VLOOKUP(A24,TB!TB1_1,5,FALSE)</f>
        <v>0</v>
      </c>
      <c r="O24" s="41">
        <f>IF(N$14,N24/N$14,0)</f>
        <v>0</v>
      </c>
    </row>
    <row r="25" spans="1:15" x14ac:dyDescent="0.25">
      <c r="A25" s="36" t="s">
        <v>1180</v>
      </c>
      <c r="C25" t="s">
        <v>1182</v>
      </c>
      <c r="E25" s="59">
        <f>VLOOKUP(A25,TB!TB,4,FALSE)</f>
        <v>0</v>
      </c>
      <c r="F25" s="41">
        <f>IF(E$14,E25/E$14,0)</f>
        <v>0</v>
      </c>
      <c r="H25" s="59">
        <f>VLOOKUP(A25,TB!TB,5,FALSE)</f>
        <v>0</v>
      </c>
      <c r="I25" s="41">
        <f>IF(H$14,H25/H$14,0)</f>
        <v>0</v>
      </c>
      <c r="K25" s="59">
        <f>VLOOKUP(A25,TB!TB1_1,4,FALSE)</f>
        <v>0</v>
      </c>
      <c r="L25" s="41">
        <f>IF(K$14,K25/K$14,0)</f>
        <v>0</v>
      </c>
      <c r="N25" s="59">
        <f>VLOOKUP(A25,TB!TB1_1,5,FALSE)</f>
        <v>0</v>
      </c>
      <c r="O25" s="41">
        <f>IF(N$14,N25/N$14,0)</f>
        <v>0</v>
      </c>
    </row>
    <row r="26" spans="1:15" x14ac:dyDescent="0.25">
      <c r="E26" s="59"/>
      <c r="F26" s="87"/>
      <c r="G26" s="60"/>
      <c r="H26" s="59"/>
      <c r="I26" s="87"/>
      <c r="J26" s="60"/>
      <c r="K26" s="59"/>
      <c r="L26" s="87"/>
      <c r="M26" s="60"/>
      <c r="N26" s="59"/>
      <c r="O26" s="87"/>
    </row>
    <row r="27" spans="1:15" x14ac:dyDescent="0.25">
      <c r="C27" s="43" t="s">
        <v>1033</v>
      </c>
      <c r="E27" s="74">
        <f>SUM(E16:E26)</f>
        <v>32449.449999999997</v>
      </c>
      <c r="F27" s="86">
        <f t="shared" si="0"/>
        <v>1.1290798486972562</v>
      </c>
      <c r="H27" s="74">
        <f>SUM(H16:H26)</f>
        <v>32449.449999999997</v>
      </c>
      <c r="I27" s="86">
        <f t="shared" si="1"/>
        <v>1.1290798486972562</v>
      </c>
      <c r="K27" s="74">
        <f>SUM(K16:K26)</f>
        <v>3418.2</v>
      </c>
      <c r="L27" s="86">
        <f t="shared" si="2"/>
        <v>0</v>
      </c>
      <c r="N27" s="74">
        <f>SUM(N16:N26)</f>
        <v>3418.2</v>
      </c>
      <c r="O27" s="86">
        <f t="shared" si="3"/>
        <v>0</v>
      </c>
    </row>
    <row r="29" spans="1:15" x14ac:dyDescent="0.25">
      <c r="C29" s="43" t="s">
        <v>1034</v>
      </c>
      <c r="E29" s="40">
        <f>E14-E27</f>
        <v>-3709.7199999999975</v>
      </c>
      <c r="F29" s="41">
        <f t="shared" si="0"/>
        <v>-0.12907984869725631</v>
      </c>
      <c r="H29" s="40">
        <f>H14-H27</f>
        <v>-3709.7199999999975</v>
      </c>
      <c r="I29" s="41">
        <f t="shared" ref="I29" si="8">IF(H$14,H29/H$14,0)</f>
        <v>-0.12907984869725631</v>
      </c>
      <c r="K29" s="40">
        <f>K14-K27</f>
        <v>-3418.2</v>
      </c>
      <c r="L29" s="41">
        <f t="shared" ref="L29" si="9">IF(K$14,K29/K$14,0)</f>
        <v>0</v>
      </c>
      <c r="N29" s="40">
        <f>N14-N27</f>
        <v>-3418.2</v>
      </c>
      <c r="O29" s="41">
        <f t="shared" ref="O29" si="10">IF(N$14,N29/N$14,0)</f>
        <v>0</v>
      </c>
    </row>
    <row r="31" spans="1:15" x14ac:dyDescent="0.25">
      <c r="A31" s="36" t="s">
        <v>421</v>
      </c>
      <c r="C31" t="s">
        <v>1103</v>
      </c>
      <c r="E31" s="11">
        <f>VLOOKUP(A31,TB!TB,4,FALSE)</f>
        <v>0</v>
      </c>
      <c r="F31" s="41">
        <f t="shared" si="0"/>
        <v>0</v>
      </c>
      <c r="H31" s="11">
        <f>VLOOKUP(A31,TB!TB,5,FALSE)</f>
        <v>0</v>
      </c>
      <c r="I31" s="41">
        <f t="shared" ref="I31:I45" si="11">IF(H$14,H31/H$14,0)</f>
        <v>0</v>
      </c>
      <c r="K31" s="11">
        <f>VLOOKUP(A31,TB!TB1_1,4,FALSE)</f>
        <v>0</v>
      </c>
      <c r="L31" s="41">
        <f t="shared" ref="L31:L45" si="12">IF(K$14,K31/K$14,0)</f>
        <v>0</v>
      </c>
      <c r="N31" s="11">
        <f>VLOOKUP(A31,TB!TB1_1,5,FALSE)</f>
        <v>0</v>
      </c>
      <c r="O31" s="41">
        <f t="shared" ref="O31:O45" si="13">IF(N$14,N31/N$14,0)</f>
        <v>0</v>
      </c>
    </row>
    <row r="32" spans="1:15" x14ac:dyDescent="0.25">
      <c r="A32" s="36" t="s">
        <v>445</v>
      </c>
      <c r="C32" t="s">
        <v>1104</v>
      </c>
      <c r="E32" s="11">
        <f>VLOOKUP(A32,TB!TB,4,FALSE)</f>
        <v>0</v>
      </c>
      <c r="F32" s="41">
        <f t="shared" si="0"/>
        <v>0</v>
      </c>
      <c r="H32" s="11">
        <f>VLOOKUP(A32,TB!TB,5,FALSE)</f>
        <v>0</v>
      </c>
      <c r="I32" s="41">
        <f t="shared" si="11"/>
        <v>0</v>
      </c>
      <c r="K32" s="11">
        <f>VLOOKUP(A32,TB!TB1_1,4,FALSE)</f>
        <v>0</v>
      </c>
      <c r="L32" s="41">
        <f t="shared" si="12"/>
        <v>0</v>
      </c>
      <c r="N32" s="11">
        <f>VLOOKUP(A32,TB!TB1_1,5,FALSE)</f>
        <v>0</v>
      </c>
      <c r="O32" s="41">
        <f t="shared" si="13"/>
        <v>0</v>
      </c>
    </row>
    <row r="33" spans="1:15" x14ac:dyDescent="0.25">
      <c r="A33" s="36" t="s">
        <v>465</v>
      </c>
      <c r="C33" t="s">
        <v>1105</v>
      </c>
      <c r="E33" s="11">
        <f>VLOOKUP(A33,TB!TB,4,FALSE)</f>
        <v>0</v>
      </c>
      <c r="F33" s="41">
        <f t="shared" si="0"/>
        <v>0</v>
      </c>
      <c r="H33" s="11">
        <f>VLOOKUP(A33,TB!TB,5,FALSE)</f>
        <v>0</v>
      </c>
      <c r="I33" s="41">
        <f t="shared" si="11"/>
        <v>0</v>
      </c>
      <c r="K33" s="11">
        <f>VLOOKUP(A33,TB!TB1_1,4,FALSE)</f>
        <v>0</v>
      </c>
      <c r="L33" s="41">
        <f t="shared" si="12"/>
        <v>0</v>
      </c>
      <c r="N33" s="11">
        <f>VLOOKUP(A33,TB!TB1_1,5,FALSE)</f>
        <v>0</v>
      </c>
      <c r="O33" s="41">
        <f t="shared" si="13"/>
        <v>0</v>
      </c>
    </row>
    <row r="34" spans="1:15" x14ac:dyDescent="0.25">
      <c r="A34" s="39" t="s">
        <v>1281</v>
      </c>
      <c r="C34" t="s">
        <v>1295</v>
      </c>
      <c r="E34" s="11">
        <f>VLOOKUP(A34,TB!TB,4,FALSE)</f>
        <v>0</v>
      </c>
      <c r="F34" s="41">
        <f t="shared" ref="F34" si="14">IF(E$14,E34/E$14,0)</f>
        <v>0</v>
      </c>
      <c r="H34" s="11">
        <f>VLOOKUP(A34,TB!TB,5,FALSE)</f>
        <v>0</v>
      </c>
      <c r="I34" s="41">
        <f t="shared" ref="I34" si="15">IF(H$14,H34/H$14,0)</f>
        <v>0</v>
      </c>
      <c r="K34" s="11">
        <f>VLOOKUP(A34,TB!TB1_1,4,FALSE)</f>
        <v>-13319.9</v>
      </c>
      <c r="L34" s="41">
        <f t="shared" ref="L34" si="16">IF(K$14,K34/K$14,0)</f>
        <v>0</v>
      </c>
      <c r="N34" s="11">
        <f>VLOOKUP(A34,TB!TB1_1,5,FALSE)</f>
        <v>-13319.9</v>
      </c>
      <c r="O34" s="41">
        <f t="shared" ref="O34" si="17">IF(N$14,N34/N$14,0)</f>
        <v>0</v>
      </c>
    </row>
    <row r="35" spans="1:15" x14ac:dyDescent="0.25">
      <c r="A35" s="36" t="s">
        <v>473</v>
      </c>
      <c r="C35" t="s">
        <v>1106</v>
      </c>
      <c r="E35" s="11">
        <f>VLOOKUP(A35,TB!TB,4,FALSE)</f>
        <v>0</v>
      </c>
      <c r="F35" s="41">
        <f t="shared" si="0"/>
        <v>0</v>
      </c>
      <c r="H35" s="11">
        <f>VLOOKUP(A35,TB!TB,5,FALSE)</f>
        <v>0</v>
      </c>
      <c r="I35" s="41">
        <f t="shared" si="11"/>
        <v>0</v>
      </c>
      <c r="K35" s="11">
        <f>VLOOKUP(A35,TB!TB1_1,4,FALSE)</f>
        <v>0</v>
      </c>
      <c r="L35" s="41">
        <f t="shared" si="12"/>
        <v>0</v>
      </c>
      <c r="N35" s="11">
        <f>VLOOKUP(A35,TB!TB1_1,5,FALSE)</f>
        <v>0</v>
      </c>
      <c r="O35" s="41">
        <f t="shared" si="13"/>
        <v>0</v>
      </c>
    </row>
    <row r="36" spans="1:15" x14ac:dyDescent="0.25">
      <c r="A36" s="36" t="s">
        <v>640</v>
      </c>
      <c r="C36" t="s">
        <v>639</v>
      </c>
      <c r="E36" s="26">
        <f>VLOOKUP(A36,TB!TB,4,FALSE)</f>
        <v>0</v>
      </c>
      <c r="F36" s="41">
        <f t="shared" si="0"/>
        <v>0</v>
      </c>
      <c r="H36" s="26">
        <f>VLOOKUP(A36,TB!TB,5,FALSE)</f>
        <v>0</v>
      </c>
      <c r="I36" s="41">
        <f t="shared" si="11"/>
        <v>0</v>
      </c>
      <c r="K36" s="26">
        <f>VLOOKUP(A36,TB!TB1_1,4,FALSE)</f>
        <v>0</v>
      </c>
      <c r="L36" s="41">
        <f t="shared" si="12"/>
        <v>0</v>
      </c>
      <c r="N36" s="26">
        <f>VLOOKUP(A36,TB!TB1_1,5,FALSE)</f>
        <v>0</v>
      </c>
      <c r="O36" s="41">
        <f t="shared" si="13"/>
        <v>0</v>
      </c>
    </row>
    <row r="37" spans="1:15" x14ac:dyDescent="0.25">
      <c r="A37" s="36" t="s">
        <v>655</v>
      </c>
      <c r="C37" t="s">
        <v>654</v>
      </c>
      <c r="E37" s="11">
        <f>VLOOKUP(A37,TB!TB,4,FALSE)</f>
        <v>0</v>
      </c>
      <c r="F37" s="41">
        <f t="shared" si="0"/>
        <v>0</v>
      </c>
      <c r="H37" s="11">
        <f>VLOOKUP(A37,TB!TB,5,FALSE)</f>
        <v>0</v>
      </c>
      <c r="I37" s="41">
        <f t="shared" si="11"/>
        <v>0</v>
      </c>
      <c r="K37" s="11">
        <f>VLOOKUP(A37,TB!TB1_1,4,FALSE)</f>
        <v>0</v>
      </c>
      <c r="L37" s="41">
        <f t="shared" si="12"/>
        <v>0</v>
      </c>
      <c r="N37" s="11">
        <f>VLOOKUP(A37,TB!TB1_1,5,FALSE)</f>
        <v>0</v>
      </c>
      <c r="O37" s="41">
        <f t="shared" si="13"/>
        <v>0</v>
      </c>
    </row>
    <row r="38" spans="1:15" x14ac:dyDescent="0.25">
      <c r="A38" s="36" t="s">
        <v>523</v>
      </c>
      <c r="C38" t="s">
        <v>1107</v>
      </c>
      <c r="E38" s="11">
        <f>VLOOKUP(A38,TB!TB,4,FALSE)</f>
        <v>1840</v>
      </c>
      <c r="F38" s="41">
        <f t="shared" si="0"/>
        <v>6.4022870082634742E-2</v>
      </c>
      <c r="H38" s="11">
        <f>VLOOKUP(A38,TB!TB,5,FALSE)</f>
        <v>1840</v>
      </c>
      <c r="I38" s="41">
        <f t="shared" si="11"/>
        <v>6.4022870082634742E-2</v>
      </c>
      <c r="K38" s="11">
        <f>VLOOKUP(A38,TB!TB1_1,4,FALSE)</f>
        <v>562.5</v>
      </c>
      <c r="L38" s="41">
        <f t="shared" si="12"/>
        <v>0</v>
      </c>
      <c r="N38" s="11">
        <f>VLOOKUP(A38,TB!TB1_1,5,FALSE)</f>
        <v>562.5</v>
      </c>
      <c r="O38" s="41">
        <f t="shared" si="13"/>
        <v>0</v>
      </c>
    </row>
    <row r="39" spans="1:15" x14ac:dyDescent="0.25">
      <c r="A39" s="36" t="s">
        <v>541</v>
      </c>
      <c r="C39" t="s">
        <v>1108</v>
      </c>
      <c r="E39" s="11">
        <f>VLOOKUP(A39,TB!TB,4,FALSE)</f>
        <v>0</v>
      </c>
      <c r="F39" s="41">
        <f t="shared" si="0"/>
        <v>0</v>
      </c>
      <c r="H39" s="11">
        <f>VLOOKUP(A39,TB!TB,5,FALSE)</f>
        <v>0</v>
      </c>
      <c r="I39" s="41">
        <f t="shared" si="11"/>
        <v>0</v>
      </c>
      <c r="K39" s="11">
        <f>VLOOKUP(A39,TB!TB1_1,4,FALSE)</f>
        <v>0</v>
      </c>
      <c r="L39" s="41">
        <f t="shared" si="12"/>
        <v>0</v>
      </c>
      <c r="N39" s="11">
        <f>VLOOKUP(A39,TB!TB1_1,5,FALSE)</f>
        <v>0</v>
      </c>
      <c r="O39" s="41">
        <f t="shared" si="13"/>
        <v>0</v>
      </c>
    </row>
    <row r="40" spans="1:15" x14ac:dyDescent="0.25">
      <c r="A40" s="36" t="s">
        <v>558</v>
      </c>
      <c r="C40" t="s">
        <v>1125</v>
      </c>
      <c r="E40" s="59">
        <f>VLOOKUP(A40,TB!TB,4,FALSE)</f>
        <v>0</v>
      </c>
      <c r="F40" s="87">
        <f>IF(E$14,E40/E$14,0)</f>
        <v>0</v>
      </c>
      <c r="G40" s="60"/>
      <c r="H40" s="59">
        <f>VLOOKUP(A40,TB!TB,5,FALSE)</f>
        <v>0</v>
      </c>
      <c r="I40" s="87">
        <f>IF(H$14,H40/H$14,0)</f>
        <v>0</v>
      </c>
      <c r="J40" s="60"/>
      <c r="K40" s="59">
        <f>VLOOKUP(A40,TB!TB1_1,4,FALSE)</f>
        <v>0</v>
      </c>
      <c r="L40" s="87">
        <f>IF(K$14,K40/K$14,0)</f>
        <v>0</v>
      </c>
      <c r="M40" s="60"/>
      <c r="N40" s="59">
        <f>VLOOKUP(A40,TB!TB1_1,5,FALSE)</f>
        <v>0</v>
      </c>
      <c r="O40" s="87">
        <f>IF(N$14,N40/N$14,0)</f>
        <v>0</v>
      </c>
    </row>
    <row r="41" spans="1:15" x14ac:dyDescent="0.25">
      <c r="A41" s="36" t="s">
        <v>598</v>
      </c>
      <c r="C41" t="s">
        <v>1109</v>
      </c>
      <c r="E41" s="11">
        <f>VLOOKUP(A41,TB!TB,4,FALSE)</f>
        <v>770.13</v>
      </c>
      <c r="F41" s="41">
        <f t="shared" si="0"/>
        <v>2.6796702683010591E-2</v>
      </c>
      <c r="H41" s="11">
        <f>VLOOKUP(A41,TB!TB,5,FALSE)</f>
        <v>770.13</v>
      </c>
      <c r="I41" s="41">
        <f t="shared" si="11"/>
        <v>2.6796702683010591E-2</v>
      </c>
      <c r="K41" s="11">
        <f>VLOOKUP(A41,TB!TB1_1,4,FALSE)</f>
        <v>0</v>
      </c>
      <c r="L41" s="41">
        <f t="shared" si="12"/>
        <v>0</v>
      </c>
      <c r="N41" s="11">
        <f>VLOOKUP(A41,TB!TB1_1,5,FALSE)</f>
        <v>0</v>
      </c>
      <c r="O41" s="41">
        <f t="shared" si="13"/>
        <v>0</v>
      </c>
    </row>
    <row r="42" spans="1:15" x14ac:dyDescent="0.25">
      <c r="A42" s="36" t="s">
        <v>679</v>
      </c>
      <c r="C42" t="s">
        <v>1110</v>
      </c>
      <c r="E42" s="11">
        <f>VLOOKUP(A42,TB!TB,4,FALSE)</f>
        <v>390.98</v>
      </c>
      <c r="F42" s="41">
        <f t="shared" si="0"/>
        <v>1.3604163991798115E-2</v>
      </c>
      <c r="H42" s="11">
        <f>VLOOKUP(A42,TB!TB,5,FALSE)</f>
        <v>390.98</v>
      </c>
      <c r="I42" s="41">
        <f t="shared" si="11"/>
        <v>1.3604163991798115E-2</v>
      </c>
      <c r="K42" s="11">
        <f>VLOOKUP(A42,TB!TB1_1,4,FALSE)</f>
        <v>1151.1099999999999</v>
      </c>
      <c r="L42" s="41">
        <f t="shared" si="12"/>
        <v>0</v>
      </c>
      <c r="N42" s="11">
        <f>VLOOKUP(A42,TB!TB1_1,5,FALSE)</f>
        <v>1151.1099999999999</v>
      </c>
      <c r="O42" s="41">
        <f t="shared" si="13"/>
        <v>0</v>
      </c>
    </row>
    <row r="43" spans="1:15" x14ac:dyDescent="0.25">
      <c r="A43" s="36" t="s">
        <v>697</v>
      </c>
      <c r="C43" t="s">
        <v>1126</v>
      </c>
      <c r="E43" s="11">
        <f>VLOOKUP(A43,TB!TB,4,FALSE)</f>
        <v>0</v>
      </c>
      <c r="F43" s="41">
        <f t="shared" si="0"/>
        <v>0</v>
      </c>
      <c r="H43" s="11">
        <f>VLOOKUP(A43,TB!TB,5,FALSE)</f>
        <v>0</v>
      </c>
      <c r="I43" s="41">
        <f t="shared" si="11"/>
        <v>0</v>
      </c>
      <c r="K43" s="11">
        <f>VLOOKUP(A43,TB!TB1_1,4,FALSE)</f>
        <v>0</v>
      </c>
      <c r="L43" s="41">
        <f t="shared" si="12"/>
        <v>0</v>
      </c>
      <c r="N43" s="11">
        <f>VLOOKUP(A43,TB!TB1_1,5,FALSE)</f>
        <v>0</v>
      </c>
      <c r="O43" s="41">
        <f t="shared" si="13"/>
        <v>0</v>
      </c>
    </row>
    <row r="44" spans="1:15" x14ac:dyDescent="0.25">
      <c r="A44" s="36" t="s">
        <v>727</v>
      </c>
      <c r="C44" t="s">
        <v>1111</v>
      </c>
      <c r="E44" s="29">
        <f>VLOOKUP(A44,TB!TB,4,FALSE)</f>
        <v>0</v>
      </c>
      <c r="F44" s="50">
        <f t="shared" si="0"/>
        <v>0</v>
      </c>
      <c r="H44" s="29">
        <f>VLOOKUP(A44,TB!TB,5,FALSE)</f>
        <v>0</v>
      </c>
      <c r="I44" s="50">
        <f t="shared" si="11"/>
        <v>0</v>
      </c>
      <c r="K44" s="29">
        <f>VLOOKUP(A44,TB!TB1_1,4,FALSE)</f>
        <v>0</v>
      </c>
      <c r="L44" s="50">
        <f t="shared" si="12"/>
        <v>0</v>
      </c>
      <c r="N44" s="29">
        <f>VLOOKUP(A44,TB!TB1_1,5,FALSE)</f>
        <v>0</v>
      </c>
      <c r="O44" s="50">
        <f t="shared" si="13"/>
        <v>0</v>
      </c>
    </row>
    <row r="45" spans="1:15" x14ac:dyDescent="0.25">
      <c r="C45" s="43" t="s">
        <v>1003</v>
      </c>
      <c r="E45" s="40">
        <f>SUM(E31:E44)</f>
        <v>3001.11</v>
      </c>
      <c r="F45" s="41">
        <f t="shared" si="0"/>
        <v>0.10442373675744344</v>
      </c>
      <c r="H45" s="40">
        <f>SUM(H31:H44)</f>
        <v>3001.11</v>
      </c>
      <c r="I45" s="41">
        <f t="shared" si="11"/>
        <v>0.10442373675744344</v>
      </c>
      <c r="K45" s="40">
        <f>SUM(K31:K44)</f>
        <v>-11606.289999999999</v>
      </c>
      <c r="L45" s="41">
        <f t="shared" si="12"/>
        <v>0</v>
      </c>
      <c r="N45" s="40">
        <f>SUM(N31:N44)</f>
        <v>-11606.289999999999</v>
      </c>
      <c r="O45" s="41">
        <f t="shared" si="13"/>
        <v>0</v>
      </c>
    </row>
    <row r="47" spans="1:15" x14ac:dyDescent="0.25">
      <c r="C47" s="43" t="s">
        <v>1024</v>
      </c>
      <c r="E47" s="40">
        <f>E29-E45</f>
        <v>-6710.8299999999981</v>
      </c>
      <c r="F47" s="41">
        <f t="shared" si="0"/>
        <v>-0.23350358545469976</v>
      </c>
      <c r="H47" s="40">
        <f>H29-H45</f>
        <v>-6710.8299999999981</v>
      </c>
      <c r="K47" s="40">
        <f>K29-K45</f>
        <v>8188.0899999999992</v>
      </c>
      <c r="N47" s="40">
        <f>N29-N45</f>
        <v>8188.0899999999992</v>
      </c>
    </row>
    <row r="48" spans="1:15" ht="15.75" thickBot="1" x14ac:dyDescent="0.3">
      <c r="A48" s="36" t="s">
        <v>744</v>
      </c>
      <c r="C48" t="s">
        <v>743</v>
      </c>
      <c r="E48" s="59">
        <f>VLOOKUP(A48,TB!TB,4,FALSE)</f>
        <v>0</v>
      </c>
      <c r="F48" s="41">
        <f>IF(E$14,E48/E$14,0)</f>
        <v>0</v>
      </c>
      <c r="H48" s="59">
        <f>VLOOKUP(A48,TB!TB,5,FALSE)</f>
        <v>0</v>
      </c>
      <c r="I48" s="41">
        <f>IF(H$14,H48/H$14,0)</f>
        <v>0</v>
      </c>
      <c r="K48" s="59">
        <f>VLOOKUP(A48,TB!TB1_1,4,FALSE)</f>
        <v>24693.19</v>
      </c>
      <c r="L48" s="41">
        <f>IF(K$14,K48/K$14,0)</f>
        <v>0</v>
      </c>
      <c r="N48" s="59">
        <f>VLOOKUP(A48,TB!TB1_1,5,FALSE)</f>
        <v>24693.19</v>
      </c>
      <c r="O48" s="41">
        <f>IF(N$14,N48/N$14,0)</f>
        <v>0</v>
      </c>
    </row>
    <row r="49" spans="3:15" ht="15.75" thickTop="1" x14ac:dyDescent="0.25">
      <c r="E49" s="99"/>
      <c r="F49" s="99"/>
      <c r="H49" s="99"/>
      <c r="I49" s="99"/>
      <c r="K49" s="99"/>
      <c r="L49" s="99"/>
      <c r="N49" s="99"/>
      <c r="O49" s="99"/>
    </row>
    <row r="50" spans="3:15" x14ac:dyDescent="0.25">
      <c r="C50" s="88" t="s">
        <v>1025</v>
      </c>
      <c r="E50" s="40">
        <f>E47-E48</f>
        <v>-6710.8299999999981</v>
      </c>
      <c r="F50" s="41">
        <f>IF(E$14,E50/E$14,0)</f>
        <v>-0.23350358545469976</v>
      </c>
      <c r="H50" s="40">
        <f>H47-H48</f>
        <v>-6710.8299999999981</v>
      </c>
      <c r="I50" s="41">
        <f>IF(H$14,H50/H$14,0)</f>
        <v>-0.23350358545469976</v>
      </c>
      <c r="K50" s="40">
        <f>K47-K48</f>
        <v>-16505.099999999999</v>
      </c>
      <c r="L50" s="41">
        <f>IF(K$14,K50/K$14,0)</f>
        <v>0</v>
      </c>
      <c r="N50" s="40">
        <f>N47-N48</f>
        <v>-16505.099999999999</v>
      </c>
      <c r="O50" s="41">
        <f>IF(N$14,N50/N$14,0)</f>
        <v>0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8CC6-2430-4ADC-BCF4-96161BEBB353}">
  <sheetPr>
    <pageSetUpPr fitToPage="1"/>
  </sheetPr>
  <dimension ref="A1:O67"/>
  <sheetViews>
    <sheetView zoomScaleNormal="100" workbookViewId="0">
      <selection activeCell="E70" sqref="E70"/>
    </sheetView>
  </sheetViews>
  <sheetFormatPr defaultRowHeight="15" x14ac:dyDescent="0.25"/>
  <cols>
    <col min="1" max="1" width="11.28515625" style="36" customWidth="1"/>
    <col min="2" max="2" width="1.140625" customWidth="1"/>
    <col min="3" max="3" width="34.140625" customWidth="1"/>
    <col min="4" max="4" width="2.7109375" customWidth="1"/>
    <col min="5" max="5" width="18.5703125" customWidth="1"/>
    <col min="6" max="6" width="9.7109375" customWidth="1"/>
    <col min="7" max="7" width="2.5703125" customWidth="1"/>
    <col min="8" max="8" width="18.140625" customWidth="1"/>
    <col min="9" max="9" width="9.5703125" customWidth="1"/>
    <col min="10" max="10" width="1.85546875" customWidth="1"/>
    <col min="11" max="11" width="18.28515625" customWidth="1"/>
    <col min="12" max="12" width="8.85546875" bestFit="1" customWidth="1"/>
    <col min="13" max="13" width="1.42578125" customWidth="1"/>
    <col min="14" max="14" width="18.5703125" customWidth="1"/>
    <col min="15" max="15" width="9.85546875" bestFit="1" customWidth="1"/>
  </cols>
  <sheetData>
    <row r="1" spans="1:15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1214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53"/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54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5" x14ac:dyDescent="0.25">
      <c r="A7" s="36" t="s">
        <v>252</v>
      </c>
      <c r="C7" t="s">
        <v>1127</v>
      </c>
      <c r="E7" s="11">
        <f>VLOOKUP(A7,TB!TB,4,FALSE)*-1</f>
        <v>0</v>
      </c>
      <c r="F7" s="41">
        <f>IF(E$12,E7/E$12,0)</f>
        <v>0</v>
      </c>
      <c r="H7" s="11">
        <f>VLOOKUP(A7,TB!TB,5,FALSE)*-1</f>
        <v>0</v>
      </c>
      <c r="I7" s="41">
        <f>IF(H$12,H7/H$12,0)</f>
        <v>0</v>
      </c>
      <c r="K7" s="11">
        <f>VLOOKUP(A7,TB!TB1_1,4,FALSE)*-1</f>
        <v>0</v>
      </c>
      <c r="L7" s="41">
        <f>IF(K$12,K7/K$12,0)</f>
        <v>0</v>
      </c>
      <c r="N7" s="11">
        <f>VLOOKUP(A7,TB!TB1_1,5,FALSE)*-1</f>
        <v>0</v>
      </c>
      <c r="O7" s="41">
        <f>IF(N$12,N7/N$12,0)</f>
        <v>0</v>
      </c>
    </row>
    <row r="8" spans="1:15" x14ac:dyDescent="0.25">
      <c r="A8" s="39" t="s">
        <v>1483</v>
      </c>
      <c r="C8" t="s">
        <v>1484</v>
      </c>
      <c r="E8" s="11">
        <f>VLOOKUP(A8,TB!TB,4,FALSE)*-1</f>
        <v>0</v>
      </c>
      <c r="F8" s="41">
        <f>IF(E$12,E8/E$12,0)</f>
        <v>0</v>
      </c>
      <c r="H8" s="11">
        <f>VLOOKUP(A8,TB!TB,5,FALSE)*-1</f>
        <v>0</v>
      </c>
      <c r="I8" s="41">
        <f>IF(H$12,H8/H$12,0)</f>
        <v>0</v>
      </c>
      <c r="K8" s="11">
        <v>0</v>
      </c>
      <c r="L8" s="41">
        <f>IF(K$12,K8/K$12,0)</f>
        <v>0</v>
      </c>
      <c r="N8" s="11">
        <v>0</v>
      </c>
      <c r="O8" s="41">
        <f>IF(N$12,N8/N$12,0)</f>
        <v>0</v>
      </c>
    </row>
    <row r="9" spans="1:15" x14ac:dyDescent="0.25">
      <c r="A9" s="36" t="s">
        <v>254</v>
      </c>
      <c r="C9" t="s">
        <v>255</v>
      </c>
      <c r="E9" s="11">
        <f>VLOOKUP(A9,TB!TB,4,FALSE)*-1</f>
        <v>0</v>
      </c>
      <c r="F9" s="41">
        <f t="shared" ref="F9:F53" si="0">IF(E$12,E9/E$12,0)</f>
        <v>0</v>
      </c>
      <c r="H9" s="11">
        <f>VLOOKUP(A9,TB!TB,5,FALSE)*-1</f>
        <v>0</v>
      </c>
      <c r="I9" s="41">
        <f t="shared" ref="I9:I12" si="1">IF(H$12,H9/H$12,0)</f>
        <v>0</v>
      </c>
      <c r="K9" s="11">
        <f>VLOOKUP(A9,TB!TB1_1,4,FALSE)*-1</f>
        <v>18597.099999999999</v>
      </c>
      <c r="L9" s="41">
        <f t="shared" ref="L9:L12" si="2">IF(K$12,K9/K$12,0)</f>
        <v>1.0830118247227263</v>
      </c>
      <c r="N9" s="11">
        <f>VLOOKUP(A9,TB!TB1_1,5,FALSE)*-1</f>
        <v>18597.099999999999</v>
      </c>
      <c r="O9" s="41">
        <f t="shared" ref="O9:O12" si="3">IF(N$12,N9/N$12,0)</f>
        <v>1.0830118247227263</v>
      </c>
    </row>
    <row r="10" spans="1:15" x14ac:dyDescent="0.25">
      <c r="A10" s="36" t="s">
        <v>256</v>
      </c>
      <c r="C10" t="s">
        <v>1128</v>
      </c>
      <c r="E10" s="11">
        <f>VLOOKUP(A10,TB!TB,4,FALSE)*-1</f>
        <v>-54.31</v>
      </c>
      <c r="F10" s="41">
        <f t="shared" si="0"/>
        <v>1</v>
      </c>
      <c r="H10" s="11">
        <f>VLOOKUP(A10,TB!TB,5,FALSE)*-1</f>
        <v>-54.31</v>
      </c>
      <c r="I10" s="41">
        <f t="shared" si="1"/>
        <v>1</v>
      </c>
      <c r="K10" s="11">
        <f>VLOOKUP(A10,TB!TB1_1,4,FALSE)*-1</f>
        <v>-1425.45</v>
      </c>
      <c r="L10" s="41">
        <f t="shared" si="2"/>
        <v>-8.3011824722726141E-2</v>
      </c>
      <c r="N10" s="11">
        <f>VLOOKUP(A10,TB!TB1_1,5,FALSE)*-1</f>
        <v>-1425.45</v>
      </c>
      <c r="O10" s="41">
        <f t="shared" si="3"/>
        <v>-8.3011824722726141E-2</v>
      </c>
    </row>
    <row r="11" spans="1:15" x14ac:dyDescent="0.25">
      <c r="A11" s="36" t="s">
        <v>258</v>
      </c>
      <c r="C11" t="s">
        <v>1129</v>
      </c>
      <c r="E11" s="29">
        <f>VLOOKUP(A11,TB!TB,4,FALSE)*-1</f>
        <v>0</v>
      </c>
      <c r="F11" s="50">
        <f t="shared" si="0"/>
        <v>0</v>
      </c>
      <c r="G11" s="51"/>
      <c r="H11" s="29">
        <f>VLOOKUP(A11,TB!TB,5,FALSE)*-1</f>
        <v>0</v>
      </c>
      <c r="I11" s="50">
        <f t="shared" si="1"/>
        <v>0</v>
      </c>
      <c r="J11" s="51"/>
      <c r="K11" s="29">
        <f>VLOOKUP(A11,TB!TB1_1,4,FALSE)*-1</f>
        <v>0</v>
      </c>
      <c r="L11" s="50">
        <f t="shared" si="2"/>
        <v>0</v>
      </c>
      <c r="M11" s="51"/>
      <c r="N11" s="29">
        <f>VLOOKUP(A11,TB!TB1_1,5,FALSE)*-1</f>
        <v>0</v>
      </c>
      <c r="O11" s="50">
        <f t="shared" si="3"/>
        <v>0</v>
      </c>
    </row>
    <row r="12" spans="1:15" x14ac:dyDescent="0.25">
      <c r="C12" t="s">
        <v>1038</v>
      </c>
      <c r="E12" s="40">
        <f>SUM(E7:E11)</f>
        <v>-54.31</v>
      </c>
      <c r="F12" s="41">
        <f t="shared" si="0"/>
        <v>1</v>
      </c>
      <c r="H12" s="40">
        <f>SUM(H7:H11)</f>
        <v>-54.31</v>
      </c>
      <c r="I12" s="41">
        <f t="shared" si="1"/>
        <v>1</v>
      </c>
      <c r="K12" s="40">
        <f>SUM(K7:K11)</f>
        <v>17171.649999999998</v>
      </c>
      <c r="L12" s="41">
        <f t="shared" si="2"/>
        <v>1</v>
      </c>
      <c r="N12" s="40">
        <f>SUM(N7:N11)</f>
        <v>17171.649999999998</v>
      </c>
      <c r="O12" s="41">
        <f t="shared" si="3"/>
        <v>1</v>
      </c>
    </row>
    <row r="14" spans="1:15" x14ac:dyDescent="0.25">
      <c r="C14" s="43" t="s">
        <v>1034</v>
      </c>
      <c r="E14" s="40">
        <f>E12</f>
        <v>-54.31</v>
      </c>
      <c r="F14" s="41">
        <f t="shared" si="0"/>
        <v>1</v>
      </c>
      <c r="H14" s="40">
        <f>H12</f>
        <v>-54.31</v>
      </c>
      <c r="I14" s="41">
        <f t="shared" ref="I14" si="4">IF(H$12,H14/H$12,0)</f>
        <v>1</v>
      </c>
      <c r="K14" s="40">
        <f>K12</f>
        <v>17171.649999999998</v>
      </c>
      <c r="L14" s="41">
        <f t="shared" ref="L14" si="5">IF(K$12,K14/K$12,0)</f>
        <v>1</v>
      </c>
      <c r="N14" s="40">
        <f>N12</f>
        <v>17171.649999999998</v>
      </c>
      <c r="O14" s="41">
        <f t="shared" ref="O14" si="6">IF(N$12,N14/N$12,0)</f>
        <v>1</v>
      </c>
    </row>
    <row r="16" spans="1:15" x14ac:dyDescent="0.25">
      <c r="A16" s="36" t="s">
        <v>431</v>
      </c>
      <c r="C16" t="s">
        <v>1309</v>
      </c>
      <c r="E16" s="11">
        <f>VLOOKUP(A16,TB!TB,4,FALSE)</f>
        <v>46153.86</v>
      </c>
      <c r="F16" s="41">
        <f t="shared" si="0"/>
        <v>-849.82250046032038</v>
      </c>
      <c r="H16" s="11">
        <f>VLOOKUP(A16,TB!TB,5,FALSE)</f>
        <v>46153.86</v>
      </c>
      <c r="I16" s="41">
        <f t="shared" ref="I16:I47" si="7">IF(H$12,H16/H$12,0)</f>
        <v>-849.82250046032038</v>
      </c>
      <c r="K16" s="11">
        <f>VLOOKUP(A16,TB!TB1_1,4,FALSE)</f>
        <v>18000</v>
      </c>
      <c r="L16" s="41">
        <f t="shared" ref="L16:L47" si="8">IF(K$12,K16/K$12,0)</f>
        <v>1.0482393945835142</v>
      </c>
      <c r="N16" s="11">
        <f>VLOOKUP(A16,TB!TB1_1,5,FALSE)</f>
        <v>18000</v>
      </c>
      <c r="O16" s="41">
        <f t="shared" ref="O16:O47" si="9">IF(N$12,N16/N$12,0)</f>
        <v>1.0482393945835142</v>
      </c>
    </row>
    <row r="17" spans="1:15" x14ac:dyDescent="0.25">
      <c r="A17" s="36" t="s">
        <v>455</v>
      </c>
      <c r="C17" t="s">
        <v>444</v>
      </c>
      <c r="E17" s="11">
        <f>VLOOKUP(A17,TB!TB,4,FALSE)</f>
        <v>23972.25</v>
      </c>
      <c r="F17" s="41">
        <f t="shared" si="0"/>
        <v>-441.3966120419812</v>
      </c>
      <c r="H17" s="11">
        <f>VLOOKUP(A17,TB!TB,5,FALSE)</f>
        <v>23972.25</v>
      </c>
      <c r="I17" s="41">
        <f t="shared" si="7"/>
        <v>-441.3966120419812</v>
      </c>
      <c r="K17" s="11">
        <f>VLOOKUP(A17,TB!TB1_1,4,FALSE)</f>
        <v>19892.25</v>
      </c>
      <c r="L17" s="41">
        <f t="shared" si="8"/>
        <v>1.1584355609391062</v>
      </c>
      <c r="N17" s="11">
        <f>VLOOKUP(A17,TB!TB1_1,5,FALSE)</f>
        <v>19892.25</v>
      </c>
      <c r="O17" s="41">
        <f t="shared" si="9"/>
        <v>1.1584355609391062</v>
      </c>
    </row>
    <row r="18" spans="1:15" x14ac:dyDescent="0.25">
      <c r="A18" s="36" t="s">
        <v>483</v>
      </c>
      <c r="C18" t="s">
        <v>472</v>
      </c>
      <c r="E18" s="11">
        <f>VLOOKUP(A18,TB!TB,4,FALSE)</f>
        <v>5997.9</v>
      </c>
      <c r="F18" s="41">
        <f t="shared" si="0"/>
        <v>-110.4382250046032</v>
      </c>
      <c r="H18" s="11">
        <f>VLOOKUP(A18,TB!TB,5,FALSE)</f>
        <v>5997.9</v>
      </c>
      <c r="I18" s="41">
        <f t="shared" si="7"/>
        <v>-110.4382250046032</v>
      </c>
      <c r="K18" s="11">
        <f>VLOOKUP(A18,TB!TB1_1,4,FALSE)</f>
        <v>3130.9</v>
      </c>
      <c r="L18" s="41">
        <f t="shared" si="8"/>
        <v>0.18232959558341805</v>
      </c>
      <c r="N18" s="11">
        <f>VLOOKUP(A18,TB!TB1_1,5,FALSE)</f>
        <v>3130.9</v>
      </c>
      <c r="O18" s="41">
        <f t="shared" si="9"/>
        <v>0.18232959558341805</v>
      </c>
    </row>
    <row r="19" spans="1:15" x14ac:dyDescent="0.25">
      <c r="A19" s="36" t="s">
        <v>649</v>
      </c>
      <c r="C19" t="s">
        <v>639</v>
      </c>
      <c r="E19" s="11">
        <f>VLOOKUP(A19,TB!TB,4,FALSE)</f>
        <v>582.33000000000004</v>
      </c>
      <c r="F19" s="41">
        <f t="shared" si="0"/>
        <v>-10.722334744982508</v>
      </c>
      <c r="H19" s="11">
        <f>VLOOKUP(A19,TB!TB,5,FALSE)</f>
        <v>582.33000000000004</v>
      </c>
      <c r="I19" s="41">
        <f t="shared" si="7"/>
        <v>-10.722334744982508</v>
      </c>
      <c r="K19" s="11">
        <f>VLOOKUP(A19,TB!TB1_1,4,FALSE)</f>
        <v>2380.62</v>
      </c>
      <c r="L19" s="41">
        <f t="shared" si="8"/>
        <v>0.13863664819630031</v>
      </c>
      <c r="N19" s="11">
        <f>VLOOKUP(A19,TB!TB1_1,5,FALSE)</f>
        <v>2380.62</v>
      </c>
      <c r="O19" s="41">
        <f t="shared" si="9"/>
        <v>0.13863664819630031</v>
      </c>
    </row>
    <row r="20" spans="1:15" x14ac:dyDescent="0.25">
      <c r="A20" s="36" t="s">
        <v>665</v>
      </c>
      <c r="C20" t="s">
        <v>654</v>
      </c>
      <c r="E20" s="11">
        <f>VLOOKUP(A20,TB!TB,4,FALSE)</f>
        <v>241.23</v>
      </c>
      <c r="F20" s="41">
        <f t="shared" si="0"/>
        <v>-4.4417234395139014</v>
      </c>
      <c r="H20" s="11">
        <f>VLOOKUP(A20,TB!TB,5,FALSE)</f>
        <v>241.23</v>
      </c>
      <c r="I20" s="41">
        <f t="shared" si="7"/>
        <v>-4.4417234395139014</v>
      </c>
      <c r="K20" s="11">
        <f>VLOOKUP(A20,TB!TB1_1,4,FALSE)</f>
        <v>580.79999999999995</v>
      </c>
      <c r="L20" s="41">
        <f t="shared" si="8"/>
        <v>3.3823191131894727E-2</v>
      </c>
      <c r="N20" s="11">
        <f>VLOOKUP(A20,TB!TB1_1,5,FALSE)</f>
        <v>580.79999999999995</v>
      </c>
      <c r="O20" s="41">
        <f t="shared" si="9"/>
        <v>3.3823191131894727E-2</v>
      </c>
    </row>
    <row r="21" spans="1:15" x14ac:dyDescent="0.25">
      <c r="A21" s="36" t="s">
        <v>497</v>
      </c>
      <c r="C21" t="s">
        <v>488</v>
      </c>
      <c r="E21" s="11">
        <f>VLOOKUP(A21,TB!TB,4,FALSE)</f>
        <v>0</v>
      </c>
      <c r="F21" s="41">
        <f t="shared" si="0"/>
        <v>0</v>
      </c>
      <c r="H21" s="11">
        <f>VLOOKUP(A21,TB!TB,5,FALSE)</f>
        <v>0</v>
      </c>
      <c r="I21" s="41">
        <f t="shared" si="7"/>
        <v>0</v>
      </c>
      <c r="K21" s="11">
        <f>VLOOKUP(A21,TB!TB1_1,4,FALSE)</f>
        <v>577.5</v>
      </c>
      <c r="L21" s="41">
        <f t="shared" si="8"/>
        <v>3.3631013909554412E-2</v>
      </c>
      <c r="N21" s="11">
        <f>VLOOKUP(A21,TB!TB1_1,5,FALSE)</f>
        <v>577.5</v>
      </c>
      <c r="O21" s="41">
        <f t="shared" si="9"/>
        <v>3.3631013909554412E-2</v>
      </c>
    </row>
    <row r="22" spans="1:15" x14ac:dyDescent="0.25">
      <c r="A22" s="36" t="s">
        <v>508</v>
      </c>
      <c r="C22" t="s">
        <v>500</v>
      </c>
      <c r="E22" s="11">
        <f>VLOOKUP(A22,TB!TB,4,FALSE)</f>
        <v>0</v>
      </c>
      <c r="F22" s="41">
        <f t="shared" si="0"/>
        <v>0</v>
      </c>
      <c r="H22" s="11">
        <f>VLOOKUP(A22,TB!TB,5,FALSE)</f>
        <v>0</v>
      </c>
      <c r="I22" s="41">
        <f t="shared" si="7"/>
        <v>0</v>
      </c>
      <c r="K22" s="11">
        <f>VLOOKUP(A22,TB!TB1_1,4,FALSE)</f>
        <v>0</v>
      </c>
      <c r="L22" s="41">
        <f t="shared" si="8"/>
        <v>0</v>
      </c>
      <c r="N22" s="11">
        <f>VLOOKUP(A22,TB!TB1_1,5,FALSE)</f>
        <v>0</v>
      </c>
      <c r="O22" s="41">
        <f t="shared" si="9"/>
        <v>0</v>
      </c>
    </row>
    <row r="23" spans="1:15" x14ac:dyDescent="0.25">
      <c r="A23" s="36" t="s">
        <v>519</v>
      </c>
      <c r="C23" t="s">
        <v>1130</v>
      </c>
      <c r="E23" s="11">
        <f>VLOOKUP(A23,TB!TB,4,FALSE)</f>
        <v>515.25</v>
      </c>
      <c r="F23" s="41">
        <f t="shared" si="0"/>
        <v>-9.4872030933529725</v>
      </c>
      <c r="H23" s="11">
        <f>VLOOKUP(A23,TB!TB,5,FALSE)</f>
        <v>515.25</v>
      </c>
      <c r="I23" s="41">
        <f t="shared" si="7"/>
        <v>-9.4872030933529725</v>
      </c>
      <c r="K23" s="11">
        <f>VLOOKUP(A23,TB!TB1_1,4,FALSE)</f>
        <v>1100.58</v>
      </c>
      <c r="L23" s="41">
        <f t="shared" si="8"/>
        <v>6.4092850716151339E-2</v>
      </c>
      <c r="N23" s="11">
        <f>VLOOKUP(A23,TB!TB1_1,5,FALSE)</f>
        <v>1100.58</v>
      </c>
      <c r="O23" s="41">
        <f t="shared" si="9"/>
        <v>6.4092850716151339E-2</v>
      </c>
    </row>
    <row r="24" spans="1:15" x14ac:dyDescent="0.25">
      <c r="A24" s="36" t="s">
        <v>532</v>
      </c>
      <c r="C24" t="s">
        <v>522</v>
      </c>
      <c r="E24" s="11">
        <f>VLOOKUP(A24,TB!TB,4,FALSE)</f>
        <v>0</v>
      </c>
      <c r="F24" s="41">
        <f t="shared" si="0"/>
        <v>0</v>
      </c>
      <c r="H24" s="11">
        <f>VLOOKUP(A24,TB!TB,5,FALSE)</f>
        <v>0</v>
      </c>
      <c r="I24" s="41">
        <f t="shared" si="7"/>
        <v>0</v>
      </c>
      <c r="K24" s="11">
        <f>VLOOKUP(A24,TB!TB1_1,4,FALSE)</f>
        <v>0</v>
      </c>
      <c r="L24" s="41">
        <f t="shared" si="8"/>
        <v>0</v>
      </c>
      <c r="N24" s="11">
        <f>VLOOKUP(A24,TB!TB1_1,5,FALSE)</f>
        <v>0</v>
      </c>
      <c r="O24" s="41">
        <f t="shared" si="9"/>
        <v>0</v>
      </c>
    </row>
    <row r="25" spans="1:15" x14ac:dyDescent="0.25">
      <c r="A25" s="36" t="s">
        <v>536</v>
      </c>
      <c r="C25" t="s">
        <v>537</v>
      </c>
      <c r="E25" s="11">
        <f>VLOOKUP(A25,TB!TB,4,FALSE)</f>
        <v>7640.66</v>
      </c>
      <c r="F25" s="41">
        <f t="shared" si="0"/>
        <v>-140.68606149880316</v>
      </c>
      <c r="H25" s="11">
        <f>VLOOKUP(A25,TB!TB,5,FALSE)</f>
        <v>7640.66</v>
      </c>
      <c r="I25" s="41">
        <f t="shared" si="7"/>
        <v>-140.68606149880316</v>
      </c>
      <c r="K25" s="11">
        <f>VLOOKUP(A25,TB!TB1_1,4,FALSE)</f>
        <v>6126.09</v>
      </c>
      <c r="L25" s="41">
        <f t="shared" si="8"/>
        <v>0.35675604848689563</v>
      </c>
      <c r="N25" s="11">
        <f>VLOOKUP(A25,TB!TB1_1,5,FALSE)</f>
        <v>6126.09</v>
      </c>
      <c r="O25" s="41">
        <f t="shared" si="9"/>
        <v>0.35675604848689563</v>
      </c>
    </row>
    <row r="26" spans="1:15" x14ac:dyDescent="0.25">
      <c r="A26" s="36" t="s">
        <v>538</v>
      </c>
      <c r="C26" t="s">
        <v>415</v>
      </c>
      <c r="E26" s="11">
        <f>VLOOKUP(A26,TB!TB,4,FALSE)</f>
        <v>3054.91</v>
      </c>
      <c r="F26" s="41">
        <f t="shared" si="0"/>
        <v>-56.24949364757871</v>
      </c>
      <c r="H26" s="11">
        <f>VLOOKUP(A26,TB!TB,5,FALSE)</f>
        <v>3054.91</v>
      </c>
      <c r="I26" s="41">
        <f t="shared" si="7"/>
        <v>-56.24949364757871</v>
      </c>
      <c r="K26" s="11">
        <f>VLOOKUP(A26,TB!TB1_1,4,FALSE)</f>
        <v>15834.76</v>
      </c>
      <c r="L26" s="41">
        <f t="shared" si="8"/>
        <v>0.92214551309862491</v>
      </c>
      <c r="N26" s="11">
        <f>VLOOKUP(A26,TB!TB1_1,5,FALSE)</f>
        <v>15834.76</v>
      </c>
      <c r="O26" s="41">
        <f t="shared" si="9"/>
        <v>0.92214551309862491</v>
      </c>
    </row>
    <row r="27" spans="1:15" x14ac:dyDescent="0.25">
      <c r="A27" s="36" t="s">
        <v>551</v>
      </c>
      <c r="C27" t="s">
        <v>540</v>
      </c>
      <c r="E27" s="11">
        <f>VLOOKUP(A27,TB!TB,4,FALSE)</f>
        <v>12106.65</v>
      </c>
      <c r="F27" s="41">
        <f t="shared" si="0"/>
        <v>-222.91751058736878</v>
      </c>
      <c r="H27" s="11">
        <f>VLOOKUP(A27,TB!TB,5,FALSE)</f>
        <v>12106.65</v>
      </c>
      <c r="I27" s="41">
        <f t="shared" si="7"/>
        <v>-222.91751058736878</v>
      </c>
      <c r="K27" s="11">
        <f>VLOOKUP(A27,TB!TB1_1,4,FALSE)</f>
        <v>2152.94</v>
      </c>
      <c r="L27" s="41">
        <f t="shared" si="8"/>
        <v>0.1253775845652573</v>
      </c>
      <c r="N27" s="11">
        <f>VLOOKUP(A27,TB!TB1_1,5,FALSE)</f>
        <v>2152.94</v>
      </c>
      <c r="O27" s="41">
        <f t="shared" si="9"/>
        <v>0.1253775845652573</v>
      </c>
    </row>
    <row r="28" spans="1:15" x14ac:dyDescent="0.25">
      <c r="A28" s="36" t="s">
        <v>566</v>
      </c>
      <c r="C28" t="s">
        <v>567</v>
      </c>
      <c r="E28" s="11">
        <f>VLOOKUP(A28,TB!TB,4,FALSE)</f>
        <v>0</v>
      </c>
      <c r="F28" s="41">
        <f t="shared" si="0"/>
        <v>0</v>
      </c>
      <c r="H28" s="11">
        <f>VLOOKUP(A28,TB!TB,5,FALSE)</f>
        <v>0</v>
      </c>
      <c r="I28" s="41">
        <f t="shared" si="7"/>
        <v>0</v>
      </c>
      <c r="K28" s="11">
        <f>VLOOKUP(A28,TB!TB1_1,4,FALSE)</f>
        <v>63.44</v>
      </c>
      <c r="L28" s="41">
        <f t="shared" si="8"/>
        <v>3.6944615106876745E-3</v>
      </c>
      <c r="N28" s="11">
        <f>VLOOKUP(A28,TB!TB1_1,5,FALSE)</f>
        <v>63.44</v>
      </c>
      <c r="O28" s="41">
        <f t="shared" si="9"/>
        <v>3.6944615106876745E-3</v>
      </c>
    </row>
    <row r="29" spans="1:15" x14ac:dyDescent="0.25">
      <c r="A29" s="36" t="s">
        <v>580</v>
      </c>
      <c r="C29" t="s">
        <v>571</v>
      </c>
      <c r="E29" s="11">
        <f>VLOOKUP(A29,TB!TB,4,FALSE)</f>
        <v>509.83</v>
      </c>
      <c r="F29" s="41">
        <f t="shared" si="0"/>
        <v>-9.3874056343214871</v>
      </c>
      <c r="H29" s="11">
        <f>VLOOKUP(A29,TB!TB,5,FALSE)</f>
        <v>509.83</v>
      </c>
      <c r="I29" s="41">
        <f t="shared" si="7"/>
        <v>-9.3874056343214871</v>
      </c>
      <c r="K29" s="11">
        <f>VLOOKUP(A29,TB!TB1_1,4,FALSE)</f>
        <v>716.25</v>
      </c>
      <c r="L29" s="41">
        <f t="shared" si="8"/>
        <v>4.1711192576135668E-2</v>
      </c>
      <c r="N29" s="11">
        <f>VLOOKUP(A29,TB!TB1_1,5,FALSE)</f>
        <v>716.25</v>
      </c>
      <c r="O29" s="41">
        <f t="shared" si="9"/>
        <v>4.1711192576135668E-2</v>
      </c>
    </row>
    <row r="30" spans="1:15" x14ac:dyDescent="0.25">
      <c r="A30" s="36" t="s">
        <v>582</v>
      </c>
      <c r="C30" t="s">
        <v>1131</v>
      </c>
      <c r="E30" s="11">
        <f>VLOOKUP(A30,TB!TB,4,FALSE)</f>
        <v>12015.99</v>
      </c>
      <c r="F30" s="41">
        <f t="shared" si="0"/>
        <v>-221.24820475050635</v>
      </c>
      <c r="H30" s="11">
        <f>VLOOKUP(A30,TB!TB,5,FALSE)</f>
        <v>12015.99</v>
      </c>
      <c r="I30" s="41">
        <f t="shared" si="7"/>
        <v>-221.24820475050635</v>
      </c>
      <c r="K30" s="11">
        <f>VLOOKUP(A30,TB!TB1_1,4,FALSE)</f>
        <v>21556.400000000001</v>
      </c>
      <c r="L30" s="41">
        <f t="shared" si="8"/>
        <v>1.2553482047444482</v>
      </c>
      <c r="N30" s="11">
        <f>VLOOKUP(A30,TB!TB1_1,5,FALSE)</f>
        <v>21556.400000000001</v>
      </c>
      <c r="O30" s="41">
        <f t="shared" si="9"/>
        <v>1.2553482047444482</v>
      </c>
    </row>
    <row r="31" spans="1:15" x14ac:dyDescent="0.25">
      <c r="A31" s="36" t="s">
        <v>594</v>
      </c>
      <c r="C31" t="s">
        <v>585</v>
      </c>
      <c r="E31" s="11">
        <f>VLOOKUP(A31,TB!TB,4,FALSE)</f>
        <v>8175.95</v>
      </c>
      <c r="F31" s="41">
        <f t="shared" si="0"/>
        <v>-150.54225741115815</v>
      </c>
      <c r="H31" s="11">
        <f>VLOOKUP(A31,TB!TB,5,FALSE)</f>
        <v>8175.95</v>
      </c>
      <c r="I31" s="41">
        <f t="shared" si="7"/>
        <v>-150.54225741115815</v>
      </c>
      <c r="K31" s="11">
        <f>VLOOKUP(A31,TB!TB1_1,4,FALSE)</f>
        <v>1999.25</v>
      </c>
      <c r="L31" s="41">
        <f t="shared" si="8"/>
        <v>0.11642736720117171</v>
      </c>
      <c r="N31" s="11">
        <f>VLOOKUP(A31,TB!TB1_1,5,FALSE)</f>
        <v>1999.25</v>
      </c>
      <c r="O31" s="41">
        <f t="shared" si="9"/>
        <v>0.11642736720117171</v>
      </c>
    </row>
    <row r="32" spans="1:15" x14ac:dyDescent="0.25">
      <c r="A32" s="36" t="s">
        <v>620</v>
      </c>
      <c r="C32" t="s">
        <v>611</v>
      </c>
      <c r="E32" s="11">
        <f>VLOOKUP(A32,TB!TB,4,FALSE)</f>
        <v>0</v>
      </c>
      <c r="F32" s="41">
        <f t="shared" si="0"/>
        <v>0</v>
      </c>
      <c r="H32" s="11">
        <f>VLOOKUP(A32,TB!TB,5,FALSE)</f>
        <v>0</v>
      </c>
      <c r="I32" s="41">
        <f t="shared" si="7"/>
        <v>0</v>
      </c>
      <c r="K32" s="11">
        <f>VLOOKUP(A32,TB!TB1_1,4,FALSE)</f>
        <v>0</v>
      </c>
      <c r="L32" s="41">
        <f t="shared" si="8"/>
        <v>0</v>
      </c>
      <c r="N32" s="11">
        <f>VLOOKUP(A32,TB!TB1_1,5,FALSE)</f>
        <v>0</v>
      </c>
      <c r="O32" s="41">
        <f t="shared" si="9"/>
        <v>0</v>
      </c>
    </row>
    <row r="33" spans="1:15" x14ac:dyDescent="0.25">
      <c r="A33" s="36" t="s">
        <v>632</v>
      </c>
      <c r="C33" t="s">
        <v>623</v>
      </c>
      <c r="E33" s="11">
        <f>VLOOKUP(A33,TB!TB,4,FALSE)</f>
        <v>0</v>
      </c>
      <c r="F33" s="41">
        <f t="shared" si="0"/>
        <v>0</v>
      </c>
      <c r="H33" s="11">
        <f>VLOOKUP(A33,TB!TB,5,FALSE)</f>
        <v>0</v>
      </c>
      <c r="I33" s="41">
        <f t="shared" si="7"/>
        <v>0</v>
      </c>
      <c r="K33" s="11">
        <f>VLOOKUP(A33,TB!TB1_1,4,FALSE)</f>
        <v>0</v>
      </c>
      <c r="L33" s="41">
        <f t="shared" si="8"/>
        <v>0</v>
      </c>
      <c r="N33" s="11">
        <f>VLOOKUP(A33,TB!TB1_1,5,FALSE)</f>
        <v>0</v>
      </c>
      <c r="O33" s="41">
        <f t="shared" si="9"/>
        <v>0</v>
      </c>
    </row>
    <row r="34" spans="1:15" x14ac:dyDescent="0.25">
      <c r="A34" s="36" t="s">
        <v>634</v>
      </c>
      <c r="C34" t="s">
        <v>1132</v>
      </c>
      <c r="E34" s="11">
        <f>VLOOKUP(A34,TB!TB,4,FALSE)</f>
        <v>0</v>
      </c>
      <c r="F34" s="41">
        <f t="shared" si="0"/>
        <v>0</v>
      </c>
      <c r="H34" s="11">
        <f>VLOOKUP(A34,TB!TB,5,FALSE)</f>
        <v>0</v>
      </c>
      <c r="I34" s="41">
        <f t="shared" si="7"/>
        <v>0</v>
      </c>
      <c r="K34" s="11">
        <f>VLOOKUP(A34,TB!TB1_1,4,FALSE)</f>
        <v>0</v>
      </c>
      <c r="L34" s="41">
        <f t="shared" si="8"/>
        <v>0</v>
      </c>
      <c r="N34" s="11">
        <f>VLOOKUP(A34,TB!TB1_1,5,FALSE)</f>
        <v>0</v>
      </c>
      <c r="O34" s="41">
        <f t="shared" si="9"/>
        <v>0</v>
      </c>
    </row>
    <row r="35" spans="1:15" x14ac:dyDescent="0.25">
      <c r="A35" s="36" t="s">
        <v>636</v>
      </c>
      <c r="C35" t="s">
        <v>1133</v>
      </c>
      <c r="E35" s="11">
        <f>VLOOKUP(A35,TB!TB,4,FALSE)</f>
        <v>0</v>
      </c>
      <c r="F35" s="41">
        <f t="shared" si="0"/>
        <v>0</v>
      </c>
      <c r="H35" s="11">
        <f>VLOOKUP(A35,TB!TB,5,FALSE)</f>
        <v>0</v>
      </c>
      <c r="I35" s="41">
        <f t="shared" si="7"/>
        <v>0</v>
      </c>
      <c r="K35" s="11">
        <f>VLOOKUP(A35,TB!TB1_1,4,FALSE)</f>
        <v>100</v>
      </c>
      <c r="L35" s="41">
        <f t="shared" si="8"/>
        <v>5.8235521921306344E-3</v>
      </c>
      <c r="N35" s="11">
        <f>VLOOKUP(A35,TB!TB1_1,5,FALSE)</f>
        <v>100</v>
      </c>
      <c r="O35" s="41">
        <f t="shared" si="9"/>
        <v>5.8235521921306344E-3</v>
      </c>
    </row>
    <row r="36" spans="1:15" x14ac:dyDescent="0.25">
      <c r="A36" s="36" t="s">
        <v>693</v>
      </c>
      <c r="C36" t="s">
        <v>1134</v>
      </c>
      <c r="E36" s="11">
        <f>VLOOKUP(A36,TB!TB,4,FALSE)</f>
        <v>0</v>
      </c>
      <c r="F36" s="41">
        <f t="shared" si="0"/>
        <v>0</v>
      </c>
      <c r="H36" s="11">
        <f>VLOOKUP(A36,TB!TB,5,FALSE)</f>
        <v>0</v>
      </c>
      <c r="I36" s="41">
        <f t="shared" si="7"/>
        <v>0</v>
      </c>
      <c r="K36" s="11">
        <f>VLOOKUP(A36,TB!TB1_1,4,FALSE)</f>
        <v>0</v>
      </c>
      <c r="L36" s="41">
        <f t="shared" si="8"/>
        <v>0</v>
      </c>
      <c r="N36" s="11">
        <f>VLOOKUP(A36,TB!TB1_1,5,FALSE)</f>
        <v>0</v>
      </c>
      <c r="O36" s="41">
        <f t="shared" si="9"/>
        <v>0</v>
      </c>
    </row>
    <row r="37" spans="1:15" x14ac:dyDescent="0.25">
      <c r="A37" s="36" t="s">
        <v>675</v>
      </c>
      <c r="C37" t="s">
        <v>1135</v>
      </c>
      <c r="E37" s="11">
        <f>VLOOKUP(A37,TB!TB,4,FALSE)</f>
        <v>0</v>
      </c>
      <c r="F37" s="41">
        <f t="shared" si="0"/>
        <v>0</v>
      </c>
      <c r="H37" s="11">
        <f>VLOOKUP(A37,TB!TB,5,FALSE)</f>
        <v>0</v>
      </c>
      <c r="I37" s="41">
        <f t="shared" si="7"/>
        <v>0</v>
      </c>
      <c r="K37" s="11">
        <f>VLOOKUP(A37,TB!TB1_1,4,FALSE)</f>
        <v>0</v>
      </c>
      <c r="L37" s="41">
        <f t="shared" si="8"/>
        <v>0</v>
      </c>
      <c r="N37" s="11">
        <f>VLOOKUP(A37,TB!TB1_1,5,FALSE)</f>
        <v>0</v>
      </c>
      <c r="O37" s="41">
        <f t="shared" si="9"/>
        <v>0</v>
      </c>
    </row>
    <row r="38" spans="1:15" x14ac:dyDescent="0.25">
      <c r="A38" s="36" t="s">
        <v>689</v>
      </c>
      <c r="C38" t="s">
        <v>678</v>
      </c>
      <c r="E38" s="11">
        <f>VLOOKUP(A38,TB!TB,4,FALSE)</f>
        <v>390.98</v>
      </c>
      <c r="F38" s="41">
        <f t="shared" si="0"/>
        <v>-7.1990425336033876</v>
      </c>
      <c r="H38" s="11">
        <f>VLOOKUP(A38,TB!TB,5,FALSE)</f>
        <v>390.98</v>
      </c>
      <c r="I38" s="41">
        <f t="shared" si="7"/>
        <v>-7.1990425336033876</v>
      </c>
      <c r="K38" s="11">
        <f>VLOOKUP(A38,TB!TB1_1,4,FALSE)</f>
        <v>1151.0999999999999</v>
      </c>
      <c r="L38" s="41">
        <f t="shared" si="8"/>
        <v>6.7034909283615732E-2</v>
      </c>
      <c r="N38" s="11">
        <f>VLOOKUP(A38,TB!TB1_1,5,FALSE)</f>
        <v>1151.0999999999999</v>
      </c>
      <c r="O38" s="41">
        <f t="shared" si="9"/>
        <v>6.7034909283615732E-2</v>
      </c>
    </row>
    <row r="39" spans="1:15" x14ac:dyDescent="0.25">
      <c r="A39" s="36" t="s">
        <v>703</v>
      </c>
      <c r="C39" t="s">
        <v>1136</v>
      </c>
      <c r="E39" s="11">
        <f>VLOOKUP(A39,TB!TB,4,FALSE)</f>
        <v>0</v>
      </c>
      <c r="F39" s="41">
        <f t="shared" si="0"/>
        <v>0</v>
      </c>
      <c r="H39" s="11">
        <f>VLOOKUP(A39,TB!TB,5,FALSE)</f>
        <v>0</v>
      </c>
      <c r="I39" s="41">
        <f t="shared" si="7"/>
        <v>0</v>
      </c>
      <c r="K39" s="11">
        <f>VLOOKUP(A39,TB!TB1_1,4,FALSE)</f>
        <v>0</v>
      </c>
      <c r="L39" s="41">
        <f t="shared" si="8"/>
        <v>0</v>
      </c>
      <c r="N39" s="11">
        <f>VLOOKUP(A39,TB!TB1_1,5,FALSE)</f>
        <v>0</v>
      </c>
      <c r="O39" s="41">
        <f t="shared" si="9"/>
        <v>0</v>
      </c>
    </row>
    <row r="40" spans="1:15" x14ac:dyDescent="0.25">
      <c r="A40" s="36" t="s">
        <v>707</v>
      </c>
      <c r="C40" t="s">
        <v>1137</v>
      </c>
      <c r="E40" s="11">
        <f>VLOOKUP(A40,TB!TB,4,FALSE)</f>
        <v>1860.7</v>
      </c>
      <c r="F40" s="41">
        <f t="shared" si="0"/>
        <v>-34.260725464923588</v>
      </c>
      <c r="H40" s="11">
        <f>VLOOKUP(A40,TB!TB,5,FALSE)</f>
        <v>1860.7</v>
      </c>
      <c r="I40" s="41">
        <f t="shared" si="7"/>
        <v>-34.260725464923588</v>
      </c>
      <c r="K40" s="11">
        <f>VLOOKUP(A40,TB!TB1_1,4,FALSE)</f>
        <v>2401.6799999999998</v>
      </c>
      <c r="L40" s="41">
        <f t="shared" si="8"/>
        <v>0.13986308828796301</v>
      </c>
      <c r="N40" s="11">
        <f>VLOOKUP(A40,TB!TB1_1,5,FALSE)</f>
        <v>2401.6799999999998</v>
      </c>
      <c r="O40" s="41">
        <f t="shared" si="9"/>
        <v>0.13986308828796301</v>
      </c>
    </row>
    <row r="41" spans="1:15" x14ac:dyDescent="0.25">
      <c r="A41" s="36" t="s">
        <v>714</v>
      </c>
      <c r="C41" t="s">
        <v>1138</v>
      </c>
      <c r="E41" s="11">
        <f>VLOOKUP(A41,TB!TB,4,FALSE)</f>
        <v>0</v>
      </c>
      <c r="F41" s="41">
        <f t="shared" si="0"/>
        <v>0</v>
      </c>
      <c r="H41" s="11">
        <f>VLOOKUP(A41,TB!TB,5,FALSE)</f>
        <v>0</v>
      </c>
      <c r="I41" s="41">
        <f t="shared" si="7"/>
        <v>0</v>
      </c>
      <c r="K41" s="11">
        <f>VLOOKUP(A41,TB!TB1_1,4,FALSE)</f>
        <v>0</v>
      </c>
      <c r="L41" s="41">
        <f t="shared" si="8"/>
        <v>0</v>
      </c>
      <c r="N41" s="11">
        <f>VLOOKUP(A41,TB!TB1_1,5,FALSE)</f>
        <v>0</v>
      </c>
      <c r="O41" s="41">
        <f t="shared" si="9"/>
        <v>0</v>
      </c>
    </row>
    <row r="42" spans="1:15" x14ac:dyDescent="0.25">
      <c r="A42" s="36" t="s">
        <v>721</v>
      </c>
      <c r="C42" t="s">
        <v>1139</v>
      </c>
      <c r="E42" s="11">
        <f>VLOOKUP(A42,TB!TB,4,FALSE)</f>
        <v>162.76</v>
      </c>
      <c r="F42" s="41">
        <f t="shared" si="0"/>
        <v>-2.9968698213956912</v>
      </c>
      <c r="H42" s="11">
        <f>VLOOKUP(A42,TB!TB,5,FALSE)</f>
        <v>162.76</v>
      </c>
      <c r="I42" s="41">
        <f t="shared" si="7"/>
        <v>-2.9968698213956912</v>
      </c>
      <c r="K42" s="11">
        <f>VLOOKUP(A42,TB!TB1_1,4,FALSE)</f>
        <v>162.78</v>
      </c>
      <c r="L42" s="41">
        <f t="shared" si="8"/>
        <v>9.4795782583502464E-3</v>
      </c>
      <c r="N42" s="11">
        <f>VLOOKUP(A42,TB!TB1_1,5,FALSE)</f>
        <v>162.78</v>
      </c>
      <c r="O42" s="41">
        <f t="shared" si="9"/>
        <v>9.4795782583502464E-3</v>
      </c>
    </row>
    <row r="43" spans="1:15" x14ac:dyDescent="0.25">
      <c r="A43" s="36" t="s">
        <v>734</v>
      </c>
      <c r="C43" t="s">
        <v>726</v>
      </c>
      <c r="E43" s="11">
        <f>VLOOKUP(A43,TB!TB,4,FALSE)</f>
        <v>0</v>
      </c>
      <c r="F43" s="41">
        <f t="shared" si="0"/>
        <v>0</v>
      </c>
      <c r="H43" s="11">
        <f>VLOOKUP(A43,TB!TB,5,FALSE)</f>
        <v>0</v>
      </c>
      <c r="I43" s="41">
        <f t="shared" si="7"/>
        <v>0</v>
      </c>
      <c r="K43" s="11">
        <f>VLOOKUP(A43,TB!TB1_1,4,FALSE)</f>
        <v>0</v>
      </c>
      <c r="L43" s="41">
        <f t="shared" si="8"/>
        <v>0</v>
      </c>
      <c r="N43" s="11">
        <f>VLOOKUP(A43,TB!TB1_1,5,FALSE)</f>
        <v>0</v>
      </c>
      <c r="O43" s="41">
        <f t="shared" si="9"/>
        <v>0</v>
      </c>
    </row>
    <row r="44" spans="1:15" x14ac:dyDescent="0.25">
      <c r="A44" s="36" t="s">
        <v>738</v>
      </c>
      <c r="C44" t="s">
        <v>1140</v>
      </c>
      <c r="E44" s="11">
        <f>VLOOKUP(A44,TB!TB,4,FALSE)</f>
        <v>18342</v>
      </c>
      <c r="F44" s="57">
        <f t="shared" si="0"/>
        <v>-337.72785858957832</v>
      </c>
      <c r="G44" s="58"/>
      <c r="H44" s="11">
        <f>VLOOKUP(A44,TB!TB,5,FALSE)</f>
        <v>18342</v>
      </c>
      <c r="I44" s="57">
        <f t="shared" si="7"/>
        <v>-337.72785858957832</v>
      </c>
      <c r="J44" s="58"/>
      <c r="K44" s="11">
        <f>VLOOKUP(A44,TB!TB1_1,4,FALSE)</f>
        <v>12519</v>
      </c>
      <c r="L44" s="57">
        <f t="shared" si="8"/>
        <v>0.72905049893283413</v>
      </c>
      <c r="M44" s="58"/>
      <c r="N44" s="11">
        <f>VLOOKUP(A44,TB!TB1_1,5,FALSE)</f>
        <v>12519</v>
      </c>
      <c r="O44" s="57">
        <f t="shared" si="9"/>
        <v>0.72905049893283413</v>
      </c>
    </row>
    <row r="45" spans="1:15" x14ac:dyDescent="0.25">
      <c r="A45" s="39" t="s">
        <v>1306</v>
      </c>
      <c r="C45" t="s">
        <v>1307</v>
      </c>
      <c r="E45" s="11">
        <f>VLOOKUP(A45,TB!TB,4,FALSE)</f>
        <v>0</v>
      </c>
      <c r="F45" s="114">
        <f t="shared" ref="F45" si="10">IF(E$12,E45/E$12,0)</f>
        <v>0</v>
      </c>
      <c r="G45" s="115"/>
      <c r="H45" s="11">
        <f>VLOOKUP(A45,TB!TB,5,FALSE)</f>
        <v>0</v>
      </c>
      <c r="I45" s="114">
        <f t="shared" ref="I45" si="11">IF(H$12,H45/H$12,0)</f>
        <v>0</v>
      </c>
      <c r="J45" s="115"/>
      <c r="K45" s="11">
        <v>0</v>
      </c>
      <c r="L45" s="114">
        <f t="shared" ref="L45" si="12">IF(K$12,K45/K$12,0)</f>
        <v>0</v>
      </c>
      <c r="M45" s="115"/>
      <c r="N45" s="11">
        <v>0</v>
      </c>
      <c r="O45" s="114">
        <f t="shared" ref="O45" si="13">IF(N$12,N45/N$12,0)</f>
        <v>0</v>
      </c>
    </row>
    <row r="46" spans="1:15" x14ac:dyDescent="0.25">
      <c r="A46" s="39" t="s">
        <v>1377</v>
      </c>
      <c r="C46" t="s">
        <v>1378</v>
      </c>
      <c r="E46" s="66">
        <f>VLOOKUP(A46,TB!TB,4,FALSE)</f>
        <v>0</v>
      </c>
      <c r="F46" s="50">
        <f t="shared" ref="F46" si="14">IF(E$12,E46/E$12,0)</f>
        <v>0</v>
      </c>
      <c r="G46" s="51"/>
      <c r="H46" s="66">
        <f>VLOOKUP(A46,TB!TB,5,FALSE)</f>
        <v>0</v>
      </c>
      <c r="I46" s="50">
        <f t="shared" ref="I46" si="15">IF(H$12,H46/H$12,0)</f>
        <v>0</v>
      </c>
      <c r="J46" s="51"/>
      <c r="K46" s="66">
        <v>1</v>
      </c>
      <c r="L46" s="50">
        <f t="shared" ref="L46" si="16">IF(K$12,K46/K$12,0)</f>
        <v>5.8235521921306345E-5</v>
      </c>
      <c r="M46" s="51"/>
      <c r="N46" s="66">
        <v>1</v>
      </c>
      <c r="O46" s="50">
        <f t="shared" ref="O46" si="17">IF(N$12,N46/N$12,0)</f>
        <v>5.8235521921306345E-5</v>
      </c>
    </row>
    <row r="47" spans="1:15" x14ac:dyDescent="0.25">
      <c r="C47" s="43" t="s">
        <v>1003</v>
      </c>
      <c r="E47" s="40">
        <f>SUM(E16:E45)</f>
        <v>141723.25</v>
      </c>
      <c r="F47" s="41">
        <f t="shared" si="0"/>
        <v>-2609.5240287239917</v>
      </c>
      <c r="H47" s="40">
        <f>SUM(H16:H45)</f>
        <v>141723.25</v>
      </c>
      <c r="I47" s="41">
        <f t="shared" si="7"/>
        <v>-2609.5240287239917</v>
      </c>
      <c r="K47" s="40">
        <f>SUM(K16:K45)</f>
        <v>110446.34</v>
      </c>
      <c r="L47" s="41">
        <f t="shared" si="8"/>
        <v>6.4319002541980534</v>
      </c>
      <c r="N47" s="40">
        <f>SUM(N16:N45)</f>
        <v>110446.34</v>
      </c>
      <c r="O47" s="41">
        <f t="shared" si="9"/>
        <v>6.4319002541980534</v>
      </c>
    </row>
    <row r="49" spans="1:15" x14ac:dyDescent="0.25">
      <c r="C49" s="43" t="s">
        <v>1024</v>
      </c>
      <c r="E49" s="40">
        <f>E14-E47</f>
        <v>-141777.56</v>
      </c>
      <c r="F49" s="41">
        <f t="shared" si="0"/>
        <v>2610.5240287239917</v>
      </c>
      <c r="H49" s="40">
        <f>H14-H47</f>
        <v>-141777.56</v>
      </c>
      <c r="I49" s="41">
        <f t="shared" ref="I49" si="18">IF(H$12,H49/H$12,0)</f>
        <v>2610.5240287239917</v>
      </c>
      <c r="K49" s="40">
        <f>K14-K47</f>
        <v>-93274.69</v>
      </c>
      <c r="L49" s="41">
        <f t="shared" ref="L49" si="19">IF(K$12,K49/K$12,0)</f>
        <v>-5.4319002541980543</v>
      </c>
      <c r="N49" s="40">
        <f>N14-N47</f>
        <v>-93274.69</v>
      </c>
      <c r="O49" s="41">
        <f t="shared" ref="O49" si="20">IF(N$12,N49/N$12,0)</f>
        <v>-5.4319002541980543</v>
      </c>
    </row>
    <row r="51" spans="1:15" x14ac:dyDescent="0.25">
      <c r="A51" s="36" t="s">
        <v>749</v>
      </c>
      <c r="C51" t="s">
        <v>743</v>
      </c>
      <c r="E51" s="11">
        <f>VLOOKUP(A51,TB!TB,4,FALSE)</f>
        <v>0</v>
      </c>
      <c r="F51" s="41">
        <f t="shared" si="0"/>
        <v>0</v>
      </c>
      <c r="H51" s="11">
        <f>VLOOKUP(A51,TB!TB,5,FALSE)</f>
        <v>0</v>
      </c>
      <c r="I51" s="41">
        <f t="shared" ref="I51" si="21">IF(H$12,H51/H$12,0)</f>
        <v>0</v>
      </c>
      <c r="K51" s="11">
        <f>VLOOKUP(A51,TB!TB1_1,4,FALSE)</f>
        <v>-164621.26999999999</v>
      </c>
      <c r="L51" s="41">
        <f t="shared" ref="L51" si="22">IF(K$12,K51/K$12,0)</f>
        <v>-9.586805577798291</v>
      </c>
      <c r="N51" s="11">
        <f>VLOOKUP(A51,TB!TB1_1,5,FALSE)</f>
        <v>-164621.26999999999</v>
      </c>
      <c r="O51" s="41">
        <f t="shared" ref="O51" si="23">IF(N$12,N51/N$12,0)</f>
        <v>-9.586805577798291</v>
      </c>
    </row>
    <row r="53" spans="1:15" x14ac:dyDescent="0.25">
      <c r="C53" s="43" t="s">
        <v>1025</v>
      </c>
      <c r="E53" s="40">
        <f>E49-E51</f>
        <v>-141777.56</v>
      </c>
      <c r="F53" s="41">
        <f t="shared" si="0"/>
        <v>2610.5240287239917</v>
      </c>
      <c r="H53" s="40">
        <f>H49-H51</f>
        <v>-141777.56</v>
      </c>
      <c r="I53" s="41">
        <f t="shared" ref="I53" si="24">IF(H$12,H53/H$12,0)</f>
        <v>2610.5240287239917</v>
      </c>
      <c r="K53" s="40">
        <f>K49-K51</f>
        <v>71346.579999999987</v>
      </c>
      <c r="L53" s="41">
        <f t="shared" ref="L53" si="25">IF(K$12,K53/K$12,0)</f>
        <v>4.1549053236002358</v>
      </c>
      <c r="N53" s="40">
        <f>N49-N51</f>
        <v>71346.579999999987</v>
      </c>
      <c r="O53" s="41">
        <f t="shared" ref="O53" si="26">IF(N$12,N53/N$12,0)</f>
        <v>4.1549053236002358</v>
      </c>
    </row>
    <row r="56" spans="1:15" x14ac:dyDescent="0.25">
      <c r="E56" t="s">
        <v>1349</v>
      </c>
    </row>
    <row r="57" spans="1:15" x14ac:dyDescent="0.25">
      <c r="E57" s="47" t="s">
        <v>3</v>
      </c>
      <c r="G57" s="42"/>
      <c r="H57" s="42" t="s">
        <v>1141</v>
      </c>
      <c r="I57" t="s">
        <v>4</v>
      </c>
    </row>
    <row r="58" spans="1:15" x14ac:dyDescent="0.25">
      <c r="C58" s="42" t="s">
        <v>1142</v>
      </c>
      <c r="E58" s="40">
        <f>E53*-1</f>
        <v>141777.56</v>
      </c>
      <c r="G58" s="42"/>
      <c r="H58" s="40">
        <f>H53*-1</f>
        <v>141777.56</v>
      </c>
    </row>
    <row r="59" spans="1:15" x14ac:dyDescent="0.25">
      <c r="C59" s="42"/>
      <c r="E59" s="40"/>
      <c r="G59" s="42"/>
      <c r="H59" s="40"/>
    </row>
    <row r="60" spans="1:15" x14ac:dyDescent="0.25">
      <c r="C60" s="42" t="s">
        <v>1213</v>
      </c>
      <c r="E60" s="63">
        <f t="shared" ref="E60:E66" si="27">$E$58*F60</f>
        <v>7088.8780000000006</v>
      </c>
      <c r="F60" s="62">
        <v>0.05</v>
      </c>
      <c r="G60" s="42"/>
      <c r="H60" s="63">
        <f>$H$58*I60</f>
        <v>7088.8780000000006</v>
      </c>
      <c r="I60" s="62">
        <v>0.05</v>
      </c>
    </row>
    <row r="61" spans="1:15" x14ac:dyDescent="0.25">
      <c r="C61" s="42" t="s">
        <v>1143</v>
      </c>
      <c r="E61" s="63">
        <f t="shared" si="27"/>
        <v>7088.8780000000006</v>
      </c>
      <c r="F61" s="62">
        <v>0.05</v>
      </c>
      <c r="G61" s="42"/>
      <c r="H61" s="63">
        <f t="shared" ref="H61:H66" si="28">$H$58*I61</f>
        <v>7088.8780000000006</v>
      </c>
      <c r="I61" s="62">
        <v>0.05</v>
      </c>
    </row>
    <row r="62" spans="1:15" x14ac:dyDescent="0.25">
      <c r="C62" s="42" t="s">
        <v>1144</v>
      </c>
      <c r="E62" s="63">
        <f t="shared" si="27"/>
        <v>14177.756000000001</v>
      </c>
      <c r="F62" s="62">
        <v>0.1</v>
      </c>
      <c r="G62" s="42"/>
      <c r="H62" s="63">
        <f t="shared" si="28"/>
        <v>14177.756000000001</v>
      </c>
      <c r="I62" s="62">
        <v>0.1</v>
      </c>
    </row>
    <row r="63" spans="1:15" x14ac:dyDescent="0.25">
      <c r="C63" s="42" t="s">
        <v>1145</v>
      </c>
      <c r="E63" s="63">
        <f t="shared" si="27"/>
        <v>28355.512000000002</v>
      </c>
      <c r="F63" s="62">
        <v>0.2</v>
      </c>
      <c r="G63" s="42"/>
      <c r="H63" s="63">
        <f t="shared" si="28"/>
        <v>28355.512000000002</v>
      </c>
      <c r="I63" s="62">
        <v>0.2</v>
      </c>
    </row>
    <row r="64" spans="1:15" x14ac:dyDescent="0.25">
      <c r="C64" s="42" t="s">
        <v>1146</v>
      </c>
      <c r="E64" s="63">
        <f t="shared" si="27"/>
        <v>42533.267999999996</v>
      </c>
      <c r="F64" s="62">
        <v>0.3</v>
      </c>
      <c r="G64" s="42"/>
      <c r="H64" s="63">
        <f t="shared" si="28"/>
        <v>42533.267999999996</v>
      </c>
      <c r="I64" s="62">
        <v>0.3</v>
      </c>
    </row>
    <row r="65" spans="3:9" x14ac:dyDescent="0.25">
      <c r="C65" s="42" t="s">
        <v>1147</v>
      </c>
      <c r="E65" s="63">
        <f t="shared" si="27"/>
        <v>21266.633999999998</v>
      </c>
      <c r="F65" s="62">
        <v>0.15</v>
      </c>
      <c r="G65" s="42"/>
      <c r="H65" s="63">
        <f t="shared" si="28"/>
        <v>21266.633999999998</v>
      </c>
      <c r="I65" s="62">
        <v>0.15</v>
      </c>
    </row>
    <row r="66" spans="3:9" x14ac:dyDescent="0.25">
      <c r="C66" s="42" t="s">
        <v>1148</v>
      </c>
      <c r="E66" s="63">
        <f t="shared" si="27"/>
        <v>21266.633999999998</v>
      </c>
      <c r="F66" s="62">
        <v>0.15</v>
      </c>
      <c r="G66" s="42"/>
      <c r="H66" s="63">
        <f t="shared" si="28"/>
        <v>21266.633999999998</v>
      </c>
      <c r="I66" s="62">
        <v>0.15</v>
      </c>
    </row>
    <row r="67" spans="3:9" x14ac:dyDescent="0.25">
      <c r="E67" s="63">
        <f>SUM(E60:E66)</f>
        <v>141777.56</v>
      </c>
      <c r="H67" s="63">
        <f>SUM(H60:H66)</f>
        <v>141777.56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72A2-A0AE-497E-9C7C-282CD195CCFF}">
  <sheetPr>
    <tabColor rgb="FF92D050"/>
  </sheetPr>
  <dimension ref="A1:O64"/>
  <sheetViews>
    <sheetView topLeftCell="A37" zoomScaleNormal="100" workbookViewId="0">
      <selection activeCell="A3" sqref="A3:O3"/>
    </sheetView>
  </sheetViews>
  <sheetFormatPr defaultRowHeight="15" x14ac:dyDescent="0.25"/>
  <cols>
    <col min="1" max="1" width="11.7109375" style="36" customWidth="1"/>
    <col min="2" max="2" width="2.42578125" customWidth="1"/>
    <col min="3" max="3" width="30.85546875" customWidth="1"/>
    <col min="4" max="4" width="2.5703125" customWidth="1"/>
    <col min="5" max="5" width="18.42578125" customWidth="1"/>
    <col min="6" max="6" width="9.85546875" bestFit="1" customWidth="1"/>
    <col min="7" max="7" width="1.7109375" customWidth="1"/>
    <col min="8" max="8" width="18.42578125" customWidth="1"/>
    <col min="10" max="10" width="2" customWidth="1"/>
    <col min="11" max="11" width="18.28515625" customWidth="1"/>
    <col min="13" max="13" width="1.7109375" customWidth="1"/>
    <col min="14" max="14" width="18.42578125" customWidth="1"/>
  </cols>
  <sheetData>
    <row r="1" spans="1:15" ht="31.5" x14ac:dyDescent="0.5">
      <c r="A1" s="158" t="s">
        <v>1070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</row>
    <row r="2" spans="1:15" ht="26.25" x14ac:dyDescent="0.4">
      <c r="A2" s="159" t="s">
        <v>2103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</row>
    <row r="3" spans="1:15" ht="15.75" x14ac:dyDescent="0.25">
      <c r="A3" s="157">
        <f>DATEVALUE(TB!A3&amp;"/"&amp;TB!A4)</f>
        <v>46023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</row>
    <row r="4" spans="1:15" ht="15.75" x14ac:dyDescent="0.25"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7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6" spans="1:15" ht="15.75" x14ac:dyDescent="0.25">
      <c r="A6" s="38"/>
      <c r="C6" s="38"/>
      <c r="E6" s="47"/>
      <c r="F6" s="48"/>
      <c r="G6" s="49"/>
      <c r="H6" s="47"/>
      <c r="I6" s="48"/>
      <c r="K6" s="47"/>
      <c r="L6" s="48"/>
      <c r="M6" s="49"/>
      <c r="N6" s="47"/>
      <c r="O6" s="48"/>
    </row>
    <row r="7" spans="1:15" x14ac:dyDescent="0.25">
      <c r="A7" s="36" t="s">
        <v>758</v>
      </c>
      <c r="C7" t="s">
        <v>1048</v>
      </c>
      <c r="E7" s="11">
        <f>VLOOKUP(A7,TB!TB,4,FALSE)*-1</f>
        <v>111968</v>
      </c>
      <c r="F7" s="41">
        <f>IF(E$15,E7/E$15,0)</f>
        <v>0.98344537714007718</v>
      </c>
      <c r="H7" s="11">
        <f>VLOOKUP(A7,TB!TB,5,FALSE)*-1</f>
        <v>111968</v>
      </c>
      <c r="I7" s="41">
        <f>IF(H$15,H7/H$15,0)</f>
        <v>0.98344537714007718</v>
      </c>
      <c r="K7" s="11">
        <f>VLOOKUP(A7,TB!TB1_1,4,FALSE)*-1</f>
        <v>114900</v>
      </c>
      <c r="L7" s="41">
        <f>IF(K$15,K7/K$15,0)</f>
        <v>1</v>
      </c>
      <c r="N7" s="11">
        <f>VLOOKUP(A7,TB!TB1_1,5,FALSE)*-1</f>
        <v>114900</v>
      </c>
      <c r="O7" s="41">
        <f>IF(N$15,N7/N$15,0)</f>
        <v>1</v>
      </c>
    </row>
    <row r="8" spans="1:15" x14ac:dyDescent="0.25">
      <c r="A8" s="36" t="s">
        <v>762</v>
      </c>
      <c r="C8" t="s">
        <v>1049</v>
      </c>
      <c r="E8" s="11">
        <f>VLOOKUP(A8,TB!TB,4,FALSE)*-1</f>
        <v>0</v>
      </c>
      <c r="F8" s="41">
        <f t="shared" ref="F8:F64" si="0">IF(E$15,E8/E$15,0)</f>
        <v>0</v>
      </c>
      <c r="H8" s="11">
        <f>VLOOKUP(A8,TB!TB,5,FALSE)*-1</f>
        <v>0</v>
      </c>
      <c r="I8" s="41">
        <f t="shared" ref="I8:I32" si="1">IF(H$15,H8/H$15,0)</f>
        <v>0</v>
      </c>
      <c r="K8" s="11">
        <f>VLOOKUP(A8,TB!TB1_1,4,FALSE)*-1</f>
        <v>0</v>
      </c>
      <c r="L8" s="41">
        <f t="shared" ref="L8:L32" si="2">IF(K$15,K8/K$15,0)</f>
        <v>0</v>
      </c>
      <c r="N8" s="11">
        <f>VLOOKUP(A8,TB!TB1_1,5,FALSE)*-1</f>
        <v>0</v>
      </c>
      <c r="O8" s="41">
        <f t="shared" ref="O8:O32" si="3">IF(N$15,N8/N$15,0)</f>
        <v>0</v>
      </c>
    </row>
    <row r="9" spans="1:15" x14ac:dyDescent="0.25">
      <c r="A9" s="39" t="s">
        <v>1494</v>
      </c>
      <c r="C9" t="s">
        <v>1279</v>
      </c>
      <c r="E9" s="11">
        <f>VLOOKUP(A9,TB!TB,4,FALSE)*-1</f>
        <v>0</v>
      </c>
      <c r="F9" s="41">
        <f t="shared" si="0"/>
        <v>0</v>
      </c>
      <c r="H9" s="11">
        <f>VLOOKUP(A9,TB!TB,5,FALSE)*-1</f>
        <v>0</v>
      </c>
      <c r="I9" s="41">
        <f t="shared" si="1"/>
        <v>0</v>
      </c>
      <c r="K9" s="11">
        <f>VLOOKUP(A9,TB!TB1_1,4,FALSE)*-1</f>
        <v>0</v>
      </c>
      <c r="L9" s="41">
        <f t="shared" ref="L9" si="4">IF(K$15,K9/K$15,0)</f>
        <v>0</v>
      </c>
      <c r="N9" s="11">
        <f>VLOOKUP(A9,TB!TB1_1,5,FALSE)*-1</f>
        <v>0</v>
      </c>
      <c r="O9" s="41">
        <f t="shared" ref="O9" si="5">IF(N$15,N9/N$15,0)</f>
        <v>0</v>
      </c>
    </row>
    <row r="10" spans="1:15" x14ac:dyDescent="0.25">
      <c r="A10" s="36" t="s">
        <v>760</v>
      </c>
      <c r="C10" t="s">
        <v>185</v>
      </c>
      <c r="E10" s="11">
        <f>VLOOKUP(A10,TB!TB,4,FALSE)*-1</f>
        <v>0</v>
      </c>
      <c r="F10" s="41">
        <f t="shared" si="0"/>
        <v>0</v>
      </c>
      <c r="H10" s="11">
        <f>VLOOKUP(A10,TB!TB,5,FALSE)*-1</f>
        <v>0</v>
      </c>
      <c r="I10" s="41">
        <f t="shared" si="1"/>
        <v>0</v>
      </c>
      <c r="K10" s="11">
        <f>VLOOKUP(A10,TB!TB1_1,4,FALSE)*-1</f>
        <v>0</v>
      </c>
      <c r="L10" s="41">
        <f t="shared" si="2"/>
        <v>0</v>
      </c>
      <c r="N10" s="11">
        <f>VLOOKUP(A10,TB!TB1_1,5,FALSE)*-1</f>
        <v>0</v>
      </c>
      <c r="O10" s="41">
        <f t="shared" si="3"/>
        <v>0</v>
      </c>
    </row>
    <row r="11" spans="1:15" x14ac:dyDescent="0.25">
      <c r="A11" s="39" t="s">
        <v>1497</v>
      </c>
      <c r="C11" s="1" t="s">
        <v>1498</v>
      </c>
      <c r="E11" s="11">
        <f>VLOOKUP(A11,TB!TB,4,FALSE)*-1</f>
        <v>0</v>
      </c>
      <c r="F11" s="41">
        <f t="shared" si="0"/>
        <v>0</v>
      </c>
      <c r="H11" s="11">
        <f>VLOOKUP(A11,TB!TB,5,FALSE)*-1</f>
        <v>0</v>
      </c>
      <c r="I11" s="41">
        <f t="shared" si="1"/>
        <v>0</v>
      </c>
      <c r="K11" s="11">
        <f>VLOOKUP(A11,TB!TB1_1,4,FALSE)*-1</f>
        <v>0</v>
      </c>
      <c r="L11" s="41">
        <f t="shared" ref="L11" si="6">IF(K$15,K11/K$15,0)</f>
        <v>0</v>
      </c>
      <c r="N11" s="11">
        <f>VLOOKUP(A11,TB!TB1_1,5,FALSE)*-1</f>
        <v>0</v>
      </c>
      <c r="O11" s="41">
        <f t="shared" ref="O11" si="7">IF(N$15,N11/N$15,0)</f>
        <v>0</v>
      </c>
    </row>
    <row r="12" spans="1:15" x14ac:dyDescent="0.25">
      <c r="A12" s="36" t="s">
        <v>779</v>
      </c>
      <c r="C12" t="s">
        <v>1037</v>
      </c>
      <c r="E12" s="11">
        <f>VLOOKUP(A12,TB!TB,4,FALSE)*-1</f>
        <v>1711.03</v>
      </c>
      <c r="F12" s="41">
        <f t="shared" si="0"/>
        <v>1.5028441551586044E-2</v>
      </c>
      <c r="H12" s="11">
        <f>VLOOKUP(A12,TB!TB,5,FALSE)*-1</f>
        <v>1711.03</v>
      </c>
      <c r="I12" s="41">
        <f t="shared" si="1"/>
        <v>1.5028441551586044E-2</v>
      </c>
      <c r="K12" s="11">
        <f>VLOOKUP(A12,TB!TB1_1,4,FALSE)*-1</f>
        <v>0</v>
      </c>
      <c r="L12" s="41">
        <f t="shared" si="2"/>
        <v>0</v>
      </c>
      <c r="N12" s="11">
        <f>VLOOKUP(A12,TB!TB1_1,5,FALSE)*-1</f>
        <v>0</v>
      </c>
      <c r="O12" s="41">
        <f t="shared" si="3"/>
        <v>0</v>
      </c>
    </row>
    <row r="13" spans="1:15" x14ac:dyDescent="0.25">
      <c r="A13" s="36" t="s">
        <v>764</v>
      </c>
      <c r="C13" t="s">
        <v>1046</v>
      </c>
      <c r="E13" s="11">
        <f>VLOOKUP(A13,TB!TB,4,FALSE)*-1</f>
        <v>0</v>
      </c>
      <c r="F13" s="41">
        <f t="shared" si="0"/>
        <v>0</v>
      </c>
      <c r="H13" s="11">
        <f>VLOOKUP(A13,TB!TB,5,FALSE)*-1</f>
        <v>0</v>
      </c>
      <c r="I13" s="41">
        <f t="shared" si="1"/>
        <v>0</v>
      </c>
      <c r="K13" s="11">
        <f>VLOOKUP(A13,TB!TB1_1,4,FALSE)*-1</f>
        <v>0</v>
      </c>
      <c r="L13" s="41">
        <f t="shared" si="2"/>
        <v>0</v>
      </c>
      <c r="N13" s="11">
        <f>VLOOKUP(A13,TB!TB1_1,5,FALSE)*-1</f>
        <v>0</v>
      </c>
      <c r="O13" s="41">
        <f t="shared" si="3"/>
        <v>0</v>
      </c>
    </row>
    <row r="14" spans="1:15" x14ac:dyDescent="0.25">
      <c r="A14" s="36" t="s">
        <v>761</v>
      </c>
      <c r="C14" t="s">
        <v>189</v>
      </c>
      <c r="E14" s="29">
        <f>VLOOKUP(A14,TB!TB,4,FALSE)*-1</f>
        <v>173.76</v>
      </c>
      <c r="F14" s="50">
        <f t="shared" si="0"/>
        <v>1.5261813083368445E-3</v>
      </c>
      <c r="G14" s="51"/>
      <c r="H14" s="29">
        <f>VLOOKUP(A14,TB!TB,5,FALSE)*-1</f>
        <v>173.76</v>
      </c>
      <c r="I14" s="50">
        <f t="shared" si="1"/>
        <v>1.5261813083368445E-3</v>
      </c>
      <c r="J14" s="51"/>
      <c r="K14" s="29">
        <f>VLOOKUP(A14,TB!TB1_1,4,FALSE)*-1</f>
        <v>0</v>
      </c>
      <c r="L14" s="50">
        <f t="shared" si="2"/>
        <v>0</v>
      </c>
      <c r="M14" s="51"/>
      <c r="N14" s="29">
        <f>VLOOKUP(A14,TB!TB1_1,5,FALSE)*-1</f>
        <v>0</v>
      </c>
      <c r="O14" s="50">
        <f t="shared" si="3"/>
        <v>0</v>
      </c>
    </row>
    <row r="15" spans="1:15" x14ac:dyDescent="0.25">
      <c r="C15" s="43" t="s">
        <v>1038</v>
      </c>
      <c r="E15" s="40">
        <f>SUM(E7:E14)</f>
        <v>113852.79</v>
      </c>
      <c r="F15" s="41">
        <f t="shared" si="0"/>
        <v>1</v>
      </c>
      <c r="H15" s="40">
        <f>SUM(H7:H14)</f>
        <v>113852.79</v>
      </c>
      <c r="I15" s="41">
        <f t="shared" si="1"/>
        <v>1</v>
      </c>
      <c r="K15" s="40">
        <f>SUM(K7:K14)</f>
        <v>114900</v>
      </c>
      <c r="L15" s="41">
        <f t="shared" ref="L15" si="8">IF(K$10,K15/K$10,0)</f>
        <v>0</v>
      </c>
      <c r="N15" s="40">
        <f>SUM(N7:N14)</f>
        <v>114900</v>
      </c>
      <c r="O15" s="41">
        <f t="shared" ref="O15" si="9">IF(N$10,N15/N$10,0)</f>
        <v>0</v>
      </c>
    </row>
    <row r="17" spans="1:15" x14ac:dyDescent="0.25">
      <c r="A17" s="36" t="s">
        <v>815</v>
      </c>
      <c r="C17" t="s">
        <v>1050</v>
      </c>
      <c r="E17" s="11">
        <f>VLOOKUP(A17,TB!TB,4,FALSE)</f>
        <v>70119.88</v>
      </c>
      <c r="F17" s="41">
        <f t="shared" si="0"/>
        <v>0.61588196477222923</v>
      </c>
      <c r="H17" s="11">
        <f>VLOOKUP(A17,TB!TB,5,FALSE)</f>
        <v>70119.88</v>
      </c>
      <c r="I17" s="41">
        <f t="shared" si="1"/>
        <v>0.61588196477222923</v>
      </c>
      <c r="K17" s="11">
        <f>VLOOKUP(A17,TB!TB1_1,4,FALSE)</f>
        <v>78711.41</v>
      </c>
      <c r="L17" s="41">
        <f t="shared" si="2"/>
        <v>0.68504273281114014</v>
      </c>
      <c r="N17" s="11">
        <f>VLOOKUP(A17,TB!TB1_1,5,FALSE)</f>
        <v>78711.41</v>
      </c>
      <c r="O17" s="41">
        <f t="shared" si="3"/>
        <v>0.68504273281114014</v>
      </c>
    </row>
    <row r="18" spans="1:15" x14ac:dyDescent="0.25">
      <c r="A18" s="36" t="s">
        <v>816</v>
      </c>
      <c r="C18" t="s">
        <v>1051</v>
      </c>
      <c r="E18" s="11">
        <f>VLOOKUP(A18,TB!TB,4,FALSE)</f>
        <v>0</v>
      </c>
      <c r="F18" s="41">
        <f t="shared" si="0"/>
        <v>0</v>
      </c>
      <c r="H18" s="11">
        <f>VLOOKUP(A18,TB!TB,5,FALSE)</f>
        <v>0</v>
      </c>
      <c r="I18" s="41">
        <f t="shared" si="1"/>
        <v>0</v>
      </c>
      <c r="K18" s="11">
        <f>VLOOKUP(A18,TB!TB1_1,4,FALSE)</f>
        <v>0</v>
      </c>
      <c r="L18" s="41">
        <f t="shared" si="2"/>
        <v>0</v>
      </c>
      <c r="N18" s="11">
        <f>VLOOKUP(A18,TB!TB1_1,5,FALSE)</f>
        <v>0</v>
      </c>
      <c r="O18" s="41">
        <f t="shared" si="3"/>
        <v>0</v>
      </c>
    </row>
    <row r="19" spans="1:15" x14ac:dyDescent="0.25">
      <c r="A19" s="39" t="s">
        <v>1501</v>
      </c>
      <c r="C19" s="1" t="s">
        <v>1498</v>
      </c>
      <c r="E19" s="11">
        <f>VLOOKUP(A19,TB!TB,4,FALSE)</f>
        <v>27206</v>
      </c>
      <c r="F19" s="41">
        <f t="shared" si="0"/>
        <v>0.23895769264855082</v>
      </c>
      <c r="H19" s="11">
        <f>VLOOKUP(A19,TB!TB,5,FALSE)</f>
        <v>27206</v>
      </c>
      <c r="I19" s="41">
        <f t="shared" si="1"/>
        <v>0.23895769264855082</v>
      </c>
      <c r="K19" s="11">
        <f>VLOOKUP(A19,TB!TB1_1,4,FALSE)</f>
        <v>20418</v>
      </c>
      <c r="L19" s="41">
        <f t="shared" ref="L19" si="10">IF(K$15,K19/K$15,0)</f>
        <v>0.17770234986945169</v>
      </c>
      <c r="N19" s="11">
        <f>VLOOKUP(A19,TB!TB1_1,5,FALSE)</f>
        <v>20418</v>
      </c>
      <c r="O19" s="41">
        <f t="shared" ref="O19" si="11">IF(N$15,N19/N$15,0)</f>
        <v>0.17770234986945169</v>
      </c>
    </row>
    <row r="20" spans="1:15" x14ac:dyDescent="0.25">
      <c r="A20" s="36" t="s">
        <v>864</v>
      </c>
      <c r="C20" t="s">
        <v>1026</v>
      </c>
      <c r="E20" s="11">
        <f>VLOOKUP(A20,TB!TB,4,FALSE)</f>
        <v>0</v>
      </c>
      <c r="F20" s="41">
        <f t="shared" si="0"/>
        <v>0</v>
      </c>
      <c r="H20" s="11">
        <f>VLOOKUP(A20,TB!TB,5,FALSE)</f>
        <v>0</v>
      </c>
      <c r="I20" s="41">
        <f t="shared" si="1"/>
        <v>0</v>
      </c>
      <c r="K20" s="11">
        <f>VLOOKUP(A20,TB!TB1_1,4,FALSE)</f>
        <v>0</v>
      </c>
      <c r="L20" s="41">
        <f t="shared" si="2"/>
        <v>0</v>
      </c>
      <c r="N20" s="11">
        <f>VLOOKUP(A20,TB!TB1_1,5,FALSE)</f>
        <v>0</v>
      </c>
      <c r="O20" s="41">
        <f t="shared" si="3"/>
        <v>0</v>
      </c>
    </row>
    <row r="21" spans="1:15" x14ac:dyDescent="0.25">
      <c r="A21" s="36" t="s">
        <v>869</v>
      </c>
      <c r="C21" t="s">
        <v>1052</v>
      </c>
      <c r="E21" s="11">
        <f>VLOOKUP(A21,TB!TB,4,FALSE)</f>
        <v>0</v>
      </c>
      <c r="F21" s="41">
        <f t="shared" si="0"/>
        <v>0</v>
      </c>
      <c r="H21" s="11">
        <f>VLOOKUP(A21,TB!TB,5,FALSE)</f>
        <v>0</v>
      </c>
      <c r="I21" s="41">
        <f t="shared" si="1"/>
        <v>0</v>
      </c>
      <c r="K21" s="11">
        <f>VLOOKUP(A21,TB!TB1_1,4,FALSE)</f>
        <v>0</v>
      </c>
      <c r="L21" s="41">
        <f t="shared" si="2"/>
        <v>0</v>
      </c>
      <c r="N21" s="11">
        <f>VLOOKUP(A21,TB!TB1_1,5,FALSE)</f>
        <v>0</v>
      </c>
      <c r="O21" s="41">
        <f t="shared" si="3"/>
        <v>0</v>
      </c>
    </row>
    <row r="22" spans="1:15" x14ac:dyDescent="0.25">
      <c r="A22" s="36" t="s">
        <v>867</v>
      </c>
      <c r="C22" t="s">
        <v>1053</v>
      </c>
      <c r="E22" s="11">
        <f>VLOOKUP(A22,TB!TB,4,FALSE)</f>
        <v>0</v>
      </c>
      <c r="F22" s="41">
        <f t="shared" si="0"/>
        <v>0</v>
      </c>
      <c r="H22" s="11">
        <f>VLOOKUP(A22,TB!TB,5,FALSE)</f>
        <v>0</v>
      </c>
      <c r="I22" s="41">
        <f t="shared" si="1"/>
        <v>0</v>
      </c>
      <c r="K22" s="11">
        <f>VLOOKUP(A22,TB!TB1_1,4,FALSE)</f>
        <v>0</v>
      </c>
      <c r="L22" s="41">
        <f t="shared" si="2"/>
        <v>0</v>
      </c>
      <c r="N22" s="11">
        <f>VLOOKUP(A22,TB!TB1_1,5,FALSE)</f>
        <v>0</v>
      </c>
      <c r="O22" s="41">
        <f t="shared" si="3"/>
        <v>0</v>
      </c>
    </row>
    <row r="23" spans="1:15" x14ac:dyDescent="0.25">
      <c r="A23" s="36" t="s">
        <v>833</v>
      </c>
      <c r="C23" t="s">
        <v>1030</v>
      </c>
      <c r="E23" s="11">
        <f>VLOOKUP(A23,TB!TB,4,FALSE)</f>
        <v>0</v>
      </c>
      <c r="F23" s="41">
        <f t="shared" si="0"/>
        <v>0</v>
      </c>
      <c r="H23" s="11">
        <f>VLOOKUP(A23,TB!TB,5,FALSE)</f>
        <v>0</v>
      </c>
      <c r="I23" s="41">
        <f t="shared" si="1"/>
        <v>0</v>
      </c>
      <c r="K23" s="11">
        <f>VLOOKUP(A23,TB!TB1_1,4,FALSE)</f>
        <v>0</v>
      </c>
      <c r="L23" s="41">
        <f t="shared" si="2"/>
        <v>0</v>
      </c>
      <c r="N23" s="11">
        <f>VLOOKUP(A23,TB!TB1_1,5,FALSE)</f>
        <v>0</v>
      </c>
      <c r="O23" s="41">
        <f t="shared" si="3"/>
        <v>0</v>
      </c>
    </row>
    <row r="24" spans="1:15" x14ac:dyDescent="0.25">
      <c r="A24" s="36" t="s">
        <v>845</v>
      </c>
      <c r="C24" t="s">
        <v>1029</v>
      </c>
      <c r="E24" s="11">
        <f>VLOOKUP(A24,TB!TB,4,FALSE)</f>
        <v>0</v>
      </c>
      <c r="F24" s="41">
        <f t="shared" si="0"/>
        <v>0</v>
      </c>
      <c r="H24" s="11">
        <f>VLOOKUP(A24,TB!TB,5,FALSE)</f>
        <v>0</v>
      </c>
      <c r="I24" s="41">
        <f t="shared" si="1"/>
        <v>0</v>
      </c>
      <c r="K24" s="11">
        <f>VLOOKUP(A24,TB!TB1_1,4,FALSE)</f>
        <v>0</v>
      </c>
      <c r="L24" s="41">
        <f t="shared" si="2"/>
        <v>0</v>
      </c>
      <c r="N24" s="11">
        <f>VLOOKUP(A24,TB!TB1_1,5,FALSE)</f>
        <v>0</v>
      </c>
      <c r="O24" s="41">
        <f t="shared" si="3"/>
        <v>0</v>
      </c>
    </row>
    <row r="25" spans="1:15" x14ac:dyDescent="0.25">
      <c r="A25" s="36" t="s">
        <v>830</v>
      </c>
      <c r="C25" t="s">
        <v>1054</v>
      </c>
      <c r="E25" s="11">
        <f>VLOOKUP(A25,TB!TB,4,FALSE)</f>
        <v>0</v>
      </c>
      <c r="F25" s="41">
        <f t="shared" si="0"/>
        <v>0</v>
      </c>
      <c r="H25" s="11">
        <f>VLOOKUP(A25,TB!TB,5,FALSE)</f>
        <v>0</v>
      </c>
      <c r="I25" s="41">
        <f t="shared" si="1"/>
        <v>0</v>
      </c>
      <c r="K25" s="11">
        <f>VLOOKUP(A25,TB!TB1_1,4,FALSE)</f>
        <v>2520</v>
      </c>
      <c r="L25" s="41">
        <f t="shared" si="2"/>
        <v>2.1932114882506529E-2</v>
      </c>
      <c r="N25" s="11">
        <f>VLOOKUP(A25,TB!TB1_1,5,FALSE)</f>
        <v>2520</v>
      </c>
      <c r="O25" s="41">
        <f t="shared" si="3"/>
        <v>2.1932114882506529E-2</v>
      </c>
    </row>
    <row r="26" spans="1:15" x14ac:dyDescent="0.25">
      <c r="A26" s="36" t="s">
        <v>866</v>
      </c>
      <c r="C26" t="s">
        <v>1047</v>
      </c>
      <c r="E26" s="11">
        <f>VLOOKUP(A26,TB!TB,4,FALSE)</f>
        <v>0</v>
      </c>
      <c r="F26" s="57">
        <f t="shared" si="0"/>
        <v>0</v>
      </c>
      <c r="G26" s="58"/>
      <c r="H26" s="11">
        <f>VLOOKUP(A26,TB!TB,5,FALSE)</f>
        <v>0</v>
      </c>
      <c r="I26" s="57">
        <f t="shared" si="1"/>
        <v>0</v>
      </c>
      <c r="J26" s="58"/>
      <c r="K26" s="11">
        <f>VLOOKUP(A26,TB!TB1_1,4,FALSE)</f>
        <v>0</v>
      </c>
      <c r="L26" s="57">
        <f t="shared" si="2"/>
        <v>0</v>
      </c>
      <c r="M26" s="58"/>
      <c r="N26" s="11">
        <f>VLOOKUP(A26,TB!TB1_1,5,FALSE)</f>
        <v>0</v>
      </c>
      <c r="O26" s="57">
        <f t="shared" si="3"/>
        <v>0</v>
      </c>
    </row>
    <row r="27" spans="1:15" x14ac:dyDescent="0.25">
      <c r="A27" s="36" t="s">
        <v>925</v>
      </c>
      <c r="C27" t="s">
        <v>1391</v>
      </c>
      <c r="E27" s="26">
        <f>VLOOKUP(A27,TB!TB,4,FALSE)</f>
        <v>3375</v>
      </c>
      <c r="F27" s="57">
        <f>IF(E$15,E27/E$15,0)</f>
        <v>2.9643542332164194E-2</v>
      </c>
      <c r="G27" s="58"/>
      <c r="H27" s="26">
        <f>VLOOKUP(A27,TB!TB,5,FALSE)</f>
        <v>3375</v>
      </c>
      <c r="I27" s="57">
        <f>IF(H$15,H27/H$15,0)</f>
        <v>2.9643542332164194E-2</v>
      </c>
      <c r="J27" s="58"/>
      <c r="K27" s="26">
        <f>VLOOKUP(A27,TB!TB1_1,4,FALSE)</f>
        <v>925</v>
      </c>
      <c r="L27" s="57">
        <f>IF(K$15,K27/K$15,0)</f>
        <v>8.0504786771105306E-3</v>
      </c>
      <c r="M27" s="58"/>
      <c r="N27" s="11">
        <f>VLOOKUP(A27,TB!TB1_1,5,FALSE)</f>
        <v>925</v>
      </c>
      <c r="O27" s="57">
        <f>IF(N$15,N27/N$15,0)</f>
        <v>8.0504786771105306E-3</v>
      </c>
    </row>
    <row r="28" spans="1:15" x14ac:dyDescent="0.25">
      <c r="A28" s="39" t="s">
        <v>1511</v>
      </c>
      <c r="C28" t="s">
        <v>1390</v>
      </c>
      <c r="E28" s="26">
        <f>VLOOKUP(A28,TB!TB,4,FALSE)</f>
        <v>0</v>
      </c>
      <c r="F28" s="57">
        <f>IF(E$15,E28/E$15,0)</f>
        <v>0</v>
      </c>
      <c r="G28" s="58"/>
      <c r="H28" s="26">
        <f>VLOOKUP(A28,TB!TB,5,FALSE)</f>
        <v>0</v>
      </c>
      <c r="I28" s="57">
        <f>IF(H$15,H28/H$15,0)</f>
        <v>0</v>
      </c>
      <c r="J28" s="58"/>
      <c r="K28" s="26">
        <f>VLOOKUP(A28,TB!TB1_1,4,FALSE)</f>
        <v>0</v>
      </c>
      <c r="L28" s="57">
        <f>IF(K$15,K28/K$15,0)</f>
        <v>0</v>
      </c>
      <c r="M28" s="58"/>
      <c r="N28" s="11">
        <f>VLOOKUP(A28,TB!TB1_1,5,FALSE)</f>
        <v>0</v>
      </c>
      <c r="O28" s="57">
        <f>IF(N$15,N28/N$15,0)</f>
        <v>0</v>
      </c>
    </row>
    <row r="29" spans="1:15" x14ac:dyDescent="0.25">
      <c r="A29" s="36" t="s">
        <v>980</v>
      </c>
      <c r="C29" t="s">
        <v>712</v>
      </c>
      <c r="E29" s="11">
        <f>VLOOKUP(A29,TB!TB,4,FALSE)</f>
        <v>0</v>
      </c>
      <c r="F29" s="41">
        <f>IF(E$15,E29/E$15,0)</f>
        <v>0</v>
      </c>
      <c r="H29" s="11">
        <f>VLOOKUP(A29,TB!TB,5,FALSE)</f>
        <v>0</v>
      </c>
      <c r="I29" s="41">
        <f>IF(H$15,H29/H$15,0)</f>
        <v>0</v>
      </c>
      <c r="K29" s="11">
        <f>VLOOKUP(A29,TB!TB1_1,4,FALSE)</f>
        <v>0</v>
      </c>
      <c r="L29" s="41">
        <f>IF(K$15,K29/K$15,0)</f>
        <v>0</v>
      </c>
      <c r="N29" s="11">
        <f>VLOOKUP(A29,TB!TB1_1,5,FALSE)</f>
        <v>0</v>
      </c>
      <c r="O29" s="41">
        <f>IF(N$15,N29/N$15,0)</f>
        <v>0</v>
      </c>
    </row>
    <row r="30" spans="1:15" x14ac:dyDescent="0.25">
      <c r="A30" s="39" t="s">
        <v>1512</v>
      </c>
      <c r="C30" t="s">
        <v>1531</v>
      </c>
      <c r="E30" s="11">
        <f>VLOOKUP(A30,TB!TB,4,FALSE)</f>
        <v>241.5</v>
      </c>
      <c r="F30" s="41">
        <f>IF(E$15,E30/E$15,0)</f>
        <v>2.1211601402126379E-3</v>
      </c>
      <c r="H30" s="11">
        <f>VLOOKUP(A30,TB!TB,5,FALSE)</f>
        <v>241.5</v>
      </c>
      <c r="I30" s="41">
        <f>IF(H$15,H30/H$15,0)</f>
        <v>2.1211601402126379E-3</v>
      </c>
      <c r="K30" s="11">
        <f>VLOOKUP(A30,TB!TB1_1,4,FALSE)</f>
        <v>-5352.12</v>
      </c>
      <c r="L30" s="41">
        <f>IF(K$15,K30/K$15,0)</f>
        <v>-4.6580678851174936E-2</v>
      </c>
      <c r="N30" s="11">
        <f>VLOOKUP(A30,TB!TB1_1,5,FALSE)</f>
        <v>-5352.12</v>
      </c>
      <c r="O30" s="41">
        <f>IF(N$15,N30/N$15,0)</f>
        <v>-4.6580678851174936E-2</v>
      </c>
    </row>
    <row r="31" spans="1:15" x14ac:dyDescent="0.25">
      <c r="A31" s="36" t="s">
        <v>981</v>
      </c>
      <c r="C31" s="1" t="s">
        <v>719</v>
      </c>
      <c r="E31" s="11">
        <f>VLOOKUP(A31,TB!TB,4,FALSE)</f>
        <v>0</v>
      </c>
      <c r="F31" s="41">
        <f>IF(E$15,E31/E$15,0)</f>
        <v>0</v>
      </c>
      <c r="H31" s="11">
        <f>VLOOKUP(A31,TB!TB,5,FALSE)</f>
        <v>0</v>
      </c>
      <c r="I31" s="41">
        <f>IF(H$15,H31/H$15,0)</f>
        <v>0</v>
      </c>
      <c r="K31" s="11">
        <f>VLOOKUP(A31,TB!TB1_1,4,FALSE)</f>
        <v>0</v>
      </c>
      <c r="L31" s="41">
        <f>IF(K$15,K31/K$15,0)</f>
        <v>0</v>
      </c>
      <c r="N31" s="11">
        <f>VLOOKUP(A31,TB!TB1_1,5,FALSE)</f>
        <v>0</v>
      </c>
      <c r="O31" s="41">
        <f>IF(N$15,N31/N$15,0)</f>
        <v>0</v>
      </c>
    </row>
    <row r="32" spans="1:15" x14ac:dyDescent="0.25">
      <c r="C32" s="43" t="s">
        <v>1033</v>
      </c>
      <c r="E32" s="74">
        <f>SUM(E17:E31)</f>
        <v>100942.38</v>
      </c>
      <c r="F32" s="86">
        <f t="shared" si="0"/>
        <v>0.88660435989315689</v>
      </c>
      <c r="G32" s="75"/>
      <c r="H32" s="74">
        <f>SUM(H17:H31)</f>
        <v>100942.38</v>
      </c>
      <c r="I32" s="86">
        <f t="shared" si="1"/>
        <v>0.88660435989315689</v>
      </c>
      <c r="J32" s="75"/>
      <c r="K32" s="74">
        <f>SUM(K17:K31)</f>
        <v>97222.290000000008</v>
      </c>
      <c r="L32" s="86">
        <f t="shared" si="2"/>
        <v>0.84614699738903398</v>
      </c>
      <c r="M32" s="75"/>
      <c r="N32" s="74">
        <f>SUM(N17:N31)</f>
        <v>97222.290000000008</v>
      </c>
      <c r="O32" s="86">
        <f t="shared" si="3"/>
        <v>0.84614699738903398</v>
      </c>
    </row>
    <row r="34" spans="1:15" x14ac:dyDescent="0.25">
      <c r="C34" s="37" t="s">
        <v>1034</v>
      </c>
      <c r="E34" s="40">
        <f>E15-E32</f>
        <v>12910.409999999989</v>
      </c>
      <c r="F34" s="41">
        <f t="shared" si="0"/>
        <v>0.11339564010684314</v>
      </c>
      <c r="H34" s="40">
        <f>H15-H32</f>
        <v>12910.409999999989</v>
      </c>
      <c r="I34" s="41">
        <f t="shared" ref="I34" si="12">IF(H$15,H34/H$15,0)</f>
        <v>0.11339564010684314</v>
      </c>
      <c r="K34" s="40">
        <f>K15-K32</f>
        <v>17677.709999999992</v>
      </c>
      <c r="L34" s="41">
        <f t="shared" ref="L34" si="13">IF(K$15,K34/K$15,0)</f>
        <v>0.15385300261096599</v>
      </c>
      <c r="N34" s="40">
        <f>N15-N32</f>
        <v>17677.709999999992</v>
      </c>
      <c r="O34" s="41">
        <f t="shared" ref="O34" si="14">IF(N$15,N34/N$15,0)</f>
        <v>0.15385300261096599</v>
      </c>
    </row>
    <row r="36" spans="1:15" x14ac:dyDescent="0.25">
      <c r="A36" s="36" t="s">
        <v>875</v>
      </c>
      <c r="C36" t="s">
        <v>419</v>
      </c>
      <c r="E36" s="11">
        <f>VLOOKUP(A36,TB!TB,4,FALSE)</f>
        <v>0</v>
      </c>
      <c r="F36" s="41">
        <f t="shared" si="0"/>
        <v>0</v>
      </c>
      <c r="H36" s="11">
        <f>VLOOKUP(A36,TB!TB,5,FALSE)</f>
        <v>0</v>
      </c>
      <c r="I36" s="41">
        <f t="shared" ref="I36:I59" si="15">IF(H$15,H36/H$15,0)</f>
        <v>0</v>
      </c>
      <c r="K36" s="11">
        <f>VLOOKUP(A36,TB!TB1_1,4,FALSE)</f>
        <v>0</v>
      </c>
      <c r="L36" s="41">
        <f t="shared" ref="L36:L59" si="16">IF(K$15,K36/K$15,0)</f>
        <v>0</v>
      </c>
      <c r="N36" s="11">
        <f>VLOOKUP(A36,TB!TB1_1,5,FALSE)</f>
        <v>0</v>
      </c>
      <c r="O36" s="41">
        <f t="shared" ref="O36:O59" si="17">IF(N$15,N36/N$15,0)</f>
        <v>0</v>
      </c>
    </row>
    <row r="37" spans="1:15" x14ac:dyDescent="0.25">
      <c r="A37" s="36" t="s">
        <v>880</v>
      </c>
      <c r="C37" t="s">
        <v>435</v>
      </c>
      <c r="E37" s="11">
        <f>VLOOKUP(A37,TB!TB,4,FALSE)</f>
        <v>19200</v>
      </c>
      <c r="F37" s="41">
        <f t="shared" si="0"/>
        <v>0.1686388186007563</v>
      </c>
      <c r="H37" s="11">
        <f>VLOOKUP(A37,TB!TB,5,FALSE)</f>
        <v>19200</v>
      </c>
      <c r="I37" s="41">
        <f t="shared" si="15"/>
        <v>0.1686388186007563</v>
      </c>
      <c r="K37" s="11">
        <f>VLOOKUP(A37,TB!TB1_1,4,FALSE)</f>
        <v>18800</v>
      </c>
      <c r="L37" s="41">
        <f t="shared" si="16"/>
        <v>0.16362053959965187</v>
      </c>
      <c r="N37" s="11">
        <f>VLOOKUP(A37,TB!TB1_1,5,FALSE)</f>
        <v>18800</v>
      </c>
      <c r="O37" s="41">
        <f t="shared" si="17"/>
        <v>0.16362053959965187</v>
      </c>
    </row>
    <row r="38" spans="1:15" x14ac:dyDescent="0.25">
      <c r="A38" s="36" t="s">
        <v>885</v>
      </c>
      <c r="C38" t="s">
        <v>444</v>
      </c>
      <c r="E38" s="11">
        <f>VLOOKUP(A38,TB!TB,4,FALSE)</f>
        <v>0</v>
      </c>
      <c r="F38" s="41">
        <f t="shared" si="0"/>
        <v>0</v>
      </c>
      <c r="H38" s="11">
        <f>VLOOKUP(A38,TB!TB,5,FALSE)</f>
        <v>0</v>
      </c>
      <c r="I38" s="41">
        <f t="shared" si="15"/>
        <v>0</v>
      </c>
      <c r="K38" s="11">
        <f>VLOOKUP(A38,TB!TB1_1,4,FALSE)</f>
        <v>0</v>
      </c>
      <c r="L38" s="41">
        <f t="shared" si="16"/>
        <v>0</v>
      </c>
      <c r="N38" s="11">
        <f>VLOOKUP(A38,TB!TB1_1,5,FALSE)</f>
        <v>0</v>
      </c>
      <c r="O38" s="41">
        <f t="shared" si="17"/>
        <v>0</v>
      </c>
    </row>
    <row r="39" spans="1:15" x14ac:dyDescent="0.25">
      <c r="A39" s="36" t="s">
        <v>1503</v>
      </c>
      <c r="C39" t="s">
        <v>464</v>
      </c>
      <c r="E39" s="11">
        <f>VLOOKUP(A39,TB!TB,4,FALSE)</f>
        <v>0</v>
      </c>
      <c r="F39" s="41">
        <f t="shared" si="0"/>
        <v>0</v>
      </c>
      <c r="H39" s="11">
        <f>VLOOKUP(A39,TB!TB,5,FALSE)</f>
        <v>0</v>
      </c>
      <c r="I39" s="41">
        <f t="shared" si="15"/>
        <v>0</v>
      </c>
      <c r="K39" s="11">
        <f>VLOOKUP(A39,TB!TB1_1,4,FALSE)</f>
        <v>0</v>
      </c>
      <c r="L39" s="41">
        <f t="shared" ref="L39" si="18">IF(K$15,K39/K$15,0)</f>
        <v>0</v>
      </c>
      <c r="N39" s="11">
        <f>VLOOKUP(A39,TB!TB1_1,5,FALSE)</f>
        <v>0</v>
      </c>
      <c r="O39" s="41">
        <f t="shared" ref="O39" si="19">IF(N$15,N39/N$15,0)</f>
        <v>0</v>
      </c>
    </row>
    <row r="40" spans="1:15" x14ac:dyDescent="0.25">
      <c r="A40" s="39" t="s">
        <v>1506</v>
      </c>
      <c r="C40" t="s">
        <v>1525</v>
      </c>
      <c r="E40" s="11">
        <f>VLOOKUP(A40,TB!TB,4,FALSE)</f>
        <v>0</v>
      </c>
      <c r="F40" s="41">
        <f t="shared" si="0"/>
        <v>0</v>
      </c>
      <c r="H40" s="11">
        <f>VLOOKUP(A40,TB!TB,5,FALSE)</f>
        <v>0</v>
      </c>
      <c r="I40" s="41">
        <f t="shared" si="15"/>
        <v>0</v>
      </c>
      <c r="K40" s="11">
        <f>VLOOKUP(A40,TB!TB1_1,4,FALSE)</f>
        <v>8793.67</v>
      </c>
      <c r="L40" s="41">
        <f t="shared" ref="L40" si="20">IF(K$15,K40/K$15,0)</f>
        <v>7.6533246301131425E-2</v>
      </c>
      <c r="N40" s="11">
        <f>VLOOKUP(A40,TB!TB1_1,5,FALSE)</f>
        <v>8793.67</v>
      </c>
      <c r="O40" s="41">
        <f t="shared" ref="O40" si="21">IF(N$15,N40/N$15,0)</f>
        <v>7.6533246301131425E-2</v>
      </c>
    </row>
    <row r="41" spans="1:15" x14ac:dyDescent="0.25">
      <c r="A41" s="39" t="s">
        <v>1505</v>
      </c>
      <c r="C41" t="s">
        <v>1526</v>
      </c>
      <c r="E41" s="11">
        <f>VLOOKUP(A41,TB!TB,4,FALSE)</f>
        <v>0</v>
      </c>
      <c r="F41" s="41">
        <f t="shared" si="0"/>
        <v>0</v>
      </c>
      <c r="H41" s="11">
        <f>VLOOKUP(A41,TB!TB,5,FALSE)</f>
        <v>0</v>
      </c>
      <c r="I41" s="41">
        <f t="shared" si="15"/>
        <v>0</v>
      </c>
      <c r="K41" s="11">
        <f>VLOOKUP(A41,TB!TB1_1,4,FALSE)</f>
        <v>-4255.01</v>
      </c>
      <c r="L41" s="41">
        <f t="shared" ref="L41" si="22">IF(K$15,K41/K$15,0)</f>
        <v>-3.7032288946910359E-2</v>
      </c>
      <c r="N41" s="11">
        <f>VLOOKUP(A41,TB!TB1_1,5,FALSE)</f>
        <v>-4255.01</v>
      </c>
      <c r="O41" s="41">
        <f t="shared" ref="O41" si="23">IF(N$15,N41/N$15,0)</f>
        <v>-3.7032288946910359E-2</v>
      </c>
    </row>
    <row r="42" spans="1:15" x14ac:dyDescent="0.25">
      <c r="A42" s="36" t="s">
        <v>895</v>
      </c>
      <c r="C42" t="s">
        <v>472</v>
      </c>
      <c r="E42" s="11">
        <f>VLOOKUP(A42,TB!TB,4,FALSE)</f>
        <v>1812.78</v>
      </c>
      <c r="F42" s="41">
        <f t="shared" si="0"/>
        <v>1.5922139457452033E-2</v>
      </c>
      <c r="H42" s="11">
        <f>VLOOKUP(A42,TB!TB,5,FALSE)</f>
        <v>1812.78</v>
      </c>
      <c r="I42" s="41">
        <f t="shared" si="15"/>
        <v>1.5922139457452033E-2</v>
      </c>
      <c r="K42" s="11">
        <f>VLOOKUP(A42,TB!TB1_1,4,FALSE)</f>
        <v>1534.06</v>
      </c>
      <c r="L42" s="41">
        <f t="shared" si="16"/>
        <v>1.3351261966927763E-2</v>
      </c>
      <c r="N42" s="11">
        <f>VLOOKUP(A42,TB!TB1_1,5,FALSE)</f>
        <v>1534.06</v>
      </c>
      <c r="O42" s="41">
        <f t="shared" si="17"/>
        <v>1.3351261966927763E-2</v>
      </c>
    </row>
    <row r="43" spans="1:15" x14ac:dyDescent="0.25">
      <c r="A43" s="36" t="s">
        <v>953</v>
      </c>
      <c r="C43" t="s">
        <v>639</v>
      </c>
      <c r="E43" s="26">
        <f>VLOOKUP(A43,TB!TB,4,FALSE)</f>
        <v>455.53</v>
      </c>
      <c r="F43" s="41">
        <f t="shared" si="0"/>
        <v>4.0010438040209645E-3</v>
      </c>
      <c r="H43" s="26">
        <f>VLOOKUP(A43,TB!TB,5,FALSE)</f>
        <v>455.53</v>
      </c>
      <c r="I43" s="41">
        <f t="shared" si="15"/>
        <v>4.0010438040209645E-3</v>
      </c>
      <c r="K43" s="26">
        <f>VLOOKUP(A43,TB!TB1_1,4,FALSE)</f>
        <v>2264.84</v>
      </c>
      <c r="L43" s="41">
        <f t="shared" si="16"/>
        <v>1.9711401218450827E-2</v>
      </c>
      <c r="N43" s="11">
        <f>VLOOKUP(A43,TB!TB1_1,5,FALSE)</f>
        <v>2264.84</v>
      </c>
      <c r="O43" s="41">
        <f t="shared" si="17"/>
        <v>1.9711401218450827E-2</v>
      </c>
    </row>
    <row r="44" spans="1:15" x14ac:dyDescent="0.25">
      <c r="A44" s="36" t="s">
        <v>959</v>
      </c>
      <c r="C44" t="s">
        <v>654</v>
      </c>
      <c r="E44" s="11">
        <f>VLOOKUP(A44,TB!TB,4,FALSE)</f>
        <v>220.8</v>
      </c>
      <c r="F44" s="41">
        <f t="shared" si="0"/>
        <v>1.9393464139086977E-3</v>
      </c>
      <c r="H44" s="11">
        <f>VLOOKUP(A44,TB!TB,5,FALSE)</f>
        <v>220.8</v>
      </c>
      <c r="I44" s="41">
        <f t="shared" si="15"/>
        <v>1.9393464139086977E-3</v>
      </c>
      <c r="K44" s="11">
        <f>VLOOKUP(A44,TB!TB1_1,4,FALSE)</f>
        <v>220.8</v>
      </c>
      <c r="L44" s="41">
        <f t="shared" si="16"/>
        <v>1.9216710182767625E-3</v>
      </c>
      <c r="N44" s="11">
        <f>VLOOKUP(A44,TB!TB1_1,5,FALSE)</f>
        <v>220.8</v>
      </c>
      <c r="O44" s="41">
        <f t="shared" si="17"/>
        <v>1.9216710182767625E-3</v>
      </c>
    </row>
    <row r="45" spans="1:15" x14ac:dyDescent="0.25">
      <c r="A45" s="36" t="s">
        <v>900</v>
      </c>
      <c r="C45" t="s">
        <v>488</v>
      </c>
      <c r="E45" s="11">
        <f>VLOOKUP(A45,TB!TB,4,FALSE)</f>
        <v>0</v>
      </c>
      <c r="F45" s="41">
        <f t="shared" si="0"/>
        <v>0</v>
      </c>
      <c r="H45" s="11">
        <f>VLOOKUP(A45,TB!TB,5,FALSE)</f>
        <v>0</v>
      </c>
      <c r="I45" s="41">
        <f t="shared" si="15"/>
        <v>0</v>
      </c>
      <c r="K45" s="11">
        <f>VLOOKUP(A45,TB!TB1_1,4,FALSE)</f>
        <v>0</v>
      </c>
      <c r="L45" s="41">
        <f t="shared" si="16"/>
        <v>0</v>
      </c>
      <c r="N45" s="11">
        <f>VLOOKUP(A45,TB!TB1_1,5,FALSE)</f>
        <v>0</v>
      </c>
      <c r="O45" s="41">
        <f t="shared" si="17"/>
        <v>0</v>
      </c>
    </row>
    <row r="46" spans="1:15" x14ac:dyDescent="0.25">
      <c r="A46" s="36" t="s">
        <v>904</v>
      </c>
      <c r="C46" t="s">
        <v>500</v>
      </c>
      <c r="E46" s="11">
        <f>VLOOKUP(A46,TB!TB,4,FALSE)</f>
        <v>0</v>
      </c>
      <c r="F46" s="41">
        <f t="shared" si="0"/>
        <v>0</v>
      </c>
      <c r="H46" s="11">
        <f>VLOOKUP(A46,TB!TB,5,FALSE)</f>
        <v>0</v>
      </c>
      <c r="I46" s="41">
        <f t="shared" si="15"/>
        <v>0</v>
      </c>
      <c r="K46" s="11">
        <f>VLOOKUP(A46,TB!TB1_1,4,FALSE)</f>
        <v>0</v>
      </c>
      <c r="L46" s="41">
        <f t="shared" si="16"/>
        <v>0</v>
      </c>
      <c r="N46" s="11">
        <f>VLOOKUP(A46,TB!TB1_1,5,FALSE)</f>
        <v>0</v>
      </c>
      <c r="O46" s="41">
        <f t="shared" si="17"/>
        <v>0</v>
      </c>
    </row>
    <row r="47" spans="1:15" x14ac:dyDescent="0.25">
      <c r="A47" s="36" t="s">
        <v>908</v>
      </c>
      <c r="C47" t="s">
        <v>511</v>
      </c>
      <c r="E47" s="11">
        <f>VLOOKUP(A47,TB!TB,4,FALSE)</f>
        <v>1523.34</v>
      </c>
      <c r="F47" s="41">
        <f t="shared" si="0"/>
        <v>1.3379909267045629E-2</v>
      </c>
      <c r="H47" s="11">
        <f>VLOOKUP(A47,TB!TB,5,FALSE)</f>
        <v>1523.34</v>
      </c>
      <c r="I47" s="41">
        <f t="shared" si="15"/>
        <v>1.3379909267045629E-2</v>
      </c>
      <c r="K47" s="11">
        <f>VLOOKUP(A47,TB!TB1_1,4,FALSE)</f>
        <v>569.86</v>
      </c>
      <c r="L47" s="41">
        <f t="shared" si="16"/>
        <v>4.9596170583115756E-3</v>
      </c>
      <c r="N47" s="11">
        <f>VLOOKUP(A47,TB!TB1_1,5,FALSE)</f>
        <v>569.86</v>
      </c>
      <c r="O47" s="41">
        <f t="shared" si="17"/>
        <v>4.9596170583115756E-3</v>
      </c>
    </row>
    <row r="48" spans="1:15" x14ac:dyDescent="0.25">
      <c r="A48" s="39" t="s">
        <v>912</v>
      </c>
      <c r="C48" t="s">
        <v>913</v>
      </c>
      <c r="E48" s="11">
        <f>VLOOKUP(A48,TB!TB,4,FALSE)</f>
        <v>0</v>
      </c>
      <c r="F48" s="41">
        <f t="shared" si="0"/>
        <v>0</v>
      </c>
      <c r="H48" s="11">
        <f>VLOOKUP(A48,TB!TB,5,FALSE)</f>
        <v>0</v>
      </c>
      <c r="I48" s="41">
        <f t="shared" si="15"/>
        <v>0</v>
      </c>
      <c r="K48" s="11">
        <f>VLOOKUP(A48,TB!TB1_1,4,FALSE)</f>
        <v>2934.75</v>
      </c>
      <c r="L48" s="41">
        <f t="shared" si="16"/>
        <v>2.5541775456919061E-2</v>
      </c>
      <c r="N48" s="11">
        <f>VLOOKUP(A48,TB!TB1_1,5,FALSE)</f>
        <v>2934.75</v>
      </c>
      <c r="O48" s="41">
        <f t="shared" si="17"/>
        <v>2.5541775456919061E-2</v>
      </c>
    </row>
    <row r="49" spans="1:15" x14ac:dyDescent="0.25">
      <c r="A49" s="36" t="s">
        <v>918</v>
      </c>
      <c r="C49" t="s">
        <v>540</v>
      </c>
      <c r="E49" s="11">
        <f>VLOOKUP(A49,TB!TB,4,FALSE)</f>
        <v>0</v>
      </c>
      <c r="F49" s="41">
        <f t="shared" si="0"/>
        <v>0</v>
      </c>
      <c r="H49" s="11">
        <f>VLOOKUP(A49,TB!TB,5,FALSE)</f>
        <v>0</v>
      </c>
      <c r="I49" s="41">
        <f t="shared" si="15"/>
        <v>0</v>
      </c>
      <c r="K49" s="11">
        <f>VLOOKUP(A49,TB!TB1_1,4,FALSE)</f>
        <v>0</v>
      </c>
      <c r="L49" s="41">
        <f t="shared" si="16"/>
        <v>0</v>
      </c>
      <c r="N49" s="11">
        <f>VLOOKUP(A49,TB!TB1_1,5,FALSE)</f>
        <v>0</v>
      </c>
      <c r="O49" s="41">
        <f t="shared" si="17"/>
        <v>0</v>
      </c>
    </row>
    <row r="50" spans="1:15" x14ac:dyDescent="0.25">
      <c r="A50" s="36" t="s">
        <v>930</v>
      </c>
      <c r="C50" t="s">
        <v>571</v>
      </c>
      <c r="E50" s="11">
        <f>VLOOKUP(A50,TB!TB,4,FALSE)</f>
        <v>102.82</v>
      </c>
      <c r="F50" s="41">
        <f t="shared" si="0"/>
        <v>9.0309600669425847E-4</v>
      </c>
      <c r="H50" s="11">
        <f>VLOOKUP(A50,TB!TB,5,FALSE)</f>
        <v>102.82</v>
      </c>
      <c r="I50" s="41">
        <f t="shared" si="15"/>
        <v>9.0309600669425847E-4</v>
      </c>
      <c r="K50" s="11">
        <f>VLOOKUP(A50,TB!TB1_1,4,FALSE)</f>
        <v>136.44</v>
      </c>
      <c r="L50" s="41">
        <f t="shared" si="16"/>
        <v>1.187467362924282E-3</v>
      </c>
      <c r="N50" s="11">
        <f>VLOOKUP(A50,TB!TB1_1,5,FALSE)</f>
        <v>136.44</v>
      </c>
      <c r="O50" s="41">
        <f t="shared" si="17"/>
        <v>1.187467362924282E-3</v>
      </c>
    </row>
    <row r="51" spans="1:15" x14ac:dyDescent="0.25">
      <c r="A51" s="36" t="s">
        <v>934</v>
      </c>
      <c r="C51" t="s">
        <v>585</v>
      </c>
      <c r="E51" s="11">
        <f>VLOOKUP(A51,TB!TB,4,FALSE)</f>
        <v>0</v>
      </c>
      <c r="F51" s="41">
        <f t="shared" si="0"/>
        <v>0</v>
      </c>
      <c r="H51" s="11">
        <f>VLOOKUP(A51,TB!TB,5,FALSE)</f>
        <v>0</v>
      </c>
      <c r="I51" s="41">
        <f t="shared" si="15"/>
        <v>0</v>
      </c>
      <c r="K51" s="11">
        <f>VLOOKUP(A51,TB!TB1_1,4,FALSE)</f>
        <v>0</v>
      </c>
      <c r="L51" s="41">
        <f t="shared" si="16"/>
        <v>0</v>
      </c>
      <c r="N51" s="11">
        <f>VLOOKUP(A51,TB!TB1_1,5,FALSE)</f>
        <v>0</v>
      </c>
      <c r="O51" s="41">
        <f t="shared" si="17"/>
        <v>0</v>
      </c>
    </row>
    <row r="52" spans="1:15" x14ac:dyDescent="0.25">
      <c r="A52" s="36" t="s">
        <v>939</v>
      </c>
      <c r="C52" t="s">
        <v>597</v>
      </c>
      <c r="E52" s="11">
        <f>VLOOKUP(A52,TB!TB,4,FALSE)</f>
        <v>770.13</v>
      </c>
      <c r="F52" s="41">
        <f t="shared" si="0"/>
        <v>6.7642611129687738E-3</v>
      </c>
      <c r="H52" s="11">
        <f>VLOOKUP(A52,TB!TB,5,FALSE)</f>
        <v>770.13</v>
      </c>
      <c r="I52" s="41">
        <f t="shared" si="15"/>
        <v>6.7642611129687738E-3</v>
      </c>
      <c r="K52" s="11">
        <f>VLOOKUP(A52,TB!TB1_1,4,FALSE)</f>
        <v>0</v>
      </c>
      <c r="L52" s="41">
        <f t="shared" si="16"/>
        <v>0</v>
      </c>
      <c r="N52" s="11">
        <f>VLOOKUP(A52,TB!TB1_1,5,FALSE)</f>
        <v>0</v>
      </c>
      <c r="O52" s="41">
        <f t="shared" si="17"/>
        <v>0</v>
      </c>
    </row>
    <row r="53" spans="1:15" x14ac:dyDescent="0.25">
      <c r="A53" s="36" t="s">
        <v>944</v>
      </c>
      <c r="C53" t="s">
        <v>611</v>
      </c>
      <c r="E53" s="11">
        <f>VLOOKUP(A53,TB!TB,4,FALSE)</f>
        <v>0</v>
      </c>
      <c r="F53" s="41">
        <f t="shared" si="0"/>
        <v>0</v>
      </c>
      <c r="H53" s="11">
        <f>VLOOKUP(A53,TB!TB,5,FALSE)</f>
        <v>0</v>
      </c>
      <c r="I53" s="41">
        <f t="shared" si="15"/>
        <v>0</v>
      </c>
      <c r="K53" s="11">
        <f>VLOOKUP(A53,TB!TB1_1,4,FALSE)</f>
        <v>0</v>
      </c>
      <c r="L53" s="41">
        <f t="shared" si="16"/>
        <v>0</v>
      </c>
      <c r="N53" s="11">
        <f>VLOOKUP(A53,TB!TB1_1,5,FALSE)</f>
        <v>0</v>
      </c>
      <c r="O53" s="41">
        <f t="shared" si="17"/>
        <v>0</v>
      </c>
    </row>
    <row r="54" spans="1:15" x14ac:dyDescent="0.25">
      <c r="A54" s="36" t="s">
        <v>948</v>
      </c>
      <c r="C54" t="s">
        <v>623</v>
      </c>
      <c r="E54" s="11">
        <f>VLOOKUP(A54,TB!TB,4,FALSE)</f>
        <v>0</v>
      </c>
      <c r="F54" s="41">
        <f t="shared" si="0"/>
        <v>0</v>
      </c>
      <c r="H54" s="11">
        <f>VLOOKUP(A54,TB!TB,5,FALSE)</f>
        <v>0</v>
      </c>
      <c r="I54" s="41">
        <f t="shared" si="15"/>
        <v>0</v>
      </c>
      <c r="K54" s="11">
        <f>VLOOKUP(A54,TB!TB1_1,4,FALSE)</f>
        <v>0</v>
      </c>
      <c r="L54" s="41">
        <f t="shared" si="16"/>
        <v>0</v>
      </c>
      <c r="N54" s="11">
        <f>VLOOKUP(A54,TB!TB1_1,5,FALSE)</f>
        <v>0</v>
      </c>
      <c r="O54" s="41">
        <f t="shared" si="17"/>
        <v>0</v>
      </c>
    </row>
    <row r="55" spans="1:15" x14ac:dyDescent="0.25">
      <c r="A55" s="36" t="s">
        <v>964</v>
      </c>
      <c r="C55" t="s">
        <v>670</v>
      </c>
      <c r="E55" s="11">
        <f>VLOOKUP(A55,TB!TB,4,FALSE)</f>
        <v>500</v>
      </c>
      <c r="F55" s="41">
        <f t="shared" si="0"/>
        <v>4.3916359010613623E-3</v>
      </c>
      <c r="H55" s="11">
        <f>VLOOKUP(A55,TB!TB,5,FALSE)</f>
        <v>500</v>
      </c>
      <c r="I55" s="41">
        <f t="shared" si="15"/>
        <v>4.3916359010613623E-3</v>
      </c>
      <c r="K55" s="11">
        <f>VLOOKUP(A55,TB!TB1_1,4,FALSE)</f>
        <v>0</v>
      </c>
      <c r="L55" s="41">
        <f t="shared" si="16"/>
        <v>0</v>
      </c>
      <c r="N55" s="11">
        <f>VLOOKUP(A55,TB!TB1_1,5,FALSE)</f>
        <v>0</v>
      </c>
      <c r="O55" s="41">
        <f t="shared" si="17"/>
        <v>0</v>
      </c>
    </row>
    <row r="56" spans="1:15" x14ac:dyDescent="0.25">
      <c r="A56" s="36" t="s">
        <v>967</v>
      </c>
      <c r="C56" t="s">
        <v>678</v>
      </c>
      <c r="E56" s="11">
        <f>VLOOKUP(A56,TB!TB,4,FALSE)</f>
        <v>106.2</v>
      </c>
      <c r="F56" s="41">
        <f t="shared" si="0"/>
        <v>9.3278346538543328E-4</v>
      </c>
      <c r="H56" s="11">
        <f>VLOOKUP(A56,TB!TB,5,FALSE)</f>
        <v>106.2</v>
      </c>
      <c r="I56" s="41">
        <f t="shared" si="15"/>
        <v>9.3278346538543328E-4</v>
      </c>
      <c r="K56" s="11">
        <f>VLOOKUP(A56,TB!TB1_1,4,FALSE)</f>
        <v>97.62</v>
      </c>
      <c r="L56" s="41">
        <f t="shared" si="16"/>
        <v>8.4960835509138388E-4</v>
      </c>
      <c r="N56" s="11">
        <f>VLOOKUP(A56,TB!TB1_1,5,FALSE)</f>
        <v>97.62</v>
      </c>
      <c r="O56" s="41">
        <f t="shared" si="17"/>
        <v>8.4960835509138388E-4</v>
      </c>
    </row>
    <row r="57" spans="1:15" x14ac:dyDescent="0.25">
      <c r="A57" s="36" t="s">
        <v>973</v>
      </c>
      <c r="C57" t="s">
        <v>696</v>
      </c>
      <c r="E57" s="11">
        <f>VLOOKUP(A57,TB!TB,4,FALSE)</f>
        <v>0</v>
      </c>
      <c r="F57" s="41">
        <f t="shared" si="0"/>
        <v>0</v>
      </c>
      <c r="H57" s="11">
        <f>VLOOKUP(A57,TB!TB,5,FALSE)</f>
        <v>0</v>
      </c>
      <c r="I57" s="41">
        <f t="shared" si="15"/>
        <v>0</v>
      </c>
      <c r="K57" s="11">
        <f>VLOOKUP(A57,TB!TB1_1,4,FALSE)</f>
        <v>0</v>
      </c>
      <c r="L57" s="41">
        <f t="shared" si="16"/>
        <v>0</v>
      </c>
      <c r="N57" s="11">
        <f>VLOOKUP(A57,TB!TB1_1,5,FALSE)</f>
        <v>0</v>
      </c>
      <c r="O57" s="41">
        <f t="shared" si="17"/>
        <v>0</v>
      </c>
    </row>
    <row r="58" spans="1:15" x14ac:dyDescent="0.25">
      <c r="A58" s="36" t="s">
        <v>984</v>
      </c>
      <c r="C58" t="s">
        <v>726</v>
      </c>
      <c r="E58" s="29">
        <f>VLOOKUP(A58,TB!TB,4,FALSE)</f>
        <v>1989.12</v>
      </c>
      <c r="F58" s="50">
        <f t="shared" si="0"/>
        <v>1.7470981607038354E-2</v>
      </c>
      <c r="G58" s="51"/>
      <c r="H58" s="29">
        <f>VLOOKUP(A58,TB!TB,5,FALSE)</f>
        <v>1989.12</v>
      </c>
      <c r="I58" s="50">
        <f t="shared" si="15"/>
        <v>1.7470981607038354E-2</v>
      </c>
      <c r="J58" s="51"/>
      <c r="K58" s="29">
        <f>VLOOKUP(A58,TB!TB1_1,4,FALSE)</f>
        <v>0</v>
      </c>
      <c r="L58" s="50">
        <f t="shared" si="16"/>
        <v>0</v>
      </c>
      <c r="M58" s="51"/>
      <c r="N58" s="59">
        <f>VLOOKUP(A58,TB!TB1_1,5,FALSE)</f>
        <v>0</v>
      </c>
      <c r="O58" s="50">
        <f t="shared" si="17"/>
        <v>0</v>
      </c>
    </row>
    <row r="59" spans="1:15" x14ac:dyDescent="0.25">
      <c r="C59" s="43" t="s">
        <v>1003</v>
      </c>
      <c r="E59" s="40">
        <f>SUM(E36:E58)</f>
        <v>26680.719999999998</v>
      </c>
      <c r="F59" s="41">
        <f t="shared" si="0"/>
        <v>0.23434401563633178</v>
      </c>
      <c r="H59" s="40">
        <f>SUM(H36:H58)</f>
        <v>26680.719999999998</v>
      </c>
      <c r="I59" s="41">
        <f t="shared" si="15"/>
        <v>0.23434401563633178</v>
      </c>
      <c r="K59" s="40">
        <f>SUM(K36:K58)</f>
        <v>31097.029999999995</v>
      </c>
      <c r="L59" s="41">
        <f t="shared" si="16"/>
        <v>0.27064429939077456</v>
      </c>
      <c r="N59" s="102">
        <f>SUM(N36:N58)</f>
        <v>31097.029999999995</v>
      </c>
      <c r="O59" s="41">
        <f t="shared" si="17"/>
        <v>0.27064429939077456</v>
      </c>
    </row>
    <row r="61" spans="1:15" x14ac:dyDescent="0.25">
      <c r="C61" s="37" t="s">
        <v>1024</v>
      </c>
      <c r="E61" s="40">
        <f>E34-E59</f>
        <v>-13770.310000000009</v>
      </c>
      <c r="F61" s="41">
        <f t="shared" si="0"/>
        <v>-0.12094837552948864</v>
      </c>
      <c r="H61" s="40">
        <f>H34-H59</f>
        <v>-13770.310000000009</v>
      </c>
      <c r="I61" s="41">
        <f t="shared" ref="I61:I62" si="24">IF(H$15,H61/H$15,0)</f>
        <v>-0.12094837552948864</v>
      </c>
      <c r="K61" s="40">
        <f>K34-K59</f>
        <v>-13419.320000000003</v>
      </c>
      <c r="L61" s="41">
        <f t="shared" ref="L61:L62" si="25">IF(K$15,K61/K$15,0)</f>
        <v>-0.11679129677980855</v>
      </c>
      <c r="N61" s="40">
        <f>N34-N59</f>
        <v>-13419.320000000003</v>
      </c>
      <c r="O61" s="41">
        <f t="shared" ref="O61:O62" si="26">IF(N$15,N61/N$15,0)</f>
        <v>-0.11679129677980855</v>
      </c>
    </row>
    <row r="62" spans="1:15" x14ac:dyDescent="0.25">
      <c r="A62" s="36" t="s">
        <v>990</v>
      </c>
      <c r="C62" s="37" t="s">
        <v>743</v>
      </c>
      <c r="E62" s="29">
        <f>VLOOKUP(A62,TB!TB,4,FALSE)</f>
        <v>0</v>
      </c>
      <c r="F62" s="50">
        <f t="shared" si="0"/>
        <v>0</v>
      </c>
      <c r="G62" s="52"/>
      <c r="H62" s="29">
        <f>VLOOKUP(A62,TB!TB,5,FALSE)</f>
        <v>0</v>
      </c>
      <c r="I62" s="50">
        <f t="shared" si="24"/>
        <v>0</v>
      </c>
      <c r="J62" s="52"/>
      <c r="K62" s="29">
        <f>VLOOKUP(A62,TB!TB1_1,4,FALSE)</f>
        <v>0</v>
      </c>
      <c r="L62" s="50">
        <f t="shared" si="25"/>
        <v>0</v>
      </c>
      <c r="M62" s="52"/>
      <c r="N62" s="29">
        <f>VLOOKUP(A62,TB!TB1_1,5,FALSE)*-1</f>
        <v>0</v>
      </c>
      <c r="O62" s="50">
        <f t="shared" si="26"/>
        <v>0</v>
      </c>
    </row>
    <row r="64" spans="1:15" x14ac:dyDescent="0.25">
      <c r="C64" s="37" t="s">
        <v>1025</v>
      </c>
      <c r="E64" s="40">
        <f>E61-E62</f>
        <v>-13770.310000000009</v>
      </c>
      <c r="F64" s="41">
        <f t="shared" si="0"/>
        <v>-0.12094837552948864</v>
      </c>
      <c r="H64" s="40">
        <f>H61-H62</f>
        <v>-13770.310000000009</v>
      </c>
      <c r="I64" s="41">
        <f t="shared" ref="I64" si="27">IF(H$15,H64/H$15,0)</f>
        <v>-0.12094837552948864</v>
      </c>
      <c r="K64" s="40">
        <f>K61-K62</f>
        <v>-13419.320000000003</v>
      </c>
      <c r="L64" s="41">
        <f t="shared" ref="L64" si="28">IF(K$15,K64/K$15,0)</f>
        <v>-0.11679129677980855</v>
      </c>
      <c r="N64" s="40">
        <f>N61-N62</f>
        <v>-13419.320000000003</v>
      </c>
      <c r="O64" s="41">
        <f t="shared" ref="O64" si="29">IF(N$15,N64/N$15,0)</f>
        <v>-0.11679129677980855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0D91-9F0D-47A0-A4B6-33D73926EC14}">
  <sheetPr>
    <tabColor rgb="FF92D050"/>
  </sheetPr>
  <dimension ref="A1:O78"/>
  <sheetViews>
    <sheetView topLeftCell="A31" zoomScaleNormal="100" workbookViewId="0">
      <selection activeCell="A3" sqref="A3:O3"/>
    </sheetView>
  </sheetViews>
  <sheetFormatPr defaultRowHeight="15" x14ac:dyDescent="0.25"/>
  <cols>
    <col min="1" max="1" width="15.140625" style="36" bestFit="1" customWidth="1"/>
    <col min="2" max="2" width="2.85546875" customWidth="1"/>
    <col min="3" max="3" width="27.5703125" customWidth="1"/>
    <col min="4" max="4" width="9.140625" hidden="1" customWidth="1"/>
    <col min="5" max="5" width="17.7109375" customWidth="1"/>
    <col min="6" max="6" width="8.28515625" customWidth="1"/>
    <col min="7" max="7" width="3.85546875" customWidth="1"/>
    <col min="8" max="8" width="18.28515625" customWidth="1"/>
    <col min="9" max="9" width="8.5703125" customWidth="1"/>
    <col min="11" max="11" width="18.5703125" customWidth="1"/>
    <col min="12" max="12" width="8" customWidth="1"/>
    <col min="14" max="14" width="18.28515625" customWidth="1"/>
    <col min="15" max="15" width="8.140625" customWidth="1"/>
  </cols>
  <sheetData>
    <row r="1" spans="1:15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2104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53"/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54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6" spans="1:15" ht="15.75" x14ac:dyDescent="0.25">
      <c r="A6" s="55"/>
      <c r="C6" s="38"/>
      <c r="E6" s="47"/>
      <c r="F6" s="48"/>
      <c r="G6" s="49"/>
      <c r="H6" s="47"/>
      <c r="I6" s="48"/>
      <c r="K6" s="47"/>
      <c r="L6" s="48"/>
      <c r="M6" s="49"/>
      <c r="N6" s="47"/>
      <c r="O6" s="48"/>
    </row>
    <row r="7" spans="1:15" x14ac:dyDescent="0.25">
      <c r="A7" s="36" t="s">
        <v>765</v>
      </c>
      <c r="C7" t="s">
        <v>1056</v>
      </c>
      <c r="E7" s="11">
        <f>VLOOKUP(A7,TB!TB,4,FALSE)*-1</f>
        <v>0</v>
      </c>
      <c r="F7" s="41">
        <f t="shared" ref="F7:F27" si="0">IF(E$27,E7/E$27,0)</f>
        <v>0</v>
      </c>
      <c r="H7" s="11">
        <f>VLOOKUP(A7,TB!TB,5,FALSE)*-1</f>
        <v>0</v>
      </c>
      <c r="I7" s="41">
        <f t="shared" ref="I7:I27" si="1">IF(H$27,H7/H$27,0)</f>
        <v>0</v>
      </c>
      <c r="K7" s="11">
        <f>VLOOKUP(A7,TB!TB1_1,4,FALSE)*-1</f>
        <v>0</v>
      </c>
      <c r="L7" s="41">
        <f t="shared" ref="L7:L27" si="2">IF(K$27,K7/K$27,0)</f>
        <v>0</v>
      </c>
      <c r="N7" s="11">
        <f>VLOOKUP(A7,TB!TB1_1,5,FALSE)*-1</f>
        <v>0</v>
      </c>
      <c r="O7" s="41">
        <f t="shared" ref="O7:O27" si="3">IF(N$27,N7/N$27,0)</f>
        <v>0</v>
      </c>
    </row>
    <row r="8" spans="1:15" x14ac:dyDescent="0.25">
      <c r="A8" s="36" t="s">
        <v>766</v>
      </c>
      <c r="C8" t="s">
        <v>1057</v>
      </c>
      <c r="E8" s="11">
        <f>VLOOKUP(A8,TB!TB,4,FALSE)*-1</f>
        <v>0</v>
      </c>
      <c r="F8" s="41">
        <f t="shared" si="0"/>
        <v>0</v>
      </c>
      <c r="H8" s="11">
        <f>VLOOKUP(A8,TB!TB,5,FALSE)*-1</f>
        <v>0</v>
      </c>
      <c r="I8" s="41">
        <f t="shared" si="1"/>
        <v>0</v>
      </c>
      <c r="K8" s="11">
        <f>VLOOKUP(A8,TB!TB1_1,4,FALSE)*-1</f>
        <v>0</v>
      </c>
      <c r="L8" s="41">
        <f t="shared" si="2"/>
        <v>0</v>
      </c>
      <c r="N8" s="11">
        <f>VLOOKUP(A8,TB!TB1_1,5,FALSE)*-1</f>
        <v>0</v>
      </c>
      <c r="O8" s="41">
        <f t="shared" si="3"/>
        <v>0</v>
      </c>
    </row>
    <row r="9" spans="1:15" x14ac:dyDescent="0.25">
      <c r="A9" s="36" t="s">
        <v>767</v>
      </c>
      <c r="C9" t="s">
        <v>1058</v>
      </c>
      <c r="E9" s="11">
        <f>VLOOKUP(A9,TB!TB,4,FALSE)*-1</f>
        <v>0</v>
      </c>
      <c r="F9" s="41">
        <f t="shared" si="0"/>
        <v>0</v>
      </c>
      <c r="H9" s="11">
        <f>VLOOKUP(A9,TB!TB,5,FALSE)*-1</f>
        <v>0</v>
      </c>
      <c r="I9" s="41">
        <f t="shared" si="1"/>
        <v>0</v>
      </c>
      <c r="K9" s="11">
        <f>VLOOKUP(A9,TB!TB1_1,4,FALSE)*-1</f>
        <v>0</v>
      </c>
      <c r="L9" s="41">
        <f t="shared" si="2"/>
        <v>0</v>
      </c>
      <c r="N9" s="11">
        <f>VLOOKUP(A9,TB!TB1_1,5,FALSE)*-1</f>
        <v>0</v>
      </c>
      <c r="O9" s="41">
        <f t="shared" si="3"/>
        <v>0</v>
      </c>
    </row>
    <row r="10" spans="1:15" x14ac:dyDescent="0.25">
      <c r="A10" s="36" t="s">
        <v>769</v>
      </c>
      <c r="C10" t="s">
        <v>1059</v>
      </c>
      <c r="E10" s="11">
        <f>VLOOKUP(A10,TB!TB,4,FALSE)*-1</f>
        <v>0</v>
      </c>
      <c r="F10" s="41">
        <f t="shared" si="0"/>
        <v>0</v>
      </c>
      <c r="H10" s="11">
        <f>VLOOKUP(A10,TB!TB,5,FALSE)*-1</f>
        <v>0</v>
      </c>
      <c r="I10" s="41">
        <f t="shared" si="1"/>
        <v>0</v>
      </c>
      <c r="K10" s="11">
        <f>VLOOKUP(A10,TB!TB1_1,4,FALSE)*-1</f>
        <v>0</v>
      </c>
      <c r="L10" s="41">
        <f t="shared" si="2"/>
        <v>0</v>
      </c>
      <c r="N10" s="11">
        <f>VLOOKUP(A10,TB!TB1_1,5,FALSE)*-1</f>
        <v>0</v>
      </c>
      <c r="O10" s="41">
        <f t="shared" si="3"/>
        <v>0</v>
      </c>
    </row>
    <row r="11" spans="1:15" x14ac:dyDescent="0.25">
      <c r="A11" s="36" t="s">
        <v>770</v>
      </c>
      <c r="C11" t="s">
        <v>1060</v>
      </c>
      <c r="E11" s="11">
        <f>VLOOKUP(A11,TB!TB,4,FALSE)*-1</f>
        <v>0</v>
      </c>
      <c r="F11" s="41">
        <f t="shared" si="0"/>
        <v>0</v>
      </c>
      <c r="H11" s="11">
        <f>VLOOKUP(A11,TB!TB,5,FALSE)*-1</f>
        <v>0</v>
      </c>
      <c r="I11" s="41">
        <f t="shared" si="1"/>
        <v>0</v>
      </c>
      <c r="K11" s="11">
        <f>VLOOKUP(A11,TB!TB1_1,4,FALSE)*-1</f>
        <v>0</v>
      </c>
      <c r="L11" s="41">
        <f t="shared" si="2"/>
        <v>0</v>
      </c>
      <c r="N11" s="11">
        <f>VLOOKUP(A11,TB!TB1_1,5,FALSE)*-1</f>
        <v>0</v>
      </c>
      <c r="O11" s="41">
        <f t="shared" si="3"/>
        <v>0</v>
      </c>
    </row>
    <row r="12" spans="1:15" x14ac:dyDescent="0.25">
      <c r="A12" s="39" t="s">
        <v>771</v>
      </c>
      <c r="C12" s="5" t="s">
        <v>211</v>
      </c>
      <c r="E12" s="11">
        <f>VLOOKUP(A12,TB!TB,4,FALSE)*-1</f>
        <v>0</v>
      </c>
      <c r="F12" s="41">
        <f t="shared" si="0"/>
        <v>0</v>
      </c>
      <c r="H12" s="11">
        <f>VLOOKUP(A12,TB!TB,5,FALSE)*-1</f>
        <v>0</v>
      </c>
      <c r="I12" s="41">
        <f t="shared" si="1"/>
        <v>0</v>
      </c>
      <c r="K12" s="11">
        <f>VLOOKUP(A12,TB!TB1_1,4,FALSE)*-1</f>
        <v>0</v>
      </c>
      <c r="L12" s="41">
        <f t="shared" si="2"/>
        <v>0</v>
      </c>
      <c r="N12" s="11">
        <f>VLOOKUP(A12,TB!TB1_1,5,FALSE)*-1</f>
        <v>0</v>
      </c>
      <c r="O12" s="41">
        <f t="shared" si="3"/>
        <v>0</v>
      </c>
    </row>
    <row r="13" spans="1:15" x14ac:dyDescent="0.25">
      <c r="A13" s="39" t="s">
        <v>772</v>
      </c>
      <c r="C13" s="5" t="s">
        <v>213</v>
      </c>
      <c r="E13" s="11">
        <f>VLOOKUP(A13,TB!TB,4,FALSE)*-1</f>
        <v>0</v>
      </c>
      <c r="F13" s="41">
        <f t="shared" si="0"/>
        <v>0</v>
      </c>
      <c r="H13" s="11">
        <f>VLOOKUP(A13,TB!TB,5,FALSE)*-1</f>
        <v>0</v>
      </c>
      <c r="I13" s="41">
        <f t="shared" si="1"/>
        <v>0</v>
      </c>
      <c r="K13" s="11">
        <f>VLOOKUP(A13,TB!TB1_1,4,FALSE)*-1</f>
        <v>0</v>
      </c>
      <c r="L13" s="41">
        <f t="shared" si="2"/>
        <v>0</v>
      </c>
      <c r="N13" s="11">
        <f>VLOOKUP(A13,TB!TB1_1,5,FALSE)*-1</f>
        <v>0</v>
      </c>
      <c r="O13" s="41">
        <f t="shared" si="3"/>
        <v>0</v>
      </c>
    </row>
    <row r="14" spans="1:15" x14ac:dyDescent="0.25">
      <c r="A14" s="36" t="s">
        <v>773</v>
      </c>
      <c r="C14" s="5" t="s">
        <v>215</v>
      </c>
      <c r="E14" s="11">
        <f>VLOOKUP(A14,TB!TB,4,FALSE)*-1</f>
        <v>0</v>
      </c>
      <c r="F14" s="41">
        <f t="shared" si="0"/>
        <v>0</v>
      </c>
      <c r="H14" s="11">
        <f>VLOOKUP(A14,TB!TB,5,FALSE)*-1</f>
        <v>0</v>
      </c>
      <c r="I14" s="41">
        <f t="shared" si="1"/>
        <v>0</v>
      </c>
      <c r="K14" s="11">
        <f>VLOOKUP(A14,TB!TB1_1,4,FALSE)*-1</f>
        <v>0</v>
      </c>
      <c r="L14" s="41">
        <f t="shared" si="2"/>
        <v>0</v>
      </c>
      <c r="N14" s="11">
        <f>VLOOKUP(A14,TB!TB1_1,5,FALSE)*-1</f>
        <v>0</v>
      </c>
      <c r="O14" s="41">
        <f t="shared" si="3"/>
        <v>0</v>
      </c>
    </row>
    <row r="15" spans="1:15" x14ac:dyDescent="0.25">
      <c r="A15" s="36" t="s">
        <v>774</v>
      </c>
      <c r="C15" s="5" t="s">
        <v>217</v>
      </c>
      <c r="E15" s="11">
        <f>VLOOKUP(A15,TB!TB,4,FALSE)*-1</f>
        <v>0</v>
      </c>
      <c r="F15" s="41">
        <f t="shared" si="0"/>
        <v>0</v>
      </c>
      <c r="H15" s="11">
        <f>VLOOKUP(A15,TB!TB,5,FALSE)*-1</f>
        <v>0</v>
      </c>
      <c r="I15" s="41">
        <f t="shared" si="1"/>
        <v>0</v>
      </c>
      <c r="K15" s="11">
        <f>VLOOKUP(A15,TB!TB1_1,4,FALSE)*-1</f>
        <v>0</v>
      </c>
      <c r="L15" s="41">
        <f t="shared" si="2"/>
        <v>0</v>
      </c>
      <c r="N15" s="11">
        <f>VLOOKUP(A15,TB!TB1_1,5,FALSE)*-1</f>
        <v>0</v>
      </c>
      <c r="O15" s="41">
        <f t="shared" si="3"/>
        <v>0</v>
      </c>
    </row>
    <row r="16" spans="1:15" x14ac:dyDescent="0.25">
      <c r="A16" s="36" t="s">
        <v>775</v>
      </c>
      <c r="C16" s="5" t="s">
        <v>219</v>
      </c>
      <c r="E16" s="11">
        <f>VLOOKUP(A16,TB!TB,4,FALSE)*-1</f>
        <v>7526.35</v>
      </c>
      <c r="F16" s="41">
        <f t="shared" si="0"/>
        <v>0.89334061329740821</v>
      </c>
      <c r="H16" s="11">
        <f>VLOOKUP(A16,TB!TB,5,FALSE)*-1</f>
        <v>7526.35</v>
      </c>
      <c r="I16" s="41">
        <f t="shared" si="1"/>
        <v>0.89334061329740821</v>
      </c>
      <c r="K16" s="11">
        <f>VLOOKUP(A16,TB!TB1_1,4,FALSE)*-1</f>
        <v>3812.21</v>
      </c>
      <c r="L16" s="41">
        <f t="shared" si="2"/>
        <v>0.92473480833185773</v>
      </c>
      <c r="N16" s="11">
        <f>VLOOKUP(A16,TB!TB1_1,5,FALSE)*-1</f>
        <v>3812.21</v>
      </c>
      <c r="O16" s="41">
        <f t="shared" si="3"/>
        <v>0.92473480833185773</v>
      </c>
    </row>
    <row r="17" spans="1:15" x14ac:dyDescent="0.25">
      <c r="A17" s="36" t="s">
        <v>776</v>
      </c>
      <c r="C17" s="5" t="s">
        <v>1310</v>
      </c>
      <c r="E17" s="11">
        <f>VLOOKUP(A17,TB!TB,4,FALSE)*-1</f>
        <v>0</v>
      </c>
      <c r="F17" s="41">
        <f t="shared" si="0"/>
        <v>0</v>
      </c>
      <c r="H17" s="11">
        <f>VLOOKUP(A17,TB!TB,5,FALSE)*-1</f>
        <v>0</v>
      </c>
      <c r="I17" s="41">
        <f t="shared" si="1"/>
        <v>0</v>
      </c>
      <c r="K17" s="11">
        <f>VLOOKUP(A17,TB!TB1_1,4,FALSE)*-1</f>
        <v>0</v>
      </c>
      <c r="L17" s="41">
        <f t="shared" si="2"/>
        <v>0</v>
      </c>
      <c r="N17" s="11">
        <f>VLOOKUP(A17,TB!TB1_1,5,FALSE)*-1</f>
        <v>0</v>
      </c>
      <c r="O17" s="41">
        <f t="shared" si="3"/>
        <v>0</v>
      </c>
    </row>
    <row r="18" spans="1:15" x14ac:dyDescent="0.25">
      <c r="A18" s="36" t="s">
        <v>777</v>
      </c>
      <c r="C18" s="5" t="s">
        <v>1315</v>
      </c>
      <c r="E18" s="11">
        <f>VLOOKUP(A18,TB!TB,4,FALSE)*-1</f>
        <v>0</v>
      </c>
      <c r="F18" s="41">
        <f t="shared" si="0"/>
        <v>0</v>
      </c>
      <c r="H18" s="11">
        <f>VLOOKUP(A18,TB!TB,5,FALSE)*-1</f>
        <v>0</v>
      </c>
      <c r="I18" s="41">
        <f t="shared" si="1"/>
        <v>0</v>
      </c>
      <c r="K18" s="11">
        <f>VLOOKUP(A18,TB!TB1_1,4,FALSE)*-1</f>
        <v>0</v>
      </c>
      <c r="L18" s="41">
        <f t="shared" si="2"/>
        <v>0</v>
      </c>
      <c r="N18" s="11">
        <f>VLOOKUP(A18,TB!TB1_1,5,FALSE)*-1</f>
        <v>0</v>
      </c>
      <c r="O18" s="41">
        <f t="shared" si="3"/>
        <v>0</v>
      </c>
    </row>
    <row r="19" spans="1:15" x14ac:dyDescent="0.25">
      <c r="A19" s="36" t="s">
        <v>778</v>
      </c>
      <c r="C19" s="5" t="s">
        <v>1311</v>
      </c>
      <c r="E19" s="11">
        <f>VLOOKUP(A19,TB!TB,4,FALSE)*-1</f>
        <v>898.6</v>
      </c>
      <c r="F19" s="41">
        <f t="shared" si="0"/>
        <v>0.1066593867025917</v>
      </c>
      <c r="H19" s="11">
        <f>VLOOKUP(A19,TB!TB,5,FALSE)*-1</f>
        <v>898.6</v>
      </c>
      <c r="I19" s="41">
        <f t="shared" si="1"/>
        <v>0.1066593867025917</v>
      </c>
      <c r="K19" s="11">
        <f>VLOOKUP(A19,TB!TB1_1,4,FALSE)*-1</f>
        <v>310.27999999999997</v>
      </c>
      <c r="L19" s="41">
        <f t="shared" si="2"/>
        <v>7.5265191668142314E-2</v>
      </c>
      <c r="N19" s="11">
        <f>VLOOKUP(A19,TB!TB1_1,5,FALSE)*-1</f>
        <v>310.27999999999997</v>
      </c>
      <c r="O19" s="41">
        <f t="shared" si="3"/>
        <v>7.5265191668142314E-2</v>
      </c>
    </row>
    <row r="20" spans="1:15" x14ac:dyDescent="0.25">
      <c r="A20" s="36" t="s">
        <v>803</v>
      </c>
      <c r="C20" t="s">
        <v>1061</v>
      </c>
      <c r="E20" s="11">
        <f>VLOOKUP(A20,TB!TB,4,FALSE)*-1</f>
        <v>0</v>
      </c>
      <c r="F20" s="41">
        <f t="shared" si="0"/>
        <v>0</v>
      </c>
      <c r="H20" s="11">
        <f>VLOOKUP(A20,TB!TB,5,FALSE)*-1</f>
        <v>0</v>
      </c>
      <c r="I20" s="41">
        <f t="shared" si="1"/>
        <v>0</v>
      </c>
      <c r="K20" s="11">
        <f>VLOOKUP(A20,TB!TB1_1,4,FALSE)*-1</f>
        <v>0</v>
      </c>
      <c r="L20" s="41">
        <f t="shared" si="2"/>
        <v>0</v>
      </c>
      <c r="N20" s="11">
        <f>VLOOKUP(A20,TB!TB1_1,5,FALSE)*-1</f>
        <v>0</v>
      </c>
      <c r="O20" s="41">
        <f t="shared" si="3"/>
        <v>0</v>
      </c>
    </row>
    <row r="21" spans="1:15" x14ac:dyDescent="0.25">
      <c r="A21" s="36" t="s">
        <v>1040</v>
      </c>
      <c r="C21" t="s">
        <v>1062</v>
      </c>
      <c r="E21" s="11">
        <f>VLOOKUP(A21,TB!TB,4,FALSE)*-1</f>
        <v>0</v>
      </c>
      <c r="F21" s="41">
        <f t="shared" si="0"/>
        <v>0</v>
      </c>
      <c r="H21" s="11">
        <f>VLOOKUP(A21,TB!TB,5,FALSE)*-1</f>
        <v>0</v>
      </c>
      <c r="I21" s="41">
        <f t="shared" si="1"/>
        <v>0</v>
      </c>
      <c r="K21" s="11">
        <f>VLOOKUP(A21,TB!TB1_1,4,FALSE)*-1</f>
        <v>0</v>
      </c>
      <c r="L21" s="41">
        <f t="shared" si="2"/>
        <v>0</v>
      </c>
      <c r="N21" s="11">
        <f>VLOOKUP(A21,TB!TB1_1,5,FALSE)*-1</f>
        <v>0</v>
      </c>
      <c r="O21" s="41">
        <f t="shared" si="3"/>
        <v>0</v>
      </c>
    </row>
    <row r="22" spans="1:15" x14ac:dyDescent="0.25">
      <c r="A22" s="36" t="s">
        <v>1041</v>
      </c>
      <c r="C22" t="s">
        <v>1063</v>
      </c>
      <c r="E22" s="11">
        <f>VLOOKUP(A22,TB!TB,4,FALSE)*-1</f>
        <v>0</v>
      </c>
      <c r="F22" s="41">
        <f t="shared" si="0"/>
        <v>0</v>
      </c>
      <c r="H22" s="11">
        <f>VLOOKUP(A22,TB!TB,5,FALSE)*-1</f>
        <v>0</v>
      </c>
      <c r="I22" s="41">
        <f t="shared" si="1"/>
        <v>0</v>
      </c>
      <c r="K22" s="11">
        <f>VLOOKUP(A22,TB!TB1_1,4,FALSE)*-1</f>
        <v>0</v>
      </c>
      <c r="L22" s="41">
        <f t="shared" si="2"/>
        <v>0</v>
      </c>
      <c r="N22" s="11">
        <f>VLOOKUP(A22,TB!TB1_1,5,FALSE)*-1</f>
        <v>0</v>
      </c>
      <c r="O22" s="41">
        <f t="shared" si="3"/>
        <v>0</v>
      </c>
    </row>
    <row r="23" spans="1:15" x14ac:dyDescent="0.25">
      <c r="A23" s="36" t="s">
        <v>1042</v>
      </c>
      <c r="C23" t="s">
        <v>1064</v>
      </c>
      <c r="E23" s="11">
        <f>VLOOKUP(A23,TB!TB,4,FALSE)*-1</f>
        <v>0</v>
      </c>
      <c r="F23" s="41">
        <f t="shared" si="0"/>
        <v>0</v>
      </c>
      <c r="H23" s="11">
        <f>VLOOKUP(A23,TB!TB,5,FALSE)*-1</f>
        <v>0</v>
      </c>
      <c r="I23" s="41">
        <f t="shared" si="1"/>
        <v>0</v>
      </c>
      <c r="K23" s="11">
        <f>VLOOKUP(A23,TB!TB1_1,4,FALSE)*-1</f>
        <v>0</v>
      </c>
      <c r="L23" s="41">
        <f t="shared" si="2"/>
        <v>0</v>
      </c>
      <c r="N23" s="11">
        <f>VLOOKUP(A23,TB!TB1_1,5,FALSE)*-1</f>
        <v>0</v>
      </c>
      <c r="O23" s="41">
        <f t="shared" si="3"/>
        <v>0</v>
      </c>
    </row>
    <row r="24" spans="1:15" x14ac:dyDescent="0.25">
      <c r="A24" s="36" t="s">
        <v>1043</v>
      </c>
      <c r="C24" t="s">
        <v>288</v>
      </c>
      <c r="E24" s="11">
        <f>VLOOKUP(A24,TB!TB,4,FALSE)*-1</f>
        <v>0</v>
      </c>
      <c r="F24" s="41">
        <f t="shared" si="0"/>
        <v>0</v>
      </c>
      <c r="H24" s="11">
        <f>VLOOKUP(A24,TB!TB,5,FALSE)*-1</f>
        <v>0</v>
      </c>
      <c r="I24" s="41">
        <f t="shared" si="1"/>
        <v>0</v>
      </c>
      <c r="K24" s="11">
        <f>VLOOKUP(A24,TB!TB1_1,4,FALSE)*-1</f>
        <v>0</v>
      </c>
      <c r="L24" s="41">
        <f t="shared" si="2"/>
        <v>0</v>
      </c>
      <c r="N24" s="11">
        <f>VLOOKUP(A24,TB!TB1_1,5,FALSE)*-1</f>
        <v>0</v>
      </c>
      <c r="O24" s="41">
        <f t="shared" si="3"/>
        <v>0</v>
      </c>
    </row>
    <row r="25" spans="1:15" x14ac:dyDescent="0.25">
      <c r="A25" s="36" t="s">
        <v>804</v>
      </c>
      <c r="C25" t="s">
        <v>284</v>
      </c>
      <c r="E25" s="11">
        <f>VLOOKUP(A25,TB!TB,4,FALSE)*-1</f>
        <v>0</v>
      </c>
      <c r="F25" s="41">
        <f t="shared" si="0"/>
        <v>0</v>
      </c>
      <c r="H25" s="11">
        <f>VLOOKUP(A25,TB!TB,5,FALSE)*-1</f>
        <v>0</v>
      </c>
      <c r="I25" s="41">
        <f t="shared" si="1"/>
        <v>0</v>
      </c>
      <c r="K25" s="11">
        <f>VLOOKUP(A25,TB!TB1_1,4,FALSE)*-1</f>
        <v>0</v>
      </c>
      <c r="L25" s="41">
        <f t="shared" si="2"/>
        <v>0</v>
      </c>
      <c r="N25" s="11">
        <f>VLOOKUP(A25,TB!TB1_1,5,FALSE)*-1</f>
        <v>0</v>
      </c>
      <c r="O25" s="41">
        <f t="shared" si="3"/>
        <v>0</v>
      </c>
    </row>
    <row r="26" spans="1:15" x14ac:dyDescent="0.25">
      <c r="A26" s="36" t="s">
        <v>768</v>
      </c>
      <c r="C26" t="s">
        <v>189</v>
      </c>
      <c r="E26" s="29">
        <f>VLOOKUP(A26,TB!TB,4,FALSE)*-1</f>
        <v>0</v>
      </c>
      <c r="F26" s="50">
        <f t="shared" si="0"/>
        <v>0</v>
      </c>
      <c r="H26" s="29">
        <f>VLOOKUP(A26,TB!TB,5,FALSE)*-1</f>
        <v>0</v>
      </c>
      <c r="I26" s="50">
        <f t="shared" si="1"/>
        <v>0</v>
      </c>
      <c r="K26" s="29">
        <f>VLOOKUP(A26,TB!TB1_1,4,FALSE)*-1</f>
        <v>0</v>
      </c>
      <c r="L26" s="50">
        <f t="shared" si="2"/>
        <v>0</v>
      </c>
      <c r="N26" s="29">
        <f>VLOOKUP(A26,TB!TB1_1,5,FALSE)*-1</f>
        <v>0</v>
      </c>
      <c r="O26" s="50">
        <f t="shared" si="3"/>
        <v>0</v>
      </c>
    </row>
    <row r="27" spans="1:15" x14ac:dyDescent="0.25">
      <c r="C27" s="43" t="s">
        <v>1038</v>
      </c>
      <c r="E27" s="40">
        <f>SUM(E7:E26)</f>
        <v>8424.9500000000007</v>
      </c>
      <c r="F27" s="41">
        <f t="shared" si="0"/>
        <v>1</v>
      </c>
      <c r="H27" s="40">
        <f>SUM(H7:H26)</f>
        <v>8424.9500000000007</v>
      </c>
      <c r="I27" s="41">
        <f t="shared" si="1"/>
        <v>1</v>
      </c>
      <c r="K27" s="40">
        <f>SUM(K7:K26)</f>
        <v>4122.49</v>
      </c>
      <c r="L27" s="41">
        <f t="shared" si="2"/>
        <v>1</v>
      </c>
      <c r="N27" s="40">
        <f>SUM(N7:N26)</f>
        <v>4122.49</v>
      </c>
      <c r="O27" s="41">
        <f t="shared" si="3"/>
        <v>1</v>
      </c>
    </row>
    <row r="29" spans="1:15" x14ac:dyDescent="0.25">
      <c r="A29" s="36" t="s">
        <v>817</v>
      </c>
      <c r="C29" t="s">
        <v>1065</v>
      </c>
      <c r="E29" s="11">
        <f>VLOOKUP(A29,TB!TB,4,FALSE)</f>
        <v>0</v>
      </c>
      <c r="F29" s="41">
        <f t="shared" ref="F29:F46" si="4">IF(E$27,E29/E$27,0)</f>
        <v>0</v>
      </c>
      <c r="H29" s="11">
        <f>VLOOKUP(A29,TB!TB,5,FALSE)</f>
        <v>0</v>
      </c>
      <c r="I29" s="41">
        <f t="shared" ref="I29:I44" si="5">IF(H$27,H29/H$27,0)</f>
        <v>0</v>
      </c>
      <c r="K29" s="11">
        <f>VLOOKUP(A29,TB!TB1_1,4,FALSE)</f>
        <v>0</v>
      </c>
      <c r="L29" s="41">
        <f t="shared" ref="L29:L44" si="6">IF(K$27,K29/K$27,0)</f>
        <v>0</v>
      </c>
      <c r="N29" s="11">
        <f>VLOOKUP(A29,TB!TB1_1,5,FALSE)</f>
        <v>0</v>
      </c>
      <c r="O29" s="41">
        <f t="shared" ref="O29:O44" si="7">IF(N$27,N29/N$27,0)</f>
        <v>0</v>
      </c>
    </row>
    <row r="30" spans="1:15" x14ac:dyDescent="0.25">
      <c r="A30" s="36" t="s">
        <v>818</v>
      </c>
      <c r="C30" t="s">
        <v>1066</v>
      </c>
      <c r="E30" s="11">
        <f>VLOOKUP(A30,TB!TB,4,FALSE)</f>
        <v>0</v>
      </c>
      <c r="F30" s="41">
        <f t="shared" si="4"/>
        <v>0</v>
      </c>
      <c r="H30" s="11">
        <f>VLOOKUP(A30,TB!TB,5,FALSE)</f>
        <v>0</v>
      </c>
      <c r="I30" s="41">
        <f t="shared" si="5"/>
        <v>0</v>
      </c>
      <c r="K30" s="11">
        <f>VLOOKUP(A30,TB!TB1_1,4,FALSE)</f>
        <v>0</v>
      </c>
      <c r="L30" s="41">
        <f t="shared" si="6"/>
        <v>0</v>
      </c>
      <c r="N30" s="11">
        <f>VLOOKUP(A30,TB!TB1_1,5,FALSE)</f>
        <v>0</v>
      </c>
      <c r="O30" s="41">
        <f t="shared" si="7"/>
        <v>0</v>
      </c>
    </row>
    <row r="31" spans="1:15" x14ac:dyDescent="0.25">
      <c r="A31" s="36" t="s">
        <v>819</v>
      </c>
      <c r="C31" t="s">
        <v>319</v>
      </c>
      <c r="E31" s="11">
        <f>VLOOKUP(A31,TB!TB,4,FALSE)</f>
        <v>0</v>
      </c>
      <c r="F31" s="41">
        <f t="shared" si="4"/>
        <v>0</v>
      </c>
      <c r="H31" s="11">
        <f>VLOOKUP(A31,TB!TB,5,FALSE)</f>
        <v>0</v>
      </c>
      <c r="I31" s="41">
        <f t="shared" si="5"/>
        <v>0</v>
      </c>
      <c r="K31" s="11">
        <f>VLOOKUP(A31,TB!TB1_1,4,FALSE)</f>
        <v>0</v>
      </c>
      <c r="L31" s="41">
        <f t="shared" si="6"/>
        <v>0</v>
      </c>
      <c r="N31" s="11">
        <f>VLOOKUP(A31,TB!TB1_1,5,FALSE)</f>
        <v>0</v>
      </c>
      <c r="O31" s="41">
        <f t="shared" si="7"/>
        <v>0</v>
      </c>
    </row>
    <row r="32" spans="1:15" x14ac:dyDescent="0.25">
      <c r="A32" s="36" t="s">
        <v>820</v>
      </c>
      <c r="C32" t="s">
        <v>1067</v>
      </c>
      <c r="E32" s="11">
        <f>VLOOKUP(A32,TB!TB,4,FALSE)</f>
        <v>0</v>
      </c>
      <c r="F32" s="41">
        <f t="shared" si="4"/>
        <v>0</v>
      </c>
      <c r="H32" s="11">
        <f>VLOOKUP(A32,TB!TB,5,FALSE)</f>
        <v>0</v>
      </c>
      <c r="I32" s="41">
        <f t="shared" si="5"/>
        <v>0</v>
      </c>
      <c r="K32" s="11">
        <f>VLOOKUP(A32,TB!TB1_1,4,FALSE)</f>
        <v>0</v>
      </c>
      <c r="L32" s="41">
        <f t="shared" si="6"/>
        <v>0</v>
      </c>
      <c r="N32" s="11">
        <f>VLOOKUP(A32,TB!TB1_1,5,FALSE)</f>
        <v>0</v>
      </c>
      <c r="O32" s="41">
        <f t="shared" si="7"/>
        <v>0</v>
      </c>
    </row>
    <row r="33" spans="1:15" x14ac:dyDescent="0.25">
      <c r="A33" s="36" t="s">
        <v>821</v>
      </c>
      <c r="C33" t="s">
        <v>209</v>
      </c>
      <c r="E33" s="11">
        <f>VLOOKUP(A33,TB!TB,4,FALSE)</f>
        <v>0</v>
      </c>
      <c r="F33" s="41">
        <f t="shared" si="4"/>
        <v>0</v>
      </c>
      <c r="H33" s="11">
        <f>VLOOKUP(A33,TB!TB,5,FALSE)</f>
        <v>0</v>
      </c>
      <c r="I33" s="41">
        <f>IF(H$27,H33/H$27,0)</f>
        <v>0</v>
      </c>
      <c r="K33" s="11">
        <f>VLOOKUP(A33,TB!TB1_1,4,FALSE)</f>
        <v>0</v>
      </c>
      <c r="L33" s="41">
        <f>IF(K$27,K33/K$27,0)</f>
        <v>0</v>
      </c>
      <c r="N33" s="11">
        <f>VLOOKUP(A33,TB!TB1_1,5,FALSE)</f>
        <v>0</v>
      </c>
      <c r="O33" s="41">
        <f>IF(N$27,N33/N$27,0)</f>
        <v>0</v>
      </c>
    </row>
    <row r="34" spans="1:15" x14ac:dyDescent="0.25">
      <c r="A34" s="36" t="s">
        <v>822</v>
      </c>
      <c r="C34" t="s">
        <v>211</v>
      </c>
      <c r="E34" s="11">
        <f>VLOOKUP(A34,TB!TB,4,FALSE)</f>
        <v>0</v>
      </c>
      <c r="F34" s="41">
        <f t="shared" si="4"/>
        <v>0</v>
      </c>
      <c r="H34" s="11">
        <f>VLOOKUP(A34,TB!TB,5,FALSE)</f>
        <v>0</v>
      </c>
      <c r="I34" s="41">
        <f t="shared" si="5"/>
        <v>0</v>
      </c>
      <c r="K34" s="11">
        <f>VLOOKUP(A34,TB!TB1_1,4,FALSE)</f>
        <v>0</v>
      </c>
      <c r="L34" s="41">
        <f t="shared" si="6"/>
        <v>0</v>
      </c>
      <c r="N34" s="11">
        <f>VLOOKUP(A34,TB!TB1_1,5,FALSE)</f>
        <v>0</v>
      </c>
      <c r="O34" s="41">
        <f t="shared" si="7"/>
        <v>0</v>
      </c>
    </row>
    <row r="35" spans="1:15" x14ac:dyDescent="0.25">
      <c r="A35" s="36" t="s">
        <v>823</v>
      </c>
      <c r="C35" t="s">
        <v>1176</v>
      </c>
      <c r="E35" s="11">
        <f>VLOOKUP(A35,TB!TB,4,FALSE)</f>
        <v>0</v>
      </c>
      <c r="F35" s="41">
        <f t="shared" si="4"/>
        <v>0</v>
      </c>
      <c r="H35" s="11">
        <f>VLOOKUP(A35,TB!TB,5,FALSE)</f>
        <v>0</v>
      </c>
      <c r="I35" s="41">
        <f t="shared" si="5"/>
        <v>0</v>
      </c>
      <c r="K35" s="11">
        <f>VLOOKUP(A35,TB!TB1_1,4,FALSE)</f>
        <v>0</v>
      </c>
      <c r="L35" s="41">
        <f t="shared" si="6"/>
        <v>0</v>
      </c>
      <c r="N35" s="11">
        <f>VLOOKUP(A35,TB!TB1_1,5,FALSE)</f>
        <v>0</v>
      </c>
      <c r="O35" s="41">
        <f t="shared" si="7"/>
        <v>0</v>
      </c>
    </row>
    <row r="36" spans="1:15" x14ac:dyDescent="0.25">
      <c r="A36" s="36" t="s">
        <v>824</v>
      </c>
      <c r="C36" t="s">
        <v>1316</v>
      </c>
      <c r="E36" s="11">
        <f>VLOOKUP(A36,TB!TB,4,FALSE)</f>
        <v>0</v>
      </c>
      <c r="F36" s="41">
        <f t="shared" si="4"/>
        <v>0</v>
      </c>
      <c r="H36" s="11">
        <f>VLOOKUP(A36,TB!TB,5,FALSE)</f>
        <v>0</v>
      </c>
      <c r="I36" s="41">
        <f t="shared" si="5"/>
        <v>0</v>
      </c>
      <c r="K36" s="11">
        <f>VLOOKUP(A36,TB!TB1_1,4,FALSE)</f>
        <v>0</v>
      </c>
      <c r="L36" s="41">
        <f t="shared" si="6"/>
        <v>0</v>
      </c>
      <c r="N36" s="11">
        <f>VLOOKUP(A36,TB!TB1_1,5,FALSE)</f>
        <v>0</v>
      </c>
      <c r="O36" s="41">
        <f t="shared" si="7"/>
        <v>0</v>
      </c>
    </row>
    <row r="37" spans="1:15" x14ac:dyDescent="0.25">
      <c r="A37" s="36" t="s">
        <v>825</v>
      </c>
      <c r="C37" t="s">
        <v>217</v>
      </c>
      <c r="E37" s="11">
        <f>VLOOKUP(A37,TB!TB,4,FALSE)</f>
        <v>0</v>
      </c>
      <c r="F37" s="41">
        <f t="shared" si="4"/>
        <v>0</v>
      </c>
      <c r="H37" s="11">
        <f>VLOOKUP(A37,TB!TB,5,FALSE)</f>
        <v>0</v>
      </c>
      <c r="I37" s="41">
        <f t="shared" si="5"/>
        <v>0</v>
      </c>
      <c r="K37" s="11">
        <f>VLOOKUP(A37,TB!TB1_1,4,FALSE)</f>
        <v>0</v>
      </c>
      <c r="L37" s="41">
        <f t="shared" si="6"/>
        <v>0</v>
      </c>
      <c r="N37" s="11">
        <f>VLOOKUP(A37,TB!TB1_1,5,FALSE)</f>
        <v>0</v>
      </c>
      <c r="O37" s="41">
        <f t="shared" si="7"/>
        <v>0</v>
      </c>
    </row>
    <row r="38" spans="1:15" x14ac:dyDescent="0.25">
      <c r="A38" s="36" t="s">
        <v>826</v>
      </c>
      <c r="C38" t="s">
        <v>219</v>
      </c>
      <c r="E38" s="11">
        <f>VLOOKUP(A38,TB!TB,4,FALSE)</f>
        <v>5029.0200000000004</v>
      </c>
      <c r="F38" s="41">
        <f t="shared" si="4"/>
        <v>0.59691986302589328</v>
      </c>
      <c r="H38" s="11">
        <f>VLOOKUP(A38,TB!TB,5,FALSE)</f>
        <v>5029.0200000000004</v>
      </c>
      <c r="I38" s="41">
        <f t="shared" si="5"/>
        <v>0.59691986302589328</v>
      </c>
      <c r="K38" s="11">
        <f>VLOOKUP(A38,TB!TB1_1,4,FALSE)</f>
        <v>2367.2800000000002</v>
      </c>
      <c r="L38" s="41">
        <f t="shared" si="6"/>
        <v>0.57423547419156873</v>
      </c>
      <c r="N38" s="11">
        <f>VLOOKUP(A38,TB!TB1_1,5,FALSE)</f>
        <v>2367.2800000000002</v>
      </c>
      <c r="O38" s="41">
        <f t="shared" si="7"/>
        <v>0.57423547419156873</v>
      </c>
    </row>
    <row r="39" spans="1:15" x14ac:dyDescent="0.25">
      <c r="A39" s="36" t="s">
        <v>827</v>
      </c>
      <c r="C39" t="s">
        <v>1310</v>
      </c>
      <c r="E39" s="11">
        <f>VLOOKUP(A39,TB!TB,4,FALSE)</f>
        <v>0</v>
      </c>
      <c r="F39" s="41">
        <f t="shared" si="4"/>
        <v>0</v>
      </c>
      <c r="H39" s="11">
        <f>VLOOKUP(A39,TB!TB,5,FALSE)</f>
        <v>0</v>
      </c>
      <c r="I39" s="41">
        <f t="shared" si="5"/>
        <v>0</v>
      </c>
      <c r="K39" s="11">
        <f>VLOOKUP(A39,TB!TB1_1,4,FALSE)</f>
        <v>0</v>
      </c>
      <c r="L39" s="41">
        <f t="shared" si="6"/>
        <v>0</v>
      </c>
      <c r="N39" s="11">
        <f>VLOOKUP(A39,TB!TB1_1,5,FALSE)</f>
        <v>0</v>
      </c>
      <c r="O39" s="41">
        <f t="shared" si="7"/>
        <v>0</v>
      </c>
    </row>
    <row r="40" spans="1:15" x14ac:dyDescent="0.25">
      <c r="A40" s="36" t="s">
        <v>828</v>
      </c>
      <c r="C40" t="s">
        <v>219</v>
      </c>
      <c r="E40" s="11">
        <f>VLOOKUP(A40,TB!TB,4,FALSE)</f>
        <v>0</v>
      </c>
      <c r="F40" s="41">
        <f t="shared" si="4"/>
        <v>0</v>
      </c>
      <c r="H40" s="11">
        <f>VLOOKUP(A40,TB!TB,5,FALSE)</f>
        <v>0</v>
      </c>
      <c r="I40" s="41">
        <f t="shared" si="5"/>
        <v>0</v>
      </c>
      <c r="K40" s="11">
        <f>VLOOKUP(A40,TB!TB1_1,4,FALSE)</f>
        <v>0</v>
      </c>
      <c r="L40" s="41">
        <f t="shared" si="6"/>
        <v>0</v>
      </c>
      <c r="N40" s="11">
        <f>VLOOKUP(A40,TB!TB1_1,5,FALSE)</f>
        <v>0</v>
      </c>
      <c r="O40" s="41">
        <f t="shared" si="7"/>
        <v>0</v>
      </c>
    </row>
    <row r="41" spans="1:15" x14ac:dyDescent="0.25">
      <c r="A41" s="36" t="s">
        <v>829</v>
      </c>
      <c r="C41" t="s">
        <v>1317</v>
      </c>
      <c r="E41" s="11">
        <f>VLOOKUP(A41,TB!TB,4,FALSE)</f>
        <v>502.09</v>
      </c>
      <c r="F41" s="41">
        <f t="shared" si="4"/>
        <v>5.9595605908640402E-2</v>
      </c>
      <c r="H41" s="11">
        <f>VLOOKUP(A41,TB!TB,5,FALSE)</f>
        <v>502.09</v>
      </c>
      <c r="I41" s="41">
        <f t="shared" si="5"/>
        <v>5.9595605908640402E-2</v>
      </c>
      <c r="K41" s="11">
        <f>VLOOKUP(A41,TB!TB1_1,4,FALSE)</f>
        <v>203.51</v>
      </c>
      <c r="L41" s="41">
        <f t="shared" si="6"/>
        <v>4.9365795914605007E-2</v>
      </c>
      <c r="N41" s="11">
        <f>VLOOKUP(A41,TB!TB1_1,5,FALSE)</f>
        <v>203.51</v>
      </c>
      <c r="O41" s="41">
        <f t="shared" si="7"/>
        <v>4.9365795914605007E-2</v>
      </c>
    </row>
    <row r="42" spans="1:15" x14ac:dyDescent="0.25">
      <c r="A42" s="36" t="s">
        <v>855</v>
      </c>
      <c r="C42" t="s">
        <v>380</v>
      </c>
      <c r="E42" s="11">
        <f>VLOOKUP(A42,TB!TB,4,FALSE)</f>
        <v>0</v>
      </c>
      <c r="F42" s="41">
        <f t="shared" si="4"/>
        <v>0</v>
      </c>
      <c r="H42" s="11">
        <f>VLOOKUP(A42,TB!TB,5,FALSE)</f>
        <v>0</v>
      </c>
      <c r="I42" s="41">
        <f>IF(H$27,H42/H$27,0)</f>
        <v>0</v>
      </c>
      <c r="K42" s="11">
        <f>VLOOKUP(A42,TB!TB1_1,4,FALSE)</f>
        <v>0</v>
      </c>
      <c r="L42" s="41">
        <f>IF(K$27,K42/K$27,0)</f>
        <v>0</v>
      </c>
      <c r="N42" s="11">
        <f>VLOOKUP(A42,TB!TB1_1,5,FALSE)</f>
        <v>0</v>
      </c>
      <c r="O42" s="41">
        <f>IF(N$27,N42/N$27,0)</f>
        <v>0</v>
      </c>
    </row>
    <row r="43" spans="1:15" x14ac:dyDescent="0.25">
      <c r="A43" s="36" t="s">
        <v>856</v>
      </c>
      <c r="C43" t="s">
        <v>382</v>
      </c>
      <c r="E43" s="11">
        <f>VLOOKUP(A43,TB!TB,4,FALSE)</f>
        <v>0</v>
      </c>
      <c r="F43" s="41">
        <f t="shared" si="4"/>
        <v>0</v>
      </c>
      <c r="H43" s="11">
        <f>VLOOKUP(A43,TB!TB,5,FALSE)</f>
        <v>0</v>
      </c>
      <c r="I43" s="41">
        <f>IF(H$27,H43/H$27,0)</f>
        <v>0</v>
      </c>
      <c r="K43" s="11">
        <f>VLOOKUP(A43,TB!TB1_1,4,FALSE)</f>
        <v>0</v>
      </c>
      <c r="L43" s="41">
        <f>IF(K$27,K43/K$27,0)</f>
        <v>0</v>
      </c>
      <c r="N43" s="11">
        <f>VLOOKUP(A43,TB!TB1_1,5,FALSE)</f>
        <v>0</v>
      </c>
      <c r="O43" s="41">
        <f>IF(N$27,N43/N$27,0)</f>
        <v>0</v>
      </c>
    </row>
    <row r="44" spans="1:15" x14ac:dyDescent="0.25">
      <c r="A44" s="36" t="s">
        <v>870</v>
      </c>
      <c r="C44" t="s">
        <v>1068</v>
      </c>
      <c r="E44" s="59">
        <f>VLOOKUP(A44,TB!TB,4,FALSE)</f>
        <v>0</v>
      </c>
      <c r="F44" s="41">
        <f t="shared" si="4"/>
        <v>0</v>
      </c>
      <c r="H44" s="59">
        <f>VLOOKUP(A44,TB!TB,5,FALSE)</f>
        <v>0</v>
      </c>
      <c r="I44" s="41">
        <f t="shared" si="5"/>
        <v>0</v>
      </c>
      <c r="K44" s="59">
        <f>VLOOKUP(A44,TB!TB1_1,4,FALSE)</f>
        <v>0</v>
      </c>
      <c r="L44" s="41">
        <f t="shared" si="6"/>
        <v>0</v>
      </c>
      <c r="N44" s="59">
        <f>VLOOKUP(A44,TB!TB1_1,5,FALSE)</f>
        <v>0</v>
      </c>
      <c r="O44" s="41">
        <f t="shared" si="7"/>
        <v>0</v>
      </c>
    </row>
    <row r="45" spans="1:15" x14ac:dyDescent="0.25">
      <c r="A45" s="36" t="s">
        <v>927</v>
      </c>
      <c r="C45" t="s">
        <v>557</v>
      </c>
      <c r="E45" s="59">
        <f>VLOOKUP(A45,TB!TB,4,FALSE)</f>
        <v>0</v>
      </c>
      <c r="F45" s="87">
        <f t="shared" si="4"/>
        <v>0</v>
      </c>
      <c r="G45" s="60"/>
      <c r="H45" s="59">
        <f>VLOOKUP(A45,TB!TB,5,FALSE)</f>
        <v>0</v>
      </c>
      <c r="I45" s="87">
        <f>IF(H$27,H45/H$27,0)</f>
        <v>0</v>
      </c>
      <c r="J45" s="60"/>
      <c r="K45" s="59">
        <f>VLOOKUP(A45,TB!TB1_1,4,FALSE)</f>
        <v>0</v>
      </c>
      <c r="L45" s="87">
        <f>IF(K$27,K45/K$27,0)</f>
        <v>0</v>
      </c>
      <c r="M45" s="58"/>
      <c r="N45" s="26">
        <f>VLOOKUP(A45,TB!TB1_1,5,FALSE)</f>
        <v>0</v>
      </c>
      <c r="O45" s="101">
        <f>IF(N$27,N45/N$27,0)</f>
        <v>0</v>
      </c>
    </row>
    <row r="46" spans="1:15" x14ac:dyDescent="0.25">
      <c r="C46" s="43" t="s">
        <v>1033</v>
      </c>
      <c r="E46" s="74">
        <f>SUM(E29:E45)</f>
        <v>5531.1100000000006</v>
      </c>
      <c r="F46" s="86">
        <f t="shared" si="4"/>
        <v>0.65651546893453372</v>
      </c>
      <c r="H46" s="74">
        <f>SUM(H29:H45)</f>
        <v>5531.1100000000006</v>
      </c>
      <c r="I46" s="86">
        <f t="shared" ref="I46" si="8">IF(H$27,H46/H$27,0)</f>
        <v>0.65651546893453372</v>
      </c>
      <c r="K46" s="74">
        <f>SUM(K29:K45)</f>
        <v>2570.79</v>
      </c>
      <c r="L46" s="86">
        <f t="shared" ref="L46" si="9">IF(K$27,K46/K$27,0)</f>
        <v>0.62360127010617372</v>
      </c>
      <c r="N46" s="74">
        <f>SUM(N29:N45)</f>
        <v>2570.79</v>
      </c>
      <c r="O46" s="86">
        <f t="shared" ref="O46" si="10">IF(N$27,N46/N$27,0)</f>
        <v>0.62360127010617372</v>
      </c>
    </row>
    <row r="48" spans="1:15" x14ac:dyDescent="0.25">
      <c r="C48" s="37" t="s">
        <v>1034</v>
      </c>
      <c r="E48" s="40">
        <f>E27-E46</f>
        <v>2893.84</v>
      </c>
      <c r="F48" s="41">
        <f t="shared" ref="F48" si="11">IF(E$27,E48/E$27,0)</f>
        <v>0.34348453106546623</v>
      </c>
      <c r="H48" s="40">
        <f>H27-H46</f>
        <v>2893.84</v>
      </c>
      <c r="I48" s="41">
        <f t="shared" ref="I48" si="12">IF(H$27,H48/H$27,0)</f>
        <v>0.34348453106546623</v>
      </c>
      <c r="K48" s="40">
        <f>K27-K46</f>
        <v>1551.6999999999998</v>
      </c>
      <c r="L48" s="41">
        <f t="shared" ref="L48" si="13">IF(K$27,K48/K$27,0)</f>
        <v>0.37639872989382628</v>
      </c>
      <c r="N48" s="40">
        <f>N27-N46</f>
        <v>1551.6999999999998</v>
      </c>
      <c r="O48" s="41">
        <f t="shared" ref="O48" si="14">IF(N$27,N48/N$27,0)</f>
        <v>0.37639872989382628</v>
      </c>
    </row>
    <row r="50" spans="1:15" x14ac:dyDescent="0.25">
      <c r="A50" s="36" t="s">
        <v>877</v>
      </c>
      <c r="C50" t="s">
        <v>419</v>
      </c>
      <c r="E50" s="11">
        <f>VLOOKUP(A50,TB!TB,4,FALSE)</f>
        <v>0</v>
      </c>
      <c r="F50" s="41">
        <f t="shared" ref="F50:F71" si="15">IF(E$27,E50/E$27,0)</f>
        <v>0</v>
      </c>
      <c r="G50" s="58"/>
      <c r="H50" s="11">
        <f>VLOOKUP(A50,TB!TB,5,FALSE)</f>
        <v>0</v>
      </c>
      <c r="I50" s="41">
        <f t="shared" ref="I50:I71" si="16">IF(H$27,H50/H$27,0)</f>
        <v>0</v>
      </c>
      <c r="J50" s="58"/>
      <c r="K50" s="11">
        <f>VLOOKUP(A50,TB!TB1_1,4,FALSE)</f>
        <v>0</v>
      </c>
      <c r="L50" s="41">
        <f t="shared" ref="L50:L71" si="17">IF(K$27,K50/K$27,0)</f>
        <v>0</v>
      </c>
      <c r="M50" s="58"/>
      <c r="N50" s="11">
        <f>VLOOKUP(A50,TB!TB1_1,5,FALSE)</f>
        <v>0</v>
      </c>
      <c r="O50" s="41">
        <f t="shared" ref="O50:O71" si="18">IF(N$27,N50/N$27,0)</f>
        <v>0</v>
      </c>
    </row>
    <row r="51" spans="1:15" x14ac:dyDescent="0.25">
      <c r="A51" s="36" t="s">
        <v>882</v>
      </c>
      <c r="C51" t="s">
        <v>435</v>
      </c>
      <c r="E51" s="11">
        <f>VLOOKUP(A51,TB!TB,4,FALSE)</f>
        <v>0</v>
      </c>
      <c r="F51" s="41">
        <f t="shared" si="15"/>
        <v>0</v>
      </c>
      <c r="G51" s="58"/>
      <c r="H51" s="11">
        <f>VLOOKUP(A51,TB!TB,5,FALSE)</f>
        <v>0</v>
      </c>
      <c r="I51" s="41">
        <f t="shared" si="16"/>
        <v>0</v>
      </c>
      <c r="J51" s="58"/>
      <c r="K51" s="11">
        <f>VLOOKUP(A51,TB!TB1_1,4,FALSE)</f>
        <v>0</v>
      </c>
      <c r="L51" s="41">
        <f t="shared" si="17"/>
        <v>0</v>
      </c>
      <c r="M51" s="58"/>
      <c r="N51" s="11">
        <f>VLOOKUP(A51,TB!TB1_1,5,FALSE)</f>
        <v>0</v>
      </c>
      <c r="O51" s="41">
        <f t="shared" si="18"/>
        <v>0</v>
      </c>
    </row>
    <row r="52" spans="1:15" x14ac:dyDescent="0.25">
      <c r="A52" s="36" t="s">
        <v>887</v>
      </c>
      <c r="C52" t="s">
        <v>444</v>
      </c>
      <c r="E52" s="26">
        <f>VLOOKUP(A52,TB!TB,4,FALSE)</f>
        <v>0</v>
      </c>
      <c r="F52" s="41">
        <f t="shared" si="15"/>
        <v>0</v>
      </c>
      <c r="G52" s="58"/>
      <c r="H52" s="26">
        <f>VLOOKUP(A52,TB!TB,5,FALSE)</f>
        <v>0</v>
      </c>
      <c r="I52" s="41">
        <f t="shared" si="16"/>
        <v>0</v>
      </c>
      <c r="J52" s="58"/>
      <c r="K52" s="26">
        <f>VLOOKUP(A52,TB!TB1_1,4,FALSE)</f>
        <v>0</v>
      </c>
      <c r="L52" s="41">
        <f t="shared" si="17"/>
        <v>0</v>
      </c>
      <c r="M52" s="58"/>
      <c r="N52" s="26">
        <f>VLOOKUP(A52,TB!TB1_1,5,FALSE)</f>
        <v>0</v>
      </c>
      <c r="O52" s="41">
        <f t="shared" si="18"/>
        <v>0</v>
      </c>
    </row>
    <row r="53" spans="1:15" x14ac:dyDescent="0.25">
      <c r="A53" s="36" t="s">
        <v>1045</v>
      </c>
      <c r="C53" t="s">
        <v>464</v>
      </c>
      <c r="E53" s="11">
        <f>VLOOKUP(A53,TB!TB,4,FALSE)</f>
        <v>0</v>
      </c>
      <c r="F53" s="41">
        <f t="shared" si="15"/>
        <v>0</v>
      </c>
      <c r="G53" s="58"/>
      <c r="H53" s="11">
        <f>VLOOKUP(A53,TB!TB,5,FALSE)</f>
        <v>0</v>
      </c>
      <c r="I53" s="41">
        <f t="shared" si="16"/>
        <v>0</v>
      </c>
      <c r="J53" s="58"/>
      <c r="K53" s="11">
        <f>VLOOKUP(A53,TB!TB1_1,4,FALSE)</f>
        <v>0</v>
      </c>
      <c r="L53" s="41">
        <f t="shared" si="17"/>
        <v>0</v>
      </c>
      <c r="M53" s="58"/>
      <c r="N53" s="11">
        <f>VLOOKUP(A53,TB!TB1_1,5,FALSE)</f>
        <v>0</v>
      </c>
      <c r="O53" s="41">
        <f t="shared" si="18"/>
        <v>0</v>
      </c>
    </row>
    <row r="54" spans="1:15" x14ac:dyDescent="0.25">
      <c r="A54" s="36" t="s">
        <v>897</v>
      </c>
      <c r="C54" t="s">
        <v>472</v>
      </c>
      <c r="E54" s="11">
        <f>VLOOKUP(A54,TB!TB,4,FALSE)</f>
        <v>0</v>
      </c>
      <c r="F54" s="41">
        <f t="shared" si="15"/>
        <v>0</v>
      </c>
      <c r="G54" s="58"/>
      <c r="H54" s="11">
        <f>VLOOKUP(A54,TB!TB,5,FALSE)</f>
        <v>0</v>
      </c>
      <c r="I54" s="41">
        <f t="shared" si="16"/>
        <v>0</v>
      </c>
      <c r="J54" s="58"/>
      <c r="K54" s="11">
        <f>VLOOKUP(A54,TB!TB1_1,4,FALSE)</f>
        <v>0</v>
      </c>
      <c r="L54" s="41">
        <f t="shared" si="17"/>
        <v>0</v>
      </c>
      <c r="M54" s="58"/>
      <c r="N54" s="11">
        <f>VLOOKUP(A54,TB!TB1_1,5,FALSE)</f>
        <v>0</v>
      </c>
      <c r="O54" s="41">
        <f t="shared" si="18"/>
        <v>0</v>
      </c>
    </row>
    <row r="55" spans="1:15" x14ac:dyDescent="0.25">
      <c r="A55" s="36" t="s">
        <v>955</v>
      </c>
      <c r="C55" t="s">
        <v>639</v>
      </c>
      <c r="E55" s="11">
        <f>VLOOKUP(A55,TB!TB,4,FALSE)</f>
        <v>0</v>
      </c>
      <c r="F55" s="41">
        <f t="shared" si="15"/>
        <v>0</v>
      </c>
      <c r="G55" s="58"/>
      <c r="H55" s="11">
        <f>VLOOKUP(A55,TB!TB,5,FALSE)</f>
        <v>0</v>
      </c>
      <c r="I55" s="41">
        <f t="shared" si="16"/>
        <v>0</v>
      </c>
      <c r="J55" s="58"/>
      <c r="K55" s="11">
        <f>VLOOKUP(A55,TB!TB1_1,4,FALSE)</f>
        <v>0</v>
      </c>
      <c r="L55" s="41">
        <f t="shared" si="17"/>
        <v>0</v>
      </c>
      <c r="M55" s="58"/>
      <c r="N55" s="11">
        <f>VLOOKUP(A55,TB!TB1_1,5,FALSE)</f>
        <v>0</v>
      </c>
      <c r="O55" s="41">
        <f t="shared" si="18"/>
        <v>0</v>
      </c>
    </row>
    <row r="56" spans="1:15" x14ac:dyDescent="0.25">
      <c r="A56" s="36" t="s">
        <v>961</v>
      </c>
      <c r="C56" t="s">
        <v>654</v>
      </c>
      <c r="E56" s="11">
        <f>VLOOKUP(A56,TB!TB,4,FALSE)</f>
        <v>0</v>
      </c>
      <c r="F56" s="41">
        <f t="shared" si="15"/>
        <v>0</v>
      </c>
      <c r="G56" s="58"/>
      <c r="H56" s="11">
        <f>VLOOKUP(A56,TB!TB,5,FALSE)</f>
        <v>0</v>
      </c>
      <c r="I56" s="41">
        <f t="shared" si="16"/>
        <v>0</v>
      </c>
      <c r="J56" s="58"/>
      <c r="K56" s="11">
        <f>VLOOKUP(A56,TB!TB1_1,4,FALSE)</f>
        <v>0</v>
      </c>
      <c r="L56" s="41">
        <f t="shared" si="17"/>
        <v>0</v>
      </c>
      <c r="M56" s="58"/>
      <c r="N56" s="11">
        <f>VLOOKUP(A56,TB!TB1_1,5,FALSE)</f>
        <v>0</v>
      </c>
      <c r="O56" s="41">
        <f t="shared" si="18"/>
        <v>0</v>
      </c>
    </row>
    <row r="57" spans="1:15" x14ac:dyDescent="0.25">
      <c r="A57" s="36" t="s">
        <v>902</v>
      </c>
      <c r="C57" t="s">
        <v>488</v>
      </c>
      <c r="E57" s="11">
        <f>VLOOKUP(A57,TB!TB,4,FALSE)</f>
        <v>0</v>
      </c>
      <c r="F57" s="41">
        <f t="shared" si="15"/>
        <v>0</v>
      </c>
      <c r="G57" s="58"/>
      <c r="H57" s="11">
        <f>VLOOKUP(A57,TB!TB,5,FALSE)</f>
        <v>0</v>
      </c>
      <c r="I57" s="41">
        <f t="shared" si="16"/>
        <v>0</v>
      </c>
      <c r="J57" s="58"/>
      <c r="K57" s="11">
        <f>VLOOKUP(A57,TB!TB1_1,4,FALSE)</f>
        <v>0</v>
      </c>
      <c r="L57" s="41">
        <f t="shared" si="17"/>
        <v>0</v>
      </c>
      <c r="M57" s="58"/>
      <c r="N57" s="11">
        <f>VLOOKUP(A57,TB!TB1_1,5,FALSE)</f>
        <v>0</v>
      </c>
      <c r="O57" s="41">
        <f t="shared" si="18"/>
        <v>0</v>
      </c>
    </row>
    <row r="58" spans="1:15" x14ac:dyDescent="0.25">
      <c r="A58" s="36" t="s">
        <v>906</v>
      </c>
      <c r="C58" t="s">
        <v>500</v>
      </c>
      <c r="E58" s="11">
        <f>VLOOKUP(A58,TB!TB,4,FALSE)</f>
        <v>0</v>
      </c>
      <c r="F58" s="41">
        <f t="shared" si="15"/>
        <v>0</v>
      </c>
      <c r="G58" s="58"/>
      <c r="H58" s="11">
        <f>VLOOKUP(A58,TB!TB,5,FALSE)</f>
        <v>0</v>
      </c>
      <c r="I58" s="41">
        <f t="shared" si="16"/>
        <v>0</v>
      </c>
      <c r="J58" s="58"/>
      <c r="K58" s="11">
        <f>VLOOKUP(A58,TB!TB1_1,4,FALSE)</f>
        <v>0</v>
      </c>
      <c r="L58" s="41">
        <f t="shared" si="17"/>
        <v>0</v>
      </c>
      <c r="M58" s="58"/>
      <c r="N58" s="11">
        <f>VLOOKUP(A58,TB!TB1_1,5,FALSE)</f>
        <v>0</v>
      </c>
      <c r="O58" s="41">
        <f t="shared" si="18"/>
        <v>0</v>
      </c>
    </row>
    <row r="59" spans="1:15" x14ac:dyDescent="0.25">
      <c r="A59" s="36" t="s">
        <v>909</v>
      </c>
      <c r="C59" t="s">
        <v>511</v>
      </c>
      <c r="E59" s="11">
        <f>VLOOKUP(A59,TB!TB,4,FALSE)</f>
        <v>0</v>
      </c>
      <c r="F59" s="41">
        <f t="shared" si="15"/>
        <v>0</v>
      </c>
      <c r="G59" s="58"/>
      <c r="H59" s="11">
        <f>VLOOKUP(A59,TB!TB,5,FALSE)</f>
        <v>0</v>
      </c>
      <c r="I59" s="41">
        <f t="shared" si="16"/>
        <v>0</v>
      </c>
      <c r="J59" s="58"/>
      <c r="K59" s="11">
        <f>VLOOKUP(A59,TB!TB1_1,4,FALSE)</f>
        <v>0</v>
      </c>
      <c r="L59" s="41">
        <f t="shared" si="17"/>
        <v>0</v>
      </c>
      <c r="M59" s="58"/>
      <c r="N59" s="11">
        <f>VLOOKUP(A59,TB!TB1_1,5,FALSE)</f>
        <v>0</v>
      </c>
      <c r="O59" s="41">
        <f t="shared" si="18"/>
        <v>0</v>
      </c>
    </row>
    <row r="60" spans="1:15" x14ac:dyDescent="0.25">
      <c r="A60" s="36" t="s">
        <v>914</v>
      </c>
      <c r="C60" t="s">
        <v>522</v>
      </c>
      <c r="E60" s="11">
        <f>VLOOKUP(A60,TB!TB,4,FALSE)</f>
        <v>0</v>
      </c>
      <c r="F60" s="41">
        <f t="shared" si="15"/>
        <v>0</v>
      </c>
      <c r="G60" s="58"/>
      <c r="H60" s="11">
        <f>VLOOKUP(A60,TB!TB,5,FALSE)</f>
        <v>0</v>
      </c>
      <c r="I60" s="41">
        <f t="shared" si="16"/>
        <v>0</v>
      </c>
      <c r="J60" s="58"/>
      <c r="K60" s="11">
        <f>VLOOKUP(A60,TB!TB1_1,4,FALSE)</f>
        <v>0</v>
      </c>
      <c r="L60" s="41">
        <f t="shared" si="17"/>
        <v>0</v>
      </c>
      <c r="M60" s="58"/>
      <c r="N60" s="11">
        <f>VLOOKUP(A60,TB!TB1_1,5,FALSE)</f>
        <v>0</v>
      </c>
      <c r="O60" s="41">
        <f t="shared" si="18"/>
        <v>0</v>
      </c>
    </row>
    <row r="61" spans="1:15" x14ac:dyDescent="0.25">
      <c r="A61" s="36" t="s">
        <v>920</v>
      </c>
      <c r="C61" t="s">
        <v>540</v>
      </c>
      <c r="E61" s="11">
        <f>VLOOKUP(A61,TB!TB,4,FALSE)</f>
        <v>0</v>
      </c>
      <c r="F61" s="41">
        <f t="shared" si="15"/>
        <v>0</v>
      </c>
      <c r="G61" s="58"/>
      <c r="H61" s="11">
        <f>VLOOKUP(A61,TB!TB,5,FALSE)</f>
        <v>0</v>
      </c>
      <c r="I61" s="41">
        <f t="shared" si="16"/>
        <v>0</v>
      </c>
      <c r="J61" s="58"/>
      <c r="K61" s="11">
        <f>VLOOKUP(A61,TB!TB1_1,4,FALSE)</f>
        <v>0</v>
      </c>
      <c r="L61" s="41">
        <f t="shared" si="17"/>
        <v>0</v>
      </c>
      <c r="M61" s="58"/>
      <c r="N61" s="11">
        <f>VLOOKUP(A61,TB!TB1_1,5,FALSE)</f>
        <v>0</v>
      </c>
      <c r="O61" s="41">
        <f t="shared" si="18"/>
        <v>0</v>
      </c>
    </row>
    <row r="62" spans="1:15" x14ac:dyDescent="0.25">
      <c r="A62" s="36" t="s">
        <v>932</v>
      </c>
      <c r="C62" t="s">
        <v>571</v>
      </c>
      <c r="E62" s="11">
        <f>VLOOKUP(A62,TB!TB,4,FALSE)</f>
        <v>0</v>
      </c>
      <c r="F62" s="41">
        <f t="shared" si="15"/>
        <v>0</v>
      </c>
      <c r="G62" s="58"/>
      <c r="H62" s="11">
        <f>VLOOKUP(A62,TB!TB,5,FALSE)</f>
        <v>0</v>
      </c>
      <c r="I62" s="41">
        <f t="shared" si="16"/>
        <v>0</v>
      </c>
      <c r="J62" s="58"/>
      <c r="K62" s="11">
        <f>VLOOKUP(A62,TB!TB1_1,4,FALSE)</f>
        <v>0</v>
      </c>
      <c r="L62" s="41">
        <f t="shared" si="17"/>
        <v>0</v>
      </c>
      <c r="M62" s="58"/>
      <c r="N62" s="11">
        <f>VLOOKUP(A62,TB!TB1_1,5,FALSE)</f>
        <v>0</v>
      </c>
      <c r="O62" s="41">
        <f t="shared" si="18"/>
        <v>0</v>
      </c>
    </row>
    <row r="63" spans="1:15" x14ac:dyDescent="0.25">
      <c r="A63" s="36" t="s">
        <v>936</v>
      </c>
      <c r="C63" t="s">
        <v>585</v>
      </c>
      <c r="E63" s="11">
        <f>VLOOKUP(A63,TB!TB,4,FALSE)</f>
        <v>0</v>
      </c>
      <c r="F63" s="41">
        <f t="shared" si="15"/>
        <v>0</v>
      </c>
      <c r="G63" s="58"/>
      <c r="H63" s="11">
        <f>VLOOKUP(A63,TB!TB,5,FALSE)</f>
        <v>0</v>
      </c>
      <c r="I63" s="41">
        <f t="shared" si="16"/>
        <v>0</v>
      </c>
      <c r="J63" s="58"/>
      <c r="K63" s="11">
        <f>VLOOKUP(A63,TB!TB1_1,4,FALSE)</f>
        <v>0</v>
      </c>
      <c r="L63" s="41">
        <f t="shared" si="17"/>
        <v>0</v>
      </c>
      <c r="M63" s="58"/>
      <c r="N63" s="11">
        <f>VLOOKUP(A63,TB!TB1_1,5,FALSE)</f>
        <v>0</v>
      </c>
      <c r="O63" s="41">
        <f t="shared" si="18"/>
        <v>0</v>
      </c>
    </row>
    <row r="64" spans="1:15" x14ac:dyDescent="0.25">
      <c r="A64" s="36" t="s">
        <v>941</v>
      </c>
      <c r="C64" t="s">
        <v>597</v>
      </c>
      <c r="E64" s="11">
        <f>VLOOKUP(A64,TB!TB,4,FALSE)</f>
        <v>0</v>
      </c>
      <c r="F64" s="41">
        <f t="shared" si="15"/>
        <v>0</v>
      </c>
      <c r="G64" s="58"/>
      <c r="H64" s="11">
        <f>VLOOKUP(A64,TB!TB,5,FALSE)</f>
        <v>0</v>
      </c>
      <c r="I64" s="41">
        <f t="shared" si="16"/>
        <v>0</v>
      </c>
      <c r="J64" s="58"/>
      <c r="K64" s="11">
        <f>VLOOKUP(A64,TB!TB1_1,4,FALSE)</f>
        <v>0</v>
      </c>
      <c r="L64" s="41">
        <f t="shared" si="17"/>
        <v>0</v>
      </c>
      <c r="M64" s="58"/>
      <c r="N64" s="11">
        <f>VLOOKUP(A64,TB!TB1_1,5,FALSE)</f>
        <v>0</v>
      </c>
      <c r="O64" s="41">
        <f t="shared" si="18"/>
        <v>0</v>
      </c>
    </row>
    <row r="65" spans="1:15" x14ac:dyDescent="0.25">
      <c r="A65" s="36" t="s">
        <v>946</v>
      </c>
      <c r="C65" t="s">
        <v>611</v>
      </c>
      <c r="E65" s="11">
        <f>VLOOKUP(A65,TB!TB,4,FALSE)</f>
        <v>0</v>
      </c>
      <c r="F65" s="41">
        <f t="shared" si="15"/>
        <v>0</v>
      </c>
      <c r="G65" s="58"/>
      <c r="H65" s="11">
        <f>VLOOKUP(A65,TB!TB,5,FALSE)</f>
        <v>0</v>
      </c>
      <c r="I65" s="41">
        <f t="shared" si="16"/>
        <v>0</v>
      </c>
      <c r="J65" s="58"/>
      <c r="K65" s="11">
        <f>VLOOKUP(A65,TB!TB1_1,4,FALSE)</f>
        <v>0</v>
      </c>
      <c r="L65" s="41">
        <f t="shared" si="17"/>
        <v>0</v>
      </c>
      <c r="M65" s="58"/>
      <c r="N65" s="11">
        <f>VLOOKUP(A65,TB!TB1_1,5,FALSE)</f>
        <v>0</v>
      </c>
      <c r="O65" s="41">
        <f t="shared" si="18"/>
        <v>0</v>
      </c>
    </row>
    <row r="66" spans="1:15" x14ac:dyDescent="0.25">
      <c r="A66" s="36" t="s">
        <v>950</v>
      </c>
      <c r="C66" t="s">
        <v>623</v>
      </c>
      <c r="E66" s="11">
        <f>VLOOKUP(A66,TB!TB,4,FALSE)</f>
        <v>0</v>
      </c>
      <c r="F66" s="41">
        <f t="shared" si="15"/>
        <v>0</v>
      </c>
      <c r="G66" s="58"/>
      <c r="H66" s="11">
        <f>VLOOKUP(A66,TB!TB,5,FALSE)</f>
        <v>0</v>
      </c>
      <c r="I66" s="41">
        <f t="shared" si="16"/>
        <v>0</v>
      </c>
      <c r="J66" s="58"/>
      <c r="K66" s="11">
        <f>VLOOKUP(A66,TB!TB1_1,4,FALSE)</f>
        <v>0</v>
      </c>
      <c r="L66" s="41">
        <f t="shared" si="17"/>
        <v>0</v>
      </c>
      <c r="M66" s="58"/>
      <c r="N66" s="11">
        <f>VLOOKUP(A66,TB!TB1_1,5,FALSE)</f>
        <v>0</v>
      </c>
      <c r="O66" s="41">
        <f t="shared" si="18"/>
        <v>0</v>
      </c>
    </row>
    <row r="67" spans="1:15" x14ac:dyDescent="0.25">
      <c r="A67" s="36" t="s">
        <v>969</v>
      </c>
      <c r="C67" t="s">
        <v>678</v>
      </c>
      <c r="E67" s="11">
        <f>VLOOKUP(A67,TB!TB,4,FALSE)</f>
        <v>0</v>
      </c>
      <c r="F67" s="41">
        <f t="shared" si="15"/>
        <v>0</v>
      </c>
      <c r="G67" s="58"/>
      <c r="H67" s="11">
        <f>VLOOKUP(A67,TB!TB,5,FALSE)</f>
        <v>0</v>
      </c>
      <c r="I67" s="41">
        <f t="shared" si="16"/>
        <v>0</v>
      </c>
      <c r="J67" s="58"/>
      <c r="K67" s="11">
        <f>VLOOKUP(A67,TB!TB1_1,4,FALSE)</f>
        <v>0</v>
      </c>
      <c r="L67" s="41">
        <f t="shared" si="17"/>
        <v>0</v>
      </c>
      <c r="M67" s="58"/>
      <c r="N67" s="11">
        <f>VLOOKUP(A67,TB!TB1_1,5,FALSE)</f>
        <v>0</v>
      </c>
      <c r="O67" s="41">
        <f t="shared" si="18"/>
        <v>0</v>
      </c>
    </row>
    <row r="68" spans="1:15" x14ac:dyDescent="0.25">
      <c r="A68" s="36" t="s">
        <v>974</v>
      </c>
      <c r="C68" t="s">
        <v>696</v>
      </c>
      <c r="E68" s="11">
        <f>VLOOKUP(A68,TB!TB,4,FALSE)</f>
        <v>0</v>
      </c>
      <c r="F68" s="41">
        <f t="shared" si="15"/>
        <v>0</v>
      </c>
      <c r="G68" s="58"/>
      <c r="H68" s="11">
        <f>VLOOKUP(A68,TB!TB,5,FALSE)</f>
        <v>0</v>
      </c>
      <c r="I68" s="41">
        <f t="shared" si="16"/>
        <v>0</v>
      </c>
      <c r="J68" s="58"/>
      <c r="K68" s="11">
        <f>VLOOKUP(A68,TB!TB1_1,4,FALSE)</f>
        <v>0</v>
      </c>
      <c r="L68" s="41">
        <f t="shared" si="17"/>
        <v>0</v>
      </c>
      <c r="M68" s="58"/>
      <c r="N68" s="11">
        <f>VLOOKUP(A68,TB!TB1_1,5,FALSE)</f>
        <v>0</v>
      </c>
      <c r="O68" s="41">
        <f t="shared" si="18"/>
        <v>0</v>
      </c>
    </row>
    <row r="69" spans="1:15" x14ac:dyDescent="0.25">
      <c r="A69" s="36" t="s">
        <v>977</v>
      </c>
      <c r="C69" t="s">
        <v>1069</v>
      </c>
      <c r="E69" s="11">
        <f>VLOOKUP(A69,TB!TB,4,FALSE)</f>
        <v>0</v>
      </c>
      <c r="F69" s="41">
        <f t="shared" si="15"/>
        <v>0</v>
      </c>
      <c r="G69" s="58"/>
      <c r="H69" s="11">
        <f>VLOOKUP(A69,TB!TB,5,FALSE)</f>
        <v>0</v>
      </c>
      <c r="I69" s="41">
        <f t="shared" si="16"/>
        <v>0</v>
      </c>
      <c r="J69" s="58"/>
      <c r="K69" s="11">
        <f>VLOOKUP(A69,TB!TB1_1,4,FALSE)</f>
        <v>0</v>
      </c>
      <c r="L69" s="41">
        <f t="shared" si="17"/>
        <v>0</v>
      </c>
      <c r="M69" s="58"/>
      <c r="N69" s="11">
        <f>VLOOKUP(A69,TB!TB1_1,5,FALSE)</f>
        <v>0</v>
      </c>
      <c r="O69" s="41">
        <f t="shared" si="18"/>
        <v>0</v>
      </c>
    </row>
    <row r="70" spans="1:15" x14ac:dyDescent="0.25">
      <c r="A70" s="36" t="s">
        <v>985</v>
      </c>
      <c r="C70" t="s">
        <v>726</v>
      </c>
      <c r="E70" s="59">
        <f>VLOOKUP(A70,TB!TB,4,FALSE)</f>
        <v>0</v>
      </c>
      <c r="F70" s="41">
        <f t="shared" si="15"/>
        <v>0</v>
      </c>
      <c r="H70" s="59">
        <f>VLOOKUP(A70,TB!TB,5,FALSE)</f>
        <v>0</v>
      </c>
      <c r="I70" s="41">
        <f t="shared" si="16"/>
        <v>0</v>
      </c>
      <c r="K70" s="59">
        <f>VLOOKUP(A70,TB!TB1_1,4,FALSE)</f>
        <v>0</v>
      </c>
      <c r="L70" s="41">
        <f t="shared" si="17"/>
        <v>0</v>
      </c>
      <c r="N70" s="59">
        <f>VLOOKUP(A70,TB!TB1_1,5,FALSE)</f>
        <v>0</v>
      </c>
      <c r="O70" s="41">
        <f t="shared" si="18"/>
        <v>0</v>
      </c>
    </row>
    <row r="71" spans="1:15" x14ac:dyDescent="0.25">
      <c r="C71" s="43" t="s">
        <v>1003</v>
      </c>
      <c r="E71" s="74">
        <f>SUM(E50:E70)</f>
        <v>0</v>
      </c>
      <c r="F71" s="86">
        <f t="shared" si="15"/>
        <v>0</v>
      </c>
      <c r="H71" s="74">
        <f>SUM(H50:H70)</f>
        <v>0</v>
      </c>
      <c r="I71" s="86">
        <f t="shared" si="16"/>
        <v>0</v>
      </c>
      <c r="K71" s="74">
        <f>SUM(K50:K70)</f>
        <v>0</v>
      </c>
      <c r="L71" s="86">
        <f t="shared" si="17"/>
        <v>0</v>
      </c>
      <c r="N71" s="74">
        <f>SUM(N50:N70)</f>
        <v>0</v>
      </c>
      <c r="O71" s="86">
        <f t="shared" si="18"/>
        <v>0</v>
      </c>
    </row>
    <row r="74" spans="1:15" x14ac:dyDescent="0.25">
      <c r="C74" s="43" t="s">
        <v>1024</v>
      </c>
      <c r="E74" s="40">
        <f>E48-E71</f>
        <v>2893.84</v>
      </c>
      <c r="F74" s="41">
        <f t="shared" ref="F74" si="19">IF(E$27,E74/E$27,0)</f>
        <v>0.34348453106546623</v>
      </c>
      <c r="H74" s="40">
        <f>H48-H71</f>
        <v>2893.84</v>
      </c>
      <c r="I74" s="41">
        <f t="shared" ref="I74" si="20">IF(H$27,H74/H$27,0)</f>
        <v>0.34348453106546623</v>
      </c>
      <c r="K74" s="40">
        <f>K48-K71</f>
        <v>1551.6999999999998</v>
      </c>
      <c r="L74" s="41">
        <f t="shared" ref="L74" si="21">IF(K$27,K74/K$27,0)</f>
        <v>0.37639872989382628</v>
      </c>
      <c r="N74" s="40">
        <f>N48-N71</f>
        <v>1551.6999999999998</v>
      </c>
      <c r="O74" s="41">
        <f t="shared" ref="O74" si="22">IF(N$27,N74/N$27,0)</f>
        <v>0.37639872989382628</v>
      </c>
    </row>
    <row r="76" spans="1:15" ht="15.75" thickBot="1" x14ac:dyDescent="0.3">
      <c r="A76" s="36" t="s">
        <v>747</v>
      </c>
      <c r="C76" t="s">
        <v>743</v>
      </c>
      <c r="E76" s="59">
        <v>0</v>
      </c>
      <c r="F76" s="41">
        <f t="shared" ref="F76" si="23">IF(E$27,E76/E$27,0)</f>
        <v>0</v>
      </c>
      <c r="G76" s="60"/>
      <c r="H76" s="59">
        <f>VLOOKUP(A76,TB!TB,5,FALSE)</f>
        <v>0</v>
      </c>
      <c r="I76" s="41">
        <f t="shared" ref="I76" si="24">IF(H$27,H76/H$27,0)</f>
        <v>0</v>
      </c>
      <c r="J76" s="60"/>
      <c r="K76" s="59">
        <v>0</v>
      </c>
      <c r="L76" s="41">
        <f t="shared" ref="L76" si="25">IF(K$27,K76/K$27,0)</f>
        <v>0</v>
      </c>
      <c r="M76" s="60"/>
      <c r="N76" s="59">
        <v>0</v>
      </c>
      <c r="O76" s="41">
        <f t="shared" ref="O76" si="26">IF(N$27,N76/N$27,0)</f>
        <v>0</v>
      </c>
    </row>
    <row r="77" spans="1:15" ht="15.75" thickTop="1" x14ac:dyDescent="0.25">
      <c r="E77" s="99"/>
      <c r="F77" s="99"/>
      <c r="H77" s="99"/>
      <c r="I77" s="99"/>
      <c r="K77" s="99"/>
      <c r="L77" s="99"/>
      <c r="N77" s="99"/>
      <c r="O77" s="99"/>
    </row>
    <row r="78" spans="1:15" x14ac:dyDescent="0.25">
      <c r="C78" s="43" t="s">
        <v>1025</v>
      </c>
      <c r="E78" s="40">
        <f>E74-E76</f>
        <v>2893.84</v>
      </c>
      <c r="F78" s="41">
        <f t="shared" ref="F78" si="27">IF(E$27,E78/E$27,0)</f>
        <v>0.34348453106546623</v>
      </c>
      <c r="H78" s="40">
        <f>H74-H76</f>
        <v>2893.84</v>
      </c>
      <c r="I78" s="41">
        <f t="shared" ref="I78" si="28">IF(H$27,H78/H$27,0)</f>
        <v>0.34348453106546623</v>
      </c>
      <c r="K78" s="40">
        <f>K74-K76</f>
        <v>1551.6999999999998</v>
      </c>
      <c r="L78" s="41">
        <f t="shared" ref="L78" si="29">IF(K$27,K78/K$27,0)</f>
        <v>0.37639872989382628</v>
      </c>
      <c r="N78" s="40">
        <f>N74-N76</f>
        <v>1551.6999999999998</v>
      </c>
      <c r="O78" s="41">
        <f t="shared" ref="O78" si="30">IF(N$27,N78/N$27,0)</f>
        <v>0.37639872989382628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8D78-2C75-4D03-90DF-93D358E461E2}">
  <sheetPr>
    <tabColor rgb="FF92D050"/>
    <pageSetUpPr fitToPage="1"/>
  </sheetPr>
  <dimension ref="A1:Q82"/>
  <sheetViews>
    <sheetView zoomScaleNormal="100" workbookViewId="0">
      <selection activeCell="A3" sqref="A3:Q3"/>
    </sheetView>
  </sheetViews>
  <sheetFormatPr defaultRowHeight="15" x14ac:dyDescent="0.25"/>
  <cols>
    <col min="1" max="1" width="11.5703125" style="36" customWidth="1"/>
    <col min="2" max="2" width="2.5703125" customWidth="1"/>
    <col min="3" max="3" width="27.28515625" customWidth="1"/>
    <col min="4" max="4" width="1.85546875" customWidth="1"/>
    <col min="5" max="5" width="19.5703125" customWidth="1"/>
    <col min="6" max="6" width="6.7109375" customWidth="1"/>
    <col min="7" max="7" width="18.28515625" customWidth="1"/>
    <col min="8" max="8" width="9.85546875" bestFit="1" customWidth="1"/>
    <col min="9" max="9" width="2" customWidth="1"/>
    <col min="10" max="10" width="18.42578125" customWidth="1"/>
    <col min="11" max="11" width="8" customWidth="1"/>
    <col min="12" max="12" width="2.140625" customWidth="1"/>
    <col min="13" max="13" width="18.28515625" customWidth="1"/>
    <col min="14" max="14" width="8.140625" customWidth="1"/>
    <col min="15" max="15" width="3.140625" customWidth="1"/>
    <col min="16" max="16" width="18" customWidth="1"/>
    <col min="17" max="17" width="8.42578125" customWidth="1"/>
  </cols>
  <sheetData>
    <row r="1" spans="1:17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</row>
    <row r="2" spans="1:17" ht="26.25" x14ac:dyDescent="0.4">
      <c r="A2" s="149" t="s">
        <v>2105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</row>
    <row r="3" spans="1:17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</row>
    <row r="4" spans="1:17" ht="15.75" x14ac:dyDescent="0.25">
      <c r="A4" s="53"/>
      <c r="B4" s="6"/>
      <c r="C4" s="8" t="s">
        <v>5</v>
      </c>
      <c r="D4" s="6"/>
      <c r="E4" s="6"/>
      <c r="F4" s="6"/>
      <c r="G4" s="8" t="s">
        <v>3</v>
      </c>
      <c r="H4" s="6"/>
      <c r="I4" s="6"/>
      <c r="J4" s="8" t="s">
        <v>4</v>
      </c>
      <c r="K4" s="6"/>
      <c r="L4" s="6"/>
      <c r="M4" s="8" t="s">
        <v>3</v>
      </c>
      <c r="N4" s="6"/>
      <c r="O4" s="6"/>
      <c r="P4" s="8" t="s">
        <v>4</v>
      </c>
      <c r="Q4" s="5"/>
    </row>
    <row r="5" spans="1:17" ht="15.75" x14ac:dyDescent="0.25">
      <c r="A5" s="54" t="s">
        <v>1000</v>
      </c>
      <c r="B5" s="5"/>
      <c r="C5" s="38" t="s">
        <v>1039</v>
      </c>
      <c r="D5" s="5"/>
      <c r="E5" s="5"/>
      <c r="F5" s="5"/>
      <c r="G5" s="31">
        <f>TB!A4</f>
        <v>2026</v>
      </c>
      <c r="H5" s="16" t="s">
        <v>1005</v>
      </c>
      <c r="I5" s="8"/>
      <c r="J5" s="31">
        <f>TB!A4</f>
        <v>2026</v>
      </c>
      <c r="K5" s="16" t="s">
        <v>1005</v>
      </c>
      <c r="L5" s="5"/>
      <c r="M5" s="31">
        <f>TB!O4</f>
        <v>2025</v>
      </c>
      <c r="N5" s="16" t="s">
        <v>1005</v>
      </c>
      <c r="O5" s="8"/>
      <c r="P5" s="31">
        <f>TB!O4</f>
        <v>2025</v>
      </c>
      <c r="Q5" s="16" t="s">
        <v>1005</v>
      </c>
    </row>
    <row r="7" spans="1:17" x14ac:dyDescent="0.25">
      <c r="A7" s="36" t="s">
        <v>784</v>
      </c>
      <c r="C7" t="s">
        <v>1076</v>
      </c>
      <c r="G7" s="11">
        <f>VLOOKUP(A7,TB!TB,4,FALSE)*-1</f>
        <v>19902.2</v>
      </c>
      <c r="H7" s="41">
        <f t="shared" ref="H7:H28" si="0">IF(G$28,G7/G$28,0)</f>
        <v>0.69124158271962044</v>
      </c>
      <c r="J7" s="11">
        <f>VLOOKUP(A7,TB!TB,5,FALSE)*-1</f>
        <v>19902.2</v>
      </c>
      <c r="K7" s="41">
        <f t="shared" ref="K7:K28" si="1">IF(J$28,J7/J$28,0)</f>
        <v>0.69124158271962044</v>
      </c>
      <c r="M7" s="11">
        <f>VLOOKUP(A7,TB!TB1_1,4,FALSE)*-1</f>
        <v>5585</v>
      </c>
      <c r="N7" s="41">
        <f t="shared" ref="N7:N28" si="2">IF(M$28,M7/M$28,0)</f>
        <v>0.6245750429430289</v>
      </c>
      <c r="P7" s="11">
        <f>VLOOKUP(A7,TB!TB1_1,5,FALSE)*-1</f>
        <v>5585</v>
      </c>
      <c r="Q7" s="41">
        <f t="shared" ref="Q7:Q28" si="3">IF(P$28,P7/P$28,0)</f>
        <v>0.6245750429430289</v>
      </c>
    </row>
    <row r="8" spans="1:17" x14ac:dyDescent="0.25">
      <c r="A8" s="36" t="s">
        <v>788</v>
      </c>
      <c r="C8" t="s">
        <v>239</v>
      </c>
      <c r="G8" s="11">
        <f>VLOOKUP(A8,TB!TB,4,FALSE)*-1</f>
        <v>0</v>
      </c>
      <c r="H8" s="41">
        <f t="shared" si="0"/>
        <v>0</v>
      </c>
      <c r="J8" s="11">
        <f>VLOOKUP(A8,TB!TB,5,FALSE)*-1</f>
        <v>0</v>
      </c>
      <c r="K8" s="41">
        <f t="shared" si="1"/>
        <v>0</v>
      </c>
      <c r="M8" s="11">
        <f>VLOOKUP(A8,TB!TB1_1,4,FALSE)*-1</f>
        <v>0</v>
      </c>
      <c r="N8" s="41">
        <f t="shared" si="2"/>
        <v>0</v>
      </c>
      <c r="P8" s="11">
        <f>VLOOKUP(A8,TB!TB1_1,5,FALSE)*-1</f>
        <v>0</v>
      </c>
      <c r="Q8" s="41">
        <f t="shared" si="3"/>
        <v>0</v>
      </c>
    </row>
    <row r="9" spans="1:17" x14ac:dyDescent="0.25">
      <c r="A9" s="36" t="s">
        <v>787</v>
      </c>
      <c r="C9" t="s">
        <v>1077</v>
      </c>
      <c r="G9" s="11">
        <f>VLOOKUP(A9,TB!TB,4,FALSE)*-1</f>
        <v>0</v>
      </c>
      <c r="H9" s="41">
        <f t="shared" si="0"/>
        <v>0</v>
      </c>
      <c r="J9" s="11">
        <f>VLOOKUP(A9,TB!TB,5,FALSE)*-1</f>
        <v>0</v>
      </c>
      <c r="K9" s="41">
        <f t="shared" si="1"/>
        <v>0</v>
      </c>
      <c r="M9" s="11">
        <f>VLOOKUP(A9,TB!TB1_1,4,FALSE)*-1</f>
        <v>0</v>
      </c>
      <c r="N9" s="41">
        <f t="shared" si="2"/>
        <v>0</v>
      </c>
      <c r="P9" s="11">
        <f>VLOOKUP(A9,TB!TB1_1,5,FALSE)*-1</f>
        <v>0</v>
      </c>
      <c r="Q9" s="41">
        <f t="shared" si="3"/>
        <v>0</v>
      </c>
    </row>
    <row r="10" spans="1:17" x14ac:dyDescent="0.25">
      <c r="A10" s="36" t="s">
        <v>786</v>
      </c>
      <c r="C10" t="s">
        <v>1078</v>
      </c>
      <c r="G10" s="11">
        <f>VLOOKUP(A10,TB!TB,4,FALSE)*-1</f>
        <v>0</v>
      </c>
      <c r="H10" s="41">
        <f t="shared" si="0"/>
        <v>0</v>
      </c>
      <c r="J10" s="11">
        <f>VLOOKUP(A10,TB!TB,5,FALSE)*-1</f>
        <v>0</v>
      </c>
      <c r="K10" s="41">
        <f t="shared" si="1"/>
        <v>0</v>
      </c>
      <c r="M10" s="11">
        <f>VLOOKUP(A10,TB!TB1_1,4,FALSE)*-1</f>
        <v>0</v>
      </c>
      <c r="N10" s="41">
        <f t="shared" si="2"/>
        <v>0</v>
      </c>
      <c r="P10" s="11">
        <f>VLOOKUP(A10,TB!TB1_1,5,FALSE)*-1</f>
        <v>0</v>
      </c>
      <c r="Q10" s="41">
        <f t="shared" si="3"/>
        <v>0</v>
      </c>
    </row>
    <row r="11" spans="1:17" x14ac:dyDescent="0.25">
      <c r="A11" s="36" t="s">
        <v>792</v>
      </c>
      <c r="C11" t="s">
        <v>247</v>
      </c>
      <c r="G11" s="11">
        <f>VLOOKUP(A11,TB!TB,4,FALSE)*-1</f>
        <v>0</v>
      </c>
      <c r="H11" s="41">
        <f t="shared" si="0"/>
        <v>0</v>
      </c>
      <c r="J11" s="11">
        <f>VLOOKUP(A11,TB!TB,5,FALSE)*-1</f>
        <v>0</v>
      </c>
      <c r="K11" s="41">
        <f t="shared" si="1"/>
        <v>0</v>
      </c>
      <c r="M11" s="11">
        <f>VLOOKUP(A11,TB!TB1_1,4,FALSE)*-1</f>
        <v>0</v>
      </c>
      <c r="N11" s="41">
        <f t="shared" si="2"/>
        <v>0</v>
      </c>
      <c r="P11" s="11">
        <f>VLOOKUP(A11,TB!TB1_1,5,FALSE)*-1</f>
        <v>0</v>
      </c>
      <c r="Q11" s="41">
        <f t="shared" si="3"/>
        <v>0</v>
      </c>
    </row>
    <row r="12" spans="1:17" x14ac:dyDescent="0.25">
      <c r="A12" s="36" t="s">
        <v>790</v>
      </c>
      <c r="C12" t="s">
        <v>1313</v>
      </c>
      <c r="G12" s="11">
        <f>VLOOKUP(A12,TB!TB,4,FALSE)*-1</f>
        <v>6532.26</v>
      </c>
      <c r="H12" s="41">
        <f t="shared" si="0"/>
        <v>0.22687792008602403</v>
      </c>
      <c r="J12" s="11">
        <f>VLOOKUP(A12,TB!TB,5,FALSE)*-1</f>
        <v>6532.26</v>
      </c>
      <c r="K12" s="41">
        <f t="shared" si="1"/>
        <v>0.22687792008602403</v>
      </c>
      <c r="M12" s="11">
        <f>VLOOKUP(A12,TB!TB1_1,4,FALSE)*-1</f>
        <v>1585</v>
      </c>
      <c r="N12" s="41">
        <f t="shared" si="2"/>
        <v>0.17725182507872889</v>
      </c>
      <c r="P12" s="11">
        <f>VLOOKUP(A12,TB!TB1_1,5,FALSE)*-1</f>
        <v>1585</v>
      </c>
      <c r="Q12" s="41">
        <f t="shared" si="3"/>
        <v>0.17725182507872889</v>
      </c>
    </row>
    <row r="13" spans="1:17" x14ac:dyDescent="0.25">
      <c r="A13" s="36" t="s">
        <v>791</v>
      </c>
      <c r="C13" t="s">
        <v>245</v>
      </c>
      <c r="G13" s="11">
        <f>VLOOKUP(A13,TB!TB,4,FALSE)*-1</f>
        <v>2357.5</v>
      </c>
      <c r="H13" s="41">
        <f t="shared" si="0"/>
        <v>8.1880497194355653E-2</v>
      </c>
      <c r="J13" s="11">
        <f>VLOOKUP(A13,TB!TB,5,FALSE)*-1</f>
        <v>2357.5</v>
      </c>
      <c r="K13" s="41">
        <f t="shared" si="1"/>
        <v>8.1880497194355653E-2</v>
      </c>
      <c r="M13" s="11">
        <f>VLOOKUP(A13,TB!TB1_1,4,FALSE)*-1</f>
        <v>1178.01</v>
      </c>
      <c r="N13" s="41">
        <f t="shared" si="2"/>
        <v>0.13173780596908102</v>
      </c>
      <c r="P13" s="11">
        <f>VLOOKUP(A13,TB!TB1_1,5,FALSE)*-1</f>
        <v>1178.01</v>
      </c>
      <c r="Q13" s="41">
        <f t="shared" si="3"/>
        <v>0.13173780596908102</v>
      </c>
    </row>
    <row r="14" spans="1:17" x14ac:dyDescent="0.25">
      <c r="A14" s="36" t="s">
        <v>793</v>
      </c>
      <c r="C14" t="s">
        <v>1348</v>
      </c>
      <c r="G14" s="11">
        <f>VLOOKUP(A14,TB!TB,4,FALSE)*-1</f>
        <v>0</v>
      </c>
      <c r="H14" s="41">
        <f t="shared" si="0"/>
        <v>0</v>
      </c>
      <c r="J14" s="11">
        <f>VLOOKUP(A14,TB!TB,5,FALSE)*-1</f>
        <v>0</v>
      </c>
      <c r="K14" s="41">
        <f t="shared" si="1"/>
        <v>0</v>
      </c>
      <c r="M14" s="11">
        <f>VLOOKUP(A14,TB!TB1_1,4,FALSE)*-1</f>
        <v>0</v>
      </c>
      <c r="N14" s="41">
        <f t="shared" si="2"/>
        <v>0</v>
      </c>
      <c r="P14" s="11">
        <f>VLOOKUP(A14,TB!TB1_1,5,FALSE)*-1</f>
        <v>0</v>
      </c>
      <c r="Q14" s="41">
        <f t="shared" si="3"/>
        <v>0</v>
      </c>
    </row>
    <row r="15" spans="1:17" x14ac:dyDescent="0.25">
      <c r="A15" s="36" t="s">
        <v>794</v>
      </c>
      <c r="C15" t="s">
        <v>1347</v>
      </c>
      <c r="G15" s="11">
        <f>VLOOKUP(A15,TB!TB,4,FALSE)*-1</f>
        <v>0</v>
      </c>
      <c r="H15" s="41">
        <f t="shared" si="0"/>
        <v>0</v>
      </c>
      <c r="J15" s="11">
        <f>VLOOKUP(A15,TB!TB,5,FALSE)*-1</f>
        <v>0</v>
      </c>
      <c r="K15" s="41">
        <f t="shared" si="1"/>
        <v>0</v>
      </c>
      <c r="M15" s="11">
        <f>VLOOKUP(A15,TB!TB1_1,4,FALSE)*-1</f>
        <v>194.96</v>
      </c>
      <c r="N15" s="41">
        <f t="shared" si="2"/>
        <v>2.1802533638705983E-2</v>
      </c>
      <c r="P15" s="11">
        <f>VLOOKUP(A15,TB!TB1_1,5,FALSE)*-1</f>
        <v>194.96</v>
      </c>
      <c r="Q15" s="41">
        <f t="shared" si="3"/>
        <v>2.1802533638705983E-2</v>
      </c>
    </row>
    <row r="16" spans="1:17" x14ac:dyDescent="0.25">
      <c r="A16" s="36" t="s">
        <v>813</v>
      </c>
      <c r="C16" t="s">
        <v>1079</v>
      </c>
      <c r="G16" s="11">
        <f>VLOOKUP(A16,TB!TB,4,FALSE)*-1</f>
        <v>0</v>
      </c>
      <c r="H16" s="41">
        <f t="shared" si="0"/>
        <v>0</v>
      </c>
      <c r="J16" s="11">
        <f>VLOOKUP(A16,TB!TB,5,FALSE)*-1</f>
        <v>0</v>
      </c>
      <c r="K16" s="41">
        <f t="shared" si="1"/>
        <v>0</v>
      </c>
      <c r="M16" s="11">
        <f>VLOOKUP(A16,TB!TB1_1,4,FALSE)*-1</f>
        <v>0</v>
      </c>
      <c r="N16" s="41">
        <f t="shared" si="2"/>
        <v>0</v>
      </c>
      <c r="P16" s="11">
        <f>VLOOKUP(A16,TB!TB1_1,5,FALSE)*-1</f>
        <v>0</v>
      </c>
      <c r="Q16" s="41">
        <f t="shared" si="3"/>
        <v>0</v>
      </c>
    </row>
    <row r="17" spans="1:17" x14ac:dyDescent="0.25">
      <c r="A17" s="36" t="s">
        <v>814</v>
      </c>
      <c r="C17" t="s">
        <v>1080</v>
      </c>
      <c r="G17" s="11">
        <f>VLOOKUP(A17,TB!TB,4,FALSE)*-1</f>
        <v>0</v>
      </c>
      <c r="H17" s="41">
        <f t="shared" si="0"/>
        <v>0</v>
      </c>
      <c r="J17" s="11">
        <f>VLOOKUP(A17,TB!TB,5,FALSE)*-1</f>
        <v>0</v>
      </c>
      <c r="K17" s="41">
        <f t="shared" si="1"/>
        <v>0</v>
      </c>
      <c r="M17" s="11">
        <f>VLOOKUP(A17,TB!TB1_1,4,FALSE)*-1</f>
        <v>0</v>
      </c>
      <c r="N17" s="41">
        <f t="shared" si="2"/>
        <v>0</v>
      </c>
      <c r="P17" s="11">
        <f>VLOOKUP(A17,TB!TB1_1,5,FALSE)*-1</f>
        <v>0</v>
      </c>
      <c r="Q17" s="41">
        <f t="shared" si="3"/>
        <v>0</v>
      </c>
    </row>
    <row r="18" spans="1:17" x14ac:dyDescent="0.25">
      <c r="A18" s="36" t="s">
        <v>805</v>
      </c>
      <c r="C18" t="s">
        <v>1081</v>
      </c>
      <c r="G18" s="11">
        <f>VLOOKUP(A18,TB!TB,4,FALSE)*-1</f>
        <v>0</v>
      </c>
      <c r="H18" s="41">
        <f t="shared" si="0"/>
        <v>0</v>
      </c>
      <c r="J18" s="11">
        <f>VLOOKUP(A18,TB!TB,5,FALSE)*-1</f>
        <v>0</v>
      </c>
      <c r="K18" s="41">
        <f t="shared" si="1"/>
        <v>0</v>
      </c>
      <c r="M18" s="11">
        <f>VLOOKUP(A18,TB!TB1_1,4,FALSE)*-1</f>
        <v>0</v>
      </c>
      <c r="N18" s="41">
        <f t="shared" si="2"/>
        <v>0</v>
      </c>
      <c r="P18" s="11">
        <f>VLOOKUP(A18,TB!TB1_1,5,FALSE)*-1</f>
        <v>0</v>
      </c>
      <c r="Q18" s="41">
        <f t="shared" si="3"/>
        <v>0</v>
      </c>
    </row>
    <row r="19" spans="1:17" x14ac:dyDescent="0.25">
      <c r="A19" s="36" t="s">
        <v>806</v>
      </c>
      <c r="C19" t="s">
        <v>1082</v>
      </c>
      <c r="G19" s="11">
        <f>VLOOKUP(A19,TB!TB,4,FALSE)*-1</f>
        <v>0</v>
      </c>
      <c r="H19" s="41">
        <f t="shared" si="0"/>
        <v>0</v>
      </c>
      <c r="J19" s="11">
        <f>VLOOKUP(A19,TB!TB,5,FALSE)*-1</f>
        <v>0</v>
      </c>
      <c r="K19" s="41">
        <f t="shared" si="1"/>
        <v>0</v>
      </c>
      <c r="M19" s="11">
        <f>VLOOKUP(A19,TB!TB1_1,4,FALSE)*-1</f>
        <v>0</v>
      </c>
      <c r="N19" s="41">
        <f t="shared" si="2"/>
        <v>0</v>
      </c>
      <c r="P19" s="11">
        <f>VLOOKUP(A19,TB!TB1_1,5,FALSE)*-1</f>
        <v>0</v>
      </c>
      <c r="Q19" s="41">
        <f t="shared" si="3"/>
        <v>0</v>
      </c>
    </row>
    <row r="20" spans="1:17" x14ac:dyDescent="0.25">
      <c r="A20" s="36" t="s">
        <v>785</v>
      </c>
      <c r="C20" t="s">
        <v>1346</v>
      </c>
      <c r="G20" s="11">
        <f>VLOOKUP(A20,TB!TB,4,FALSE)*-1</f>
        <v>0</v>
      </c>
      <c r="H20" s="41">
        <f t="shared" si="0"/>
        <v>0</v>
      </c>
      <c r="J20" s="11">
        <f>VLOOKUP(A20,TB!TB,5,FALSE)*-1</f>
        <v>0</v>
      </c>
      <c r="K20" s="41">
        <f t="shared" si="1"/>
        <v>0</v>
      </c>
      <c r="M20" s="11">
        <f>VLOOKUP(A20,TB!TB1_1,4,FALSE)*-1</f>
        <v>399.11</v>
      </c>
      <c r="N20" s="41">
        <f t="shared" si="2"/>
        <v>4.4632792370455199E-2</v>
      </c>
      <c r="P20" s="11">
        <f>VLOOKUP(A20,TB!TB1_1,5,FALSE)*-1</f>
        <v>399.11</v>
      </c>
      <c r="Q20" s="41">
        <f t="shared" si="3"/>
        <v>4.4632792370455199E-2</v>
      </c>
    </row>
    <row r="21" spans="1:17" x14ac:dyDescent="0.25">
      <c r="A21" s="36" t="s">
        <v>807</v>
      </c>
      <c r="C21" t="s">
        <v>1083</v>
      </c>
      <c r="G21" s="11">
        <f>VLOOKUP(A21,TB!TB,4,FALSE)*-1</f>
        <v>0</v>
      </c>
      <c r="H21" s="41">
        <f t="shared" si="0"/>
        <v>0</v>
      </c>
      <c r="J21" s="11">
        <f>VLOOKUP(A21,TB!TB,5,FALSE)*-1</f>
        <v>0</v>
      </c>
      <c r="K21" s="41">
        <f t="shared" si="1"/>
        <v>0</v>
      </c>
      <c r="M21" s="11">
        <f>VLOOKUP(A21,TB!TB1_1,4,FALSE)*-1</f>
        <v>0</v>
      </c>
      <c r="N21" s="41">
        <f t="shared" si="2"/>
        <v>0</v>
      </c>
      <c r="P21" s="11">
        <f>VLOOKUP(A21,TB!TB1_1,5,FALSE)*-1</f>
        <v>0</v>
      </c>
      <c r="Q21" s="41">
        <f t="shared" si="3"/>
        <v>0</v>
      </c>
    </row>
    <row r="22" spans="1:17" x14ac:dyDescent="0.25">
      <c r="A22" s="36" t="s">
        <v>808</v>
      </c>
      <c r="C22" t="s">
        <v>1084</v>
      </c>
      <c r="G22" s="11">
        <f>VLOOKUP(A22,TB!TB,4,FALSE)*-1</f>
        <v>0</v>
      </c>
      <c r="H22" s="41">
        <f t="shared" si="0"/>
        <v>0</v>
      </c>
      <c r="J22" s="11">
        <f>VLOOKUP(A22,TB!TB,5,FALSE)*-1</f>
        <v>0</v>
      </c>
      <c r="K22" s="41">
        <f t="shared" si="1"/>
        <v>0</v>
      </c>
      <c r="M22" s="11">
        <f>VLOOKUP(A22,TB!TB1_1,4,FALSE)*-1</f>
        <v>0</v>
      </c>
      <c r="N22" s="41">
        <f t="shared" si="2"/>
        <v>0</v>
      </c>
      <c r="P22" s="11">
        <f>VLOOKUP(A22,TB!TB1_1,5,FALSE)*-1</f>
        <v>0</v>
      </c>
      <c r="Q22" s="41">
        <f t="shared" si="3"/>
        <v>0</v>
      </c>
    </row>
    <row r="23" spans="1:17" x14ac:dyDescent="0.25">
      <c r="A23" s="36" t="s">
        <v>809</v>
      </c>
      <c r="C23" t="s">
        <v>1085</v>
      </c>
      <c r="G23" s="11">
        <f>VLOOKUP(A23,TB!TB,4,FALSE)*-1</f>
        <v>0</v>
      </c>
      <c r="H23" s="41">
        <f t="shared" si="0"/>
        <v>0</v>
      </c>
      <c r="J23" s="11">
        <f>VLOOKUP(A23,TB!TB,5,FALSE)*-1</f>
        <v>0</v>
      </c>
      <c r="K23" s="41">
        <f t="shared" si="1"/>
        <v>0</v>
      </c>
      <c r="M23" s="11">
        <f>VLOOKUP(A23,TB!TB1_1,4,FALSE)*-1</f>
        <v>0</v>
      </c>
      <c r="N23" s="41">
        <f t="shared" si="2"/>
        <v>0</v>
      </c>
      <c r="P23" s="11">
        <f>VLOOKUP(A23,TB!TB1_1,5,FALSE)*-1</f>
        <v>0</v>
      </c>
      <c r="Q23" s="41">
        <f t="shared" si="3"/>
        <v>0</v>
      </c>
    </row>
    <row r="24" spans="1:17" x14ac:dyDescent="0.25">
      <c r="A24" s="36" t="s">
        <v>810</v>
      </c>
      <c r="C24" t="s">
        <v>1086</v>
      </c>
      <c r="G24" s="11">
        <f>VLOOKUP(A24,TB!TB,4,FALSE)*-1</f>
        <v>0</v>
      </c>
      <c r="H24" s="41">
        <f t="shared" si="0"/>
        <v>0</v>
      </c>
      <c r="J24" s="11">
        <f>VLOOKUP(A24,TB!TB,5,FALSE)*-1</f>
        <v>0</v>
      </c>
      <c r="K24" s="41">
        <f t="shared" si="1"/>
        <v>0</v>
      </c>
      <c r="M24" s="11">
        <f>VLOOKUP(A24,TB!TB1_1,4,FALSE)*-1</f>
        <v>0</v>
      </c>
      <c r="N24" s="41">
        <f t="shared" si="2"/>
        <v>0</v>
      </c>
      <c r="P24" s="11">
        <f>VLOOKUP(A24,TB!TB1_1,5,FALSE)*-1</f>
        <v>0</v>
      </c>
      <c r="Q24" s="41">
        <f t="shared" si="3"/>
        <v>0</v>
      </c>
    </row>
    <row r="25" spans="1:17" x14ac:dyDescent="0.25">
      <c r="A25" s="36" t="s">
        <v>789</v>
      </c>
      <c r="C25" t="s">
        <v>241</v>
      </c>
      <c r="G25" s="11">
        <f>VLOOKUP(A25,TB!TB,4,FALSE)*-1</f>
        <v>0</v>
      </c>
      <c r="H25" s="41">
        <f t="shared" si="0"/>
        <v>0</v>
      </c>
      <c r="J25" s="11">
        <f>VLOOKUP(A25,TB!TB,5,FALSE)*-1</f>
        <v>0</v>
      </c>
      <c r="K25" s="41">
        <f t="shared" si="1"/>
        <v>0</v>
      </c>
      <c r="M25" s="11">
        <f>VLOOKUP(A25,TB!TB1_1,4,FALSE)*-1</f>
        <v>0</v>
      </c>
      <c r="N25" s="41">
        <f t="shared" si="2"/>
        <v>0</v>
      </c>
      <c r="P25" s="11">
        <f>VLOOKUP(A25,TB!TB1_1,5,FALSE)*-1</f>
        <v>0</v>
      </c>
      <c r="Q25" s="41">
        <f t="shared" si="3"/>
        <v>0</v>
      </c>
    </row>
    <row r="26" spans="1:17" x14ac:dyDescent="0.25">
      <c r="A26" s="36" t="s">
        <v>812</v>
      </c>
      <c r="C26" t="s">
        <v>1087</v>
      </c>
      <c r="G26" s="11">
        <f>VLOOKUP(A26,TB!TB,4,FALSE)*-1</f>
        <v>0</v>
      </c>
      <c r="H26" s="41">
        <f t="shared" si="0"/>
        <v>0</v>
      </c>
      <c r="J26" s="11">
        <f>VLOOKUP(A26,TB!TB,5,FALSE)*-1</f>
        <v>0</v>
      </c>
      <c r="K26" s="41">
        <f t="shared" si="1"/>
        <v>0</v>
      </c>
      <c r="M26" s="11">
        <f>VLOOKUP(A26,TB!TB1_1,4,FALSE)*-1</f>
        <v>0</v>
      </c>
      <c r="N26" s="41">
        <f t="shared" si="2"/>
        <v>0</v>
      </c>
      <c r="P26" s="11">
        <f>VLOOKUP(A26,TB!TB1_1,5,FALSE)*-1</f>
        <v>0</v>
      </c>
      <c r="Q26" s="41">
        <f t="shared" si="3"/>
        <v>0</v>
      </c>
    </row>
    <row r="27" spans="1:17" x14ac:dyDescent="0.25">
      <c r="A27" s="36" t="s">
        <v>811</v>
      </c>
      <c r="C27" t="s">
        <v>1088</v>
      </c>
      <c r="G27" s="29">
        <f>VLOOKUP(A27,TB!TB,4,FALSE)*-1</f>
        <v>0</v>
      </c>
      <c r="H27" s="50">
        <f t="shared" si="0"/>
        <v>0</v>
      </c>
      <c r="J27" s="29">
        <f>VLOOKUP(A27,TB!TB,5,FALSE)*-1</f>
        <v>0</v>
      </c>
      <c r="K27" s="50">
        <f t="shared" si="1"/>
        <v>0</v>
      </c>
      <c r="M27" s="29">
        <f>VLOOKUP(A27,TB!TB1_1,4,FALSE)*-1</f>
        <v>0</v>
      </c>
      <c r="N27" s="50">
        <f t="shared" si="2"/>
        <v>0</v>
      </c>
      <c r="P27" s="29">
        <f>VLOOKUP(A27,TB!TB1_1,5,FALSE)*-1</f>
        <v>0</v>
      </c>
      <c r="Q27" s="50">
        <f t="shared" si="3"/>
        <v>0</v>
      </c>
    </row>
    <row r="28" spans="1:17" x14ac:dyDescent="0.25">
      <c r="C28" s="88" t="s">
        <v>1038</v>
      </c>
      <c r="G28" s="26">
        <f>SUM(G7:G27)</f>
        <v>28791.96</v>
      </c>
      <c r="H28" s="41">
        <f t="shared" si="0"/>
        <v>1</v>
      </c>
      <c r="I28" s="52"/>
      <c r="J28" s="26">
        <f>SUM(J7:J27)</f>
        <v>28791.96</v>
      </c>
      <c r="K28" s="41">
        <f t="shared" si="1"/>
        <v>1</v>
      </c>
      <c r="L28" s="52"/>
      <c r="M28" s="26">
        <f>SUM(M7:M27)</f>
        <v>8942.08</v>
      </c>
      <c r="N28" s="41">
        <f t="shared" si="2"/>
        <v>1</v>
      </c>
      <c r="O28" s="52"/>
      <c r="P28" s="26">
        <f>SUM(P7:P27)</f>
        <v>8942.08</v>
      </c>
      <c r="Q28" s="41">
        <f t="shared" si="3"/>
        <v>1</v>
      </c>
    </row>
    <row r="29" spans="1:17" x14ac:dyDescent="0.25">
      <c r="G29" s="11"/>
      <c r="H29" s="41"/>
      <c r="J29" s="11"/>
      <c r="K29" s="41"/>
      <c r="M29" s="11"/>
      <c r="N29" s="41"/>
      <c r="P29" s="11"/>
      <c r="Q29" s="41"/>
    </row>
    <row r="30" spans="1:17" x14ac:dyDescent="0.25">
      <c r="A30" s="36" t="s">
        <v>831</v>
      </c>
      <c r="C30" t="s">
        <v>1090</v>
      </c>
      <c r="G30" s="11">
        <f>VLOOKUP(A30,TB!TB,4,FALSE)</f>
        <v>4723.25</v>
      </c>
      <c r="H30" s="41">
        <f>IF(G$28,G30/G$28,0)</f>
        <v>0.16404753271399378</v>
      </c>
      <c r="J30" s="11">
        <f>VLOOKUP(A30,TB!TB,5,FALSE)</f>
        <v>4723.25</v>
      </c>
      <c r="K30" s="41">
        <f>IF(J$28,J30/J$28,0)</f>
        <v>0.16404753271399378</v>
      </c>
      <c r="M30" s="11">
        <f>VLOOKUP(A30,TB!TB1_1,4,FALSE)</f>
        <v>1338</v>
      </c>
      <c r="N30" s="41">
        <f>IF(M$28,M30/M$28,0)</f>
        <v>0.14962961637560837</v>
      </c>
      <c r="P30" s="11">
        <f>VLOOKUP(A30,TB!TB1_1,5,FALSE)</f>
        <v>1338</v>
      </c>
      <c r="Q30" s="41">
        <f>IF(P$28,P30/P$28,0)</f>
        <v>0.14962961637560837</v>
      </c>
    </row>
    <row r="31" spans="1:17" x14ac:dyDescent="0.25">
      <c r="A31" s="36" t="s">
        <v>835</v>
      </c>
      <c r="C31" t="s">
        <v>247</v>
      </c>
      <c r="G31" s="11">
        <f>VLOOKUP(A31,TB!TB,4,FALSE)</f>
        <v>0</v>
      </c>
      <c r="H31" s="41">
        <f>IF(G$28,G31/G$28,0)</f>
        <v>0</v>
      </c>
      <c r="J31" s="11">
        <f>VLOOKUP(A31,TB!TB,5,FALSE)</f>
        <v>0</v>
      </c>
      <c r="K31" s="41">
        <f>IF(J$28,J31/J$28,0)</f>
        <v>0</v>
      </c>
      <c r="M31" s="11">
        <f>VLOOKUP(A31,TB!TB1_1,4,FALSE)</f>
        <v>0</v>
      </c>
      <c r="N31" s="41">
        <f>IF(M$28,M31/M$28,0)</f>
        <v>0</v>
      </c>
      <c r="P31" s="11">
        <f>VLOOKUP(A31,TB!TB1_1,5,FALSE)</f>
        <v>0</v>
      </c>
      <c r="Q31" s="41">
        <f>IF(P$28,P31/P$28,0)</f>
        <v>0</v>
      </c>
    </row>
    <row r="32" spans="1:17" x14ac:dyDescent="0.25">
      <c r="A32" s="36" t="s">
        <v>837</v>
      </c>
      <c r="C32" t="s">
        <v>1344</v>
      </c>
      <c r="G32" s="11">
        <f>VLOOKUP(A32,TB!TB,4,FALSE)</f>
        <v>0</v>
      </c>
      <c r="H32" s="41">
        <f t="shared" ref="H32:H45" si="4">IF(G$28,G32/G$28,0)</f>
        <v>0</v>
      </c>
      <c r="J32" s="11">
        <f>VLOOKUP(A32,TB!TB,5,FALSE)</f>
        <v>0</v>
      </c>
      <c r="K32" s="41">
        <f t="shared" ref="K32:K45" si="5">IF(J$28,J32/J$28,0)</f>
        <v>0</v>
      </c>
      <c r="M32" s="11">
        <f>VLOOKUP(A32,TB!TB1_1,4,FALSE)</f>
        <v>0</v>
      </c>
      <c r="N32" s="41">
        <f t="shared" ref="N32:N44" si="6">IF(M$28,M32/M$28,0)</f>
        <v>0</v>
      </c>
      <c r="P32" s="11">
        <f>VLOOKUP(A32,TB!TB1_1,5,FALSE)</f>
        <v>0</v>
      </c>
      <c r="Q32" s="41">
        <f t="shared" ref="Q32:Q44" si="7">IF(P$28,P32/P$28,0)</f>
        <v>0</v>
      </c>
    </row>
    <row r="33" spans="1:17" x14ac:dyDescent="0.25">
      <c r="A33" s="36" t="s">
        <v>838</v>
      </c>
      <c r="C33" t="s">
        <v>1177</v>
      </c>
      <c r="G33" s="11">
        <f>VLOOKUP(A33,TB!TB,4,FALSE)</f>
        <v>0</v>
      </c>
      <c r="H33" s="41">
        <f t="shared" si="4"/>
        <v>0</v>
      </c>
      <c r="J33" s="11">
        <f>VLOOKUP(A33,TB!TB,5,FALSE)</f>
        <v>0</v>
      </c>
      <c r="K33" s="41">
        <f t="shared" si="5"/>
        <v>0</v>
      </c>
      <c r="M33" s="11">
        <f>VLOOKUP(A33,TB!TB1_1,4,FALSE)</f>
        <v>0</v>
      </c>
      <c r="N33" s="41">
        <f t="shared" si="6"/>
        <v>0</v>
      </c>
      <c r="P33" s="11">
        <f>VLOOKUP(A33,TB!TB1_1,5,FALSE)</f>
        <v>0</v>
      </c>
      <c r="Q33" s="41">
        <f t="shared" si="7"/>
        <v>0</v>
      </c>
    </row>
    <row r="34" spans="1:17" x14ac:dyDescent="0.25">
      <c r="A34" s="36" t="s">
        <v>839</v>
      </c>
      <c r="C34" t="s">
        <v>1314</v>
      </c>
      <c r="G34" s="11">
        <f>VLOOKUP(A34,TB!TB,4,FALSE)</f>
        <v>2802</v>
      </c>
      <c r="H34" s="41">
        <f t="shared" si="4"/>
        <v>9.7318834841393226E-2</v>
      </c>
      <c r="J34" s="11">
        <f>VLOOKUP(A34,TB!TB,5,FALSE)</f>
        <v>2802</v>
      </c>
      <c r="K34" s="41">
        <f t="shared" si="5"/>
        <v>9.7318834841393226E-2</v>
      </c>
      <c r="M34" s="11">
        <f>VLOOKUP(A34,TB!TB1_1,4,FALSE)</f>
        <v>366</v>
      </c>
      <c r="N34" s="41">
        <f t="shared" si="6"/>
        <v>4.0930074434583456E-2</v>
      </c>
      <c r="P34" s="11">
        <f>VLOOKUP(A34,TB!TB1_1,5,FALSE)</f>
        <v>366</v>
      </c>
      <c r="Q34" s="41">
        <f t="shared" si="7"/>
        <v>4.0930074434583456E-2</v>
      </c>
    </row>
    <row r="35" spans="1:17" x14ac:dyDescent="0.25">
      <c r="A35" s="36" t="s">
        <v>840</v>
      </c>
      <c r="C35" t="s">
        <v>355</v>
      </c>
      <c r="G35" s="11">
        <f>VLOOKUP(A35,TB!TB,4,FALSE)</f>
        <v>35</v>
      </c>
      <c r="H35" s="41">
        <f t="shared" si="4"/>
        <v>1.2156171375620139E-3</v>
      </c>
      <c r="J35" s="11">
        <f>VLOOKUP(A35,TB!TB,5,FALSE)</f>
        <v>35</v>
      </c>
      <c r="K35" s="41">
        <f t="shared" si="5"/>
        <v>1.2156171375620139E-3</v>
      </c>
      <c r="M35" s="11">
        <f>VLOOKUP(A35,TB!TB1_1,4,FALSE)</f>
        <v>0</v>
      </c>
      <c r="N35" s="41">
        <f t="shared" si="6"/>
        <v>0</v>
      </c>
      <c r="P35" s="11">
        <f>VLOOKUP(A35,TB!TB1_1,5,FALSE)</f>
        <v>0</v>
      </c>
      <c r="Q35" s="41">
        <f t="shared" si="7"/>
        <v>0</v>
      </c>
    </row>
    <row r="36" spans="1:17" x14ac:dyDescent="0.25">
      <c r="A36" s="36" t="s">
        <v>841</v>
      </c>
      <c r="C36" t="s">
        <v>357</v>
      </c>
      <c r="G36" s="11">
        <f>VLOOKUP(A36,TB!TB,4,FALSE)</f>
        <v>0</v>
      </c>
      <c r="H36" s="41">
        <f t="shared" si="4"/>
        <v>0</v>
      </c>
      <c r="J36" s="11">
        <f>VLOOKUP(A36,TB!TB,5,FALSE)</f>
        <v>0</v>
      </c>
      <c r="K36" s="41">
        <f t="shared" si="5"/>
        <v>0</v>
      </c>
      <c r="M36" s="11">
        <f>VLOOKUP(A36,TB!TB1_1,4,FALSE)</f>
        <v>0</v>
      </c>
      <c r="N36" s="41">
        <f t="shared" si="6"/>
        <v>0</v>
      </c>
      <c r="P36" s="11">
        <f>VLOOKUP(A36,TB!TB1_1,5,FALSE)</f>
        <v>0</v>
      </c>
      <c r="Q36" s="41">
        <f t="shared" si="7"/>
        <v>0</v>
      </c>
    </row>
    <row r="37" spans="1:17" x14ac:dyDescent="0.25">
      <c r="A37" s="36" t="s">
        <v>847</v>
      </c>
      <c r="C37" t="s">
        <v>1092</v>
      </c>
      <c r="G37" s="11">
        <f>VLOOKUP(A37,TB!TB,4,FALSE)</f>
        <v>0</v>
      </c>
      <c r="H37" s="41">
        <f t="shared" si="4"/>
        <v>0</v>
      </c>
      <c r="J37" s="11">
        <f>VLOOKUP(A37,TB!TB,5,FALSE)</f>
        <v>0</v>
      </c>
      <c r="K37" s="41">
        <f t="shared" si="5"/>
        <v>0</v>
      </c>
      <c r="M37" s="11">
        <f>VLOOKUP(A37,TB!TB1_1,4,FALSE)</f>
        <v>0</v>
      </c>
      <c r="N37" s="41">
        <f t="shared" si="6"/>
        <v>0</v>
      </c>
      <c r="P37" s="11">
        <f>VLOOKUP(A37,TB!TB1_1,5,FALSE)</f>
        <v>0</v>
      </c>
      <c r="Q37" s="41">
        <f t="shared" si="7"/>
        <v>0</v>
      </c>
    </row>
    <row r="38" spans="1:17" x14ac:dyDescent="0.25">
      <c r="A38" s="36" t="s">
        <v>848</v>
      </c>
      <c r="C38" t="s">
        <v>1089</v>
      </c>
      <c r="G38" s="11">
        <f>VLOOKUP(A38,TB!TB,4,FALSE)</f>
        <v>0</v>
      </c>
      <c r="H38" s="41">
        <f t="shared" si="4"/>
        <v>0</v>
      </c>
      <c r="J38" s="11">
        <f>VLOOKUP(A38,TB!TB,5,FALSE)</f>
        <v>0</v>
      </c>
      <c r="K38" s="41">
        <f t="shared" si="5"/>
        <v>0</v>
      </c>
      <c r="M38" s="11">
        <f>VLOOKUP(A38,TB!TB1_1,4,FALSE)</f>
        <v>0</v>
      </c>
      <c r="N38" s="41">
        <f t="shared" si="6"/>
        <v>0</v>
      </c>
      <c r="P38" s="11">
        <f>VLOOKUP(A38,TB!TB1_1,5,FALSE)</f>
        <v>0</v>
      </c>
      <c r="Q38" s="41">
        <f t="shared" si="7"/>
        <v>0</v>
      </c>
    </row>
    <row r="39" spans="1:17" x14ac:dyDescent="0.25">
      <c r="A39" s="36" t="s">
        <v>854</v>
      </c>
      <c r="C39" t="s">
        <v>1091</v>
      </c>
      <c r="G39" s="11">
        <f>VLOOKUP(A39,TB!TB,4,FALSE)</f>
        <v>0</v>
      </c>
      <c r="H39" s="41">
        <f t="shared" si="4"/>
        <v>0</v>
      </c>
      <c r="J39" s="11">
        <f>VLOOKUP(A39,TB!TB,5,FALSE)</f>
        <v>0</v>
      </c>
      <c r="K39" s="41">
        <f t="shared" si="5"/>
        <v>0</v>
      </c>
      <c r="M39" s="11">
        <f>VLOOKUP(A39,TB!TB1_1,4,FALSE)</f>
        <v>0</v>
      </c>
      <c r="N39" s="41">
        <f t="shared" si="6"/>
        <v>0</v>
      </c>
      <c r="P39" s="11">
        <f>VLOOKUP(A39,TB!TB1_1,5,FALSE)</f>
        <v>0</v>
      </c>
      <c r="Q39" s="41">
        <f t="shared" si="7"/>
        <v>0</v>
      </c>
    </row>
    <row r="40" spans="1:17" x14ac:dyDescent="0.25">
      <c r="A40" s="36" t="s">
        <v>857</v>
      </c>
      <c r="C40" t="s">
        <v>1093</v>
      </c>
      <c r="G40" s="11">
        <f>VLOOKUP(A40,TB!TB,4,FALSE)</f>
        <v>987.84</v>
      </c>
      <c r="H40" s="41">
        <f t="shared" si="4"/>
        <v>3.4309578090550283E-2</v>
      </c>
      <c r="J40" s="11">
        <f>VLOOKUP(A40,TB!TB,5,FALSE)</f>
        <v>987.84</v>
      </c>
      <c r="K40" s="41">
        <f t="shared" si="5"/>
        <v>3.4309578090550283E-2</v>
      </c>
      <c r="M40" s="11">
        <f>VLOOKUP(A40,TB!TB1_1,4,FALSE)</f>
        <v>0</v>
      </c>
      <c r="N40" s="41">
        <f t="shared" si="6"/>
        <v>0</v>
      </c>
      <c r="P40" s="11">
        <f>VLOOKUP(A40,TB!TB1_1,5,FALSE)</f>
        <v>0</v>
      </c>
      <c r="Q40" s="41">
        <f t="shared" si="7"/>
        <v>0</v>
      </c>
    </row>
    <row r="41" spans="1:17" x14ac:dyDescent="0.25">
      <c r="A41" s="36" t="s">
        <v>858</v>
      </c>
      <c r="C41" t="s">
        <v>1082</v>
      </c>
      <c r="G41" s="11">
        <f>VLOOKUP(A41,TB!TB,4,FALSE)</f>
        <v>0</v>
      </c>
      <c r="H41" s="41">
        <f t="shared" si="4"/>
        <v>0</v>
      </c>
      <c r="J41" s="11">
        <f>VLOOKUP(A41,TB!TB,5,FALSE)</f>
        <v>0</v>
      </c>
      <c r="K41" s="41">
        <f t="shared" si="5"/>
        <v>0</v>
      </c>
      <c r="M41" s="11">
        <f>VLOOKUP(A41,TB!TB1_1,4,FALSE)</f>
        <v>0</v>
      </c>
      <c r="N41" s="41">
        <f t="shared" si="6"/>
        <v>0</v>
      </c>
      <c r="P41" s="11">
        <f>VLOOKUP(A41,TB!TB1_1,5,FALSE)</f>
        <v>0</v>
      </c>
      <c r="Q41" s="41">
        <f t="shared" si="7"/>
        <v>0</v>
      </c>
    </row>
    <row r="42" spans="1:17" x14ac:dyDescent="0.25">
      <c r="A42" s="36" t="s">
        <v>860</v>
      </c>
      <c r="C42" t="s">
        <v>388</v>
      </c>
      <c r="G42" s="11">
        <f>VLOOKUP(A42,TB!TB,4,FALSE)</f>
        <v>0</v>
      </c>
      <c r="H42" s="41">
        <f t="shared" si="4"/>
        <v>0</v>
      </c>
      <c r="J42" s="11">
        <f>VLOOKUP(A42,TB!TB,5,FALSE)</f>
        <v>0</v>
      </c>
      <c r="K42" s="41">
        <f t="shared" si="5"/>
        <v>0</v>
      </c>
      <c r="M42" s="11">
        <f>VLOOKUP(A42,TB!TB1_1,4,FALSE)</f>
        <v>0</v>
      </c>
      <c r="N42" s="41">
        <f t="shared" si="6"/>
        <v>0</v>
      </c>
      <c r="P42" s="11">
        <f>VLOOKUP(A42,TB!TB1_1,5,FALSE)</f>
        <v>0</v>
      </c>
      <c r="Q42" s="41">
        <f t="shared" si="7"/>
        <v>0</v>
      </c>
    </row>
    <row r="43" spans="1:17" x14ac:dyDescent="0.25">
      <c r="A43" s="36" t="s">
        <v>871</v>
      </c>
      <c r="C43" t="s">
        <v>1094</v>
      </c>
      <c r="G43" s="11">
        <f>VLOOKUP(A43,TB!TB,4,FALSE)</f>
        <v>0</v>
      </c>
      <c r="H43" s="41">
        <f t="shared" si="4"/>
        <v>0</v>
      </c>
      <c r="J43" s="11">
        <f>VLOOKUP(A43,TB!TB,5,FALSE)</f>
        <v>0</v>
      </c>
      <c r="K43" s="41">
        <f t="shared" si="5"/>
        <v>0</v>
      </c>
      <c r="M43" s="11">
        <f>VLOOKUP(A43,TB!TB1_1,4,FALSE)</f>
        <v>0</v>
      </c>
      <c r="N43" s="41">
        <f t="shared" si="6"/>
        <v>0</v>
      </c>
      <c r="P43" s="11">
        <f>VLOOKUP(A43,TB!TB1_1,5,FALSE)</f>
        <v>0</v>
      </c>
      <c r="Q43" s="41">
        <f t="shared" si="7"/>
        <v>0</v>
      </c>
    </row>
    <row r="44" spans="1:17" x14ac:dyDescent="0.25">
      <c r="A44" s="36" t="s">
        <v>872</v>
      </c>
      <c r="C44" t="s">
        <v>1095</v>
      </c>
      <c r="G44" s="59">
        <f>VLOOKUP(A44,TB!TB,4,FALSE)</f>
        <v>0</v>
      </c>
      <c r="H44" s="41">
        <f t="shared" si="4"/>
        <v>0</v>
      </c>
      <c r="J44" s="59">
        <f>VLOOKUP(A44,TB!TB,5,FALSE)</f>
        <v>0</v>
      </c>
      <c r="K44" s="41">
        <f t="shared" si="5"/>
        <v>0</v>
      </c>
      <c r="M44" s="59">
        <f>VLOOKUP(A44,TB!TB1_1,4,FALSE)</f>
        <v>0</v>
      </c>
      <c r="N44" s="41">
        <f t="shared" si="6"/>
        <v>0</v>
      </c>
      <c r="P44" s="59">
        <f>VLOOKUP(A44,TB!TB1_1,5,FALSE)</f>
        <v>0</v>
      </c>
      <c r="Q44" s="41">
        <f t="shared" si="7"/>
        <v>0</v>
      </c>
    </row>
    <row r="45" spans="1:17" x14ac:dyDescent="0.25">
      <c r="A45" s="39" t="s">
        <v>1512</v>
      </c>
      <c r="C45" t="s">
        <v>1345</v>
      </c>
      <c r="G45" s="59">
        <f>VLOOKUP(A45,TB!TB,4,FALSE)</f>
        <v>241.5</v>
      </c>
      <c r="H45" s="41">
        <f t="shared" si="4"/>
        <v>8.3877582491778957E-3</v>
      </c>
      <c r="J45" s="59">
        <f>VLOOKUP(A45,TB!TB,5,FALSE)</f>
        <v>241.5</v>
      </c>
      <c r="K45" s="41">
        <f t="shared" si="5"/>
        <v>8.3877582491778957E-3</v>
      </c>
      <c r="M45" s="59">
        <f>VLOOKUP(A45,TB!TB1_1,4,FALSE)</f>
        <v>-5352.12</v>
      </c>
      <c r="N45" s="41">
        <f t="shared" ref="N45" si="8">IF(M$28,M45/M$28,0)</f>
        <v>-0.59853188519896938</v>
      </c>
      <c r="P45" s="59">
        <f>VLOOKUP(A45,TB!TB1_1,5,FALSE)</f>
        <v>-5352.12</v>
      </c>
      <c r="Q45" s="41">
        <f t="shared" ref="Q45" si="9">IF(P$28,P45/P$28,0)</f>
        <v>-0.59853188519896938</v>
      </c>
    </row>
    <row r="46" spans="1:17" x14ac:dyDescent="0.25">
      <c r="A46" s="36" t="s">
        <v>883</v>
      </c>
      <c r="C46" t="s">
        <v>442</v>
      </c>
      <c r="G46" s="59">
        <f>VLOOKUP(A46,TB!TB,4,FALSE)</f>
        <v>0</v>
      </c>
      <c r="H46" s="87">
        <f>IF(G$28,G46/G$28,0)</f>
        <v>0</v>
      </c>
      <c r="I46" s="60"/>
      <c r="J46" s="59">
        <f>VLOOKUP(A46,TB!TB,5,FALSE)</f>
        <v>0</v>
      </c>
      <c r="K46" s="87">
        <f>IF(J$28,J46/J$28,0)</f>
        <v>0</v>
      </c>
      <c r="L46" s="60"/>
      <c r="M46" s="59">
        <f>VLOOKUP(A46,TB!TB1_1,4,FALSE)</f>
        <v>0</v>
      </c>
      <c r="N46" s="87">
        <f>IF(M$28,M46/M$28,0)</f>
        <v>0</v>
      </c>
      <c r="O46" s="60"/>
      <c r="P46" s="59">
        <f>VLOOKUP(A46,TB!TB1_1,5,FALSE)</f>
        <v>0</v>
      </c>
      <c r="Q46" s="87">
        <f>IF(P$28,P46/P$28,0)</f>
        <v>0</v>
      </c>
    </row>
    <row r="47" spans="1:17" x14ac:dyDescent="0.25">
      <c r="C47" s="88" t="s">
        <v>1033</v>
      </c>
      <c r="G47" s="94">
        <f>SUM(G30:G46)</f>
        <v>8789.59</v>
      </c>
      <c r="H47" s="98">
        <f>IF(G$28,G47/G$28,0)</f>
        <v>0.30527932103267719</v>
      </c>
      <c r="J47" s="94">
        <f>SUM(J30:J46)</f>
        <v>8789.59</v>
      </c>
      <c r="K47" s="98">
        <f t="shared" ref="K47" si="10">IF(J$28,J47/J$28,0)</f>
        <v>0.30527932103267719</v>
      </c>
      <c r="M47" s="94">
        <f>SUM(M30:M46)</f>
        <v>-3648.12</v>
      </c>
      <c r="N47" s="98">
        <f t="shared" ref="N47" si="11">IF(M$28,M47/M$28,0)</f>
        <v>-0.40797219438877752</v>
      </c>
      <c r="P47" s="94">
        <f>SUM(P30:P46)</f>
        <v>-3648.12</v>
      </c>
      <c r="Q47" s="98">
        <f t="shared" ref="Q47" si="12">IF(P$28,P47/P$28,0)</f>
        <v>-0.40797219438877752</v>
      </c>
    </row>
    <row r="48" spans="1:17" x14ac:dyDescent="0.25">
      <c r="G48" s="11"/>
      <c r="H48" s="41"/>
      <c r="J48" s="11"/>
      <c r="K48" s="41"/>
      <c r="M48" s="11"/>
      <c r="N48" s="41"/>
      <c r="P48" s="11"/>
      <c r="Q48" s="41"/>
    </row>
    <row r="49" spans="1:17" x14ac:dyDescent="0.25">
      <c r="C49" s="88" t="s">
        <v>1034</v>
      </c>
      <c r="G49" s="11">
        <f>G28-G47</f>
        <v>20002.37</v>
      </c>
      <c r="H49" s="41">
        <f>IF(G$28,G49/G$28,0)</f>
        <v>0.69472067896732281</v>
      </c>
      <c r="J49" s="11">
        <f>J28-J47</f>
        <v>20002.37</v>
      </c>
      <c r="K49" s="41">
        <f t="shared" ref="K49" si="13">IF(J$28,J49/J$28,0)</f>
        <v>0.69472067896732281</v>
      </c>
      <c r="M49" s="11">
        <f>M28-M47</f>
        <v>12590.2</v>
      </c>
      <c r="N49" s="41">
        <f t="shared" ref="N49" si="14">IF(M$28,M49/M$28,0)</f>
        <v>1.4079721943887777</v>
      </c>
      <c r="P49" s="11">
        <f>P28-P47</f>
        <v>12590.2</v>
      </c>
      <c r="Q49" s="41">
        <f t="shared" ref="Q49" si="15">IF(P$28,P49/P$28,0)</f>
        <v>1.4079721943887777</v>
      </c>
    </row>
    <row r="50" spans="1:17" x14ac:dyDescent="0.25">
      <c r="G50" s="11"/>
      <c r="H50" s="41"/>
      <c r="J50" s="11"/>
      <c r="K50" s="41"/>
      <c r="M50" s="11"/>
      <c r="N50" s="41"/>
      <c r="P50" s="11"/>
      <c r="Q50" s="41"/>
    </row>
    <row r="51" spans="1:17" x14ac:dyDescent="0.25">
      <c r="A51" s="36" t="s">
        <v>878</v>
      </c>
      <c r="C51" t="s">
        <v>419</v>
      </c>
      <c r="G51" s="11">
        <f>VLOOKUP(A51,TB!TB,4,FALSE)</f>
        <v>0</v>
      </c>
      <c r="H51" s="41">
        <f t="shared" ref="H51:H60" si="16">IF(G$28,G51/G$28,0)</f>
        <v>0</v>
      </c>
      <c r="J51" s="11">
        <f>VLOOKUP(A51,TB!TB,5,FALSE)</f>
        <v>0</v>
      </c>
      <c r="K51" s="41">
        <f t="shared" ref="K51:K75" si="17">IF(J$28,J51/J$28,0)</f>
        <v>0</v>
      </c>
      <c r="M51" s="11">
        <f>VLOOKUP(A51,TB!TB1_1,4,FALSE)</f>
        <v>0</v>
      </c>
      <c r="N51" s="41">
        <f t="shared" ref="N51:N76" si="18">IF(M$28,M51/M$28,0)</f>
        <v>0</v>
      </c>
      <c r="P51" s="11">
        <f>VLOOKUP(A51,TB!TB1_1,5,FALSE)</f>
        <v>0</v>
      </c>
      <c r="Q51" s="41">
        <f t="shared" ref="Q51:Q76" si="19">IF(P$28,P51/P$28,0)</f>
        <v>0</v>
      </c>
    </row>
    <row r="52" spans="1:17" x14ac:dyDescent="0.25">
      <c r="A52" s="36" t="s">
        <v>888</v>
      </c>
      <c r="C52" t="s">
        <v>444</v>
      </c>
      <c r="G52" s="11">
        <f>VLOOKUP(A52,TB!TB,4,FALSE)</f>
        <v>0</v>
      </c>
      <c r="H52" s="41">
        <f t="shared" si="16"/>
        <v>0</v>
      </c>
      <c r="J52" s="11">
        <f>VLOOKUP(A52,TB!TB,5,FALSE)</f>
        <v>0</v>
      </c>
      <c r="K52" s="41">
        <f t="shared" si="17"/>
        <v>0</v>
      </c>
      <c r="M52" s="11">
        <f>VLOOKUP(A52,TB!TB1_1,4,FALSE)</f>
        <v>0</v>
      </c>
      <c r="N52" s="41">
        <f t="shared" si="18"/>
        <v>0</v>
      </c>
      <c r="P52" s="11">
        <f>VLOOKUP(A52,TB!TB1_1,5,FALSE)</f>
        <v>0</v>
      </c>
      <c r="Q52" s="41">
        <f t="shared" si="19"/>
        <v>0</v>
      </c>
    </row>
    <row r="53" spans="1:17" x14ac:dyDescent="0.25">
      <c r="A53" s="36" t="s">
        <v>892</v>
      </c>
      <c r="C53" t="s">
        <v>464</v>
      </c>
      <c r="G53" s="11">
        <f>VLOOKUP(A53,TB!TB,4,FALSE)</f>
        <v>0</v>
      </c>
      <c r="H53" s="41">
        <f t="shared" si="16"/>
        <v>0</v>
      </c>
      <c r="J53" s="11">
        <f>VLOOKUP(A53,TB!TB,5,FALSE)</f>
        <v>0</v>
      </c>
      <c r="K53" s="41">
        <f t="shared" si="17"/>
        <v>0</v>
      </c>
      <c r="M53" s="11">
        <f>VLOOKUP(A53,TB!TB1_1,4,FALSE)</f>
        <v>0</v>
      </c>
      <c r="N53" s="41">
        <f t="shared" si="18"/>
        <v>0</v>
      </c>
      <c r="P53" s="11">
        <f>VLOOKUP(A53,TB!TB1_1,5,FALSE)</f>
        <v>0</v>
      </c>
      <c r="Q53" s="41">
        <f t="shared" si="19"/>
        <v>0</v>
      </c>
    </row>
    <row r="54" spans="1:17" x14ac:dyDescent="0.25">
      <c r="A54" s="36" t="s">
        <v>898</v>
      </c>
      <c r="C54" t="s">
        <v>472</v>
      </c>
      <c r="G54" s="11">
        <f>VLOOKUP(A54,TB!TB,4,FALSE)</f>
        <v>0</v>
      </c>
      <c r="H54" s="41">
        <f t="shared" si="16"/>
        <v>0</v>
      </c>
      <c r="J54" s="11">
        <f>VLOOKUP(A54,TB!TB,5,FALSE)</f>
        <v>0</v>
      </c>
      <c r="K54" s="41">
        <f t="shared" si="17"/>
        <v>0</v>
      </c>
      <c r="M54" s="11">
        <f>VLOOKUP(A54,TB!TB1_1,4,FALSE)</f>
        <v>0</v>
      </c>
      <c r="N54" s="41">
        <f t="shared" si="18"/>
        <v>0</v>
      </c>
      <c r="P54" s="11">
        <f>VLOOKUP(A54,TB!TB1_1,5,FALSE)</f>
        <v>0</v>
      </c>
      <c r="Q54" s="41">
        <f t="shared" si="19"/>
        <v>0</v>
      </c>
    </row>
    <row r="55" spans="1:17" x14ac:dyDescent="0.25">
      <c r="A55" s="36" t="s">
        <v>956</v>
      </c>
      <c r="C55" t="s">
        <v>639</v>
      </c>
      <c r="G55" s="11">
        <f>VLOOKUP(A55,TB!TB,4,FALSE)</f>
        <v>1762.06</v>
      </c>
      <c r="H55" s="41">
        <f t="shared" si="16"/>
        <v>6.1199723811786344E-2</v>
      </c>
      <c r="J55" s="11">
        <f>VLOOKUP(A55,TB!TB,5,FALSE)</f>
        <v>1762.06</v>
      </c>
      <c r="K55" s="41">
        <f t="shared" si="17"/>
        <v>6.1199723811786344E-2</v>
      </c>
      <c r="M55" s="11">
        <f>VLOOKUP(A55,TB!TB1_1,4,FALSE)</f>
        <v>0</v>
      </c>
      <c r="N55" s="41">
        <f t="shared" si="18"/>
        <v>0</v>
      </c>
      <c r="P55" s="11">
        <f>VLOOKUP(A55,TB!TB1_1,5,FALSE)</f>
        <v>0</v>
      </c>
      <c r="Q55" s="41">
        <f t="shared" si="19"/>
        <v>0</v>
      </c>
    </row>
    <row r="56" spans="1:17" x14ac:dyDescent="0.25">
      <c r="A56" s="36" t="s">
        <v>962</v>
      </c>
      <c r="C56" t="s">
        <v>654</v>
      </c>
      <c r="G56" s="11">
        <f>VLOOKUP(A56,TB!TB,4,FALSE)</f>
        <v>0</v>
      </c>
      <c r="H56" s="41">
        <f t="shared" si="16"/>
        <v>0</v>
      </c>
      <c r="J56" s="11">
        <f>VLOOKUP(A56,TB!TB,5,FALSE)</f>
        <v>0</v>
      </c>
      <c r="K56" s="41">
        <f t="shared" si="17"/>
        <v>0</v>
      </c>
      <c r="M56" s="11">
        <f>VLOOKUP(A56,TB!TB1_1,4,FALSE)</f>
        <v>0</v>
      </c>
      <c r="N56" s="41">
        <f t="shared" si="18"/>
        <v>0</v>
      </c>
      <c r="P56" s="11">
        <f>VLOOKUP(A56,TB!TB1_1,5,FALSE)</f>
        <v>0</v>
      </c>
      <c r="Q56" s="41">
        <f t="shared" si="19"/>
        <v>0</v>
      </c>
    </row>
    <row r="57" spans="1:17" x14ac:dyDescent="0.25">
      <c r="A57" s="36" t="s">
        <v>903</v>
      </c>
      <c r="C57" t="s">
        <v>488</v>
      </c>
      <c r="G57" s="11">
        <f>VLOOKUP(A57,TB!TB,4,FALSE)</f>
        <v>0</v>
      </c>
      <c r="H57" s="41">
        <f t="shared" si="16"/>
        <v>0</v>
      </c>
      <c r="J57" s="11">
        <f>VLOOKUP(A57,TB!TB,5,FALSE)</f>
        <v>0</v>
      </c>
      <c r="K57" s="41">
        <f t="shared" si="17"/>
        <v>0</v>
      </c>
      <c r="M57" s="11">
        <f>VLOOKUP(A57,TB!TB1_1,4,FALSE)</f>
        <v>0</v>
      </c>
      <c r="N57" s="41">
        <f t="shared" si="18"/>
        <v>0</v>
      </c>
      <c r="P57" s="11">
        <f>VLOOKUP(A57,TB!TB1_1,5,FALSE)</f>
        <v>0</v>
      </c>
      <c r="Q57" s="41">
        <f t="shared" si="19"/>
        <v>0</v>
      </c>
    </row>
    <row r="58" spans="1:17" x14ac:dyDescent="0.25">
      <c r="A58" s="36" t="s">
        <v>907</v>
      </c>
      <c r="C58" t="s">
        <v>500</v>
      </c>
      <c r="G58" s="11">
        <f>VLOOKUP(A58,TB!TB,4,FALSE)</f>
        <v>0</v>
      </c>
      <c r="H58" s="41">
        <f t="shared" si="16"/>
        <v>0</v>
      </c>
      <c r="J58" s="11">
        <f>VLOOKUP(A58,TB!TB,5,FALSE)</f>
        <v>0</v>
      </c>
      <c r="K58" s="41">
        <f t="shared" si="17"/>
        <v>0</v>
      </c>
      <c r="M58" s="11">
        <f>VLOOKUP(A58,TB!TB1_1,4,FALSE)</f>
        <v>0</v>
      </c>
      <c r="N58" s="41">
        <f t="shared" si="18"/>
        <v>0</v>
      </c>
      <c r="P58" s="11">
        <f>VLOOKUP(A58,TB!TB1_1,5,FALSE)</f>
        <v>0</v>
      </c>
      <c r="Q58" s="41">
        <f t="shared" si="19"/>
        <v>0</v>
      </c>
    </row>
    <row r="59" spans="1:17" x14ac:dyDescent="0.25">
      <c r="A59" s="36" t="s">
        <v>910</v>
      </c>
      <c r="C59" t="s">
        <v>511</v>
      </c>
      <c r="G59" s="11">
        <f>VLOOKUP(A59,TB!TB,4,FALSE)</f>
        <v>796.47</v>
      </c>
      <c r="H59" s="41">
        <f t="shared" si="16"/>
        <v>2.7662930901543349E-2</v>
      </c>
      <c r="J59" s="11">
        <f>VLOOKUP(A59,TB!TB,5,FALSE)</f>
        <v>796.47</v>
      </c>
      <c r="K59" s="41">
        <f t="shared" si="17"/>
        <v>2.7662930901543349E-2</v>
      </c>
      <c r="M59" s="11">
        <f>VLOOKUP(A59,TB!TB1_1,4,FALSE)</f>
        <v>0</v>
      </c>
      <c r="N59" s="41">
        <f t="shared" si="18"/>
        <v>0</v>
      </c>
      <c r="P59" s="11">
        <f>VLOOKUP(A59,TB!TB1_1,5,FALSE)</f>
        <v>0</v>
      </c>
      <c r="Q59" s="41">
        <f t="shared" si="19"/>
        <v>0</v>
      </c>
    </row>
    <row r="60" spans="1:17" x14ac:dyDescent="0.25">
      <c r="A60" s="39" t="s">
        <v>1507</v>
      </c>
      <c r="C60" t="s">
        <v>1519</v>
      </c>
      <c r="G60" s="11">
        <f>VLOOKUP(A60,TB!TB,4,FALSE)</f>
        <v>921.78</v>
      </c>
      <c r="H60" s="41">
        <f t="shared" si="16"/>
        <v>3.2015187573197518E-2</v>
      </c>
      <c r="J60" s="11">
        <f>VLOOKUP(A60,TB!TB,5,FALSE)</f>
        <v>921.78</v>
      </c>
      <c r="K60" s="41">
        <f t="shared" si="17"/>
        <v>3.2015187573197518E-2</v>
      </c>
      <c r="M60" s="11">
        <f>VLOOKUP(A60,TB!TB1_1,4,FALSE)</f>
        <v>796.04</v>
      </c>
      <c r="N60" s="41">
        <f t="shared" ref="N60" si="20">IF(M$28,M60/M$28,0)</f>
        <v>8.9021793587174339E-2</v>
      </c>
      <c r="P60" s="11">
        <f>VLOOKUP(A60,TB!TB1_1,5,FALSE)</f>
        <v>796.04</v>
      </c>
      <c r="Q60" s="41">
        <f t="shared" ref="Q60" si="21">IF(P$28,P60/P$28,0)</f>
        <v>8.9021793587174339E-2</v>
      </c>
    </row>
    <row r="61" spans="1:17" x14ac:dyDescent="0.25">
      <c r="A61" s="39" t="s">
        <v>1509</v>
      </c>
      <c r="C61" t="s">
        <v>1524</v>
      </c>
      <c r="G61" s="11">
        <f>VLOOKUP(A61,TB!TB,4,FALSE)</f>
        <v>317.92</v>
      </c>
      <c r="H61" s="41">
        <f t="shared" ref="H61" si="22">IF(G$28,G61/G$28,0)</f>
        <v>1.1041971439249013E-2</v>
      </c>
      <c r="J61" s="11">
        <f>VLOOKUP(A61,TB!TB,5,FALSE)</f>
        <v>317.92</v>
      </c>
      <c r="K61" s="41">
        <f t="shared" ref="K61" si="23">IF(J$28,J61/J$28,0)</f>
        <v>1.1041971439249013E-2</v>
      </c>
      <c r="M61" s="11">
        <f>VLOOKUP(A61,TB!TB1_1,4,FALSE)</f>
        <v>0</v>
      </c>
      <c r="N61" s="41">
        <f t="shared" ref="N61" si="24">IF(M$28,M61/M$28,0)</f>
        <v>0</v>
      </c>
      <c r="P61" s="11">
        <f>VLOOKUP(A61,TB!TB1_1,5,FALSE)</f>
        <v>0</v>
      </c>
      <c r="Q61" s="41">
        <f t="shared" ref="Q61" si="25">IF(P$28,P61/P$28,0)</f>
        <v>0</v>
      </c>
    </row>
    <row r="62" spans="1:17" x14ac:dyDescent="0.25">
      <c r="A62" s="36" t="s">
        <v>921</v>
      </c>
      <c r="C62" t="s">
        <v>540</v>
      </c>
      <c r="G62" s="11">
        <f>VLOOKUP(A62,TB!TB,4,FALSE)</f>
        <v>0</v>
      </c>
      <c r="H62" s="41">
        <f t="shared" ref="H62:H71" si="26">IF(G$28,G62/G$28,0)</f>
        <v>0</v>
      </c>
      <c r="J62" s="11">
        <f>VLOOKUP(A62,TB!TB,5,FALSE)</f>
        <v>0</v>
      </c>
      <c r="K62" s="41">
        <f t="shared" si="17"/>
        <v>0</v>
      </c>
      <c r="M62" s="11">
        <f>VLOOKUP(A62,TB!TB1_1,4,FALSE)</f>
        <v>0</v>
      </c>
      <c r="N62" s="41">
        <f t="shared" si="18"/>
        <v>0</v>
      </c>
      <c r="P62" s="11">
        <f>VLOOKUP(A62,TB!TB1_1,5,FALSE)</f>
        <v>0</v>
      </c>
      <c r="Q62" s="41">
        <f t="shared" si="19"/>
        <v>0</v>
      </c>
    </row>
    <row r="63" spans="1:17" x14ac:dyDescent="0.25">
      <c r="A63" s="36" t="s">
        <v>923</v>
      </c>
      <c r="C63" t="s">
        <v>245</v>
      </c>
      <c r="G63" s="11">
        <f>VLOOKUP(A63,TB!TB,4,FALSE)</f>
        <v>0</v>
      </c>
      <c r="H63" s="41">
        <f t="shared" si="26"/>
        <v>0</v>
      </c>
      <c r="J63" s="11">
        <f>VLOOKUP(A63,TB!TB,5,FALSE)</f>
        <v>0</v>
      </c>
      <c r="K63" s="41">
        <f t="shared" si="17"/>
        <v>0</v>
      </c>
      <c r="M63" s="11">
        <f>VLOOKUP(A63,TB!TB1_1,4,FALSE)</f>
        <v>0</v>
      </c>
      <c r="N63" s="41">
        <f t="shared" si="18"/>
        <v>0</v>
      </c>
      <c r="P63" s="11">
        <f>VLOOKUP(A63,TB!TB1_1,5,FALSE)</f>
        <v>0</v>
      </c>
      <c r="Q63" s="41">
        <f t="shared" si="19"/>
        <v>0</v>
      </c>
    </row>
    <row r="64" spans="1:17" x14ac:dyDescent="0.25">
      <c r="A64" s="36" t="s">
        <v>928</v>
      </c>
      <c r="C64" t="s">
        <v>557</v>
      </c>
      <c r="G64" s="11">
        <f>VLOOKUP(A64,TB!TB,4,FALSE)</f>
        <v>0</v>
      </c>
      <c r="H64" s="41">
        <f t="shared" si="26"/>
        <v>0</v>
      </c>
      <c r="J64" s="11">
        <f>VLOOKUP(A64,TB!TB,5,FALSE)</f>
        <v>0</v>
      </c>
      <c r="K64" s="41">
        <f t="shared" si="17"/>
        <v>0</v>
      </c>
      <c r="M64" s="11">
        <f>VLOOKUP(A64,TB!TB1_1,4,FALSE)</f>
        <v>0</v>
      </c>
      <c r="N64" s="41">
        <f t="shared" si="18"/>
        <v>0</v>
      </c>
      <c r="P64" s="11">
        <f>VLOOKUP(A64,TB!TB1_1,5,FALSE)</f>
        <v>0</v>
      </c>
      <c r="Q64" s="41">
        <f t="shared" si="19"/>
        <v>0</v>
      </c>
    </row>
    <row r="65" spans="1:17" x14ac:dyDescent="0.25">
      <c r="A65" s="36" t="s">
        <v>933</v>
      </c>
      <c r="C65" t="s">
        <v>571</v>
      </c>
      <c r="G65" s="11">
        <f>VLOOKUP(A65,TB!TB,4,FALSE)</f>
        <v>0</v>
      </c>
      <c r="H65" s="41">
        <f t="shared" si="26"/>
        <v>0</v>
      </c>
      <c r="J65" s="11">
        <f>VLOOKUP(A65,TB!TB,5,FALSE)</f>
        <v>0</v>
      </c>
      <c r="K65" s="41">
        <f t="shared" si="17"/>
        <v>0</v>
      </c>
      <c r="M65" s="11">
        <f>VLOOKUP(A65,TB!TB1_1,4,FALSE)</f>
        <v>0</v>
      </c>
      <c r="N65" s="41">
        <f t="shared" si="18"/>
        <v>0</v>
      </c>
      <c r="P65" s="11">
        <f>VLOOKUP(A65,TB!TB1_1,5,FALSE)</f>
        <v>0</v>
      </c>
      <c r="Q65" s="41">
        <f t="shared" si="19"/>
        <v>0</v>
      </c>
    </row>
    <row r="66" spans="1:17" x14ac:dyDescent="0.25">
      <c r="A66" s="36" t="s">
        <v>937</v>
      </c>
      <c r="C66" t="s">
        <v>585</v>
      </c>
      <c r="G66" s="11">
        <f>VLOOKUP(A66,TB!TB,4,FALSE)</f>
        <v>0</v>
      </c>
      <c r="H66" s="41">
        <f t="shared" si="26"/>
        <v>0</v>
      </c>
      <c r="J66" s="11">
        <f>VLOOKUP(A66,TB!TB,5,FALSE)</f>
        <v>0</v>
      </c>
      <c r="K66" s="41">
        <f t="shared" si="17"/>
        <v>0</v>
      </c>
      <c r="M66" s="11">
        <f>VLOOKUP(A66,TB!TB1_1,4,FALSE)</f>
        <v>0</v>
      </c>
      <c r="N66" s="41">
        <f t="shared" si="18"/>
        <v>0</v>
      </c>
      <c r="P66" s="11">
        <f>VLOOKUP(A66,TB!TB1_1,5,FALSE)</f>
        <v>0</v>
      </c>
      <c r="Q66" s="41">
        <f t="shared" si="19"/>
        <v>0</v>
      </c>
    </row>
    <row r="67" spans="1:17" x14ac:dyDescent="0.25">
      <c r="A67" s="36" t="s">
        <v>942</v>
      </c>
      <c r="C67" t="s">
        <v>597</v>
      </c>
      <c r="G67" s="11">
        <f>VLOOKUP(A67,TB!TB,4,FALSE)</f>
        <v>770.12</v>
      </c>
      <c r="H67" s="41">
        <f t="shared" si="26"/>
        <v>2.6747744856550234E-2</v>
      </c>
      <c r="J67" s="11">
        <f>VLOOKUP(A67,TB!TB,5,FALSE)</f>
        <v>770.12</v>
      </c>
      <c r="K67" s="41">
        <f t="shared" si="17"/>
        <v>2.6747744856550234E-2</v>
      </c>
      <c r="M67" s="11">
        <f>VLOOKUP(A67,TB!TB1_1,4,FALSE)</f>
        <v>650</v>
      </c>
      <c r="N67" s="41">
        <f t="shared" si="18"/>
        <v>7.269002290294875E-2</v>
      </c>
      <c r="P67" s="11">
        <f>VLOOKUP(A67,TB!TB1_1,5,FALSE)</f>
        <v>650</v>
      </c>
      <c r="Q67" s="41">
        <f t="shared" si="19"/>
        <v>7.269002290294875E-2</v>
      </c>
    </row>
    <row r="68" spans="1:17" x14ac:dyDescent="0.25">
      <c r="A68" s="36" t="s">
        <v>947</v>
      </c>
      <c r="C68" t="s">
        <v>611</v>
      </c>
      <c r="G68" s="11">
        <f>VLOOKUP(A68,TB!TB,4,FALSE)</f>
        <v>0</v>
      </c>
      <c r="H68" s="41">
        <f t="shared" si="26"/>
        <v>0</v>
      </c>
      <c r="J68" s="11">
        <f>VLOOKUP(A68,TB!TB,5,FALSE)</f>
        <v>0</v>
      </c>
      <c r="K68" s="41">
        <f t="shared" si="17"/>
        <v>0</v>
      </c>
      <c r="M68" s="11">
        <f>VLOOKUP(A68,TB!TB1_1,4,FALSE)</f>
        <v>0</v>
      </c>
      <c r="N68" s="41">
        <f t="shared" si="18"/>
        <v>0</v>
      </c>
      <c r="P68" s="11">
        <f>VLOOKUP(A68,TB!TB1_1,5,FALSE)</f>
        <v>0</v>
      </c>
      <c r="Q68" s="41">
        <f t="shared" si="19"/>
        <v>0</v>
      </c>
    </row>
    <row r="69" spans="1:17" x14ac:dyDescent="0.25">
      <c r="A69" s="36" t="s">
        <v>951</v>
      </c>
      <c r="C69" t="s">
        <v>623</v>
      </c>
      <c r="G69" s="11">
        <f>VLOOKUP(A69,TB!TB,4,FALSE)</f>
        <v>0</v>
      </c>
      <c r="H69" s="41">
        <f t="shared" si="26"/>
        <v>0</v>
      </c>
      <c r="J69" s="11">
        <f>VLOOKUP(A69,TB!TB,5,FALSE)</f>
        <v>0</v>
      </c>
      <c r="K69" s="41">
        <f t="shared" si="17"/>
        <v>0</v>
      </c>
      <c r="M69" s="11">
        <f>VLOOKUP(A69,TB!TB1_1,4,FALSE)</f>
        <v>0</v>
      </c>
      <c r="N69" s="41">
        <f t="shared" si="18"/>
        <v>0</v>
      </c>
      <c r="P69" s="11">
        <f>VLOOKUP(A69,TB!TB1_1,5,FALSE)</f>
        <v>0</v>
      </c>
      <c r="Q69" s="41">
        <f t="shared" si="19"/>
        <v>0</v>
      </c>
    </row>
    <row r="70" spans="1:17" x14ac:dyDescent="0.25">
      <c r="A70" s="36" t="s">
        <v>970</v>
      </c>
      <c r="C70" t="s">
        <v>678</v>
      </c>
      <c r="G70" s="11">
        <f>VLOOKUP(A70,TB!TB,4,FALSE)</f>
        <v>0</v>
      </c>
      <c r="H70" s="41">
        <f t="shared" si="26"/>
        <v>0</v>
      </c>
      <c r="J70" s="11">
        <f>VLOOKUP(A70,TB!TB,5,FALSE)</f>
        <v>0</v>
      </c>
      <c r="K70" s="41">
        <f t="shared" si="17"/>
        <v>0</v>
      </c>
      <c r="M70" s="11">
        <f>VLOOKUP(A70,TB!TB1_1,4,FALSE)</f>
        <v>0</v>
      </c>
      <c r="N70" s="41">
        <f t="shared" si="18"/>
        <v>0</v>
      </c>
      <c r="P70" s="11">
        <f>VLOOKUP(A70,TB!TB1_1,5,FALSE)</f>
        <v>0</v>
      </c>
      <c r="Q70" s="41">
        <f t="shared" si="19"/>
        <v>0</v>
      </c>
    </row>
    <row r="71" spans="1:17" x14ac:dyDescent="0.25">
      <c r="A71" s="36" t="s">
        <v>975</v>
      </c>
      <c r="C71" t="s">
        <v>696</v>
      </c>
      <c r="G71" s="11">
        <f>VLOOKUP(A71,TB!TB,4,FALSE)</f>
        <v>0</v>
      </c>
      <c r="H71" s="41">
        <f t="shared" si="26"/>
        <v>0</v>
      </c>
      <c r="J71" s="11">
        <f>VLOOKUP(A71,TB!TB,5,FALSE)</f>
        <v>0</v>
      </c>
      <c r="K71" s="41">
        <f t="shared" si="17"/>
        <v>0</v>
      </c>
      <c r="M71" s="11">
        <f>VLOOKUP(A71,TB!TB1_1,4,FALSE)</f>
        <v>0</v>
      </c>
      <c r="N71" s="41">
        <f t="shared" si="18"/>
        <v>0</v>
      </c>
      <c r="P71" s="11">
        <f>VLOOKUP(A71,TB!TB1_1,5,FALSE)</f>
        <v>0</v>
      </c>
      <c r="Q71" s="41">
        <f t="shared" si="19"/>
        <v>0</v>
      </c>
    </row>
    <row r="72" spans="1:17" x14ac:dyDescent="0.25">
      <c r="A72" s="36" t="s">
        <v>978</v>
      </c>
      <c r="C72" t="s">
        <v>1069</v>
      </c>
      <c r="G72" s="11">
        <f>VLOOKUP(A72,TB!TB,4,FALSE)</f>
        <v>0</v>
      </c>
      <c r="H72" s="41">
        <f t="shared" ref="H72:K82" si="27">IF(G$28,G72/G$28,0)</f>
        <v>0</v>
      </c>
      <c r="J72" s="11">
        <f>VLOOKUP(A72,TB!TB,5,FALSE)</f>
        <v>0</v>
      </c>
      <c r="K72" s="41">
        <f t="shared" si="17"/>
        <v>0</v>
      </c>
      <c r="M72" s="11">
        <f>VLOOKUP(A72,TB!TB1_1,4,FALSE)</f>
        <v>0</v>
      </c>
      <c r="N72" s="41">
        <f t="shared" si="18"/>
        <v>0</v>
      </c>
      <c r="P72" s="11">
        <f>VLOOKUP(A72,TB!TB1_1,5,FALSE)</f>
        <v>0</v>
      </c>
      <c r="Q72" s="41">
        <f t="shared" si="19"/>
        <v>0</v>
      </c>
    </row>
    <row r="73" spans="1:17" x14ac:dyDescent="0.25">
      <c r="A73" s="36" t="s">
        <v>979</v>
      </c>
      <c r="C73" t="s">
        <v>710</v>
      </c>
      <c r="G73" s="11">
        <f>VLOOKUP(A73,TB!TB,4,FALSE)</f>
        <v>0</v>
      </c>
      <c r="H73" s="41">
        <f t="shared" si="27"/>
        <v>0</v>
      </c>
      <c r="J73" s="11">
        <f>VLOOKUP(A73,TB!TB,5,FALSE)</f>
        <v>0</v>
      </c>
      <c r="K73" s="41">
        <f t="shared" si="17"/>
        <v>0</v>
      </c>
      <c r="M73" s="11">
        <f>VLOOKUP(A73,TB!TB1_1,4,FALSE)</f>
        <v>0</v>
      </c>
      <c r="N73" s="41">
        <f t="shared" si="18"/>
        <v>0</v>
      </c>
      <c r="P73" s="11">
        <f>VLOOKUP(A73,TB!TB1_1,5,FALSE)</f>
        <v>0</v>
      </c>
      <c r="Q73" s="41">
        <f t="shared" si="19"/>
        <v>0</v>
      </c>
    </row>
    <row r="74" spans="1:17" x14ac:dyDescent="0.25">
      <c r="A74" s="36" t="s">
        <v>986</v>
      </c>
      <c r="C74" t="s">
        <v>726</v>
      </c>
      <c r="G74" s="11">
        <f>VLOOKUP(A74,TB!TB,4,FALSE)</f>
        <v>0</v>
      </c>
      <c r="H74" s="41">
        <f t="shared" si="27"/>
        <v>0</v>
      </c>
      <c r="J74" s="11">
        <f>VLOOKUP(A74,TB!TB,5,FALSE)</f>
        <v>0</v>
      </c>
      <c r="K74" s="41">
        <f t="shared" si="17"/>
        <v>0</v>
      </c>
      <c r="M74" s="11">
        <f>VLOOKUP(A74,TB!TB1_1,4,FALSE)</f>
        <v>0</v>
      </c>
      <c r="N74" s="41">
        <f t="shared" si="18"/>
        <v>0</v>
      </c>
      <c r="P74" s="11">
        <f>VLOOKUP(A74,TB!TB1_1,5,FALSE)</f>
        <v>0</v>
      </c>
      <c r="Q74" s="41">
        <f t="shared" si="19"/>
        <v>0</v>
      </c>
    </row>
    <row r="75" spans="1:17" x14ac:dyDescent="0.25">
      <c r="A75" s="36" t="s">
        <v>988</v>
      </c>
      <c r="C75" t="s">
        <v>1096</v>
      </c>
      <c r="G75" s="29">
        <f>VLOOKUP(A75,TB!TB,4,FALSE)</f>
        <v>175.61</v>
      </c>
      <c r="H75" s="50">
        <f t="shared" si="27"/>
        <v>6.099272157921865E-3</v>
      </c>
      <c r="I75" s="51"/>
      <c r="J75" s="29">
        <f>VLOOKUP(A75,TB!TB,5,FALSE)</f>
        <v>175.61</v>
      </c>
      <c r="K75" s="50">
        <f t="shared" si="17"/>
        <v>6.099272157921865E-3</v>
      </c>
      <c r="L75" s="51"/>
      <c r="M75" s="29">
        <f>VLOOKUP(A75,TB!TB1_1,4,FALSE)</f>
        <v>0</v>
      </c>
      <c r="N75" s="50">
        <f t="shared" si="18"/>
        <v>0</v>
      </c>
      <c r="O75" s="51"/>
      <c r="P75" s="29">
        <f>VLOOKUP(A75,TB!TB1_1,5,FALSE)</f>
        <v>0</v>
      </c>
      <c r="Q75" s="50">
        <f t="shared" si="19"/>
        <v>0</v>
      </c>
    </row>
    <row r="76" spans="1:17" x14ac:dyDescent="0.25">
      <c r="C76" s="88" t="s">
        <v>1003</v>
      </c>
      <c r="G76" s="40">
        <f>SUM(G51:G75)</f>
        <v>4743.9599999999991</v>
      </c>
      <c r="H76" s="41">
        <f t="shared" si="27"/>
        <v>0.16476683074024828</v>
      </c>
      <c r="J76" s="40">
        <f>SUM(J51:J75)</f>
        <v>4743.9599999999991</v>
      </c>
      <c r="K76" s="41">
        <f t="shared" si="27"/>
        <v>0.16476683074024828</v>
      </c>
      <c r="M76" s="40">
        <f>SUM(M51:M75)</f>
        <v>1446.04</v>
      </c>
      <c r="N76" s="41">
        <f t="shared" si="18"/>
        <v>0.16171181649012309</v>
      </c>
      <c r="P76" s="40">
        <f>SUM(P51:P75)</f>
        <v>1446.04</v>
      </c>
      <c r="Q76" s="41">
        <f t="shared" si="19"/>
        <v>0.16171181649012309</v>
      </c>
    </row>
    <row r="78" spans="1:17" x14ac:dyDescent="0.25">
      <c r="C78" s="88" t="s">
        <v>1024</v>
      </c>
      <c r="G78" s="40">
        <f>G49-G76</f>
        <v>15258.41</v>
      </c>
      <c r="H78" s="41">
        <f t="shared" si="27"/>
        <v>0.52995384822707448</v>
      </c>
      <c r="J78" s="40">
        <f>J49-J76</f>
        <v>15258.41</v>
      </c>
      <c r="K78" s="41">
        <f t="shared" si="27"/>
        <v>0.52995384822707448</v>
      </c>
      <c r="M78" s="40">
        <f>M49-M76</f>
        <v>11144.16</v>
      </c>
      <c r="N78" s="41">
        <f t="shared" ref="N78" si="28">IF(M$28,M78/M$28,0)</f>
        <v>1.2462603778986545</v>
      </c>
      <c r="P78" s="40">
        <f>P49-P76</f>
        <v>11144.16</v>
      </c>
      <c r="Q78" s="41">
        <f t="shared" ref="Q78" si="29">IF(P$28,P78/P$28,0)</f>
        <v>1.2462603778986545</v>
      </c>
    </row>
    <row r="80" spans="1:17" ht="15.75" thickBot="1" x14ac:dyDescent="0.3">
      <c r="A80" s="36" t="s">
        <v>992</v>
      </c>
      <c r="C80" t="s">
        <v>743</v>
      </c>
      <c r="G80" s="59">
        <f>VLOOKUP(A80,TB!TB,4,FALSE)</f>
        <v>0</v>
      </c>
      <c r="H80" s="41">
        <f t="shared" si="27"/>
        <v>0</v>
      </c>
      <c r="J80" s="59">
        <f>VLOOKUP(A80,TB!TB,5,FALSE)</f>
        <v>0</v>
      </c>
      <c r="K80" s="41">
        <f t="shared" ref="K80" si="30">IF(J$28,J80/J$28,0)</f>
        <v>0</v>
      </c>
      <c r="M80" s="59">
        <f>VLOOKUP(A80,TB!TB1_1,4,FALSE)</f>
        <v>0</v>
      </c>
      <c r="N80" s="41">
        <f t="shared" ref="N80" si="31">IF(M$28,M80/M$28,0)</f>
        <v>0</v>
      </c>
      <c r="P80" s="59">
        <f>VLOOKUP(A80,TB!TB1_1,5,FALSE)</f>
        <v>0</v>
      </c>
      <c r="Q80" s="41">
        <f t="shared" ref="Q80" si="32">IF(P$28,P80/P$28,0)</f>
        <v>0</v>
      </c>
    </row>
    <row r="81" spans="3:17" ht="15.75" thickTop="1" x14ac:dyDescent="0.25">
      <c r="G81" s="99"/>
      <c r="H81" s="99"/>
      <c r="J81" s="99"/>
      <c r="K81" s="99"/>
      <c r="M81" s="99"/>
      <c r="N81" s="99"/>
      <c r="P81" s="99"/>
      <c r="Q81" s="99"/>
    </row>
    <row r="82" spans="3:17" x14ac:dyDescent="0.25">
      <c r="C82" s="88" t="s">
        <v>1025</v>
      </c>
      <c r="G82" s="40">
        <f>G78-G80</f>
        <v>15258.41</v>
      </c>
      <c r="H82" s="41">
        <f t="shared" si="27"/>
        <v>0.52995384822707448</v>
      </c>
      <c r="J82" s="40">
        <f>J78-J80</f>
        <v>15258.41</v>
      </c>
      <c r="K82" s="41">
        <f t="shared" si="27"/>
        <v>0.52995384822707448</v>
      </c>
      <c r="M82" s="40">
        <f>M78-M80</f>
        <v>11144.16</v>
      </c>
      <c r="N82" s="41">
        <f t="shared" ref="N82" si="33">IF(M$28,M82/M$28,0)</f>
        <v>1.2462603778986545</v>
      </c>
      <c r="P82" s="40">
        <f>P78-P80</f>
        <v>11144.16</v>
      </c>
      <c r="Q82" s="41">
        <f t="shared" ref="Q82" si="34">IF(P$28,P82/P$28,0)</f>
        <v>1.2462603778986545</v>
      </c>
    </row>
  </sheetData>
  <mergeCells count="3">
    <mergeCell ref="A1:Q1"/>
    <mergeCell ref="A2:Q2"/>
    <mergeCell ref="A3:Q3"/>
  </mergeCells>
  <pageMargins left="0.7" right="0.7" top="0.75" bottom="0.75" header="0.3" footer="0.3"/>
  <pageSetup scale="4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F58A-DB9B-49F3-9034-F197034DAD2C}">
  <sheetPr>
    <tabColor rgb="FF92D050"/>
  </sheetPr>
  <dimension ref="A1:O39"/>
  <sheetViews>
    <sheetView zoomScaleNormal="100" workbookViewId="0">
      <selection activeCell="A3" sqref="A3:O3"/>
    </sheetView>
  </sheetViews>
  <sheetFormatPr defaultRowHeight="15" x14ac:dyDescent="0.25"/>
  <cols>
    <col min="1" max="1" width="9.140625" style="36"/>
    <col min="2" max="2" width="1.7109375" customWidth="1"/>
    <col min="3" max="3" width="25.7109375" customWidth="1"/>
    <col min="4" max="4" width="2.28515625" customWidth="1"/>
    <col min="5" max="5" width="18.140625" customWidth="1"/>
    <col min="7" max="7" width="2" customWidth="1"/>
    <col min="8" max="8" width="18.42578125" customWidth="1"/>
    <col min="10" max="10" width="2.5703125" customWidth="1"/>
    <col min="11" max="11" width="18.28515625" customWidth="1"/>
    <col min="13" max="13" width="1.5703125" customWidth="1"/>
    <col min="14" max="14" width="18.28515625" customWidth="1"/>
  </cols>
  <sheetData>
    <row r="1" spans="1:15" ht="31.5" x14ac:dyDescent="0.5">
      <c r="A1" s="148" t="s">
        <v>1071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2106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53"/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54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5" x14ac:dyDescent="0.25">
      <c r="A7" s="36" t="s">
        <v>795</v>
      </c>
      <c r="C7" s="36" t="s">
        <v>1098</v>
      </c>
      <c r="E7" s="11">
        <f>VLOOKUP(A7,TB!TB,4,FALSE)*-1</f>
        <v>0</v>
      </c>
      <c r="F7" s="41">
        <f>IF(E$10,E7/E$10,0)</f>
        <v>0</v>
      </c>
      <c r="H7" s="11">
        <f>VLOOKUP(A7,TB!TB,5,FALSE)*-1</f>
        <v>0</v>
      </c>
      <c r="I7" s="41">
        <f>IF(H$10,H7/H$10,0)</f>
        <v>0</v>
      </c>
      <c r="K7" s="11">
        <f>VLOOKUP(A7,TB!TB1_1,4,FALSE)*-1</f>
        <v>0</v>
      </c>
      <c r="L7" s="41">
        <f>IF(K$10,K7/K$10,0)</f>
        <v>0</v>
      </c>
      <c r="N7" s="11">
        <f>VLOOKUP(A7,TB!TB1_1,5,FALSE)*-1</f>
        <v>0</v>
      </c>
      <c r="O7" s="41">
        <f>IF(N$10,N7/N$10,0)</f>
        <v>0</v>
      </c>
    </row>
    <row r="8" spans="1:15" x14ac:dyDescent="0.25">
      <c r="A8" s="36" t="s">
        <v>796</v>
      </c>
      <c r="C8" s="36" t="s">
        <v>1099</v>
      </c>
      <c r="E8" s="11">
        <f>VLOOKUP(A8,TB!TB,4,FALSE)*-1</f>
        <v>0</v>
      </c>
      <c r="F8" s="41">
        <f t="shared" ref="F8:F20" si="0">IF(E$10,E8/E$10,0)</f>
        <v>0</v>
      </c>
      <c r="H8" s="11">
        <f>VLOOKUP(A8,TB!TB,5,FALSE)*-1</f>
        <v>0</v>
      </c>
      <c r="I8" s="41">
        <f t="shared" ref="I8:I10" si="1">IF(H$10,H8/H$10,0)</f>
        <v>0</v>
      </c>
      <c r="K8" s="11">
        <f>VLOOKUP(A8,TB!TB1_1,4,FALSE)*-1</f>
        <v>0</v>
      </c>
      <c r="L8" s="41">
        <f t="shared" ref="L8:L10" si="2">IF(K$10,K8/K$10,0)</f>
        <v>0</v>
      </c>
      <c r="N8" s="11">
        <f>VLOOKUP(A8,TB!TB1_1,5,FALSE)*-1</f>
        <v>0</v>
      </c>
      <c r="O8" s="41">
        <f t="shared" ref="O8:O10" si="3">IF(N$10,N8/N$10,0)</f>
        <v>0</v>
      </c>
    </row>
    <row r="9" spans="1:15" x14ac:dyDescent="0.25">
      <c r="A9" s="36" t="s">
        <v>797</v>
      </c>
      <c r="C9" s="36" t="s">
        <v>265</v>
      </c>
      <c r="E9" s="29">
        <f>VLOOKUP(A9,TB!TB,4,FALSE)*-1</f>
        <v>0</v>
      </c>
      <c r="F9" s="61">
        <f t="shared" si="0"/>
        <v>0</v>
      </c>
      <c r="G9" s="40"/>
      <c r="H9" s="29">
        <f>VLOOKUP(A9,TB!TB,5,FALSE)*-1</f>
        <v>0</v>
      </c>
      <c r="I9" s="61">
        <f t="shared" si="1"/>
        <v>0</v>
      </c>
      <c r="J9" s="40"/>
      <c r="K9" s="29">
        <f>VLOOKUP(A9,TB!TB1_1,4,FALSE)*-1</f>
        <v>0</v>
      </c>
      <c r="L9" s="61">
        <f t="shared" si="2"/>
        <v>0</v>
      </c>
      <c r="M9" s="40"/>
      <c r="N9" s="29">
        <f>VLOOKUP(A9,TB!TB1_1,5,FALSE)*-1</f>
        <v>0</v>
      </c>
      <c r="O9" s="61">
        <f t="shared" si="3"/>
        <v>0</v>
      </c>
    </row>
    <row r="10" spans="1:15" x14ac:dyDescent="0.25">
      <c r="C10" s="88" t="s">
        <v>1038</v>
      </c>
      <c r="E10" s="40">
        <f>SUM(E7:E9)</f>
        <v>0</v>
      </c>
      <c r="F10" s="41">
        <f t="shared" si="0"/>
        <v>0</v>
      </c>
      <c r="H10" s="40">
        <f>SUM(H7:H9)</f>
        <v>0</v>
      </c>
      <c r="I10" s="41">
        <f t="shared" si="1"/>
        <v>0</v>
      </c>
      <c r="K10" s="40">
        <f>SUM(K7:K9)</f>
        <v>0</v>
      </c>
      <c r="L10" s="41">
        <f t="shared" si="2"/>
        <v>0</v>
      </c>
      <c r="N10" s="40">
        <f>SUM(N7:N9)</f>
        <v>0</v>
      </c>
      <c r="O10" s="41">
        <f t="shared" si="3"/>
        <v>0</v>
      </c>
    </row>
    <row r="11" spans="1:15" x14ac:dyDescent="0.25">
      <c r="C11" s="36"/>
    </row>
    <row r="12" spans="1:15" x14ac:dyDescent="0.25">
      <c r="A12" s="36" t="s">
        <v>836</v>
      </c>
      <c r="C12" s="36" t="s">
        <v>1030</v>
      </c>
      <c r="E12" s="11">
        <f>VLOOKUP(A12,TB!TB,4,FALSE)</f>
        <v>0</v>
      </c>
      <c r="F12" s="57">
        <f t="shared" ref="F12:F18" si="4">IF(E$10,E12/E$10,0)</f>
        <v>0</v>
      </c>
      <c r="G12" s="58"/>
      <c r="H12" s="11">
        <f>VLOOKUP(A12,TB!TB,5,FALSE)</f>
        <v>0</v>
      </c>
      <c r="I12" s="57">
        <f t="shared" ref="I12:I18" si="5">IF(H$10,H12/H$10,0)</f>
        <v>0</v>
      </c>
      <c r="J12" s="58"/>
      <c r="K12" s="11">
        <f>VLOOKUP(A12,TB!TB1_1,4,FALSE)</f>
        <v>0</v>
      </c>
      <c r="L12" s="57">
        <f t="shared" ref="L12:L18" si="6">IF(K$10,K12/K$10,0)</f>
        <v>0</v>
      </c>
      <c r="M12" s="58"/>
      <c r="N12" s="11">
        <f>VLOOKUP(A12,TB!TB1_1,5,FALSE)</f>
        <v>0</v>
      </c>
      <c r="O12" s="57">
        <f t="shared" ref="O12:O18" si="7">IF(N$10,N12/N$10,0)</f>
        <v>0</v>
      </c>
    </row>
    <row r="13" spans="1:15" x14ac:dyDescent="0.25">
      <c r="A13" s="36" t="s">
        <v>859</v>
      </c>
      <c r="C13" s="36" t="s">
        <v>386</v>
      </c>
      <c r="E13" s="26">
        <f>VLOOKUP(A13,TB!TB,4,FALSE)</f>
        <v>0</v>
      </c>
      <c r="F13" s="41">
        <f t="shared" si="4"/>
        <v>0</v>
      </c>
      <c r="H13" s="26">
        <f>VLOOKUP(A13,TB!TB,5,FALSE)</f>
        <v>0</v>
      </c>
      <c r="I13" s="41">
        <f t="shared" si="5"/>
        <v>0</v>
      </c>
      <c r="K13" s="11">
        <f>VLOOKUP(A13,TB!TB1_1,4,FALSE)</f>
        <v>0</v>
      </c>
      <c r="L13" s="41">
        <f t="shared" si="6"/>
        <v>0</v>
      </c>
      <c r="N13" s="11">
        <f>VLOOKUP(A13,TB!TB1_1,5,FALSE)</f>
        <v>0</v>
      </c>
      <c r="O13" s="41">
        <f t="shared" si="7"/>
        <v>0</v>
      </c>
    </row>
    <row r="14" spans="1:15" x14ac:dyDescent="0.25">
      <c r="A14" s="36" t="s">
        <v>873</v>
      </c>
      <c r="C14" s="36" t="s">
        <v>417</v>
      </c>
      <c r="E14" s="11">
        <f>VLOOKUP(A14,TB!TB,4,FALSE)</f>
        <v>0</v>
      </c>
      <c r="F14" s="57">
        <f t="shared" si="4"/>
        <v>0</v>
      </c>
      <c r="G14" s="58"/>
      <c r="H14" s="11">
        <f>VLOOKUP(A14,TB!TB,5,FALSE)</f>
        <v>0</v>
      </c>
      <c r="I14" s="57">
        <f t="shared" si="5"/>
        <v>0</v>
      </c>
      <c r="J14" s="58"/>
      <c r="K14" s="11">
        <f>VLOOKUP(A14,TB!TB1_1,4,FALSE)</f>
        <v>12518.34</v>
      </c>
      <c r="L14" s="57">
        <f t="shared" si="6"/>
        <v>0</v>
      </c>
      <c r="M14" s="58"/>
      <c r="N14" s="11">
        <f>VLOOKUP(A14,TB!TB1_1,5,FALSE)</f>
        <v>12518.34</v>
      </c>
      <c r="O14" s="57">
        <f t="shared" si="7"/>
        <v>0</v>
      </c>
    </row>
    <row r="15" spans="1:15" x14ac:dyDescent="0.25">
      <c r="A15" s="36" t="s">
        <v>929</v>
      </c>
      <c r="C15" s="36" t="s">
        <v>1102</v>
      </c>
      <c r="E15" s="26">
        <f>VLOOKUP(A15,TB!TB,4,FALSE)</f>
        <v>0</v>
      </c>
      <c r="F15" s="57">
        <f t="shared" si="4"/>
        <v>0</v>
      </c>
      <c r="G15" s="58"/>
      <c r="H15" s="26">
        <f>VLOOKUP(A15,TB!TB,5,FALSE)</f>
        <v>0</v>
      </c>
      <c r="I15" s="57">
        <f t="shared" si="5"/>
        <v>0</v>
      </c>
      <c r="J15" s="58"/>
      <c r="K15" s="11">
        <f>VLOOKUP(A15,TB!TB1_1,4,FALSE)</f>
        <v>0</v>
      </c>
      <c r="L15" s="57">
        <f t="shared" si="6"/>
        <v>0</v>
      </c>
      <c r="M15" s="58"/>
      <c r="N15" s="11">
        <f>VLOOKUP(A15,TB!TB1_1,5,FALSE)</f>
        <v>0</v>
      </c>
      <c r="O15" s="57">
        <f t="shared" si="7"/>
        <v>0</v>
      </c>
    </row>
    <row r="16" spans="1:15" x14ac:dyDescent="0.25">
      <c r="A16" s="36" t="s">
        <v>976</v>
      </c>
      <c r="C16" s="36" t="s">
        <v>1100</v>
      </c>
      <c r="E16" s="11">
        <f>VLOOKUP(A16,TB!TB,4,FALSE)</f>
        <v>0</v>
      </c>
      <c r="F16" s="41">
        <f t="shared" si="4"/>
        <v>0</v>
      </c>
      <c r="H16" s="11">
        <f>VLOOKUP(A16,TB!TB,5,FALSE)</f>
        <v>0</v>
      </c>
      <c r="I16" s="41">
        <f t="shared" si="5"/>
        <v>0</v>
      </c>
      <c r="K16" s="11">
        <f>VLOOKUP(A16,TB!TB1_1,4,FALSE)</f>
        <v>0</v>
      </c>
      <c r="L16" s="41">
        <f t="shared" si="6"/>
        <v>0</v>
      </c>
      <c r="N16" s="11">
        <f>VLOOKUP(A16,TB!TB1_1,5,FALSE)</f>
        <v>0</v>
      </c>
      <c r="O16" s="41">
        <f t="shared" si="7"/>
        <v>0</v>
      </c>
    </row>
    <row r="17" spans="1:15" x14ac:dyDescent="0.25">
      <c r="A17" s="36" t="s">
        <v>982</v>
      </c>
      <c r="C17" s="36" t="s">
        <v>1101</v>
      </c>
      <c r="E17" s="59">
        <f>VLOOKUP(A17,TB!TB,4,FALSE)</f>
        <v>0</v>
      </c>
      <c r="F17" s="41">
        <f t="shared" si="4"/>
        <v>0</v>
      </c>
      <c r="H17" s="59">
        <f>VLOOKUP(A17,TB!TB,5,FALSE)</f>
        <v>0</v>
      </c>
      <c r="I17" s="41">
        <f t="shared" si="5"/>
        <v>0</v>
      </c>
      <c r="K17" s="11">
        <f>VLOOKUP(A17,TB!TB1_1,4,FALSE)</f>
        <v>0</v>
      </c>
      <c r="L17" s="41">
        <f t="shared" si="6"/>
        <v>0</v>
      </c>
      <c r="N17" s="11">
        <f>VLOOKUP(A17,TB!TB1_1,5,FALSE)</f>
        <v>0</v>
      </c>
      <c r="O17" s="41">
        <f t="shared" si="7"/>
        <v>0</v>
      </c>
    </row>
    <row r="18" spans="1:15" x14ac:dyDescent="0.25">
      <c r="C18" s="88" t="s">
        <v>1033</v>
      </c>
      <c r="E18" s="74">
        <f>SUM(E12:E17)</f>
        <v>0</v>
      </c>
      <c r="F18" s="86">
        <f t="shared" si="4"/>
        <v>0</v>
      </c>
      <c r="H18" s="74">
        <f>SUM(H12:H17)</f>
        <v>0</v>
      </c>
      <c r="I18" s="86">
        <f t="shared" si="5"/>
        <v>0</v>
      </c>
      <c r="K18" s="74">
        <f>SUM(K12:K17)</f>
        <v>12518.34</v>
      </c>
      <c r="L18" s="86">
        <f t="shared" si="6"/>
        <v>0</v>
      </c>
      <c r="N18" s="74">
        <f>SUM(N12:N17)</f>
        <v>12518.34</v>
      </c>
      <c r="O18" s="86">
        <f t="shared" si="7"/>
        <v>0</v>
      </c>
    </row>
    <row r="20" spans="1:15" x14ac:dyDescent="0.25">
      <c r="C20" s="88" t="s">
        <v>1034</v>
      </c>
      <c r="E20" s="40">
        <f>E10-E18</f>
        <v>0</v>
      </c>
      <c r="F20" s="41">
        <f t="shared" si="0"/>
        <v>0</v>
      </c>
      <c r="H20" s="40">
        <f>H10-H18</f>
        <v>0</v>
      </c>
      <c r="I20" s="41">
        <f t="shared" ref="I20" si="8">IF(H$10,H20/H$10,0)</f>
        <v>0</v>
      </c>
      <c r="K20" s="40">
        <f>K10-K18</f>
        <v>-12518.34</v>
      </c>
      <c r="L20" s="41">
        <f t="shared" ref="L20" si="9">IF(K$10,K20/K$10,0)</f>
        <v>0</v>
      </c>
      <c r="N20" s="40">
        <f>N10-N18</f>
        <v>-12518.34</v>
      </c>
      <c r="O20" s="41">
        <f t="shared" ref="O20" si="10">IF(N$10,N20/N$10,0)</f>
        <v>0</v>
      </c>
    </row>
    <row r="21" spans="1:15" x14ac:dyDescent="0.25">
      <c r="C21" s="36"/>
    </row>
    <row r="22" spans="1:15" x14ac:dyDescent="0.25">
      <c r="A22" s="36" t="s">
        <v>879</v>
      </c>
      <c r="C22" s="36" t="s">
        <v>1103</v>
      </c>
      <c r="E22" s="11">
        <f>VLOOKUP(A22,TB!TB,4,FALSE)</f>
        <v>0</v>
      </c>
      <c r="F22" s="41">
        <f t="shared" ref="F22:F39" si="11">IF(E$10,E22/E$10,0)</f>
        <v>0</v>
      </c>
      <c r="H22" s="11">
        <f>VLOOKUP(A22,TB!TB,5,FALSE)</f>
        <v>0</v>
      </c>
      <c r="I22" s="41">
        <f t="shared" ref="I22:I33" si="12">IF(H$10,H22/H$10,0)</f>
        <v>0</v>
      </c>
      <c r="K22" s="11">
        <f>VLOOKUP(A22,TB!TB1_1,4,FALSE)</f>
        <v>0</v>
      </c>
      <c r="L22" s="41">
        <f t="shared" ref="L22:L33" si="13">IF(K$10,K22/K$10,0)</f>
        <v>0</v>
      </c>
      <c r="N22" s="11">
        <f>VLOOKUP(A22,TB!TB1_1,5,FALSE)</f>
        <v>0</v>
      </c>
      <c r="O22" s="41">
        <f t="shared" ref="O22:O33" si="14">IF(N$10,N22/N$10,0)</f>
        <v>0</v>
      </c>
    </row>
    <row r="23" spans="1:15" x14ac:dyDescent="0.25">
      <c r="A23" s="36" t="s">
        <v>889</v>
      </c>
      <c r="C23" s="36" t="s">
        <v>1104</v>
      </c>
      <c r="E23" s="11">
        <f>VLOOKUP(A23,TB!TB,4,FALSE)</f>
        <v>0</v>
      </c>
      <c r="F23" s="41">
        <f t="shared" si="11"/>
        <v>0</v>
      </c>
      <c r="H23" s="11">
        <f>VLOOKUP(A23,TB!TB,5,FALSE)</f>
        <v>0</v>
      </c>
      <c r="I23" s="41">
        <f t="shared" si="12"/>
        <v>0</v>
      </c>
      <c r="K23" s="11">
        <f>VLOOKUP(A23,TB!TB1_1,4,FALSE)</f>
        <v>0</v>
      </c>
      <c r="L23" s="41">
        <f t="shared" si="13"/>
        <v>0</v>
      </c>
      <c r="N23" s="11">
        <f>VLOOKUP(A23,TB!TB1_1,5,FALSE)</f>
        <v>0</v>
      </c>
      <c r="O23" s="41">
        <f t="shared" si="14"/>
        <v>0</v>
      </c>
    </row>
    <row r="24" spans="1:15" x14ac:dyDescent="0.25">
      <c r="A24" s="36" t="s">
        <v>893</v>
      </c>
      <c r="C24" s="36" t="s">
        <v>1105</v>
      </c>
      <c r="E24" s="11">
        <f>VLOOKUP(A24,TB!TB,4,FALSE)</f>
        <v>0</v>
      </c>
      <c r="F24" s="41">
        <f t="shared" si="11"/>
        <v>0</v>
      </c>
      <c r="H24" s="11">
        <f>VLOOKUP(A24,TB!TB,5,FALSE)</f>
        <v>0</v>
      </c>
      <c r="I24" s="41">
        <f t="shared" si="12"/>
        <v>0</v>
      </c>
      <c r="K24" s="11">
        <f>VLOOKUP(A24,TB!TB1_1,4,FALSE)</f>
        <v>0</v>
      </c>
      <c r="L24" s="41">
        <f t="shared" si="13"/>
        <v>0</v>
      </c>
      <c r="N24" s="11">
        <f>VLOOKUP(A24,TB!TB1_1,5,FALSE)</f>
        <v>0</v>
      </c>
      <c r="O24" s="41">
        <f t="shared" si="14"/>
        <v>0</v>
      </c>
    </row>
    <row r="25" spans="1:15" x14ac:dyDescent="0.25">
      <c r="A25" s="36" t="s">
        <v>899</v>
      </c>
      <c r="C25" s="36" t="s">
        <v>1106</v>
      </c>
      <c r="E25" s="11">
        <f>VLOOKUP(A25,TB!TB,4,FALSE)</f>
        <v>0</v>
      </c>
      <c r="F25" s="41">
        <f t="shared" si="11"/>
        <v>0</v>
      </c>
      <c r="H25" s="11">
        <f>VLOOKUP(A25,TB!TB,5,FALSE)</f>
        <v>0</v>
      </c>
      <c r="I25" s="41">
        <f t="shared" si="12"/>
        <v>0</v>
      </c>
      <c r="K25" s="11">
        <f>VLOOKUP(A25,TB!TB1_1,4,FALSE)</f>
        <v>0</v>
      </c>
      <c r="L25" s="41">
        <f t="shared" si="13"/>
        <v>0</v>
      </c>
      <c r="N25" s="11">
        <f>VLOOKUP(A25,TB!TB1_1,5,FALSE)</f>
        <v>0</v>
      </c>
      <c r="O25" s="41">
        <f t="shared" si="14"/>
        <v>0</v>
      </c>
    </row>
    <row r="26" spans="1:15" x14ac:dyDescent="0.25">
      <c r="A26" s="36" t="s">
        <v>957</v>
      </c>
      <c r="C26" s="36" t="s">
        <v>639</v>
      </c>
      <c r="E26" s="26">
        <f>VLOOKUP(A26,TB!TB,4,FALSE)</f>
        <v>0</v>
      </c>
      <c r="F26" s="41">
        <f t="shared" si="11"/>
        <v>0</v>
      </c>
      <c r="H26" s="26">
        <f>VLOOKUP(A26,TB!TB,5,FALSE)</f>
        <v>0</v>
      </c>
      <c r="I26" s="41">
        <f t="shared" si="12"/>
        <v>0</v>
      </c>
      <c r="K26" s="11">
        <f>VLOOKUP(A26,TB!TB1_1,4,FALSE)</f>
        <v>0</v>
      </c>
      <c r="L26" s="41">
        <f t="shared" si="13"/>
        <v>0</v>
      </c>
      <c r="N26" s="11">
        <f>VLOOKUP(A26,TB!TB1_1,5,FALSE)</f>
        <v>0</v>
      </c>
      <c r="O26" s="41">
        <f t="shared" si="14"/>
        <v>0</v>
      </c>
    </row>
    <row r="27" spans="1:15" x14ac:dyDescent="0.25">
      <c r="A27" s="36" t="s">
        <v>963</v>
      </c>
      <c r="C27" s="36" t="s">
        <v>654</v>
      </c>
      <c r="E27" s="11">
        <f>VLOOKUP(A27,TB!TB,4,FALSE)</f>
        <v>0</v>
      </c>
      <c r="F27" s="41">
        <f t="shared" si="11"/>
        <v>0</v>
      </c>
      <c r="H27" s="11">
        <f>VLOOKUP(A27,TB!TB,5,FALSE)</f>
        <v>0</v>
      </c>
      <c r="I27" s="41">
        <f t="shared" si="12"/>
        <v>0</v>
      </c>
      <c r="K27" s="11">
        <f>VLOOKUP(A27,TB!TB1_1,4,FALSE)</f>
        <v>0</v>
      </c>
      <c r="L27" s="41">
        <f t="shared" si="13"/>
        <v>0</v>
      </c>
      <c r="N27" s="11">
        <f>VLOOKUP(A27,TB!TB1_1,5,FALSE)</f>
        <v>0</v>
      </c>
      <c r="O27" s="41">
        <f t="shared" si="14"/>
        <v>0</v>
      </c>
    </row>
    <row r="28" spans="1:15" x14ac:dyDescent="0.25">
      <c r="A28" s="36" t="s">
        <v>916</v>
      </c>
      <c r="C28" s="36" t="s">
        <v>1107</v>
      </c>
      <c r="E28" s="11">
        <f>VLOOKUP(A28,TB!TB,4,FALSE)</f>
        <v>0</v>
      </c>
      <c r="F28" s="41">
        <f t="shared" si="11"/>
        <v>0</v>
      </c>
      <c r="H28" s="11">
        <f>VLOOKUP(A28,TB!TB,5,FALSE)</f>
        <v>0</v>
      </c>
      <c r="I28" s="41">
        <f t="shared" si="12"/>
        <v>0</v>
      </c>
      <c r="K28" s="11">
        <f>VLOOKUP(A28,TB!TB1_1,4,FALSE)</f>
        <v>0</v>
      </c>
      <c r="L28" s="41">
        <f t="shared" si="13"/>
        <v>0</v>
      </c>
      <c r="N28" s="11">
        <f>VLOOKUP(A28,TB!TB1_1,5,FALSE)</f>
        <v>0</v>
      </c>
      <c r="O28" s="41">
        <f t="shared" si="14"/>
        <v>0</v>
      </c>
    </row>
    <row r="29" spans="1:15" x14ac:dyDescent="0.25">
      <c r="A29" s="36" t="s">
        <v>922</v>
      </c>
      <c r="C29" s="36" t="s">
        <v>1108</v>
      </c>
      <c r="E29" s="11">
        <f>VLOOKUP(A29,TB!TB,4,FALSE)</f>
        <v>0</v>
      </c>
      <c r="F29" s="41">
        <f t="shared" si="11"/>
        <v>0</v>
      </c>
      <c r="H29" s="11">
        <f>VLOOKUP(A29,TB!TB,5,FALSE)</f>
        <v>0</v>
      </c>
      <c r="I29" s="41">
        <f t="shared" si="12"/>
        <v>0</v>
      </c>
      <c r="K29" s="11">
        <f>VLOOKUP(A29,TB!TB1_1,4,FALSE)</f>
        <v>0</v>
      </c>
      <c r="L29" s="41">
        <f t="shared" si="13"/>
        <v>0</v>
      </c>
      <c r="N29" s="11">
        <f>VLOOKUP(A29,TB!TB1_1,5,FALSE)</f>
        <v>0</v>
      </c>
      <c r="O29" s="41">
        <f t="shared" si="14"/>
        <v>0</v>
      </c>
    </row>
    <row r="30" spans="1:15" x14ac:dyDescent="0.25">
      <c r="A30" s="36" t="s">
        <v>943</v>
      </c>
      <c r="C30" s="36" t="s">
        <v>1109</v>
      </c>
      <c r="E30" s="11">
        <f>VLOOKUP(A30,TB!TB,4,FALSE)</f>
        <v>770.12</v>
      </c>
      <c r="F30" s="41">
        <f t="shared" si="11"/>
        <v>0</v>
      </c>
      <c r="H30" s="11">
        <f>VLOOKUP(A30,TB!TB,5,FALSE)</f>
        <v>770.12</v>
      </c>
      <c r="I30" s="41">
        <f t="shared" si="12"/>
        <v>0</v>
      </c>
      <c r="K30" s="11">
        <f>VLOOKUP(A30,TB!TB1_1,4,FALSE)</f>
        <v>0</v>
      </c>
      <c r="L30" s="41">
        <f t="shared" si="13"/>
        <v>0</v>
      </c>
      <c r="N30" s="11">
        <f>VLOOKUP(A30,TB!TB1_1,5,FALSE)</f>
        <v>0</v>
      </c>
      <c r="O30" s="41">
        <f t="shared" si="14"/>
        <v>0</v>
      </c>
    </row>
    <row r="31" spans="1:15" x14ac:dyDescent="0.25">
      <c r="A31" s="36" t="s">
        <v>971</v>
      </c>
      <c r="C31" s="36" t="s">
        <v>1110</v>
      </c>
      <c r="E31" s="11">
        <f>VLOOKUP(A31,TB!TB,4,FALSE)</f>
        <v>0</v>
      </c>
      <c r="F31" s="41">
        <f>IF(E$10,E31/E$10,0)</f>
        <v>0</v>
      </c>
      <c r="H31" s="11">
        <f>VLOOKUP(A31,TB!TB,5,FALSE)</f>
        <v>0</v>
      </c>
      <c r="I31" s="41">
        <f>IF(H$10,H31/H$10,0)</f>
        <v>0</v>
      </c>
      <c r="K31" s="11">
        <f>VLOOKUP(A31,TB!TB1_1,4,FALSE)</f>
        <v>0</v>
      </c>
      <c r="L31" s="41">
        <f>IF(K$10,K31/K$10,0)</f>
        <v>0</v>
      </c>
      <c r="N31" s="11">
        <f>VLOOKUP(A31,TB!TB1_1,5,FALSE)</f>
        <v>0</v>
      </c>
      <c r="O31" s="41">
        <f>IF(N$10,N31/N$10,0)</f>
        <v>0</v>
      </c>
    </row>
    <row r="32" spans="1:15" x14ac:dyDescent="0.25">
      <c r="A32" s="36" t="s">
        <v>987</v>
      </c>
      <c r="C32" s="36" t="s">
        <v>1111</v>
      </c>
      <c r="E32" s="29">
        <f>VLOOKUP(A32,TB!TB,4,FALSE)</f>
        <v>0</v>
      </c>
      <c r="F32" s="50">
        <f t="shared" si="11"/>
        <v>0</v>
      </c>
      <c r="H32" s="29">
        <f>VLOOKUP(A32,TB!TB,5,FALSE)</f>
        <v>0</v>
      </c>
      <c r="I32" s="50">
        <f t="shared" si="12"/>
        <v>0</v>
      </c>
      <c r="K32" s="59">
        <f>VLOOKUP(A32,TB!TB1_1,4,FALSE)</f>
        <v>0</v>
      </c>
      <c r="L32" s="50">
        <f t="shared" si="13"/>
        <v>0</v>
      </c>
      <c r="N32" s="59">
        <f>VLOOKUP(A32,TB!TB1_1,5,FALSE)</f>
        <v>0</v>
      </c>
      <c r="O32" s="50">
        <f t="shared" si="14"/>
        <v>0</v>
      </c>
    </row>
    <row r="33" spans="1:15" x14ac:dyDescent="0.25">
      <c r="C33" s="88" t="s">
        <v>1003</v>
      </c>
      <c r="E33" s="40">
        <f>SUM(E22:E32)</f>
        <v>770.12</v>
      </c>
      <c r="F33" s="41">
        <f t="shared" si="11"/>
        <v>0</v>
      </c>
      <c r="H33" s="40">
        <f>SUM(H22:H32)</f>
        <v>770.12</v>
      </c>
      <c r="I33" s="41">
        <f t="shared" si="12"/>
        <v>0</v>
      </c>
      <c r="K33" s="74">
        <f>SUM(K22:K32)</f>
        <v>0</v>
      </c>
      <c r="L33" s="41">
        <f t="shared" si="13"/>
        <v>0</v>
      </c>
      <c r="N33" s="74">
        <f>SUM(N22:N32)</f>
        <v>0</v>
      </c>
      <c r="O33" s="41">
        <f t="shared" si="14"/>
        <v>0</v>
      </c>
    </row>
    <row r="34" spans="1:15" x14ac:dyDescent="0.25">
      <c r="C34" s="36"/>
    </row>
    <row r="35" spans="1:15" x14ac:dyDescent="0.25">
      <c r="C35" s="88" t="s">
        <v>1024</v>
      </c>
      <c r="E35" s="40">
        <f>E20-E33</f>
        <v>-770.12</v>
      </c>
      <c r="F35" s="41">
        <f t="shared" si="11"/>
        <v>0</v>
      </c>
      <c r="H35" s="40">
        <f>H20-H33</f>
        <v>-770.12</v>
      </c>
      <c r="I35" s="41">
        <f t="shared" ref="I35" si="15">IF(H$10,H35/H$10,0)</f>
        <v>0</v>
      </c>
      <c r="K35" s="40">
        <f>K20-K33</f>
        <v>-12518.34</v>
      </c>
      <c r="L35" s="41">
        <f t="shared" ref="L35" si="16">IF(K$10,K35/K$10,0)</f>
        <v>0</v>
      </c>
      <c r="N35" s="40">
        <f>N20-N33</f>
        <v>-12518.34</v>
      </c>
      <c r="O35" s="41">
        <f t="shared" ref="O35" si="17">IF(N$10,N35/N$10,0)</f>
        <v>0</v>
      </c>
    </row>
    <row r="36" spans="1:15" x14ac:dyDescent="0.25">
      <c r="C36" s="36"/>
    </row>
    <row r="37" spans="1:15" ht="15.75" thickBot="1" x14ac:dyDescent="0.3">
      <c r="A37" s="36" t="s">
        <v>993</v>
      </c>
      <c r="C37" s="36" t="s">
        <v>743</v>
      </c>
      <c r="E37" s="59">
        <f>VLOOKUP(A37,TB!TB,4,FALSE)</f>
        <v>0</v>
      </c>
      <c r="F37" s="41">
        <f t="shared" si="11"/>
        <v>0</v>
      </c>
      <c r="H37" s="59">
        <f>VLOOKUP(A37,TB!TB,5,FALSE)</f>
        <v>0</v>
      </c>
      <c r="I37" s="41">
        <f t="shared" ref="I37" si="18">IF(H$10,H37/H$10,0)</f>
        <v>0</v>
      </c>
      <c r="K37" s="11">
        <f>VLOOKUP(A37,TB!TB1_1,4,FALSE)</f>
        <v>0</v>
      </c>
      <c r="L37" s="41">
        <f t="shared" ref="L37" si="19">IF(K$10,K37/K$10,0)</f>
        <v>0</v>
      </c>
      <c r="N37" s="59">
        <f>VLOOKUP(A37,TB!TB1_1,5,FALSE)</f>
        <v>0</v>
      </c>
      <c r="O37" s="41">
        <f t="shared" ref="O37" si="20">IF(N$10,N37/N$10,0)</f>
        <v>0</v>
      </c>
    </row>
    <row r="38" spans="1:15" ht="15.75" thickTop="1" x14ac:dyDescent="0.25">
      <c r="C38" s="36"/>
      <c r="E38" s="99"/>
      <c r="F38" s="99"/>
      <c r="H38" s="99"/>
      <c r="I38" s="99"/>
      <c r="K38" s="99"/>
      <c r="L38" s="99"/>
      <c r="N38" s="99"/>
      <c r="O38" s="99"/>
    </row>
    <row r="39" spans="1:15" x14ac:dyDescent="0.25">
      <c r="C39" s="88" t="s">
        <v>1025</v>
      </c>
      <c r="E39" s="40">
        <f>E35-E37</f>
        <v>-770.12</v>
      </c>
      <c r="F39" s="41">
        <f t="shared" si="11"/>
        <v>0</v>
      </c>
      <c r="H39" s="40">
        <f>H35-H37</f>
        <v>-770.12</v>
      </c>
      <c r="I39" s="41">
        <f t="shared" ref="I39" si="21">IF(H$10,H39/H$10,0)</f>
        <v>0</v>
      </c>
      <c r="K39" s="40">
        <f>K35-K37</f>
        <v>-12518.34</v>
      </c>
      <c r="L39" s="41">
        <f t="shared" ref="L39" si="22">IF(K$10,K39/K$10,0)</f>
        <v>0</v>
      </c>
      <c r="N39" s="40">
        <f>N35-N37</f>
        <v>-12518.34</v>
      </c>
      <c r="O39" s="41">
        <f t="shared" ref="O39" si="23">IF(N$10,N39/N$10,0)</f>
        <v>0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6ECC-EC49-4EE2-987D-38573F8E86E3}">
  <sheetPr>
    <tabColor rgb="FF92D050"/>
  </sheetPr>
  <dimension ref="A1:O50"/>
  <sheetViews>
    <sheetView zoomScaleNormal="100" workbookViewId="0">
      <selection activeCell="A3" sqref="A3:O3"/>
    </sheetView>
  </sheetViews>
  <sheetFormatPr defaultRowHeight="15" x14ac:dyDescent="0.25"/>
  <cols>
    <col min="1" max="1" width="10.5703125" style="36" customWidth="1"/>
    <col min="2" max="2" width="3.5703125" customWidth="1"/>
    <col min="3" max="3" width="27.42578125" customWidth="1"/>
    <col min="4" max="4" width="2.7109375" customWidth="1"/>
    <col min="5" max="5" width="18.140625" customWidth="1"/>
    <col min="6" max="6" width="8.28515625" customWidth="1"/>
    <col min="7" max="7" width="2.5703125" customWidth="1"/>
    <col min="8" max="8" width="18.28515625" customWidth="1"/>
    <col min="9" max="9" width="8.85546875" bestFit="1" customWidth="1"/>
    <col min="10" max="10" width="3.140625" customWidth="1"/>
    <col min="11" max="11" width="18.140625" customWidth="1"/>
    <col min="12" max="12" width="8" customWidth="1"/>
    <col min="13" max="13" width="2" customWidth="1"/>
    <col min="14" max="14" width="18.28515625" customWidth="1"/>
    <col min="15" max="15" width="8.28515625" customWidth="1"/>
  </cols>
  <sheetData>
    <row r="1" spans="1:15" ht="31.5" x14ac:dyDescent="0.5">
      <c r="A1" s="148" t="s">
        <v>1071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2107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53"/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54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5" x14ac:dyDescent="0.25">
      <c r="A7" s="36" t="s">
        <v>798</v>
      </c>
      <c r="C7" t="s">
        <v>1113</v>
      </c>
      <c r="E7" s="11">
        <f>VLOOKUP(A7,TB!TB,4,FALSE)*-1</f>
        <v>0</v>
      </c>
      <c r="F7" s="41">
        <f>IF(E$14,E7/E$14,0)</f>
        <v>0</v>
      </c>
      <c r="H7" s="11">
        <f>VLOOKUP(A7,TB!TB,5,FALSE)*-1</f>
        <v>0</v>
      </c>
      <c r="I7" s="41">
        <f>IF(H$14,H7/H$14,0)</f>
        <v>0</v>
      </c>
      <c r="K7" s="11">
        <f>VLOOKUP(A7,TB!TB1_1,4,FALSE)*-1</f>
        <v>0</v>
      </c>
      <c r="L7" s="41">
        <f>IF(K$14,K7/K$14,0)</f>
        <v>0</v>
      </c>
      <c r="N7" s="11">
        <f>VLOOKUP(A7,TB!TB1_1,5,FALSE)*-1</f>
        <v>0</v>
      </c>
      <c r="O7" s="41">
        <f>IF(N$14,N7/N$14,0)</f>
        <v>0</v>
      </c>
    </row>
    <row r="8" spans="1:15" x14ac:dyDescent="0.25">
      <c r="A8" s="36" t="s">
        <v>801</v>
      </c>
      <c r="C8" t="s">
        <v>1114</v>
      </c>
      <c r="E8" s="11">
        <f>VLOOKUP(A8,TB!TB,4,FALSE)*-1</f>
        <v>0</v>
      </c>
      <c r="F8" s="41">
        <f t="shared" ref="F8:F47" si="0">IF(E$14,E8/E$14,0)</f>
        <v>0</v>
      </c>
      <c r="H8" s="11">
        <f>VLOOKUP(A8,TB!TB,5,FALSE)*-1</f>
        <v>0</v>
      </c>
      <c r="I8" s="41">
        <f t="shared" ref="I8:I27" si="1">IF(H$14,H8/H$14,0)</f>
        <v>0</v>
      </c>
      <c r="K8" s="11">
        <f>VLOOKUP(A8,TB!TB1_1,4,FALSE)*-1</f>
        <v>0</v>
      </c>
      <c r="L8" s="41">
        <f t="shared" ref="L8:L27" si="2">IF(K$14,K8/K$14,0)</f>
        <v>0</v>
      </c>
      <c r="N8" s="11">
        <f>VLOOKUP(A8,TB!TB1_1,5,FALSE)*-1</f>
        <v>0</v>
      </c>
      <c r="O8" s="41">
        <f t="shared" ref="O8:O27" si="3">IF(N$14,N8/N$14,0)</f>
        <v>0</v>
      </c>
    </row>
    <row r="9" spans="1:15" x14ac:dyDescent="0.25">
      <c r="A9" s="36" t="s">
        <v>802</v>
      </c>
      <c r="C9" t="s">
        <v>1115</v>
      </c>
      <c r="E9" s="11">
        <f>VLOOKUP(A9,TB!TB,4,FALSE)*-1</f>
        <v>0</v>
      </c>
      <c r="F9" s="41">
        <f t="shared" si="0"/>
        <v>0</v>
      </c>
      <c r="H9" s="11">
        <f>VLOOKUP(A9,TB!TB,5,FALSE)*-1</f>
        <v>0</v>
      </c>
      <c r="I9" s="41">
        <f t="shared" si="1"/>
        <v>0</v>
      </c>
      <c r="K9" s="11">
        <f>VLOOKUP(A9,TB!TB1_1,4,FALSE)*-1</f>
        <v>0</v>
      </c>
      <c r="L9" s="41">
        <f t="shared" si="2"/>
        <v>0</v>
      </c>
      <c r="N9" s="11">
        <f>VLOOKUP(A9,TB!TB1_1,5,FALSE)*-1</f>
        <v>0</v>
      </c>
      <c r="O9" s="41">
        <f t="shared" si="3"/>
        <v>0</v>
      </c>
    </row>
    <row r="10" spans="1:15" x14ac:dyDescent="0.25">
      <c r="A10" s="36" t="s">
        <v>799</v>
      </c>
      <c r="C10" t="s">
        <v>1116</v>
      </c>
      <c r="E10" s="11">
        <f>VLOOKUP(A10,TB!TB,4,FALSE)*-1</f>
        <v>9739</v>
      </c>
      <c r="F10" s="41">
        <f t="shared" si="0"/>
        <v>0.94214955983360738</v>
      </c>
      <c r="H10" s="11">
        <f>VLOOKUP(A10,TB!TB,5,FALSE)*-1</f>
        <v>9739</v>
      </c>
      <c r="I10" s="41">
        <f t="shared" si="1"/>
        <v>0.94214955983360738</v>
      </c>
      <c r="K10" s="11">
        <f>VLOOKUP(A10,TB!TB1_1,4,FALSE)*-1</f>
        <v>0</v>
      </c>
      <c r="L10" s="41">
        <f t="shared" si="2"/>
        <v>0</v>
      </c>
      <c r="N10" s="11">
        <f>VLOOKUP(A10,TB!TB1_1,5,FALSE)*-1</f>
        <v>0</v>
      </c>
      <c r="O10" s="41">
        <f t="shared" si="3"/>
        <v>0</v>
      </c>
    </row>
    <row r="11" spans="1:15" x14ac:dyDescent="0.25">
      <c r="A11" s="36" t="s">
        <v>800</v>
      </c>
      <c r="C11" t="s">
        <v>1117</v>
      </c>
      <c r="E11" s="11">
        <f>VLOOKUP(A11,TB!TB,4,FALSE)*-1</f>
        <v>0</v>
      </c>
      <c r="F11" s="41">
        <f t="shared" si="0"/>
        <v>0</v>
      </c>
      <c r="H11" s="11">
        <f>VLOOKUP(A11,TB!TB,5,FALSE)*-1</f>
        <v>0</v>
      </c>
      <c r="I11" s="41">
        <f t="shared" si="1"/>
        <v>0</v>
      </c>
      <c r="K11" s="11">
        <f>VLOOKUP(A11,TB!TB1_1,4,FALSE)*-1</f>
        <v>0</v>
      </c>
      <c r="L11" s="41">
        <f t="shared" si="2"/>
        <v>0</v>
      </c>
      <c r="N11" s="11">
        <f>VLOOKUP(A11,TB!TB1_1,5,FALSE)*-1</f>
        <v>0</v>
      </c>
      <c r="O11" s="41">
        <f t="shared" si="3"/>
        <v>0</v>
      </c>
    </row>
    <row r="12" spans="1:15" x14ac:dyDescent="0.25">
      <c r="A12" s="39" t="s">
        <v>1493</v>
      </c>
      <c r="C12" t="s">
        <v>1278</v>
      </c>
      <c r="E12" s="11">
        <f>VLOOKUP(A12,TB!TB,4,FALSE)*-1</f>
        <v>0</v>
      </c>
      <c r="F12" s="41">
        <f t="shared" si="0"/>
        <v>0</v>
      </c>
      <c r="H12" s="11">
        <f>VLOOKUP(A12,TB!TB,5,FALSE)*-1</f>
        <v>0</v>
      </c>
      <c r="I12" s="41">
        <f t="shared" si="1"/>
        <v>0</v>
      </c>
      <c r="K12" s="11">
        <f>VLOOKUP(A12,TB!TB1_1,4,FALSE)*-1</f>
        <v>0</v>
      </c>
      <c r="L12" s="41">
        <f t="shared" ref="L12" si="4">IF(K$14,K12/K$14,0)</f>
        <v>0</v>
      </c>
      <c r="N12" s="11">
        <f>VLOOKUP(A12,TB!TB1_1,5,FALSE)*-1</f>
        <v>0</v>
      </c>
      <c r="O12" s="41">
        <f t="shared" ref="O12" si="5">IF(N$14,N12/N$14,0)</f>
        <v>0</v>
      </c>
    </row>
    <row r="13" spans="1:15" x14ac:dyDescent="0.25">
      <c r="A13" s="36" t="s">
        <v>781</v>
      </c>
      <c r="C13" t="s">
        <v>249</v>
      </c>
      <c r="E13" s="29">
        <f>VLOOKUP(A13,TB!TB,4,FALSE)*-1</f>
        <v>598</v>
      </c>
      <c r="F13" s="50">
        <f t="shared" si="0"/>
        <v>5.7850440166392569E-2</v>
      </c>
      <c r="H13" s="29">
        <f>VLOOKUP(A13,TB!TB,5,FALSE)*-1</f>
        <v>598</v>
      </c>
      <c r="I13" s="50">
        <f t="shared" si="1"/>
        <v>5.7850440166392569E-2</v>
      </c>
      <c r="K13" s="29">
        <f>VLOOKUP(A13,TB!TB1_1,4,FALSE)*-1</f>
        <v>0</v>
      </c>
      <c r="L13" s="50">
        <f t="shared" si="2"/>
        <v>0</v>
      </c>
      <c r="N13" s="29">
        <f>VLOOKUP(A13,TB!TB1_1,5,FALSE)*-1</f>
        <v>0</v>
      </c>
      <c r="O13" s="50">
        <f t="shared" si="3"/>
        <v>0</v>
      </c>
    </row>
    <row r="14" spans="1:15" x14ac:dyDescent="0.25">
      <c r="C14" s="43" t="s">
        <v>1038</v>
      </c>
      <c r="E14" s="40">
        <f>SUM(E7:E13)</f>
        <v>10337</v>
      </c>
      <c r="F14" s="41">
        <f t="shared" si="0"/>
        <v>1</v>
      </c>
      <c r="H14" s="40">
        <f>SUM(H7:H13)</f>
        <v>10337</v>
      </c>
      <c r="I14" s="41">
        <f t="shared" si="1"/>
        <v>1</v>
      </c>
      <c r="K14" s="40">
        <f>SUM(K7:K13)</f>
        <v>0</v>
      </c>
      <c r="L14" s="41">
        <f t="shared" si="2"/>
        <v>0</v>
      </c>
      <c r="N14" s="40">
        <f>SUM(N7:N13)</f>
        <v>0</v>
      </c>
      <c r="O14" s="41">
        <f t="shared" si="3"/>
        <v>0</v>
      </c>
    </row>
    <row r="15" spans="1:15" x14ac:dyDescent="0.25">
      <c r="C15" s="37" t="s">
        <v>1211</v>
      </c>
    </row>
    <row r="16" spans="1:15" x14ac:dyDescent="0.25">
      <c r="A16" s="36" t="s">
        <v>849</v>
      </c>
      <c r="C16" t="s">
        <v>1118</v>
      </c>
      <c r="E16" s="11">
        <f>VLOOKUP(A16,TB!TB,4,FALSE)</f>
        <v>0</v>
      </c>
      <c r="F16" s="41">
        <f t="shared" si="0"/>
        <v>0</v>
      </c>
      <c r="H16" s="11">
        <f>VLOOKUP(A16,TB!TB,5,FALSE)</f>
        <v>0</v>
      </c>
      <c r="I16" s="41">
        <f t="shared" si="1"/>
        <v>0</v>
      </c>
      <c r="K16" s="11">
        <f>VLOOKUP(A16,TB!TB1_1,4,FALSE)</f>
        <v>0</v>
      </c>
      <c r="L16" s="41">
        <f t="shared" si="2"/>
        <v>0</v>
      </c>
      <c r="N16" s="11">
        <f>VLOOKUP(A16,TB!TB1_1,5,FALSE)</f>
        <v>0</v>
      </c>
      <c r="O16" s="41">
        <f t="shared" si="3"/>
        <v>0</v>
      </c>
    </row>
    <row r="17" spans="1:15" x14ac:dyDescent="0.25">
      <c r="A17" s="36" t="s">
        <v>852</v>
      </c>
      <c r="C17" t="s">
        <v>1119</v>
      </c>
      <c r="E17" s="11">
        <f>VLOOKUP(A17,TB!TB,4,FALSE)</f>
        <v>0</v>
      </c>
      <c r="F17" s="41">
        <f t="shared" si="0"/>
        <v>0</v>
      </c>
      <c r="H17" s="11">
        <f>VLOOKUP(A17,TB!TB,5,FALSE)</f>
        <v>0</v>
      </c>
      <c r="I17" s="41">
        <f t="shared" si="1"/>
        <v>0</v>
      </c>
      <c r="K17" s="11">
        <f>VLOOKUP(A17,TB!TB1_1,4,FALSE)</f>
        <v>0</v>
      </c>
      <c r="L17" s="41">
        <f t="shared" si="2"/>
        <v>0</v>
      </c>
      <c r="N17" s="11">
        <f>VLOOKUP(A17,TB!TB1_1,5,FALSE)</f>
        <v>0</v>
      </c>
      <c r="O17" s="41">
        <f t="shared" si="3"/>
        <v>0</v>
      </c>
    </row>
    <row r="18" spans="1:15" x14ac:dyDescent="0.25">
      <c r="A18" s="36" t="s">
        <v>853</v>
      </c>
      <c r="C18" t="s">
        <v>1120</v>
      </c>
      <c r="E18" s="11">
        <f>VLOOKUP(A18,TB!TB,4,FALSE)</f>
        <v>0</v>
      </c>
      <c r="F18" s="41">
        <f t="shared" si="0"/>
        <v>0</v>
      </c>
      <c r="H18" s="11">
        <f>VLOOKUP(A18,TB!TB,5,FALSE)</f>
        <v>0</v>
      </c>
      <c r="I18" s="41">
        <f t="shared" si="1"/>
        <v>0</v>
      </c>
      <c r="K18" s="11">
        <f>VLOOKUP(A18,TB!TB1_1,4,FALSE)</f>
        <v>0</v>
      </c>
      <c r="L18" s="41">
        <f t="shared" si="2"/>
        <v>0</v>
      </c>
      <c r="N18" s="11">
        <f>VLOOKUP(A18,TB!TB1_1,5,FALSE)</f>
        <v>0</v>
      </c>
      <c r="O18" s="41">
        <f t="shared" si="3"/>
        <v>0</v>
      </c>
    </row>
    <row r="19" spans="1:15" x14ac:dyDescent="0.25">
      <c r="A19" s="36" t="s">
        <v>850</v>
      </c>
      <c r="C19" t="s">
        <v>269</v>
      </c>
      <c r="E19" s="11">
        <f>VLOOKUP(A19,TB!TB,4,FALSE)</f>
        <v>7300</v>
      </c>
      <c r="F19" s="41">
        <f t="shared" si="0"/>
        <v>0.7062010254425849</v>
      </c>
      <c r="H19" s="11">
        <f>VLOOKUP(A19,TB!TB,5,FALSE)</f>
        <v>7300</v>
      </c>
      <c r="I19" s="41">
        <f t="shared" si="1"/>
        <v>0.7062010254425849</v>
      </c>
      <c r="K19" s="11">
        <f>VLOOKUP(A19,TB!TB1_1,4,FALSE)</f>
        <v>0</v>
      </c>
      <c r="L19" s="41">
        <f t="shared" si="2"/>
        <v>0</v>
      </c>
      <c r="N19" s="11">
        <f>VLOOKUP(A19,TB!TB1_1,5,FALSE)</f>
        <v>0</v>
      </c>
      <c r="O19" s="41">
        <f t="shared" si="3"/>
        <v>0</v>
      </c>
    </row>
    <row r="20" spans="1:15" x14ac:dyDescent="0.25">
      <c r="A20" s="36" t="s">
        <v>851</v>
      </c>
      <c r="C20" t="s">
        <v>1121</v>
      </c>
      <c r="E20" s="11">
        <f>VLOOKUP(A20,TB!TB,4,FALSE)</f>
        <v>0</v>
      </c>
      <c r="F20" s="41">
        <f t="shared" si="0"/>
        <v>0</v>
      </c>
      <c r="H20" s="11">
        <f>VLOOKUP(A20,TB!TB,5,FALSE)</f>
        <v>0</v>
      </c>
      <c r="I20" s="41">
        <f t="shared" si="1"/>
        <v>0</v>
      </c>
      <c r="K20" s="11">
        <f>VLOOKUP(A20,TB!TB1_1,4,FALSE)</f>
        <v>0</v>
      </c>
      <c r="L20" s="41">
        <f t="shared" si="2"/>
        <v>0</v>
      </c>
      <c r="N20" s="11">
        <f>VLOOKUP(A20,TB!TB1_1,5,FALSE)</f>
        <v>0</v>
      </c>
      <c r="O20" s="41">
        <f t="shared" si="3"/>
        <v>0</v>
      </c>
    </row>
    <row r="21" spans="1:15" x14ac:dyDescent="0.25">
      <c r="A21" s="36" t="s">
        <v>862</v>
      </c>
      <c r="C21" t="s">
        <v>1122</v>
      </c>
      <c r="E21" s="11">
        <f>VLOOKUP(A21,TB!TB,4,FALSE)</f>
        <v>0</v>
      </c>
      <c r="F21" s="41">
        <f t="shared" si="0"/>
        <v>0</v>
      </c>
      <c r="H21" s="11">
        <f>VLOOKUP(A21,TB!TB,5,FALSE)</f>
        <v>0</v>
      </c>
      <c r="I21" s="41">
        <f t="shared" si="1"/>
        <v>0</v>
      </c>
      <c r="K21" s="11">
        <f>VLOOKUP(A21,TB!TB1_1,4,FALSE)</f>
        <v>0</v>
      </c>
      <c r="L21" s="41">
        <f t="shared" si="2"/>
        <v>0</v>
      </c>
      <c r="N21" s="11">
        <f>VLOOKUP(A21,TB!TB1_1,5,FALSE)</f>
        <v>0</v>
      </c>
      <c r="O21" s="41">
        <f t="shared" si="3"/>
        <v>0</v>
      </c>
    </row>
    <row r="22" spans="1:15" x14ac:dyDescent="0.25">
      <c r="A22" s="36" t="s">
        <v>844</v>
      </c>
      <c r="C22" t="s">
        <v>1029</v>
      </c>
      <c r="E22" s="11">
        <f>VLOOKUP(A22,TB!TB,4,FALSE)</f>
        <v>0</v>
      </c>
      <c r="F22" s="41">
        <f t="shared" si="0"/>
        <v>0</v>
      </c>
      <c r="H22" s="11">
        <f>VLOOKUP(A22,TB!TB,5,FALSE)</f>
        <v>0</v>
      </c>
      <c r="I22" s="41">
        <f t="shared" si="1"/>
        <v>0</v>
      </c>
      <c r="K22" s="11">
        <f>VLOOKUP(A22,TB!TB1_1,4,FALSE)</f>
        <v>0</v>
      </c>
      <c r="L22" s="41">
        <f t="shared" si="2"/>
        <v>0</v>
      </c>
      <c r="N22" s="11">
        <f>VLOOKUP(A22,TB!TB1_1,5,FALSE)</f>
        <v>0</v>
      </c>
      <c r="O22" s="41">
        <f t="shared" si="3"/>
        <v>0</v>
      </c>
    </row>
    <row r="23" spans="1:15" x14ac:dyDescent="0.25">
      <c r="A23" s="36" t="s">
        <v>832</v>
      </c>
      <c r="C23" t="s">
        <v>1123</v>
      </c>
      <c r="E23" s="11">
        <f>VLOOKUP(A23,TB!TB,4,FALSE)</f>
        <v>0</v>
      </c>
      <c r="F23" s="41">
        <f>IF(E$14,E23/E$14,0)</f>
        <v>0</v>
      </c>
      <c r="H23" s="11">
        <f>VLOOKUP(A23,TB!TB,5,FALSE)</f>
        <v>0</v>
      </c>
      <c r="I23" s="41">
        <f>IF(H$14,H23/H$14,0)</f>
        <v>0</v>
      </c>
      <c r="K23" s="11">
        <f>VLOOKUP(A23,TB!TB1_1,4,FALSE)</f>
        <v>0</v>
      </c>
      <c r="L23" s="41">
        <f>IF(K$14,K23/K$14,0)</f>
        <v>0</v>
      </c>
      <c r="N23" s="11">
        <f>VLOOKUP(A23,TB!TB1_1,5,FALSE)</f>
        <v>0</v>
      </c>
      <c r="O23" s="41">
        <f>IF(N$14,N23/N$14,0)</f>
        <v>0</v>
      </c>
    </row>
    <row r="24" spans="1:15" x14ac:dyDescent="0.25">
      <c r="A24" s="36" t="s">
        <v>861</v>
      </c>
      <c r="C24" t="s">
        <v>1124</v>
      </c>
      <c r="E24" s="11">
        <f>VLOOKUP(A24,TB!TB,4,FALSE)</f>
        <v>0</v>
      </c>
      <c r="F24" s="41">
        <f>IF(E$14,E24/E$14,0)</f>
        <v>0</v>
      </c>
      <c r="H24" s="11">
        <f>VLOOKUP(A24,TB!TB,5,FALSE)</f>
        <v>0</v>
      </c>
      <c r="I24" s="41">
        <f>IF(H$14,H24/H$14,0)</f>
        <v>0</v>
      </c>
      <c r="K24" s="11">
        <f>VLOOKUP(A24,TB!TB1_1,4,FALSE)</f>
        <v>0</v>
      </c>
      <c r="L24" s="41">
        <f>IF(K$14,K24/K$14,0)</f>
        <v>0</v>
      </c>
      <c r="N24" s="11">
        <f>VLOOKUP(A24,TB!TB1_1,5,FALSE)</f>
        <v>0</v>
      </c>
      <c r="O24" s="41">
        <f>IF(N$14,N24/N$14,0)</f>
        <v>0</v>
      </c>
    </row>
    <row r="25" spans="1:15" x14ac:dyDescent="0.25">
      <c r="A25" s="36" t="s">
        <v>1502</v>
      </c>
      <c r="C25" t="s">
        <v>1182</v>
      </c>
      <c r="E25" s="59">
        <f>VLOOKUP(A25,TB!TB,4,FALSE)</f>
        <v>0</v>
      </c>
      <c r="F25" s="41">
        <f>IF(E$14,E25/E$14,0)</f>
        <v>0</v>
      </c>
      <c r="H25" s="59">
        <f>VLOOKUP(A25,TB!TB,5,FALSE)</f>
        <v>0</v>
      </c>
      <c r="I25" s="41">
        <f>IF(H$14,H25/H$14,0)</f>
        <v>0</v>
      </c>
      <c r="K25" s="11">
        <f>VLOOKUP(A25,TB!TB1_1,4,FALSE)</f>
        <v>0</v>
      </c>
      <c r="L25" s="41">
        <f>IF(K$14,K25/K$14,0)</f>
        <v>0</v>
      </c>
      <c r="N25" s="11">
        <f>VLOOKUP(A25,TB!TB1_1,5,FALSE)</f>
        <v>0</v>
      </c>
      <c r="O25" s="41">
        <f>IF(N$14,N25/N$14,0)</f>
        <v>0</v>
      </c>
    </row>
    <row r="26" spans="1:15" x14ac:dyDescent="0.25">
      <c r="E26" s="59"/>
      <c r="F26" s="87"/>
      <c r="G26" s="60"/>
      <c r="H26" s="59"/>
      <c r="I26" s="87"/>
      <c r="J26" s="60"/>
      <c r="K26" s="59"/>
      <c r="L26" s="87"/>
      <c r="M26" s="60"/>
      <c r="N26" s="59"/>
      <c r="O26" s="87"/>
    </row>
    <row r="27" spans="1:15" x14ac:dyDescent="0.25">
      <c r="C27" s="43" t="s">
        <v>1033</v>
      </c>
      <c r="E27" s="74">
        <f>SUM(E16:E26)</f>
        <v>7300</v>
      </c>
      <c r="F27" s="86">
        <f t="shared" si="0"/>
        <v>0.7062010254425849</v>
      </c>
      <c r="H27" s="74">
        <f>SUM(H16:H26)</f>
        <v>7300</v>
      </c>
      <c r="I27" s="86">
        <f t="shared" si="1"/>
        <v>0.7062010254425849</v>
      </c>
      <c r="K27" s="74">
        <f>SUM(K16:K26)</f>
        <v>0</v>
      </c>
      <c r="L27" s="86">
        <f t="shared" si="2"/>
        <v>0</v>
      </c>
      <c r="N27" s="74">
        <f>SUM(N16:N26)</f>
        <v>0</v>
      </c>
      <c r="O27" s="86">
        <f t="shared" si="3"/>
        <v>0</v>
      </c>
    </row>
    <row r="29" spans="1:15" x14ac:dyDescent="0.25">
      <c r="C29" s="43" t="s">
        <v>1034</v>
      </c>
      <c r="E29" s="40">
        <f>E14-E27</f>
        <v>3037</v>
      </c>
      <c r="F29" s="41">
        <f t="shared" si="0"/>
        <v>0.2937989745574151</v>
      </c>
      <c r="H29" s="40">
        <f>H14-H27</f>
        <v>3037</v>
      </c>
      <c r="I29" s="41">
        <f t="shared" ref="I29" si="6">IF(H$14,H29/H$14,0)</f>
        <v>0.2937989745574151</v>
      </c>
      <c r="K29" s="40">
        <f>K14-K27</f>
        <v>0</v>
      </c>
      <c r="L29" s="41">
        <f t="shared" ref="L29" si="7">IF(K$14,K29/K$14,0)</f>
        <v>0</v>
      </c>
      <c r="N29" s="40">
        <f>N14-N27</f>
        <v>0</v>
      </c>
      <c r="O29" s="41">
        <f t="shared" ref="O29" si="8">IF(N$14,N29/N$14,0)</f>
        <v>0</v>
      </c>
    </row>
    <row r="31" spans="1:15" x14ac:dyDescent="0.25">
      <c r="A31" s="36" t="s">
        <v>874</v>
      </c>
      <c r="C31" t="s">
        <v>1103</v>
      </c>
      <c r="E31" s="11">
        <f>VLOOKUP(A31,TB!TB,4,FALSE)</f>
        <v>0</v>
      </c>
      <c r="F31" s="41">
        <f t="shared" si="0"/>
        <v>0</v>
      </c>
      <c r="H31" s="11">
        <f>VLOOKUP(A31,TB!TB,5,FALSE)</f>
        <v>0</v>
      </c>
      <c r="I31" s="41">
        <f t="shared" ref="I31:I45" si="9">IF(H$14,H31/H$14,0)</f>
        <v>0</v>
      </c>
      <c r="K31" s="11">
        <f>VLOOKUP(A31,TB!TB1_1,4,FALSE)</f>
        <v>0</v>
      </c>
      <c r="L31" s="41">
        <f t="shared" ref="L31:L45" si="10">IF(K$14,K31/K$14,0)</f>
        <v>0</v>
      </c>
      <c r="N31" s="11">
        <f>VLOOKUP(A31,TB!TB1_1,5,FALSE)</f>
        <v>0</v>
      </c>
      <c r="O31" s="41">
        <f t="shared" ref="O31:O45" si="11">IF(N$14,N31/N$14,0)</f>
        <v>0</v>
      </c>
    </row>
    <row r="32" spans="1:15" x14ac:dyDescent="0.25">
      <c r="A32" s="36" t="s">
        <v>884</v>
      </c>
      <c r="C32" t="s">
        <v>1104</v>
      </c>
      <c r="E32" s="11">
        <f>VLOOKUP(A32,TB!TB,4,FALSE)</f>
        <v>0</v>
      </c>
      <c r="F32" s="41">
        <f t="shared" si="0"/>
        <v>0</v>
      </c>
      <c r="H32" s="11">
        <f>VLOOKUP(A32,TB!TB,5,FALSE)</f>
        <v>0</v>
      </c>
      <c r="I32" s="41">
        <f t="shared" si="9"/>
        <v>0</v>
      </c>
      <c r="K32" s="11">
        <f>VLOOKUP(A32,TB!TB1_1,4,FALSE)</f>
        <v>0</v>
      </c>
      <c r="L32" s="41">
        <f t="shared" si="10"/>
        <v>0</v>
      </c>
      <c r="N32" s="11">
        <f>VLOOKUP(A32,TB!TB1_1,5,FALSE)</f>
        <v>0</v>
      </c>
      <c r="O32" s="41">
        <f t="shared" si="11"/>
        <v>0</v>
      </c>
    </row>
    <row r="33" spans="1:15" x14ac:dyDescent="0.25">
      <c r="A33" s="36" t="s">
        <v>891</v>
      </c>
      <c r="C33" t="s">
        <v>1105</v>
      </c>
      <c r="E33" s="11">
        <f>VLOOKUP(A33,TB!TB,4,FALSE)</f>
        <v>0</v>
      </c>
      <c r="F33" s="41">
        <f t="shared" si="0"/>
        <v>0</v>
      </c>
      <c r="H33" s="11">
        <f>VLOOKUP(A33,TB!TB,5,FALSE)</f>
        <v>0</v>
      </c>
      <c r="I33" s="41">
        <f t="shared" si="9"/>
        <v>0</v>
      </c>
      <c r="K33" s="11">
        <f>VLOOKUP(A33,TB!TB1_1,4,FALSE)</f>
        <v>0</v>
      </c>
      <c r="L33" s="41">
        <f t="shared" si="10"/>
        <v>0</v>
      </c>
      <c r="N33" s="11">
        <f>VLOOKUP(A33,TB!TB1_1,5,FALSE)</f>
        <v>0</v>
      </c>
      <c r="O33" s="41">
        <f t="shared" si="11"/>
        <v>0</v>
      </c>
    </row>
    <row r="34" spans="1:15" x14ac:dyDescent="0.25">
      <c r="A34" s="39" t="s">
        <v>1504</v>
      </c>
      <c r="C34" t="s">
        <v>1527</v>
      </c>
      <c r="E34" s="11">
        <f>VLOOKUP(A34,TB!TB,4,FALSE)</f>
        <v>0</v>
      </c>
      <c r="F34" s="41">
        <f t="shared" si="0"/>
        <v>0</v>
      </c>
      <c r="H34" s="11">
        <f>VLOOKUP(A34,TB!TB,5,FALSE)</f>
        <v>0</v>
      </c>
      <c r="I34" s="41">
        <f t="shared" si="9"/>
        <v>0</v>
      </c>
      <c r="K34" s="11">
        <f>VLOOKUP(A34,TB!TB1_1,4,FALSE)</f>
        <v>-1257.4000000000001</v>
      </c>
      <c r="L34" s="41">
        <f t="shared" ref="L34" si="12">IF(K$14,K34/K$14,0)</f>
        <v>0</v>
      </c>
      <c r="N34" s="11">
        <f>VLOOKUP(A34,TB!TB1_1,5,FALSE)</f>
        <v>-1257.4000000000001</v>
      </c>
      <c r="O34" s="41">
        <f t="shared" ref="O34" si="13">IF(N$14,N34/N$14,0)</f>
        <v>0</v>
      </c>
    </row>
    <row r="35" spans="1:15" x14ac:dyDescent="0.25">
      <c r="A35" s="36" t="s">
        <v>894</v>
      </c>
      <c r="C35" t="s">
        <v>1106</v>
      </c>
      <c r="E35" s="11">
        <f>VLOOKUP(A35,TB!TB,4,FALSE)</f>
        <v>0</v>
      </c>
      <c r="F35" s="41">
        <f t="shared" si="0"/>
        <v>0</v>
      </c>
      <c r="H35" s="11">
        <f>VLOOKUP(A35,TB!TB,5,FALSE)</f>
        <v>0</v>
      </c>
      <c r="I35" s="41">
        <f t="shared" si="9"/>
        <v>0</v>
      </c>
      <c r="K35" s="11">
        <f>VLOOKUP(A35,TB!TB1_1,4,FALSE)</f>
        <v>0</v>
      </c>
      <c r="L35" s="41">
        <f t="shared" si="10"/>
        <v>0</v>
      </c>
      <c r="N35" s="11">
        <f>VLOOKUP(A35,TB!TB1_1,5,FALSE)</f>
        <v>0</v>
      </c>
      <c r="O35" s="41">
        <f t="shared" si="11"/>
        <v>0</v>
      </c>
    </row>
    <row r="36" spans="1:15" x14ac:dyDescent="0.25">
      <c r="A36" s="36" t="s">
        <v>952</v>
      </c>
      <c r="C36" t="s">
        <v>639</v>
      </c>
      <c r="E36" s="26">
        <f>VLOOKUP(A36,TB!TB,4,FALSE)</f>
        <v>0</v>
      </c>
      <c r="F36" s="41">
        <f t="shared" si="0"/>
        <v>0</v>
      </c>
      <c r="H36" s="26">
        <f>VLOOKUP(A36,TB!TB,5,FALSE)</f>
        <v>0</v>
      </c>
      <c r="I36" s="41">
        <f t="shared" si="9"/>
        <v>0</v>
      </c>
      <c r="K36" s="26">
        <f>VLOOKUP(A36,TB!TB1_1,4,FALSE)</f>
        <v>0</v>
      </c>
      <c r="L36" s="41">
        <f t="shared" si="10"/>
        <v>0</v>
      </c>
      <c r="N36" s="26">
        <f>VLOOKUP(A36,TB!TB1_1,5,FALSE)</f>
        <v>0</v>
      </c>
      <c r="O36" s="41">
        <f t="shared" si="11"/>
        <v>0</v>
      </c>
    </row>
    <row r="37" spans="1:15" x14ac:dyDescent="0.25">
      <c r="A37" s="36" t="s">
        <v>958</v>
      </c>
      <c r="C37" t="s">
        <v>654</v>
      </c>
      <c r="E37" s="11">
        <f>VLOOKUP(A37,TB!TB,4,FALSE)</f>
        <v>0</v>
      </c>
      <c r="F37" s="41">
        <f t="shared" si="0"/>
        <v>0</v>
      </c>
      <c r="H37" s="11">
        <f>VLOOKUP(A37,TB!TB,5,FALSE)</f>
        <v>0</v>
      </c>
      <c r="I37" s="41">
        <f t="shared" si="9"/>
        <v>0</v>
      </c>
      <c r="K37" s="11">
        <f>VLOOKUP(A37,TB!TB1_1,4,FALSE)</f>
        <v>0</v>
      </c>
      <c r="L37" s="41">
        <f t="shared" si="10"/>
        <v>0</v>
      </c>
      <c r="N37" s="11">
        <f>VLOOKUP(A37,TB!TB1_1,5,FALSE)</f>
        <v>0</v>
      </c>
      <c r="O37" s="41">
        <f t="shared" si="11"/>
        <v>0</v>
      </c>
    </row>
    <row r="38" spans="1:15" x14ac:dyDescent="0.25">
      <c r="A38" s="36" t="s">
        <v>911</v>
      </c>
      <c r="C38" t="s">
        <v>1107</v>
      </c>
      <c r="E38" s="11">
        <f>VLOOKUP(A38,TB!TB,4,FALSE)</f>
        <v>0</v>
      </c>
      <c r="F38" s="41">
        <f t="shared" si="0"/>
        <v>0</v>
      </c>
      <c r="H38" s="11">
        <f>VLOOKUP(A38,TB!TB,5,FALSE)</f>
        <v>0</v>
      </c>
      <c r="I38" s="41">
        <f t="shared" si="9"/>
        <v>0</v>
      </c>
      <c r="K38" s="11">
        <f>VLOOKUP(A38,TB!TB1_1,4,FALSE)</f>
        <v>0</v>
      </c>
      <c r="L38" s="41">
        <f t="shared" si="10"/>
        <v>0</v>
      </c>
      <c r="N38" s="11">
        <f>VLOOKUP(A38,TB!TB1_1,5,FALSE)</f>
        <v>0</v>
      </c>
      <c r="O38" s="41">
        <f t="shared" si="11"/>
        <v>0</v>
      </c>
    </row>
    <row r="39" spans="1:15" x14ac:dyDescent="0.25">
      <c r="A39" s="36" t="s">
        <v>917</v>
      </c>
      <c r="C39" t="s">
        <v>1108</v>
      </c>
      <c r="E39" s="11">
        <f>VLOOKUP(A39,TB!TB,4,FALSE)</f>
        <v>0</v>
      </c>
      <c r="F39" s="41">
        <f t="shared" si="0"/>
        <v>0</v>
      </c>
      <c r="H39" s="11">
        <f>VLOOKUP(A39,TB!TB,5,FALSE)</f>
        <v>0</v>
      </c>
      <c r="I39" s="41">
        <f t="shared" si="9"/>
        <v>0</v>
      </c>
      <c r="K39" s="11">
        <f>VLOOKUP(A39,TB!TB1_1,4,FALSE)</f>
        <v>0</v>
      </c>
      <c r="L39" s="41">
        <f t="shared" si="10"/>
        <v>0</v>
      </c>
      <c r="N39" s="11">
        <f>VLOOKUP(A39,TB!TB1_1,5,FALSE)</f>
        <v>0</v>
      </c>
      <c r="O39" s="41">
        <f t="shared" si="11"/>
        <v>0</v>
      </c>
    </row>
    <row r="40" spans="1:15" x14ac:dyDescent="0.25">
      <c r="A40" s="36" t="s">
        <v>924</v>
      </c>
      <c r="C40" t="s">
        <v>1125</v>
      </c>
      <c r="E40" s="59">
        <f>VLOOKUP(A40,TB!TB,4,FALSE)</f>
        <v>0</v>
      </c>
      <c r="F40" s="87">
        <f>IF(E$14,E40/E$14,0)</f>
        <v>0</v>
      </c>
      <c r="G40" s="60"/>
      <c r="H40" s="59">
        <f>VLOOKUP(A40,TB!TB,5,FALSE)</f>
        <v>0</v>
      </c>
      <c r="I40" s="87">
        <f>IF(H$14,H40/H$14,0)</f>
        <v>0</v>
      </c>
      <c r="J40" s="60"/>
      <c r="K40" s="59">
        <f>VLOOKUP(A40,TB!TB1_1,4,FALSE)</f>
        <v>0</v>
      </c>
      <c r="L40" s="87">
        <f>IF(K$14,K40/K$14,0)</f>
        <v>0</v>
      </c>
      <c r="M40" s="60"/>
      <c r="N40" s="59">
        <f>VLOOKUP(A40,TB!TB1_1,5,FALSE)</f>
        <v>0</v>
      </c>
      <c r="O40" s="87">
        <f>IF(N$14,N40/N$14,0)</f>
        <v>0</v>
      </c>
    </row>
    <row r="41" spans="1:15" x14ac:dyDescent="0.25">
      <c r="A41" s="36" t="s">
        <v>938</v>
      </c>
      <c r="C41" t="s">
        <v>1109</v>
      </c>
      <c r="E41" s="11">
        <f>VLOOKUP(A41,TB!TB,4,FALSE)</f>
        <v>0</v>
      </c>
      <c r="F41" s="41">
        <f t="shared" si="0"/>
        <v>0</v>
      </c>
      <c r="H41" s="11">
        <f>VLOOKUP(A41,TB!TB,5,FALSE)</f>
        <v>0</v>
      </c>
      <c r="I41" s="41">
        <f t="shared" si="9"/>
        <v>0</v>
      </c>
      <c r="K41" s="11">
        <f>VLOOKUP(A41,TB!TB1_1,4,FALSE)</f>
        <v>0</v>
      </c>
      <c r="L41" s="41">
        <f t="shared" si="10"/>
        <v>0</v>
      </c>
      <c r="N41" s="11">
        <f>VLOOKUP(A41,TB!TB1_1,5,FALSE)</f>
        <v>0</v>
      </c>
      <c r="O41" s="41">
        <f t="shared" si="11"/>
        <v>0</v>
      </c>
    </row>
    <row r="42" spans="1:15" x14ac:dyDescent="0.25">
      <c r="A42" s="36" t="s">
        <v>966</v>
      </c>
      <c r="C42" t="s">
        <v>1110</v>
      </c>
      <c r="E42" s="11">
        <f>VLOOKUP(A42,TB!TB,4,FALSE)</f>
        <v>0</v>
      </c>
      <c r="F42" s="41">
        <f t="shared" si="0"/>
        <v>0</v>
      </c>
      <c r="H42" s="11">
        <f>VLOOKUP(A42,TB!TB,5,FALSE)</f>
        <v>0</v>
      </c>
      <c r="I42" s="41">
        <f t="shared" si="9"/>
        <v>0</v>
      </c>
      <c r="K42" s="11">
        <f>VLOOKUP(A42,TB!TB1_1,4,FALSE)</f>
        <v>0</v>
      </c>
      <c r="L42" s="41">
        <f t="shared" si="10"/>
        <v>0</v>
      </c>
      <c r="N42" s="11">
        <f>VLOOKUP(A42,TB!TB1_1,5,FALSE)</f>
        <v>0</v>
      </c>
      <c r="O42" s="41">
        <f t="shared" si="11"/>
        <v>0</v>
      </c>
    </row>
    <row r="43" spans="1:15" x14ac:dyDescent="0.25">
      <c r="A43" s="36" t="s">
        <v>972</v>
      </c>
      <c r="C43" t="s">
        <v>1126</v>
      </c>
      <c r="E43" s="11">
        <f>VLOOKUP(A43,TB!TB,4,FALSE)</f>
        <v>0</v>
      </c>
      <c r="F43" s="41">
        <f t="shared" si="0"/>
        <v>0</v>
      </c>
      <c r="H43" s="11">
        <f>VLOOKUP(A43,TB!TB,5,FALSE)</f>
        <v>0</v>
      </c>
      <c r="I43" s="41">
        <f t="shared" si="9"/>
        <v>0</v>
      </c>
      <c r="K43" s="11">
        <f>VLOOKUP(A43,TB!TB1_1,4,FALSE)</f>
        <v>0</v>
      </c>
      <c r="L43" s="41">
        <f t="shared" si="10"/>
        <v>0</v>
      </c>
      <c r="N43" s="11">
        <f>VLOOKUP(A43,TB!TB1_1,5,FALSE)</f>
        <v>0</v>
      </c>
      <c r="O43" s="41">
        <f t="shared" si="11"/>
        <v>0</v>
      </c>
    </row>
    <row r="44" spans="1:15" x14ac:dyDescent="0.25">
      <c r="A44" s="36" t="s">
        <v>983</v>
      </c>
      <c r="C44" t="s">
        <v>1111</v>
      </c>
      <c r="E44" s="29">
        <f>VLOOKUP(A44,TB!TB,4,FALSE)</f>
        <v>0</v>
      </c>
      <c r="F44" s="50">
        <f t="shared" si="0"/>
        <v>0</v>
      </c>
      <c r="H44" s="29">
        <f>VLOOKUP(A44,TB!TB,5,FALSE)</f>
        <v>0</v>
      </c>
      <c r="I44" s="50">
        <f t="shared" si="9"/>
        <v>0</v>
      </c>
      <c r="K44" s="29">
        <f>VLOOKUP(A44,TB!TB1_1,4,FALSE)</f>
        <v>0</v>
      </c>
      <c r="L44" s="50">
        <f t="shared" si="10"/>
        <v>0</v>
      </c>
      <c r="N44" s="29">
        <f>VLOOKUP(A44,TB!TB1_1,5,FALSE)</f>
        <v>0</v>
      </c>
      <c r="O44" s="50">
        <f t="shared" si="11"/>
        <v>0</v>
      </c>
    </row>
    <row r="45" spans="1:15" x14ac:dyDescent="0.25">
      <c r="C45" s="43" t="s">
        <v>1003</v>
      </c>
      <c r="E45" s="40">
        <f>SUM(E31:E44)</f>
        <v>0</v>
      </c>
      <c r="F45" s="41">
        <f t="shared" si="0"/>
        <v>0</v>
      </c>
      <c r="H45" s="40">
        <f>SUM(H31:H44)</f>
        <v>0</v>
      </c>
      <c r="I45" s="41">
        <f t="shared" si="9"/>
        <v>0</v>
      </c>
      <c r="K45" s="40">
        <f>SUM(K31:K44)</f>
        <v>-1257.4000000000001</v>
      </c>
      <c r="L45" s="41">
        <f t="shared" si="10"/>
        <v>0</v>
      </c>
      <c r="N45" s="40">
        <f>SUM(N31:N44)</f>
        <v>-1257.4000000000001</v>
      </c>
      <c r="O45" s="41">
        <f t="shared" si="11"/>
        <v>0</v>
      </c>
    </row>
    <row r="47" spans="1:15" x14ac:dyDescent="0.25">
      <c r="C47" s="43" t="s">
        <v>1024</v>
      </c>
      <c r="E47" s="40">
        <f>E29-E45</f>
        <v>3037</v>
      </c>
      <c r="F47" s="41">
        <f t="shared" si="0"/>
        <v>0.2937989745574151</v>
      </c>
      <c r="H47" s="40">
        <f>H29-H45</f>
        <v>3037</v>
      </c>
      <c r="K47" s="40">
        <f>K29-K45</f>
        <v>1257.4000000000001</v>
      </c>
      <c r="N47" s="40">
        <f>N29-N45</f>
        <v>1257.4000000000001</v>
      </c>
    </row>
    <row r="48" spans="1:15" ht="15.75" thickBot="1" x14ac:dyDescent="0.3">
      <c r="A48" s="36" t="s">
        <v>989</v>
      </c>
      <c r="C48" t="s">
        <v>743</v>
      </c>
      <c r="E48" s="59">
        <f>VLOOKUP(A48,TB!TB,4,FALSE)</f>
        <v>0</v>
      </c>
      <c r="F48" s="41">
        <f>IF(E$14,E48/E$14,0)</f>
        <v>0</v>
      </c>
      <c r="H48" s="59">
        <f>VLOOKUP(A48,TB!TB,5,FALSE)</f>
        <v>0</v>
      </c>
      <c r="I48" s="41">
        <f>IF(H$14,H48/H$14,0)</f>
        <v>0</v>
      </c>
      <c r="K48" s="59">
        <f>VLOOKUP(A48,TB!TB1_1,4,FALSE)</f>
        <v>0</v>
      </c>
      <c r="L48" s="41">
        <f>IF(K$14,K48/K$14,0)</f>
        <v>0</v>
      </c>
      <c r="N48" s="59">
        <f>VLOOKUP(A48,TB!TB1_1,5,FALSE)</f>
        <v>0</v>
      </c>
      <c r="O48" s="41">
        <f>IF(N$14,N48/N$14,0)</f>
        <v>0</v>
      </c>
    </row>
    <row r="49" spans="3:15" ht="15.75" thickTop="1" x14ac:dyDescent="0.25">
      <c r="E49" s="99"/>
      <c r="F49" s="99"/>
      <c r="H49" s="99"/>
      <c r="I49" s="99"/>
      <c r="K49" s="99"/>
      <c r="L49" s="99"/>
      <c r="N49" s="99"/>
      <c r="O49" s="99"/>
    </row>
    <row r="50" spans="3:15" x14ac:dyDescent="0.25">
      <c r="C50" s="88" t="s">
        <v>1025</v>
      </c>
      <c r="E50" s="40">
        <f>E47-E48</f>
        <v>3037</v>
      </c>
      <c r="F50" s="41">
        <f>IF(E$14,E50/E$14,0)</f>
        <v>0.2937989745574151</v>
      </c>
      <c r="H50" s="40">
        <f>H47-H48</f>
        <v>3037</v>
      </c>
      <c r="I50" s="41">
        <f>IF(H$14,H50/H$14,0)</f>
        <v>0.2937989745574151</v>
      </c>
      <c r="K50" s="40">
        <f>K47-K48</f>
        <v>1257.4000000000001</v>
      </c>
      <c r="L50" s="41">
        <f>IF(K$14,K50/K$14,0)</f>
        <v>0</v>
      </c>
      <c r="N50" s="40">
        <f>N47-N48</f>
        <v>1257.4000000000001</v>
      </c>
      <c r="O50" s="41">
        <f>IF(N$14,N50/N$14,0)</f>
        <v>0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D0C3-1F87-4A10-9540-9CC9599458C2}">
  <sheetPr>
    <tabColor rgb="FF92D050"/>
  </sheetPr>
  <dimension ref="A1:O37"/>
  <sheetViews>
    <sheetView topLeftCell="A14" zoomScaleNormal="100" workbookViewId="0">
      <selection activeCell="N9" sqref="N9"/>
    </sheetView>
  </sheetViews>
  <sheetFormatPr defaultRowHeight="15" x14ac:dyDescent="0.25"/>
  <cols>
    <col min="1" max="1" width="0.42578125" customWidth="1"/>
    <col min="2" max="2" width="2.140625" hidden="1" customWidth="1"/>
    <col min="3" max="3" width="27.42578125" customWidth="1"/>
    <col min="4" max="4" width="1.85546875" customWidth="1"/>
    <col min="5" max="5" width="18.28515625" customWidth="1"/>
    <col min="6" max="6" width="9.85546875" bestFit="1" customWidth="1"/>
    <col min="7" max="7" width="1.42578125" customWidth="1"/>
    <col min="8" max="8" width="18.140625" customWidth="1"/>
    <col min="10" max="10" width="1.85546875" customWidth="1"/>
    <col min="11" max="11" width="18.28515625" customWidth="1"/>
    <col min="13" max="13" width="1.85546875" customWidth="1"/>
    <col min="14" max="14" width="18.28515625" customWidth="1"/>
  </cols>
  <sheetData>
    <row r="1" spans="1:15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1178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6"/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7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5" x14ac:dyDescent="0.25">
      <c r="C7" t="s">
        <v>1513</v>
      </c>
      <c r="E7" s="40">
        <f>'Cleveland Sales Department'!E15</f>
        <v>113852.79</v>
      </c>
      <c r="F7" s="41">
        <f t="shared" ref="F7:F12" si="0">IF(E$12,E7/E$12,0)</f>
        <v>0.70537833931305205</v>
      </c>
      <c r="H7" s="40">
        <f>'Cleveland Sales Department'!H15</f>
        <v>113852.79</v>
      </c>
      <c r="I7" s="41">
        <f t="shared" ref="I7:I12" si="1">IF(H$12,H7/H$12,0)</f>
        <v>0.70537833931305205</v>
      </c>
      <c r="K7" s="40">
        <f>'Cleveland Sales Department'!K15</f>
        <v>114900</v>
      </c>
      <c r="L7" s="41">
        <f t="shared" ref="L7:L12" si="2">IF(K$12,K7/K$12,0)</f>
        <v>0.89790478723915534</v>
      </c>
      <c r="N7" s="40">
        <f>'Cleveland Sales Department'!N15</f>
        <v>114900</v>
      </c>
      <c r="O7" s="41">
        <f t="shared" ref="O7:O12" si="3">IF(N$12,N7/N$12,0)</f>
        <v>0.89790478723915534</v>
      </c>
    </row>
    <row r="8" spans="1:15" x14ac:dyDescent="0.25">
      <c r="C8" t="s">
        <v>1514</v>
      </c>
      <c r="E8" s="40">
        <f>'Cleveland Parts Department'!E27</f>
        <v>8424.9500000000007</v>
      </c>
      <c r="F8" s="41">
        <f t="shared" si="0"/>
        <v>5.2197027756592518E-2</v>
      </c>
      <c r="H8" s="40">
        <f>'Cleveland Parts Department'!H27</f>
        <v>8424.9500000000007</v>
      </c>
      <c r="I8" s="41">
        <f t="shared" si="1"/>
        <v>5.2197027756592518E-2</v>
      </c>
      <c r="K8" s="40">
        <f>'Cleveland Parts Department'!K27</f>
        <v>4122.49</v>
      </c>
      <c r="L8" s="41">
        <f t="shared" si="2"/>
        <v>3.2215870377245825E-2</v>
      </c>
      <c r="N8" s="40">
        <f>'Cleveland Parts Department'!N27</f>
        <v>4122.49</v>
      </c>
      <c r="O8" s="41">
        <f t="shared" si="3"/>
        <v>3.2215870377245825E-2</v>
      </c>
    </row>
    <row r="9" spans="1:15" x14ac:dyDescent="0.25">
      <c r="C9" t="s">
        <v>1515</v>
      </c>
      <c r="E9" s="40">
        <f>'Cleveland Service Department'!G28</f>
        <v>28791.96</v>
      </c>
      <c r="F9" s="41">
        <f t="shared" si="0"/>
        <v>0.17838144265386754</v>
      </c>
      <c r="H9" s="40">
        <f>'Cleveland Service Department'!J28</f>
        <v>28791.96</v>
      </c>
      <c r="I9" s="41">
        <f t="shared" si="1"/>
        <v>0.17838144265386754</v>
      </c>
      <c r="K9" s="40">
        <f>'Cleveland Service Department'!M28</f>
        <v>8942.08</v>
      </c>
      <c r="L9" s="41">
        <f t="shared" si="2"/>
        <v>6.987934238359883E-2</v>
      </c>
      <c r="N9" s="40">
        <f>'Cleveland Service Department'!P28</f>
        <v>8942.08</v>
      </c>
      <c r="O9" s="41">
        <f t="shared" si="3"/>
        <v>6.987934238359883E-2</v>
      </c>
    </row>
    <row r="10" spans="1:15" x14ac:dyDescent="0.25">
      <c r="C10" t="s">
        <v>1516</v>
      </c>
      <c r="E10" s="40">
        <f>'Cleveland Rental Department'!E10</f>
        <v>0</v>
      </c>
      <c r="F10" s="41">
        <f t="shared" si="0"/>
        <v>0</v>
      </c>
      <c r="H10" s="40">
        <f>'Cleveland Rental Department'!H10</f>
        <v>0</v>
      </c>
      <c r="I10" s="41">
        <f t="shared" si="1"/>
        <v>0</v>
      </c>
      <c r="K10" s="40">
        <f>'Cleveland Rental Department'!K10</f>
        <v>0</v>
      </c>
      <c r="L10" s="41">
        <f t="shared" si="2"/>
        <v>0</v>
      </c>
      <c r="N10" s="40">
        <f>'Cleveland Rental Department'!N10</f>
        <v>0</v>
      </c>
      <c r="O10" s="41">
        <f t="shared" si="3"/>
        <v>0</v>
      </c>
    </row>
    <row r="11" spans="1:15" x14ac:dyDescent="0.25">
      <c r="C11" t="s">
        <v>1517</v>
      </c>
      <c r="E11" s="40">
        <f>'Cleveland Used Department'!E14</f>
        <v>10337</v>
      </c>
      <c r="F11" s="41">
        <f t="shared" si="0"/>
        <v>6.4043190276487916E-2</v>
      </c>
      <c r="H11" s="40">
        <f>'Cleveland Used Department'!H14</f>
        <v>10337</v>
      </c>
      <c r="I11" s="41">
        <f t="shared" si="1"/>
        <v>6.4043190276487916E-2</v>
      </c>
      <c r="K11" s="40">
        <f>'Cleveland Used Department'!K14</f>
        <v>0</v>
      </c>
      <c r="L11" s="41">
        <f t="shared" si="2"/>
        <v>0</v>
      </c>
      <c r="N11" s="40">
        <f>'Cleveland Used Department'!N14</f>
        <v>0</v>
      </c>
      <c r="O11" s="41">
        <f t="shared" si="3"/>
        <v>0</v>
      </c>
    </row>
    <row r="12" spans="1:15" x14ac:dyDescent="0.25">
      <c r="C12" s="43" t="s">
        <v>1038</v>
      </c>
      <c r="E12" s="74">
        <f>SUM(E7:E11)</f>
        <v>161406.69999999998</v>
      </c>
      <c r="F12" s="86">
        <f t="shared" si="0"/>
        <v>1</v>
      </c>
      <c r="H12" s="74">
        <f>SUM(H7:H11)</f>
        <v>161406.69999999998</v>
      </c>
      <c r="I12" s="86">
        <f t="shared" si="1"/>
        <v>1</v>
      </c>
      <c r="K12" s="74">
        <f>SUM(K7:K11)</f>
        <v>127964.57</v>
      </c>
      <c r="L12" s="86">
        <f t="shared" si="2"/>
        <v>1</v>
      </c>
      <c r="N12" s="74">
        <f>SUM(N7:N11)</f>
        <v>127964.57</v>
      </c>
      <c r="O12" s="86">
        <f t="shared" si="3"/>
        <v>1</v>
      </c>
    </row>
    <row r="14" spans="1:15" x14ac:dyDescent="0.25">
      <c r="C14" s="37" t="s">
        <v>1002</v>
      </c>
    </row>
    <row r="15" spans="1:15" x14ac:dyDescent="0.25">
      <c r="C15" t="s">
        <v>1513</v>
      </c>
      <c r="E15" s="40">
        <f>'Cleveland Sales Department'!E32</f>
        <v>100942.38</v>
      </c>
      <c r="F15" s="41">
        <f t="shared" ref="F15:F20" si="4">IF(E$12,E15/E$12,0)</f>
        <v>0.62539151100914658</v>
      </c>
      <c r="H15" s="40">
        <f>'Cleveland Sales Department'!H32</f>
        <v>100942.38</v>
      </c>
      <c r="I15" s="41">
        <f t="shared" ref="I15:I20" si="5">IF(H$12,H15/H$12,0)</f>
        <v>0.62539151100914658</v>
      </c>
      <c r="K15" s="40">
        <f>'Cleveland Sales Department'!K32</f>
        <v>97222.290000000008</v>
      </c>
      <c r="L15" s="41">
        <f t="shared" ref="L15:L20" si="6">IF(K$12,K15/K$12,0)</f>
        <v>0.75975943966365067</v>
      </c>
      <c r="N15" s="40">
        <f>'Cleveland Sales Department'!N32</f>
        <v>97222.290000000008</v>
      </c>
      <c r="O15" s="41">
        <f t="shared" ref="O15:O20" si="7">IF(N$12,N15/N$12,0)</f>
        <v>0.75975943966365067</v>
      </c>
    </row>
    <row r="16" spans="1:15" x14ac:dyDescent="0.25">
      <c r="C16" t="s">
        <v>1514</v>
      </c>
      <c r="E16" s="40">
        <f>'Cleveland Parts Department'!E47</f>
        <v>0</v>
      </c>
      <c r="F16" s="41">
        <f t="shared" si="4"/>
        <v>0</v>
      </c>
      <c r="H16" s="40">
        <f>'Cleveland Parts Department'!H47</f>
        <v>0</v>
      </c>
      <c r="I16" s="41">
        <f t="shared" si="5"/>
        <v>0</v>
      </c>
      <c r="K16" s="40">
        <f>'Cleveland Parts Department'!K47</f>
        <v>0</v>
      </c>
      <c r="L16" s="41">
        <f t="shared" si="6"/>
        <v>0</v>
      </c>
      <c r="N16" s="40">
        <f>'Cleveland Parts Department'!N47</f>
        <v>0</v>
      </c>
      <c r="O16" s="41">
        <f t="shared" si="7"/>
        <v>0</v>
      </c>
    </row>
    <row r="17" spans="3:15" x14ac:dyDescent="0.25">
      <c r="C17" t="s">
        <v>1515</v>
      </c>
      <c r="E17" s="40">
        <f>'Cleveland Service Department'!G47</f>
        <v>8789.59</v>
      </c>
      <c r="F17" s="41">
        <f t="shared" si="4"/>
        <v>5.4456165698202129E-2</v>
      </c>
      <c r="H17" s="40">
        <f>'Cleveland Service Department'!J47</f>
        <v>8789.59</v>
      </c>
      <c r="I17" s="41">
        <f t="shared" si="5"/>
        <v>5.4456165698202129E-2</v>
      </c>
      <c r="K17" s="40">
        <f>'Cleveland Service Department'!M47</f>
        <v>-3648.12</v>
      </c>
      <c r="L17" s="41">
        <f t="shared" si="6"/>
        <v>-2.8508828654681524E-2</v>
      </c>
      <c r="N17" s="40">
        <f>'Cleveland Service Department'!P47</f>
        <v>-3648.12</v>
      </c>
      <c r="O17" s="41">
        <f t="shared" si="7"/>
        <v>-2.8508828654681524E-2</v>
      </c>
    </row>
    <row r="18" spans="3:15" x14ac:dyDescent="0.25">
      <c r="C18" t="s">
        <v>1516</v>
      </c>
      <c r="E18" s="40">
        <f>'Cleveland Rental Department'!E18</f>
        <v>0</v>
      </c>
      <c r="F18" s="41">
        <f t="shared" si="4"/>
        <v>0</v>
      </c>
      <c r="H18" s="40">
        <f>'Cleveland Rental Department'!H18</f>
        <v>0</v>
      </c>
      <c r="I18" s="41">
        <f t="shared" si="5"/>
        <v>0</v>
      </c>
      <c r="K18" s="40">
        <f>'Cleveland Rental Department'!K18</f>
        <v>12518.34</v>
      </c>
      <c r="L18" s="41">
        <f t="shared" si="6"/>
        <v>9.7826609349759855E-2</v>
      </c>
      <c r="N18" s="40">
        <f>'Cleveland Rental Department'!N18</f>
        <v>12518.34</v>
      </c>
      <c r="O18" s="41">
        <f t="shared" si="7"/>
        <v>9.7826609349759855E-2</v>
      </c>
    </row>
    <row r="19" spans="3:15" x14ac:dyDescent="0.25">
      <c r="C19" t="s">
        <v>1517</v>
      </c>
      <c r="E19" s="40">
        <f>'Cleveland Used Department'!E27</f>
        <v>7300</v>
      </c>
      <c r="F19" s="41">
        <f t="shared" si="4"/>
        <v>4.5227366645870341E-2</v>
      </c>
      <c r="H19" s="40">
        <f>'Cleveland Used Department'!H27</f>
        <v>7300</v>
      </c>
      <c r="I19" s="41">
        <f t="shared" si="5"/>
        <v>4.5227366645870341E-2</v>
      </c>
      <c r="K19" s="40">
        <f>'Cleveland Used Department'!K27</f>
        <v>0</v>
      </c>
      <c r="L19" s="41">
        <f t="shared" si="6"/>
        <v>0</v>
      </c>
      <c r="N19" s="40">
        <f>'Cleveland Used Department'!N27</f>
        <v>0</v>
      </c>
      <c r="O19" s="41">
        <f t="shared" si="7"/>
        <v>0</v>
      </c>
    </row>
    <row r="20" spans="3:15" x14ac:dyDescent="0.25">
      <c r="C20" s="43" t="s">
        <v>1033</v>
      </c>
      <c r="E20" s="74">
        <f>SUM(E15:E19)</f>
        <v>117031.97</v>
      </c>
      <c r="F20" s="86">
        <f t="shared" si="4"/>
        <v>0.72507504335321904</v>
      </c>
      <c r="H20" s="74">
        <f>SUM(H15:H19)</f>
        <v>117031.97</v>
      </c>
      <c r="I20" s="86">
        <f t="shared" si="5"/>
        <v>0.72507504335321904</v>
      </c>
      <c r="K20" s="74">
        <f>SUM(K15:K19)</f>
        <v>106092.51000000001</v>
      </c>
      <c r="L20" s="86">
        <f t="shared" si="6"/>
        <v>0.82907722035872899</v>
      </c>
      <c r="N20" s="74">
        <f>SUM(N15:N19)</f>
        <v>106092.51000000001</v>
      </c>
      <c r="O20" s="86">
        <f t="shared" si="7"/>
        <v>0.82907722035872899</v>
      </c>
    </row>
    <row r="22" spans="3:15" x14ac:dyDescent="0.25">
      <c r="C22" s="43" t="s">
        <v>1034</v>
      </c>
      <c r="E22" s="40">
        <f>E12-E20</f>
        <v>44374.729999999981</v>
      </c>
      <c r="F22" s="41">
        <f>IF(E$12,E22/E$12,0)</f>
        <v>0.27492495664678102</v>
      </c>
      <c r="H22" s="40">
        <f>H12-H20</f>
        <v>44374.729999999981</v>
      </c>
      <c r="I22" s="41">
        <f t="shared" ref="I22" si="8">IF(H$12,H22/H$12,0)</f>
        <v>0.27492495664678102</v>
      </c>
      <c r="K22" s="40">
        <f>K12-K20</f>
        <v>21872.059999999998</v>
      </c>
      <c r="L22" s="41">
        <f t="shared" ref="L22" si="9">IF(K$12,K22/K$12,0)</f>
        <v>0.17092277964127098</v>
      </c>
      <c r="N22" s="40">
        <f>N12-N20</f>
        <v>21872.059999999998</v>
      </c>
      <c r="O22" s="41">
        <f t="shared" ref="O22" si="10">IF(N$12,N22/N$12,0)</f>
        <v>0.17092277964127098</v>
      </c>
    </row>
    <row r="24" spans="3:15" x14ac:dyDescent="0.25">
      <c r="C24" s="64" t="s">
        <v>1006</v>
      </c>
    </row>
    <row r="25" spans="3:15" x14ac:dyDescent="0.25">
      <c r="C25" t="s">
        <v>1513</v>
      </c>
      <c r="E25" s="40">
        <f>'Cleveland Sales Department'!E59</f>
        <v>26680.719999999998</v>
      </c>
      <c r="F25" s="41">
        <f t="shared" ref="F25:F30" si="11">IF(E$12,E25/E$12,0)</f>
        <v>0.16530119257750764</v>
      </c>
      <c r="H25" s="40">
        <f>'Cleveland Sales Department'!H59</f>
        <v>26680.719999999998</v>
      </c>
      <c r="I25" s="41">
        <f t="shared" ref="I25:I30" si="12">IF(H$12,H25/H$12,0)</f>
        <v>0.16530119257750764</v>
      </c>
      <c r="K25" s="40">
        <f>'Cleveland Sales Department'!K59</f>
        <v>31097.029999999995</v>
      </c>
      <c r="L25" s="41">
        <f t="shared" ref="L25:L30" si="13">IF(K$12,K25/K$12,0)</f>
        <v>0.24301281206196365</v>
      </c>
      <c r="N25" s="40">
        <f>'Cleveland Sales Department'!N59</f>
        <v>31097.029999999995</v>
      </c>
      <c r="O25" s="41">
        <f t="shared" ref="O25:O30" si="14">IF(N$12,N25/N$12,0)</f>
        <v>0.24301281206196365</v>
      </c>
    </row>
    <row r="26" spans="3:15" x14ac:dyDescent="0.25">
      <c r="C26" t="s">
        <v>1514</v>
      </c>
      <c r="E26" s="40">
        <f>'Cleveland Parts Department'!E72</f>
        <v>0</v>
      </c>
      <c r="F26" s="41">
        <f t="shared" si="11"/>
        <v>0</v>
      </c>
      <c r="H26" s="40">
        <f>'Cleveland Parts Department'!H72</f>
        <v>0</v>
      </c>
      <c r="I26" s="41">
        <f t="shared" si="12"/>
        <v>0</v>
      </c>
      <c r="K26" s="40">
        <f>'Cleveland Parts Department'!K72</f>
        <v>0</v>
      </c>
      <c r="L26" s="41">
        <f t="shared" si="13"/>
        <v>0</v>
      </c>
      <c r="N26" s="40">
        <f>'Cleveland Parts Department'!N72</f>
        <v>0</v>
      </c>
      <c r="O26" s="41">
        <f t="shared" si="14"/>
        <v>0</v>
      </c>
    </row>
    <row r="27" spans="3:15" x14ac:dyDescent="0.25">
      <c r="C27" t="s">
        <v>1515</v>
      </c>
      <c r="E27" s="40">
        <f>'Cleveland Service Department'!G76</f>
        <v>4743.9599999999991</v>
      </c>
      <c r="F27" s="41">
        <f t="shared" si="11"/>
        <v>2.93913449689511E-2</v>
      </c>
      <c r="H27" s="40">
        <f>'Cleveland Service Department'!J76</f>
        <v>4743.9599999999991</v>
      </c>
      <c r="I27" s="41">
        <f t="shared" si="12"/>
        <v>2.93913449689511E-2</v>
      </c>
      <c r="K27" s="40">
        <f>'Cleveland Service Department'!M76</f>
        <v>1446.04</v>
      </c>
      <c r="L27" s="41">
        <f t="shared" si="13"/>
        <v>1.1300315391987016E-2</v>
      </c>
      <c r="N27" s="40">
        <f>'Cleveland Service Department'!P76</f>
        <v>1446.04</v>
      </c>
      <c r="O27" s="41">
        <f t="shared" si="14"/>
        <v>1.1300315391987016E-2</v>
      </c>
    </row>
    <row r="28" spans="3:15" x14ac:dyDescent="0.25">
      <c r="C28" t="s">
        <v>1516</v>
      </c>
      <c r="E28" s="40">
        <f>'Cleveland Rental Department'!E33</f>
        <v>770.12</v>
      </c>
      <c r="F28" s="41">
        <f t="shared" si="11"/>
        <v>4.7713013152489957E-3</v>
      </c>
      <c r="H28" s="40">
        <f>'Cleveland Rental Department'!H33</f>
        <v>770.12</v>
      </c>
      <c r="I28" s="41">
        <f t="shared" si="12"/>
        <v>4.7713013152489957E-3</v>
      </c>
      <c r="K28" s="40">
        <f>'Cleveland Rental Department'!K33</f>
        <v>0</v>
      </c>
      <c r="L28" s="41">
        <f t="shared" si="13"/>
        <v>0</v>
      </c>
      <c r="N28" s="40">
        <f>'Cleveland Rental Department'!N33</f>
        <v>0</v>
      </c>
      <c r="O28" s="41">
        <f t="shared" si="14"/>
        <v>0</v>
      </c>
    </row>
    <row r="29" spans="3:15" x14ac:dyDescent="0.25">
      <c r="C29" t="s">
        <v>1517</v>
      </c>
      <c r="E29" s="40">
        <f>'Cleveland Used Department'!E45</f>
        <v>0</v>
      </c>
      <c r="F29" s="41">
        <f t="shared" si="11"/>
        <v>0</v>
      </c>
      <c r="H29" s="40">
        <f>'Cleveland Used Department'!H45</f>
        <v>0</v>
      </c>
      <c r="I29" s="41">
        <f t="shared" si="12"/>
        <v>0</v>
      </c>
      <c r="K29" s="40">
        <f>'Cleveland Used Department'!K45</f>
        <v>-1257.4000000000001</v>
      </c>
      <c r="L29" s="41">
        <f t="shared" si="13"/>
        <v>-9.826157349647641E-3</v>
      </c>
      <c r="N29" s="40">
        <f>'Cleveland Used Department'!N45</f>
        <v>-1257.4000000000001</v>
      </c>
      <c r="O29" s="41">
        <f t="shared" si="14"/>
        <v>-9.826157349647641E-3</v>
      </c>
    </row>
    <row r="30" spans="3:15" x14ac:dyDescent="0.25">
      <c r="C30" s="43" t="s">
        <v>1003</v>
      </c>
      <c r="E30" s="74">
        <f>SUM(E25:E29)</f>
        <v>32194.799999999996</v>
      </c>
      <c r="F30" s="86">
        <f t="shared" si="11"/>
        <v>0.19946383886170771</v>
      </c>
      <c r="H30" s="74">
        <f>SUM(H25:H29)</f>
        <v>32194.799999999996</v>
      </c>
      <c r="I30" s="86">
        <f t="shared" si="12"/>
        <v>0.19946383886170771</v>
      </c>
      <c r="K30" s="74">
        <f>SUM(K25:K29)</f>
        <v>31285.669999999995</v>
      </c>
      <c r="L30" s="86">
        <f t="shared" si="13"/>
        <v>0.24448697010430304</v>
      </c>
      <c r="N30" s="74">
        <f>SUM(N25:N29)</f>
        <v>31285.669999999995</v>
      </c>
      <c r="O30" s="86">
        <f t="shared" si="14"/>
        <v>0.24448697010430304</v>
      </c>
    </row>
    <row r="31" spans="3:15" ht="15.75" thickBot="1" x14ac:dyDescent="0.3">
      <c r="C31" s="43"/>
      <c r="E31" s="40"/>
      <c r="F31" s="41"/>
      <c r="H31" s="40"/>
      <c r="I31" s="41"/>
      <c r="K31" s="40"/>
      <c r="L31" s="41"/>
      <c r="N31" s="40"/>
      <c r="O31" s="41"/>
    </row>
    <row r="32" spans="3:15" ht="15.75" thickBot="1" x14ac:dyDescent="0.3">
      <c r="C32" t="s">
        <v>1022</v>
      </c>
      <c r="E32" s="40"/>
      <c r="F32" s="41">
        <f>IF(E$12,E32/E$12,0)</f>
        <v>0</v>
      </c>
      <c r="H32" s="40"/>
      <c r="I32" s="41">
        <f>IF(H$12,H32/H$12,0)</f>
        <v>0</v>
      </c>
      <c r="K32" s="40"/>
      <c r="L32" s="41">
        <f>IF(K$12,K32/K$12,0)</f>
        <v>0</v>
      </c>
      <c r="N32" s="40"/>
      <c r="O32" s="41">
        <f>IF(N$12,N32/N$12,0)</f>
        <v>0</v>
      </c>
    </row>
    <row r="33" spans="3:15" ht="15.75" thickTop="1" x14ac:dyDescent="0.25">
      <c r="E33" s="100"/>
      <c r="F33" s="97"/>
      <c r="H33" s="100"/>
      <c r="I33" s="97"/>
      <c r="K33" s="100"/>
      <c r="L33" s="97"/>
      <c r="N33" s="100"/>
      <c r="O33" s="97"/>
    </row>
    <row r="34" spans="3:15" x14ac:dyDescent="0.25">
      <c r="C34" s="43" t="s">
        <v>1024</v>
      </c>
      <c r="E34" s="40">
        <f>E22-(E30+E32)</f>
        <v>12179.929999999986</v>
      </c>
      <c r="F34" s="41">
        <f>IF(E$12,E34/E$12,0)</f>
        <v>7.5461117785073278E-2</v>
      </c>
      <c r="H34" s="40">
        <f>H22-(H30+H32)</f>
        <v>12179.929999999986</v>
      </c>
      <c r="I34" s="41">
        <f t="shared" ref="I34" si="15">IF(H$12,H34/H$12,0)</f>
        <v>7.5461117785073278E-2</v>
      </c>
      <c r="K34" s="40">
        <f>K22-(K30+K32)</f>
        <v>-9413.6099999999969</v>
      </c>
      <c r="L34" s="41">
        <f t="shared" ref="L34" si="16">IF(K$12,K34/K$12,0)</f>
        <v>-7.3564190463032045E-2</v>
      </c>
      <c r="N34" s="40">
        <f>N22-(N30+N32)</f>
        <v>-9413.6099999999969</v>
      </c>
      <c r="O34" s="41">
        <f t="shared" ref="O34" si="17">IF(N$12,N34/N$12,0)</f>
        <v>-7.3564190463032045E-2</v>
      </c>
    </row>
    <row r="36" spans="3:15" x14ac:dyDescent="0.25">
      <c r="C36" t="s">
        <v>1520</v>
      </c>
    </row>
    <row r="37" spans="3:15" x14ac:dyDescent="0.25">
      <c r="C37" t="s">
        <v>1523</v>
      </c>
      <c r="E37" s="40">
        <f>E34-'Combined Detail P and L'!N641</f>
        <v>-361843.10999999993</v>
      </c>
      <c r="H37" s="40">
        <f>H34-'Combined Detail P and L'!H641</f>
        <v>-361843.10999999993</v>
      </c>
      <c r="K37" s="40">
        <f>K34-'Combined Detail P and L'!K641</f>
        <v>-220970.14999999932</v>
      </c>
      <c r="N37" s="40">
        <f>N34-'Combined Detail P and L'!E641</f>
        <v>-220970.14999999932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82C5-AAEE-46F3-9D34-7723480D3904}">
  <dimension ref="A1:O62"/>
  <sheetViews>
    <sheetView topLeftCell="A44" zoomScaleNormal="100" workbookViewId="0">
      <selection activeCell="E62" sqref="E62"/>
    </sheetView>
  </sheetViews>
  <sheetFormatPr defaultRowHeight="15" x14ac:dyDescent="0.25"/>
  <cols>
    <col min="1" max="1" width="0.42578125" customWidth="1"/>
    <col min="2" max="2" width="2.140625" hidden="1" customWidth="1"/>
    <col min="3" max="3" width="27.42578125" customWidth="1"/>
    <col min="4" max="4" width="1.85546875" customWidth="1"/>
    <col min="5" max="5" width="18.28515625" customWidth="1"/>
    <col min="7" max="7" width="1.42578125" customWidth="1"/>
    <col min="8" max="8" width="18.140625" customWidth="1"/>
    <col min="10" max="10" width="1.85546875" customWidth="1"/>
    <col min="11" max="11" width="18.28515625" customWidth="1"/>
    <col min="13" max="13" width="1.85546875" customWidth="1"/>
    <col min="14" max="14" width="18.28515625" customWidth="1"/>
  </cols>
  <sheetData>
    <row r="1" spans="1:15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1522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6"/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7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5" x14ac:dyDescent="0.25">
      <c r="C7" t="s">
        <v>1329</v>
      </c>
      <c r="E7" s="40">
        <f>'C H Steel Solutions'!E14</f>
        <v>27086.31</v>
      </c>
      <c r="F7" s="41">
        <f t="shared" ref="F7:F21" si="0">IF(E$21,E7/E$21,0)</f>
        <v>1.2289207912720163E-2</v>
      </c>
      <c r="H7" s="40">
        <f>'C H Steel Solutions'!H14</f>
        <v>27086.31</v>
      </c>
      <c r="I7" s="41">
        <f t="shared" ref="I7:I21" si="1">IF(H$21,H7/H$21,0)</f>
        <v>1.2289207912720163E-2</v>
      </c>
      <c r="K7" s="40">
        <f>'C H Steel Solutions'!K14</f>
        <v>1041443.79</v>
      </c>
      <c r="L7" s="41">
        <f t="shared" ref="L7:L21" si="2">IF(K$21,K7/K$21,0)</f>
        <v>0.35214069224588129</v>
      </c>
      <c r="N7" s="40">
        <f>'C H Steel Solutions'!N14</f>
        <v>1041443.79</v>
      </c>
      <c r="O7" s="41">
        <f>IF(N$21,N7/N$21,0)</f>
        <v>0.35214069224588129</v>
      </c>
    </row>
    <row r="8" spans="1:15" x14ac:dyDescent="0.25">
      <c r="C8" t="s">
        <v>1492</v>
      </c>
      <c r="E8" s="40">
        <f>'Dynamic Storage Solutions'!E13</f>
        <v>120425.57</v>
      </c>
      <c r="F8" s="41">
        <f t="shared" si="0"/>
        <v>5.4637743854287865E-2</v>
      </c>
      <c r="H8" s="40">
        <f>'Dynamic Storage Solutions'!H13</f>
        <v>120425.57</v>
      </c>
      <c r="I8" s="41">
        <f t="shared" si="1"/>
        <v>5.4637743854287865E-2</v>
      </c>
      <c r="K8" s="40">
        <f>'Dynamic Storage Solutions'!K13</f>
        <v>279057.17</v>
      </c>
      <c r="L8" s="41">
        <f t="shared" si="2"/>
        <v>9.4356878367844094E-2</v>
      </c>
      <c r="N8" s="40">
        <f>'Dynamic Storage Solutions'!N13</f>
        <v>279057.17</v>
      </c>
      <c r="O8" s="41">
        <f>IF(N$21,N8/N$21,0)</f>
        <v>9.4356878367844094E-2</v>
      </c>
    </row>
    <row r="9" spans="1:15" x14ac:dyDescent="0.25">
      <c r="C9" t="s">
        <v>1328</v>
      </c>
      <c r="E9" s="40">
        <f>'AMI Sales Department'!E10</f>
        <v>457719.63</v>
      </c>
      <c r="F9" s="41">
        <f t="shared" si="0"/>
        <v>0.20766991512699018</v>
      </c>
      <c r="H9" s="40">
        <f>'AMI Sales Department'!H10</f>
        <v>457719.63</v>
      </c>
      <c r="I9" s="41">
        <f t="shared" si="1"/>
        <v>0.20766991512699018</v>
      </c>
      <c r="K9" s="40">
        <f>'AMI Sales Department'!K10</f>
        <v>356640.7</v>
      </c>
      <c r="L9" s="41">
        <f t="shared" si="2"/>
        <v>0.12058999649040653</v>
      </c>
      <c r="N9" s="40">
        <f>'AMI Sales Department'!N10</f>
        <v>356640.7</v>
      </c>
      <c r="O9" s="41">
        <f t="shared" ref="O9:O21" si="3">IF(N$21,N9/N$21,0)</f>
        <v>0.12058999649040653</v>
      </c>
    </row>
    <row r="10" spans="1:15" x14ac:dyDescent="0.25">
      <c r="C10" t="s">
        <v>1055</v>
      </c>
      <c r="E10" s="40">
        <f>'Canton Sales Department'!E14</f>
        <v>534513.17000000004</v>
      </c>
      <c r="F10" s="41">
        <f t="shared" si="0"/>
        <v>0.24251156684750114</v>
      </c>
      <c r="H10" s="40">
        <f>'Canton Sales Department'!H14</f>
        <v>534513.17000000004</v>
      </c>
      <c r="I10" s="41">
        <f t="shared" si="1"/>
        <v>0.24251156684750114</v>
      </c>
      <c r="K10" s="40">
        <f>'Canton Sales Department'!K14</f>
        <v>332165.25</v>
      </c>
      <c r="L10" s="41">
        <f t="shared" si="2"/>
        <v>0.11231417595281472</v>
      </c>
      <c r="N10" s="40">
        <f>'Canton Sales Department'!N14</f>
        <v>332165.25</v>
      </c>
      <c r="O10" s="41">
        <f t="shared" si="3"/>
        <v>0.11231417595281472</v>
      </c>
    </row>
    <row r="11" spans="1:15" x14ac:dyDescent="0.25">
      <c r="C11" t="s">
        <v>1165</v>
      </c>
      <c r="E11" s="40">
        <f>'Canton Parts Department'!E32</f>
        <v>356824.8</v>
      </c>
      <c r="F11" s="41">
        <f t="shared" si="0"/>
        <v>0.16189337549539931</v>
      </c>
      <c r="H11" s="40">
        <f>'Canton Parts Department'!H32</f>
        <v>356824.8</v>
      </c>
      <c r="I11" s="41">
        <f t="shared" si="1"/>
        <v>0.16189337549539931</v>
      </c>
      <c r="K11" s="40">
        <f>'Canton Parts Department'!K32</f>
        <v>359559.03</v>
      </c>
      <c r="L11" s="41">
        <f t="shared" si="2"/>
        <v>0.12157676385727703</v>
      </c>
      <c r="N11" s="40">
        <f>'Canton Parts Department'!N32</f>
        <v>359559.03</v>
      </c>
      <c r="O11" s="41">
        <f t="shared" si="3"/>
        <v>0.12157676385727703</v>
      </c>
    </row>
    <row r="12" spans="1:15" x14ac:dyDescent="0.25">
      <c r="C12" t="s">
        <v>1166</v>
      </c>
      <c r="E12" s="40">
        <f>'Canton Service Department'!G29</f>
        <v>262602.76999999996</v>
      </c>
      <c r="F12" s="41">
        <f t="shared" si="0"/>
        <v>0.11914432194663033</v>
      </c>
      <c r="H12" s="40">
        <f>'Canton Service Department'!J29</f>
        <v>262602.76999999996</v>
      </c>
      <c r="I12" s="41">
        <f t="shared" si="1"/>
        <v>0.11914432194663033</v>
      </c>
      <c r="K12" s="40">
        <f>'Canton Service Department'!M29</f>
        <v>195151.12</v>
      </c>
      <c r="L12" s="41">
        <f t="shared" si="2"/>
        <v>6.5985942927711011E-2</v>
      </c>
      <c r="N12" s="40">
        <f>'Canton Service Department'!P29</f>
        <v>195151.12</v>
      </c>
      <c r="O12" s="41">
        <f t="shared" si="3"/>
        <v>6.5985942927711011E-2</v>
      </c>
    </row>
    <row r="13" spans="1:15" x14ac:dyDescent="0.25">
      <c r="C13" t="s">
        <v>1167</v>
      </c>
      <c r="E13" s="40">
        <f>'Canton Rental Department'!E11</f>
        <v>254808.52</v>
      </c>
      <c r="F13" s="41">
        <f t="shared" si="0"/>
        <v>0.11560802782706518</v>
      </c>
      <c r="H13" s="40">
        <f>'Canton Rental Department'!H11</f>
        <v>254808.52</v>
      </c>
      <c r="I13" s="41">
        <f t="shared" si="1"/>
        <v>0.11560802782706518</v>
      </c>
      <c r="K13" s="40">
        <f>'Canton Rental Department'!K11</f>
        <v>248311.77000000002</v>
      </c>
      <c r="L13" s="41">
        <f t="shared" si="2"/>
        <v>8.396101587066937E-2</v>
      </c>
      <c r="N13" s="40">
        <f>'Canton Rental Department'!N11</f>
        <v>248311.77000000002</v>
      </c>
      <c r="O13" s="41">
        <f t="shared" si="3"/>
        <v>8.396101587066937E-2</v>
      </c>
    </row>
    <row r="14" spans="1:15" x14ac:dyDescent="0.25">
      <c r="C14" t="s">
        <v>1168</v>
      </c>
      <c r="E14" s="40">
        <f>'Canton Used Department'!E14</f>
        <v>28739.73</v>
      </c>
      <c r="F14" s="41">
        <f t="shared" si="0"/>
        <v>1.3039373666085969E-2</v>
      </c>
      <c r="H14" s="40">
        <f>'Canton Used Department'!H14</f>
        <v>28739.73</v>
      </c>
      <c r="I14" s="41">
        <f t="shared" si="1"/>
        <v>1.3039373666085969E-2</v>
      </c>
      <c r="K14" s="40">
        <f>'Canton Used Department'!K14</f>
        <v>0</v>
      </c>
      <c r="L14" s="41">
        <f t="shared" si="2"/>
        <v>0</v>
      </c>
      <c r="N14" s="40">
        <f>'Canton Used Department'!N14</f>
        <v>0</v>
      </c>
      <c r="O14" s="41">
        <f t="shared" si="3"/>
        <v>0</v>
      </c>
    </row>
    <row r="15" spans="1:15" x14ac:dyDescent="0.25">
      <c r="C15" t="s">
        <v>1022</v>
      </c>
      <c r="E15" s="40">
        <f>'Administration Department'!E12</f>
        <v>-54.31</v>
      </c>
      <c r="F15" s="41">
        <f t="shared" si="0"/>
        <v>-2.4640745887491949E-5</v>
      </c>
      <c r="H15" s="40">
        <f>'Administration Department'!H12</f>
        <v>-54.31</v>
      </c>
      <c r="I15" s="41">
        <f t="shared" si="1"/>
        <v>-2.4640745887491949E-5</v>
      </c>
      <c r="K15" s="40">
        <f>'Administration Department'!K12</f>
        <v>17171.649999999998</v>
      </c>
      <c r="L15" s="41">
        <f t="shared" si="2"/>
        <v>5.8062055543141571E-3</v>
      </c>
      <c r="N15" s="40">
        <f>'Administration Department'!N12</f>
        <v>17171.649999999998</v>
      </c>
      <c r="O15" s="41">
        <f>IF(N$21,N15/N$21,0)</f>
        <v>5.8062055543141571E-3</v>
      </c>
    </row>
    <row r="16" spans="1:15" x14ac:dyDescent="0.25">
      <c r="C16" s="116" t="s">
        <v>1513</v>
      </c>
      <c r="D16" s="116"/>
      <c r="E16" s="117">
        <f>'Cleveland Sales Department'!E15</f>
        <v>113852.79</v>
      </c>
      <c r="F16" s="118">
        <f t="shared" si="0"/>
        <v>5.1655637395912071E-2</v>
      </c>
      <c r="G16" s="116"/>
      <c r="H16" s="117">
        <f>'Cleveland Sales Department'!H15</f>
        <v>113852.79</v>
      </c>
      <c r="I16" s="118">
        <f t="shared" si="1"/>
        <v>5.1655637395912071E-2</v>
      </c>
      <c r="J16" s="116"/>
      <c r="K16" s="117">
        <f>'Cleveland Sales Department'!K15</f>
        <v>114900</v>
      </c>
      <c r="L16" s="118">
        <f t="shared" si="2"/>
        <v>3.885083950527158E-2</v>
      </c>
      <c r="M16" s="116"/>
      <c r="N16" s="117">
        <f>'Cleveland Sales Department'!N15</f>
        <v>114900</v>
      </c>
      <c r="O16" s="118">
        <f t="shared" ref="O16:O20" si="4">IF(N$21,N16/N$21,0)</f>
        <v>3.885083950527158E-2</v>
      </c>
    </row>
    <row r="17" spans="3:15" x14ac:dyDescent="0.25">
      <c r="C17" s="116" t="s">
        <v>1514</v>
      </c>
      <c r="D17" s="116"/>
      <c r="E17" s="117">
        <f>'Cleveland Parts Department'!E27</f>
        <v>8424.9500000000007</v>
      </c>
      <c r="F17" s="118">
        <f t="shared" si="0"/>
        <v>3.8224461805344378E-3</v>
      </c>
      <c r="G17" s="116"/>
      <c r="H17" s="117">
        <f>'Cleveland Parts Department'!H27</f>
        <v>8424.9500000000007</v>
      </c>
      <c r="I17" s="118">
        <f t="shared" si="1"/>
        <v>3.8224461805344378E-3</v>
      </c>
      <c r="J17" s="116"/>
      <c r="K17" s="117">
        <f>'Cleveland Parts Department'!K27</f>
        <v>4122.49</v>
      </c>
      <c r="L17" s="118">
        <f t="shared" si="2"/>
        <v>1.3939268699050219E-3</v>
      </c>
      <c r="M17" s="116"/>
      <c r="N17" s="117">
        <f>'Cleveland Parts Department'!N27</f>
        <v>4122.49</v>
      </c>
      <c r="O17" s="118">
        <f t="shared" si="4"/>
        <v>1.3939268699050219E-3</v>
      </c>
    </row>
    <row r="18" spans="3:15" x14ac:dyDescent="0.25">
      <c r="C18" s="116" t="s">
        <v>1518</v>
      </c>
      <c r="D18" s="116"/>
      <c r="E18" s="117">
        <f>'Cleveland Service Department'!G28</f>
        <v>28791.96</v>
      </c>
      <c r="F18" s="118">
        <f t="shared" si="0"/>
        <v>1.3063070704526471E-2</v>
      </c>
      <c r="G18" s="116"/>
      <c r="H18" s="117">
        <f>'Cleveland Service Department'!J28</f>
        <v>28791.96</v>
      </c>
      <c r="I18" s="118">
        <f t="shared" si="1"/>
        <v>1.3063070704526471E-2</v>
      </c>
      <c r="J18" s="116"/>
      <c r="K18" s="117">
        <f>'Cleveland Service Department'!M28</f>
        <v>8942.08</v>
      </c>
      <c r="L18" s="118">
        <f t="shared" si="2"/>
        <v>3.0235623579051253E-3</v>
      </c>
      <c r="M18" s="116"/>
      <c r="N18" s="117">
        <f>'Cleveland Service Department'!P28</f>
        <v>8942.08</v>
      </c>
      <c r="O18" s="118">
        <f t="shared" si="4"/>
        <v>3.0235623579051253E-3</v>
      </c>
    </row>
    <row r="19" spans="3:15" x14ac:dyDescent="0.25">
      <c r="C19" s="116" t="s">
        <v>1516</v>
      </c>
      <c r="D19" s="116"/>
      <c r="E19" s="117">
        <f>'Cleveland Rental Department'!E10</f>
        <v>0</v>
      </c>
      <c r="F19" s="118">
        <f t="shared" si="0"/>
        <v>0</v>
      </c>
      <c r="G19" s="116"/>
      <c r="H19" s="117">
        <f>'Cleveland Rental Department'!H10</f>
        <v>0</v>
      </c>
      <c r="I19" s="118">
        <f t="shared" si="1"/>
        <v>0</v>
      </c>
      <c r="J19" s="116"/>
      <c r="K19" s="117">
        <f>'Cleveland Rental Department'!K10</f>
        <v>0</v>
      </c>
      <c r="L19" s="118">
        <f t="shared" si="2"/>
        <v>0</v>
      </c>
      <c r="M19" s="116"/>
      <c r="N19" s="117">
        <f>'Cleveland Rental Department'!N10</f>
        <v>0</v>
      </c>
      <c r="O19" s="118">
        <f t="shared" si="4"/>
        <v>0</v>
      </c>
    </row>
    <row r="20" spans="3:15" x14ac:dyDescent="0.25">
      <c r="C20" s="116" t="s">
        <v>1517</v>
      </c>
      <c r="D20" s="116"/>
      <c r="E20" s="117">
        <f>'Cleveland Used Department'!E14</f>
        <v>10337</v>
      </c>
      <c r="F20" s="118">
        <f t="shared" si="0"/>
        <v>4.6899537882342896E-3</v>
      </c>
      <c r="G20" s="116"/>
      <c r="H20" s="117">
        <f>'Cleveland Used Department'!H14</f>
        <v>10337</v>
      </c>
      <c r="I20" s="118">
        <f t="shared" si="1"/>
        <v>4.6899537882342896E-3</v>
      </c>
      <c r="J20" s="116"/>
      <c r="K20" s="117">
        <f>'Cleveland Used Department'!K14</f>
        <v>0</v>
      </c>
      <c r="L20" s="118">
        <f t="shared" si="2"/>
        <v>0</v>
      </c>
      <c r="M20" s="116"/>
      <c r="N20" s="117">
        <f>'Cleveland Used Department'!N14</f>
        <v>0</v>
      </c>
      <c r="O20" s="118">
        <f t="shared" si="4"/>
        <v>0</v>
      </c>
    </row>
    <row r="21" spans="3:15" x14ac:dyDescent="0.25">
      <c r="C21" s="43" t="s">
        <v>1038</v>
      </c>
      <c r="E21" s="74">
        <f>SUM(E7:E20)</f>
        <v>2204072.89</v>
      </c>
      <c r="F21" s="86">
        <f t="shared" si="0"/>
        <v>1</v>
      </c>
      <c r="H21" s="74">
        <f>SUM(H7:H20)</f>
        <v>2204072.89</v>
      </c>
      <c r="I21" s="86">
        <f t="shared" si="1"/>
        <v>1</v>
      </c>
      <c r="K21" s="74">
        <f>SUM(K7:K20)</f>
        <v>2957465.0500000003</v>
      </c>
      <c r="L21" s="86">
        <f t="shared" si="2"/>
        <v>1</v>
      </c>
      <c r="N21" s="74">
        <f>SUM(N7:N20)</f>
        <v>2957465.0500000003</v>
      </c>
      <c r="O21" s="86">
        <f t="shared" si="3"/>
        <v>1</v>
      </c>
    </row>
    <row r="23" spans="3:15" x14ac:dyDescent="0.25">
      <c r="C23" s="37" t="s">
        <v>1002</v>
      </c>
    </row>
    <row r="24" spans="3:15" x14ac:dyDescent="0.25">
      <c r="C24" t="s">
        <v>1329</v>
      </c>
      <c r="E24" s="40">
        <f>'C H Steel Solutions'!E27</f>
        <v>21686.31</v>
      </c>
      <c r="F24" s="41">
        <f t="shared" ref="F24:F37" si="5">IF(E$21,E24/E$21,0)</f>
        <v>9.8391981945751342E-3</v>
      </c>
      <c r="H24" s="40">
        <f>'C H Steel Solutions'!H27</f>
        <v>21686.31</v>
      </c>
      <c r="I24" s="41">
        <f t="shared" ref="I24:I37" si="6">IF(H$21,H24/H$21,0)</f>
        <v>9.8391981945751342E-3</v>
      </c>
      <c r="K24" s="40">
        <f>'C H Steel Solutions'!K27</f>
        <v>873769.09000000008</v>
      </c>
      <c r="L24" s="41">
        <f t="shared" ref="L24:L37" si="7">IF(K$21,K24/K$21,0)</f>
        <v>0.29544528007186427</v>
      </c>
      <c r="N24" s="40">
        <f>'C H Steel Solutions'!N27</f>
        <v>873769.09000000008</v>
      </c>
      <c r="O24" s="41">
        <f t="shared" ref="O24:O37" si="8">IF(N$21,N24/N$21,0)</f>
        <v>0.29544528007186427</v>
      </c>
    </row>
    <row r="25" spans="3:15" x14ac:dyDescent="0.25">
      <c r="C25" t="s">
        <v>1492</v>
      </c>
      <c r="E25" s="40">
        <f>'Dynamic Storage Solutions'!E26</f>
        <v>107914.79999999999</v>
      </c>
      <c r="F25" s="41">
        <f t="shared" si="5"/>
        <v>4.8961538654014286E-2</v>
      </c>
      <c r="H25" s="40">
        <f>'Dynamic Storage Solutions'!H26</f>
        <v>107914.79999999999</v>
      </c>
      <c r="I25" s="41">
        <f t="shared" si="6"/>
        <v>4.8961538654014286E-2</v>
      </c>
      <c r="K25" s="40">
        <f>'Dynamic Storage Solutions'!K26</f>
        <v>204313.07</v>
      </c>
      <c r="L25" s="41">
        <f t="shared" si="7"/>
        <v>6.9083849359437052E-2</v>
      </c>
      <c r="N25" s="40">
        <f>'Dynamic Storage Solutions'!N26</f>
        <v>204313.07</v>
      </c>
      <c r="O25" s="41">
        <f>IF(N$21,N25/N$21,0)</f>
        <v>6.9083849359437052E-2</v>
      </c>
    </row>
    <row r="26" spans="3:15" x14ac:dyDescent="0.25">
      <c r="C26" t="s">
        <v>1328</v>
      </c>
      <c r="E26" s="40">
        <f>'AMI Sales Department'!E23</f>
        <v>185106.95</v>
      </c>
      <c r="F26" s="41">
        <f t="shared" si="5"/>
        <v>8.3984041925219632E-2</v>
      </c>
      <c r="H26" s="40">
        <f>'AMI Sales Department'!H23</f>
        <v>185106.95</v>
      </c>
      <c r="I26" s="41">
        <f t="shared" si="6"/>
        <v>8.3984041925219632E-2</v>
      </c>
      <c r="K26" s="40">
        <f>'AMI Sales Department'!K23</f>
        <v>229722.49</v>
      </c>
      <c r="L26" s="41">
        <f t="shared" si="7"/>
        <v>7.7675470754929116E-2</v>
      </c>
      <c r="N26" s="40">
        <f>'AMI Sales Department'!N23</f>
        <v>229722.49</v>
      </c>
      <c r="O26" s="41">
        <f t="shared" si="8"/>
        <v>7.7675470754929116E-2</v>
      </c>
    </row>
    <row r="27" spans="3:15" x14ac:dyDescent="0.25">
      <c r="C27" t="s">
        <v>1055</v>
      </c>
      <c r="E27" s="40">
        <f>'Canton Sales Department'!E29</f>
        <v>478571.83000000007</v>
      </c>
      <c r="F27" s="41">
        <f t="shared" si="5"/>
        <v>0.21713067302415759</v>
      </c>
      <c r="H27" s="40">
        <f>'Canton Sales Department'!H29</f>
        <v>478571.83000000007</v>
      </c>
      <c r="I27" s="41">
        <f t="shared" si="6"/>
        <v>0.21713067302415759</v>
      </c>
      <c r="K27" s="40">
        <f>'Canton Sales Department'!K29</f>
        <v>307893.49</v>
      </c>
      <c r="L27" s="41">
        <f t="shared" si="7"/>
        <v>0.10410722858753646</v>
      </c>
      <c r="N27" s="40">
        <f>'Canton Sales Department'!N29</f>
        <v>307893.49</v>
      </c>
      <c r="O27" s="41">
        <f t="shared" si="8"/>
        <v>0.10410722858753646</v>
      </c>
    </row>
    <row r="28" spans="3:15" x14ac:dyDescent="0.25">
      <c r="C28" t="s">
        <v>1165</v>
      </c>
      <c r="E28" s="40">
        <f>'Canton Parts Department'!E55</f>
        <v>227645.63999999996</v>
      </c>
      <c r="F28" s="41">
        <f t="shared" si="5"/>
        <v>0.10328407968395271</v>
      </c>
      <c r="H28" s="40">
        <f>'Canton Parts Department'!H55</f>
        <v>227645.63999999996</v>
      </c>
      <c r="I28" s="41">
        <f t="shared" si="6"/>
        <v>0.10328407968395271</v>
      </c>
      <c r="K28" s="40">
        <f>'Canton Parts Department'!K55</f>
        <v>238562.87</v>
      </c>
      <c r="L28" s="41">
        <f t="shared" si="7"/>
        <v>8.0664645555152029E-2</v>
      </c>
      <c r="N28" s="40">
        <f>'Canton Parts Department'!N55</f>
        <v>238562.87</v>
      </c>
      <c r="O28" s="41">
        <f t="shared" si="8"/>
        <v>8.0664645555152029E-2</v>
      </c>
    </row>
    <row r="29" spans="3:15" x14ac:dyDescent="0.25">
      <c r="C29" t="s">
        <v>1166</v>
      </c>
      <c r="E29" s="40">
        <f>'Canton Service Department'!G48</f>
        <v>75002.870000000024</v>
      </c>
      <c r="F29" s="41">
        <f t="shared" si="5"/>
        <v>3.4029214886808948E-2</v>
      </c>
      <c r="H29" s="40">
        <f>'Canton Service Department'!J48</f>
        <v>75002.870000000024</v>
      </c>
      <c r="I29" s="41">
        <f t="shared" si="6"/>
        <v>3.4029214886808948E-2</v>
      </c>
      <c r="K29" s="40">
        <f>'Canton Service Department'!M48</f>
        <v>173013.95</v>
      </c>
      <c r="L29" s="41">
        <f t="shared" si="7"/>
        <v>5.8500758952333178E-2</v>
      </c>
      <c r="N29" s="40">
        <f>'Canton Service Department'!P48</f>
        <v>173013.95</v>
      </c>
      <c r="O29" s="41">
        <f t="shared" si="8"/>
        <v>5.8500758952333178E-2</v>
      </c>
    </row>
    <row r="30" spans="3:15" x14ac:dyDescent="0.25">
      <c r="C30" t="s">
        <v>1167</v>
      </c>
      <c r="E30" s="40">
        <f>'Canton Rental Department'!E20</f>
        <v>82096.66</v>
      </c>
      <c r="F30" s="41">
        <f t="shared" si="5"/>
        <v>3.7247706449490423E-2</v>
      </c>
      <c r="H30" s="40">
        <f>'Canton Rental Department'!H20</f>
        <v>82096.66</v>
      </c>
      <c r="I30" s="41">
        <f t="shared" si="6"/>
        <v>3.7247706449490423E-2</v>
      </c>
      <c r="K30" s="40">
        <f>'Canton Rental Department'!K20</f>
        <v>65581.25</v>
      </c>
      <c r="L30" s="41">
        <f t="shared" si="7"/>
        <v>2.2174818262011241E-2</v>
      </c>
      <c r="N30" s="40">
        <f>'Canton Rental Department'!N20</f>
        <v>65581.25</v>
      </c>
      <c r="O30" s="41">
        <f t="shared" si="8"/>
        <v>2.2174818262011241E-2</v>
      </c>
    </row>
    <row r="31" spans="3:15" x14ac:dyDescent="0.25">
      <c r="C31" t="s">
        <v>1168</v>
      </c>
      <c r="E31" s="40">
        <f>'Canton Used Department'!E27</f>
        <v>32449.449999999997</v>
      </c>
      <c r="F31" s="41">
        <f t="shared" si="5"/>
        <v>1.4722494046011335E-2</v>
      </c>
      <c r="H31" s="40">
        <f>'Canton Used Department'!H27</f>
        <v>32449.449999999997</v>
      </c>
      <c r="I31" s="41">
        <f t="shared" si="6"/>
        <v>1.4722494046011335E-2</v>
      </c>
      <c r="K31" s="40">
        <f>'Canton Used Department'!K27</f>
        <v>3418.2</v>
      </c>
      <c r="L31" s="41">
        <f t="shared" si="7"/>
        <v>1.1557871157260166E-3</v>
      </c>
      <c r="N31" s="40">
        <f>'Canton Used Department'!N27</f>
        <v>3418.2</v>
      </c>
      <c r="O31" s="41">
        <f t="shared" si="8"/>
        <v>1.1557871157260166E-3</v>
      </c>
    </row>
    <row r="32" spans="3:15" x14ac:dyDescent="0.25">
      <c r="C32" s="116" t="s">
        <v>1513</v>
      </c>
      <c r="D32" s="116"/>
      <c r="E32" s="117">
        <f>'Cleveland Sales Department'!E32</f>
        <v>100942.38</v>
      </c>
      <c r="F32" s="118">
        <f t="shared" si="5"/>
        <v>4.5798113328275637E-2</v>
      </c>
      <c r="G32" s="116"/>
      <c r="H32" s="117">
        <f>'Cleveland Sales Department'!H32</f>
        <v>100942.38</v>
      </c>
      <c r="I32" s="118">
        <f t="shared" si="6"/>
        <v>4.5798113328275637E-2</v>
      </c>
      <c r="J32" s="116"/>
      <c r="K32" s="117">
        <f>'Cleveland Sales Department'!K32</f>
        <v>97222.290000000008</v>
      </c>
      <c r="L32" s="118">
        <f t="shared" si="7"/>
        <v>3.287352119342881E-2</v>
      </c>
      <c r="M32" s="116"/>
      <c r="N32" s="117">
        <f>'Cleveland Sales Department'!N32</f>
        <v>97222.290000000008</v>
      </c>
      <c r="O32" s="118">
        <f t="shared" ref="O32:O36" si="9">IF(N$21,N32/N$21,0)</f>
        <v>3.287352119342881E-2</v>
      </c>
    </row>
    <row r="33" spans="3:15" x14ac:dyDescent="0.25">
      <c r="C33" s="116" t="s">
        <v>1514</v>
      </c>
      <c r="D33" s="116"/>
      <c r="E33" s="117">
        <f>'Cleveland Parts Department'!E46</f>
        <v>5531.1100000000006</v>
      </c>
      <c r="F33" s="118">
        <f t="shared" si="5"/>
        <v>2.5094950466905837E-3</v>
      </c>
      <c r="G33" s="116"/>
      <c r="H33" s="117">
        <f>'Cleveland Parts Department'!H46</f>
        <v>5531.1100000000006</v>
      </c>
      <c r="I33" s="118">
        <f t="shared" si="6"/>
        <v>2.5094950466905837E-3</v>
      </c>
      <c r="J33" s="116"/>
      <c r="K33" s="117">
        <f>'Cleveland Parts Department'!K46</f>
        <v>2570.79</v>
      </c>
      <c r="L33" s="118">
        <f t="shared" si="7"/>
        <v>8.6925456650789493E-4</v>
      </c>
      <c r="M33" s="116"/>
      <c r="N33" s="117">
        <f>'Cleveland Parts Department'!N46</f>
        <v>2570.79</v>
      </c>
      <c r="O33" s="118">
        <f t="shared" si="9"/>
        <v>8.6925456650789493E-4</v>
      </c>
    </row>
    <row r="34" spans="3:15" x14ac:dyDescent="0.25">
      <c r="C34" s="116" t="s">
        <v>1515</v>
      </c>
      <c r="D34" s="116"/>
      <c r="E34" s="117">
        <f>'Cleveland Service Department'!G47</f>
        <v>8789.59</v>
      </c>
      <c r="F34" s="118">
        <f t="shared" si="5"/>
        <v>3.9878853552796972E-3</v>
      </c>
      <c r="G34" s="116"/>
      <c r="H34" s="117">
        <f>'Cleveland Service Department'!J47</f>
        <v>8789.59</v>
      </c>
      <c r="I34" s="118">
        <f t="shared" si="6"/>
        <v>3.9878853552796972E-3</v>
      </c>
      <c r="J34" s="116"/>
      <c r="K34" s="117">
        <f>'Cleveland Service Department'!M47</f>
        <v>-3648.12</v>
      </c>
      <c r="L34" s="118">
        <f t="shared" si="7"/>
        <v>-1.2335293700258603E-3</v>
      </c>
      <c r="M34" s="116"/>
      <c r="N34" s="117">
        <f>'Cleveland Service Department'!P47</f>
        <v>-3648.12</v>
      </c>
      <c r="O34" s="118">
        <f t="shared" si="9"/>
        <v>-1.2335293700258603E-3</v>
      </c>
    </row>
    <row r="35" spans="3:15" x14ac:dyDescent="0.25">
      <c r="C35" s="116" t="s">
        <v>1516</v>
      </c>
      <c r="D35" s="116"/>
      <c r="E35" s="117">
        <f>'Cleveland Rental Department'!E18</f>
        <v>0</v>
      </c>
      <c r="F35" s="118">
        <f t="shared" si="5"/>
        <v>0</v>
      </c>
      <c r="G35" s="116"/>
      <c r="H35" s="117">
        <f>'Cleveland Rental Department'!H18</f>
        <v>0</v>
      </c>
      <c r="I35" s="118">
        <f t="shared" si="6"/>
        <v>0</v>
      </c>
      <c r="J35" s="116"/>
      <c r="K35" s="117">
        <f>'Cleveland Rental Department'!K18</f>
        <v>12518.34</v>
      </c>
      <c r="L35" s="118">
        <f t="shared" si="7"/>
        <v>4.2327938921881761E-3</v>
      </c>
      <c r="M35" s="116"/>
      <c r="N35" s="117">
        <f>'Cleveland Rental Department'!N18</f>
        <v>12518.34</v>
      </c>
      <c r="O35" s="118">
        <f t="shared" si="9"/>
        <v>4.2327938921881761E-3</v>
      </c>
    </row>
    <row r="36" spans="3:15" x14ac:dyDescent="0.25">
      <c r="C36" s="116" t="s">
        <v>1517</v>
      </c>
      <c r="D36" s="116"/>
      <c r="E36" s="117">
        <f>'Cleveland Used Department'!E27</f>
        <v>7300</v>
      </c>
      <c r="F36" s="118">
        <f t="shared" si="5"/>
        <v>3.3120501745293913E-3</v>
      </c>
      <c r="G36" s="116"/>
      <c r="H36" s="117">
        <f>'Cleveland Used Department'!H27</f>
        <v>7300</v>
      </c>
      <c r="I36" s="118">
        <f t="shared" si="6"/>
        <v>3.3120501745293913E-3</v>
      </c>
      <c r="J36" s="116"/>
      <c r="K36" s="117">
        <f>'Cleveland Used Department'!K27</f>
        <v>0</v>
      </c>
      <c r="L36" s="118">
        <f t="shared" si="7"/>
        <v>0</v>
      </c>
      <c r="M36" s="116"/>
      <c r="N36" s="117">
        <f>'Cleveland Used Department'!N27</f>
        <v>0</v>
      </c>
      <c r="O36" s="118">
        <f t="shared" si="9"/>
        <v>0</v>
      </c>
    </row>
    <row r="37" spans="3:15" x14ac:dyDescent="0.25">
      <c r="C37" s="43" t="s">
        <v>1033</v>
      </c>
      <c r="E37" s="74">
        <f>SUM(E24:E36)</f>
        <v>1333037.5900000003</v>
      </c>
      <c r="F37" s="86">
        <f t="shared" si="5"/>
        <v>0.6048064907690055</v>
      </c>
      <c r="H37" s="74">
        <f>SUM(H24:H36)</f>
        <v>1333037.5900000003</v>
      </c>
      <c r="I37" s="86">
        <f t="shared" si="6"/>
        <v>0.6048064907690055</v>
      </c>
      <c r="K37" s="74">
        <f>SUM(K24:K36)</f>
        <v>2204937.71</v>
      </c>
      <c r="L37" s="86">
        <f t="shared" si="7"/>
        <v>0.74554987894108837</v>
      </c>
      <c r="N37" s="74">
        <f>SUM(N24:N36)</f>
        <v>2204937.71</v>
      </c>
      <c r="O37" s="86">
        <f t="shared" si="8"/>
        <v>0.74554987894108837</v>
      </c>
    </row>
    <row r="39" spans="3:15" x14ac:dyDescent="0.25">
      <c r="C39" s="43" t="s">
        <v>1034</v>
      </c>
      <c r="E39" s="40">
        <f>E21-E37</f>
        <v>871035.29999999981</v>
      </c>
      <c r="F39" s="41">
        <f>IF(E$21,E39/E$21,0)</f>
        <v>0.3951935092309945</v>
      </c>
      <c r="H39" s="40">
        <f>H21-H37</f>
        <v>871035.29999999981</v>
      </c>
      <c r="I39" s="41">
        <f>IF(H$21,H39/H$21,0)</f>
        <v>0.3951935092309945</v>
      </c>
      <c r="K39" s="40">
        <f>K21-K37</f>
        <v>752527.34000000032</v>
      </c>
      <c r="L39" s="41">
        <f>IF(K$21,K39/K$21,0)</f>
        <v>0.25445012105891168</v>
      </c>
      <c r="N39" s="40">
        <f>N21-N37</f>
        <v>752527.34000000032</v>
      </c>
      <c r="O39" s="41">
        <f t="shared" ref="O39" si="10">IF(N$21,N39/N$21,0)</f>
        <v>0.25445012105891168</v>
      </c>
    </row>
    <row r="41" spans="3:15" x14ac:dyDescent="0.25">
      <c r="C41" s="64" t="s">
        <v>1006</v>
      </c>
    </row>
    <row r="42" spans="3:15" x14ac:dyDescent="0.25">
      <c r="C42" t="s">
        <v>1329</v>
      </c>
      <c r="E42" s="40">
        <f>'C H Steel Solutions'!E57</f>
        <v>31211.040000000001</v>
      </c>
      <c r="F42" s="41">
        <f t="shared" ref="F42:F55" si="11">IF(E$21,E42/E$21,0)</f>
        <v>1.4160620613595043E-2</v>
      </c>
      <c r="H42" s="40">
        <f>'C H Steel Solutions'!H57</f>
        <v>31211.040000000001</v>
      </c>
      <c r="I42" s="41">
        <f t="shared" ref="I42:I55" si="12">IF(H$21,H42/H$21,0)</f>
        <v>1.4160620613595043E-2</v>
      </c>
      <c r="K42" s="40">
        <f>'C H Steel Solutions'!K57</f>
        <v>138346.70000000001</v>
      </c>
      <c r="L42" s="41">
        <f t="shared" ref="L42:L55" si="13">IF(K$21,K42/K$21,0)</f>
        <v>4.6778811468963934E-2</v>
      </c>
      <c r="N42" s="40">
        <f>'C H Steel Solutions'!N57</f>
        <v>138346.70000000001</v>
      </c>
      <c r="O42" s="41">
        <f t="shared" ref="O42:O55" si="14">IF(N$21,N42/N$21,0)</f>
        <v>4.6778811468963934E-2</v>
      </c>
    </row>
    <row r="43" spans="3:15" x14ac:dyDescent="0.25">
      <c r="C43" t="s">
        <v>1492</v>
      </c>
      <c r="E43" s="40">
        <f>'Dynamic Storage Solutions'!E56</f>
        <v>14642.779999999999</v>
      </c>
      <c r="F43" s="41">
        <f t="shared" si="11"/>
        <v>6.6435098704925311E-3</v>
      </c>
      <c r="H43" s="40">
        <f>'Dynamic Storage Solutions'!H56</f>
        <v>14642.779999999999</v>
      </c>
      <c r="I43" s="41">
        <f t="shared" si="12"/>
        <v>6.6435098704925311E-3</v>
      </c>
      <c r="K43" s="40">
        <f>'Dynamic Storage Solutions'!K56</f>
        <v>9594.7700000000023</v>
      </c>
      <c r="L43" s="41">
        <f t="shared" si="13"/>
        <v>3.2442547376848973E-3</v>
      </c>
      <c r="N43" s="40">
        <f>'Dynamic Storage Solutions'!N56</f>
        <v>9594.7700000000023</v>
      </c>
      <c r="O43" s="41">
        <f>IF(N$21,N43/N$21,0)</f>
        <v>3.2442547376848973E-3</v>
      </c>
    </row>
    <row r="44" spans="3:15" x14ac:dyDescent="0.25">
      <c r="C44" t="s">
        <v>1328</v>
      </c>
      <c r="E44" s="40">
        <f>'AMI Sales Department'!E49</f>
        <v>24384.32</v>
      </c>
      <c r="F44" s="41">
        <f t="shared" si="11"/>
        <v>1.1063300179695963E-2</v>
      </c>
      <c r="H44" s="40">
        <f>'AMI Sales Department'!H49</f>
        <v>24384.32</v>
      </c>
      <c r="I44" s="41">
        <f t="shared" si="12"/>
        <v>1.1063300179695963E-2</v>
      </c>
      <c r="K44" s="40">
        <f>'AMI Sales Department'!K49</f>
        <v>24953.32</v>
      </c>
      <c r="L44" s="41">
        <f t="shared" si="13"/>
        <v>8.4374014834089073E-3</v>
      </c>
      <c r="N44" s="40">
        <f>'AMI Sales Department'!N49</f>
        <v>-24953.32</v>
      </c>
      <c r="O44" s="41">
        <f t="shared" si="14"/>
        <v>-8.4374014834089073E-3</v>
      </c>
    </row>
    <row r="45" spans="3:15" x14ac:dyDescent="0.25">
      <c r="C45" t="s">
        <v>1055</v>
      </c>
      <c r="E45" s="40">
        <f>'Canton Sales Department'!E56</f>
        <v>71330.27</v>
      </c>
      <c r="F45" s="41">
        <f t="shared" si="11"/>
        <v>3.2362936055168302E-2</v>
      </c>
      <c r="H45" s="40">
        <f>'Canton Sales Department'!H56</f>
        <v>71330.27</v>
      </c>
      <c r="I45" s="41">
        <f t="shared" si="12"/>
        <v>3.2362936055168302E-2</v>
      </c>
      <c r="K45" s="40">
        <f>'Canton Sales Department'!K56</f>
        <v>91058.91</v>
      </c>
      <c r="L45" s="41">
        <f t="shared" si="13"/>
        <v>3.078951347201888E-2</v>
      </c>
      <c r="N45" s="40">
        <f>'Canton Sales Department'!N56</f>
        <v>91058.91</v>
      </c>
      <c r="O45" s="41">
        <f t="shared" si="14"/>
        <v>3.078951347201888E-2</v>
      </c>
    </row>
    <row r="46" spans="3:15" x14ac:dyDescent="0.25">
      <c r="C46" t="s">
        <v>1165</v>
      </c>
      <c r="E46" s="40">
        <f>'Canton Parts Department'!E80</f>
        <v>52798.530000000006</v>
      </c>
      <c r="F46" s="41">
        <f t="shared" si="11"/>
        <v>2.3954983630328126E-2</v>
      </c>
      <c r="H46" s="40">
        <f>'Canton Parts Department'!H80</f>
        <v>52798.530000000006</v>
      </c>
      <c r="I46" s="41">
        <f t="shared" si="12"/>
        <v>2.3954983630328126E-2</v>
      </c>
      <c r="K46" s="40">
        <f>'Canton Parts Department'!K80</f>
        <v>47104.210000000006</v>
      </c>
      <c r="L46" s="41">
        <f t="shared" si="13"/>
        <v>1.5927224566863435E-2</v>
      </c>
      <c r="N46" s="40">
        <f>'Canton Parts Department'!N80</f>
        <v>47104.210000000006</v>
      </c>
      <c r="O46" s="41">
        <f t="shared" si="14"/>
        <v>1.5927224566863435E-2</v>
      </c>
    </row>
    <row r="47" spans="3:15" x14ac:dyDescent="0.25">
      <c r="C47" t="s">
        <v>1166</v>
      </c>
      <c r="E47" s="40">
        <f>'Canton Service Department'!G76</f>
        <v>118327.92999999996</v>
      </c>
      <c r="F47" s="41">
        <f t="shared" si="11"/>
        <v>5.3686033042219375E-2</v>
      </c>
      <c r="H47" s="40">
        <f>'Canton Service Department'!J76</f>
        <v>118327.92999999996</v>
      </c>
      <c r="I47" s="41">
        <f t="shared" si="12"/>
        <v>5.3686033042219375E-2</v>
      </c>
      <c r="K47" s="40">
        <f>'Canton Service Department'!M76</f>
        <v>129197.15000000002</v>
      </c>
      <c r="L47" s="41">
        <f t="shared" si="13"/>
        <v>4.3685097817132278E-2</v>
      </c>
      <c r="N47" s="40">
        <f>'Canton Service Department'!P76</f>
        <v>129197.15000000002</v>
      </c>
      <c r="O47" s="41">
        <f t="shared" si="14"/>
        <v>4.3685097817132278E-2</v>
      </c>
    </row>
    <row r="48" spans="3:15" x14ac:dyDescent="0.25">
      <c r="C48" t="s">
        <v>1167</v>
      </c>
      <c r="E48" s="40">
        <f>'Canton Rental Department'!E35</f>
        <v>7639.73</v>
      </c>
      <c r="F48" s="41">
        <f t="shared" si="11"/>
        <v>3.4661875451859484E-3</v>
      </c>
      <c r="H48" s="40">
        <f>'Canton Rental Department'!H35</f>
        <v>7639.73</v>
      </c>
      <c r="I48" s="41">
        <f t="shared" si="12"/>
        <v>3.4661875451859484E-3</v>
      </c>
      <c r="K48" s="40">
        <f>'Canton Rental Department'!K35</f>
        <v>3630.02</v>
      </c>
      <c r="L48" s="41">
        <f t="shared" si="13"/>
        <v>1.2274092638896949E-3</v>
      </c>
      <c r="N48" s="40">
        <f>'Canton Rental Department'!N35</f>
        <v>3630.02</v>
      </c>
      <c r="O48" s="41">
        <f t="shared" si="14"/>
        <v>1.2274092638896949E-3</v>
      </c>
    </row>
    <row r="49" spans="3:15" x14ac:dyDescent="0.25">
      <c r="C49" t="s">
        <v>1168</v>
      </c>
      <c r="E49" s="40">
        <f>'Canton Used Department'!E45</f>
        <v>3001.11</v>
      </c>
      <c r="F49" s="41">
        <f t="shared" si="11"/>
        <v>1.3616201231893017E-3</v>
      </c>
      <c r="H49" s="40">
        <f>'Canton Used Department'!H45</f>
        <v>3001.11</v>
      </c>
      <c r="I49" s="41">
        <f t="shared" si="12"/>
        <v>1.3616201231893017E-3</v>
      </c>
      <c r="K49" s="40">
        <f>'Canton Used Department'!K45</f>
        <v>-11606.289999999999</v>
      </c>
      <c r="L49" s="41">
        <f t="shared" si="13"/>
        <v>-3.9244047871334941E-3</v>
      </c>
      <c r="N49" s="40">
        <f>'Canton Used Department'!N45</f>
        <v>-11606.289999999999</v>
      </c>
      <c r="O49" s="41">
        <f t="shared" si="14"/>
        <v>-3.9244047871334941E-3</v>
      </c>
    </row>
    <row r="50" spans="3:15" x14ac:dyDescent="0.25">
      <c r="C50" s="116" t="s">
        <v>1513</v>
      </c>
      <c r="D50" s="116"/>
      <c r="E50" s="117">
        <f>'Cleveland Sales Department'!E59</f>
        <v>26680.719999999998</v>
      </c>
      <c r="F50" s="118">
        <f t="shared" si="11"/>
        <v>1.2105189497612303E-2</v>
      </c>
      <c r="G50" s="116"/>
      <c r="H50" s="117">
        <f>'Cleveland Sales Department'!H59</f>
        <v>26680.719999999998</v>
      </c>
      <c r="I50" s="118">
        <f t="shared" si="12"/>
        <v>1.2105189497612303E-2</v>
      </c>
      <c r="J50" s="116"/>
      <c r="K50" s="117">
        <f>'Cleveland Sales Department'!K59</f>
        <v>31097.029999999995</v>
      </c>
      <c r="L50" s="118">
        <f t="shared" si="13"/>
        <v>1.0514758238647653E-2</v>
      </c>
      <c r="M50" s="116"/>
      <c r="N50" s="117">
        <f>'Cleveland Sales Department'!N59</f>
        <v>31097.029999999995</v>
      </c>
      <c r="O50" s="118">
        <f t="shared" ref="O50:O54" si="15">IF(N$21,N50/N$21,0)</f>
        <v>1.0514758238647653E-2</v>
      </c>
    </row>
    <row r="51" spans="3:15" x14ac:dyDescent="0.25">
      <c r="C51" s="116" t="s">
        <v>1514</v>
      </c>
      <c r="D51" s="116"/>
      <c r="E51" s="117">
        <f>'Cleveland Parts Department'!E71</f>
        <v>0</v>
      </c>
      <c r="F51" s="118">
        <f t="shared" si="11"/>
        <v>0</v>
      </c>
      <c r="G51" s="116"/>
      <c r="H51" s="117">
        <f>'Cleveland Parts Department'!H71</f>
        <v>0</v>
      </c>
      <c r="I51" s="118">
        <f t="shared" si="12"/>
        <v>0</v>
      </c>
      <c r="J51" s="116"/>
      <c r="K51" s="117">
        <f>'Cleveland Parts Department'!K1</f>
        <v>0</v>
      </c>
      <c r="L51" s="118">
        <f t="shared" si="13"/>
        <v>0</v>
      </c>
      <c r="M51" s="116"/>
      <c r="N51" s="117">
        <f>'Cleveland Parts Department'!N71</f>
        <v>0</v>
      </c>
      <c r="O51" s="118">
        <f t="shared" si="15"/>
        <v>0</v>
      </c>
    </row>
    <row r="52" spans="3:15" x14ac:dyDescent="0.25">
      <c r="C52" s="116" t="s">
        <v>1515</v>
      </c>
      <c r="D52" s="116"/>
      <c r="E52" s="117">
        <f>'Cleveland Service Department'!G76</f>
        <v>4743.9599999999991</v>
      </c>
      <c r="F52" s="118">
        <f t="shared" si="11"/>
        <v>2.1523607597206092E-3</v>
      </c>
      <c r="G52" s="116"/>
      <c r="H52" s="117">
        <f>'Cleveland Service Department'!J76</f>
        <v>4743.9599999999991</v>
      </c>
      <c r="I52" s="118">
        <f t="shared" si="12"/>
        <v>2.1523607597206092E-3</v>
      </c>
      <c r="J52" s="116"/>
      <c r="K52" s="117">
        <f>'Cleveland Service Department'!M76</f>
        <v>1446.04</v>
      </c>
      <c r="L52" s="118">
        <f t="shared" si="13"/>
        <v>4.8894576116799752E-4</v>
      </c>
      <c r="M52" s="116"/>
      <c r="N52" s="117">
        <f>'Cleveland Service Department'!P76</f>
        <v>1446.04</v>
      </c>
      <c r="O52" s="118">
        <f t="shared" si="15"/>
        <v>4.8894576116799752E-4</v>
      </c>
    </row>
    <row r="53" spans="3:15" x14ac:dyDescent="0.25">
      <c r="C53" s="116" t="s">
        <v>1516</v>
      </c>
      <c r="D53" s="116"/>
      <c r="E53" s="117">
        <f>'Cleveland Rental Department'!E33</f>
        <v>770.12</v>
      </c>
      <c r="F53" s="118">
        <f t="shared" si="11"/>
        <v>3.4940768224774998E-4</v>
      </c>
      <c r="G53" s="116"/>
      <c r="H53" s="117">
        <f>'Cleveland Rental Department'!H33</f>
        <v>770.12</v>
      </c>
      <c r="I53" s="118">
        <f t="shared" si="12"/>
        <v>3.4940768224774998E-4</v>
      </c>
      <c r="J53" s="116"/>
      <c r="K53" s="117">
        <f>'Cleveland Rental Department'!K33</f>
        <v>0</v>
      </c>
      <c r="L53" s="118">
        <f t="shared" si="13"/>
        <v>0</v>
      </c>
      <c r="M53" s="116"/>
      <c r="N53" s="117">
        <f>'Cleveland Rental Department'!N33</f>
        <v>0</v>
      </c>
      <c r="O53" s="118">
        <f t="shared" si="15"/>
        <v>0</v>
      </c>
    </row>
    <row r="54" spans="3:15" x14ac:dyDescent="0.25">
      <c r="C54" s="116" t="s">
        <v>1517</v>
      </c>
      <c r="D54" s="116"/>
      <c r="E54" s="117">
        <f>'Cleveland Used Department'!E45</f>
        <v>0</v>
      </c>
      <c r="F54" s="118">
        <f t="shared" si="11"/>
        <v>0</v>
      </c>
      <c r="G54" s="116"/>
      <c r="H54" s="117">
        <f>'Cleveland Used Department'!H45</f>
        <v>0</v>
      </c>
      <c r="I54" s="118">
        <f t="shared" si="12"/>
        <v>0</v>
      </c>
      <c r="J54" s="116"/>
      <c r="K54" s="117">
        <f>'Cleveland Used Department'!K45</f>
        <v>-1257.4000000000001</v>
      </c>
      <c r="L54" s="118">
        <f t="shared" si="13"/>
        <v>-4.2516140638754126E-4</v>
      </c>
      <c r="M54" s="116"/>
      <c r="N54" s="117">
        <f>'Cleveland Used Department'!N45</f>
        <v>-1257.4000000000001</v>
      </c>
      <c r="O54" s="118">
        <f t="shared" si="15"/>
        <v>-4.2516140638754126E-4</v>
      </c>
    </row>
    <row r="55" spans="3:15" x14ac:dyDescent="0.25">
      <c r="C55" s="43" t="s">
        <v>1003</v>
      </c>
      <c r="E55" s="74">
        <f>SUM(E42:E54)</f>
        <v>355530.50999999995</v>
      </c>
      <c r="F55" s="86">
        <f t="shared" si="11"/>
        <v>0.16130614899945525</v>
      </c>
      <c r="H55" s="74">
        <f>SUM(H42:H54)</f>
        <v>355530.50999999995</v>
      </c>
      <c r="I55" s="86">
        <f t="shared" si="12"/>
        <v>0.16130614899945525</v>
      </c>
      <c r="K55" s="74">
        <f>SUM(K42:K54)</f>
        <v>463564.46</v>
      </c>
      <c r="L55" s="86">
        <f t="shared" si="13"/>
        <v>0.15674385061625665</v>
      </c>
      <c r="N55" s="74">
        <f>SUM(N42:N54)</f>
        <v>413657.82</v>
      </c>
      <c r="O55" s="86">
        <f t="shared" si="14"/>
        <v>0.13986904764943883</v>
      </c>
    </row>
    <row r="56" spans="3:15" x14ac:dyDescent="0.25">
      <c r="C56" s="43"/>
      <c r="E56" s="40"/>
      <c r="F56" s="41"/>
      <c r="H56" s="40"/>
      <c r="I56" s="41"/>
      <c r="K56" s="40"/>
      <c r="L56" s="41"/>
      <c r="N56" s="40"/>
      <c r="O56" s="41"/>
    </row>
    <row r="57" spans="3:15" ht="15.75" thickBot="1" x14ac:dyDescent="0.3">
      <c r="C57" t="s">
        <v>1022</v>
      </c>
      <c r="E57" s="40">
        <f>'Administration Department'!E47</f>
        <v>141723.25</v>
      </c>
      <c r="F57" s="41">
        <f>IF(E$21,E57/E$21,0)</f>
        <v>6.4300618479092131E-2</v>
      </c>
      <c r="H57" s="40">
        <f>'Administration Department'!H47</f>
        <v>141723.25</v>
      </c>
      <c r="I57" s="41">
        <f>IF(H$21,H57/H$21,0)</f>
        <v>6.4300618479092131E-2</v>
      </c>
      <c r="K57" s="40">
        <f>'Administration Department'!K47</f>
        <v>110446.34</v>
      </c>
      <c r="L57" s="41">
        <f>IF(K$21,K57/K$21,0)</f>
        <v>3.7344934980719377E-2</v>
      </c>
      <c r="N57" s="40">
        <f>'Administration Department'!N47</f>
        <v>110446.34</v>
      </c>
      <c r="O57" s="41">
        <f>IF(N$21,N57/N$21,0)</f>
        <v>3.7344934980719377E-2</v>
      </c>
    </row>
    <row r="58" spans="3:15" ht="15.75" thickTop="1" x14ac:dyDescent="0.25">
      <c r="E58" s="100"/>
      <c r="F58" s="97"/>
      <c r="H58" s="100"/>
      <c r="I58" s="97"/>
      <c r="K58" s="100"/>
      <c r="L58" s="97"/>
      <c r="N58" s="100"/>
      <c r="O58" s="97"/>
    </row>
    <row r="59" spans="3:15" x14ac:dyDescent="0.25">
      <c r="C59" s="43" t="s">
        <v>1024</v>
      </c>
      <c r="E59" s="40">
        <f>E39-(E55+E57)</f>
        <v>373781.53999999986</v>
      </c>
      <c r="F59" s="41">
        <f>IF(E$21,E59/E$21,0)</f>
        <v>0.16958674175244715</v>
      </c>
      <c r="H59" s="40">
        <f>H39-(H55+H57)</f>
        <v>373781.53999999986</v>
      </c>
      <c r="I59" s="41">
        <f>IF(H$21,H59/H$21,0)</f>
        <v>0.16958674175244715</v>
      </c>
      <c r="K59" s="40">
        <f>K39-(K55+K57)</f>
        <v>178516.54000000027</v>
      </c>
      <c r="L59" s="41">
        <f>IF(K$21,K59/K$21,0)</f>
        <v>6.0361335461935638E-2</v>
      </c>
      <c r="N59" s="40">
        <f>N39-(N55+N57)</f>
        <v>228423.18000000028</v>
      </c>
      <c r="O59" s="41">
        <f t="shared" ref="O59" si="16">IF(N$21,N59/N$21,0)</f>
        <v>7.7236138428753459E-2</v>
      </c>
    </row>
    <row r="62" spans="3:15" x14ac:dyDescent="0.25">
      <c r="E62" s="40">
        <f>E59-'Combined Detail P and L'!N641</f>
        <v>-241.50000000005821</v>
      </c>
      <c r="H62" s="40">
        <f>H59-'Combined Detail P and L'!H641</f>
        <v>-241.50000000005821</v>
      </c>
      <c r="K62" s="40">
        <f>K59-'Combined Detail P and L'!K641</f>
        <v>-33039.999999999069</v>
      </c>
      <c r="N62" s="40">
        <f>N59-'Combined Detail P and L'!E641</f>
        <v>16866.640000000945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E86E-F437-4114-8B28-FFFDF606743E}">
  <sheetPr>
    <tabColor rgb="FFCC66FF"/>
  </sheetPr>
  <dimension ref="A1:O38"/>
  <sheetViews>
    <sheetView topLeftCell="A5" zoomScaleNormal="100" workbookViewId="0">
      <selection activeCell="Q13" sqref="Q13"/>
    </sheetView>
  </sheetViews>
  <sheetFormatPr defaultRowHeight="15" x14ac:dyDescent="0.25"/>
  <cols>
    <col min="1" max="1" width="0.42578125" customWidth="1"/>
    <col min="2" max="2" width="2.140625" hidden="1" customWidth="1"/>
    <col min="3" max="3" width="27.42578125" customWidth="1"/>
    <col min="4" max="4" width="1.85546875" customWidth="1"/>
    <col min="5" max="5" width="18.28515625" customWidth="1"/>
    <col min="7" max="7" width="1.42578125" customWidth="1"/>
    <col min="8" max="8" width="18.140625" customWidth="1"/>
    <col min="10" max="10" width="1.85546875" customWidth="1"/>
    <col min="11" max="11" width="18.28515625" customWidth="1"/>
    <col min="13" max="13" width="1.85546875" customWidth="1"/>
    <col min="14" max="14" width="18.28515625" customWidth="1"/>
  </cols>
  <sheetData>
    <row r="1" spans="1:15" ht="31.5" x14ac:dyDescent="0.5">
      <c r="A1" s="148" t="s">
        <v>1070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26.25" x14ac:dyDescent="0.4">
      <c r="A2" s="149" t="s">
        <v>2108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</row>
    <row r="3" spans="1:15" ht="15.75" x14ac:dyDescent="0.25">
      <c r="A3" s="152">
        <f>DATEVALUE(TB!A3&amp;"/"&amp;TB!A4)</f>
        <v>46023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.75" x14ac:dyDescent="0.25">
      <c r="A4" s="6"/>
      <c r="B4" s="6"/>
      <c r="C4" s="8" t="s">
        <v>5</v>
      </c>
      <c r="D4" s="6"/>
      <c r="E4" s="8" t="s">
        <v>3</v>
      </c>
      <c r="F4" s="6"/>
      <c r="G4" s="6"/>
      <c r="H4" s="8" t="s">
        <v>4</v>
      </c>
      <c r="I4" s="6"/>
      <c r="J4" s="6"/>
      <c r="K4" s="8" t="s">
        <v>3</v>
      </c>
      <c r="L4" s="6"/>
      <c r="M4" s="6"/>
      <c r="N4" s="8" t="s">
        <v>4</v>
      </c>
      <c r="O4" s="5"/>
    </row>
    <row r="5" spans="1:15" ht="15.75" x14ac:dyDescent="0.25">
      <c r="A5" s="7" t="s">
        <v>1000</v>
      </c>
      <c r="B5" s="5"/>
      <c r="C5" s="38" t="s">
        <v>1039</v>
      </c>
      <c r="D5" s="5"/>
      <c r="E5" s="31">
        <f>TB!A4</f>
        <v>2026</v>
      </c>
      <c r="F5" s="16" t="s">
        <v>1005</v>
      </c>
      <c r="G5" s="8"/>
      <c r="H5" s="31">
        <f>TB!A4</f>
        <v>2026</v>
      </c>
      <c r="I5" s="16" t="s">
        <v>1005</v>
      </c>
      <c r="J5" s="5"/>
      <c r="K5" s="31">
        <f>TB!O4</f>
        <v>2025</v>
      </c>
      <c r="L5" s="16" t="s">
        <v>1005</v>
      </c>
      <c r="M5" s="8"/>
      <c r="N5" s="31">
        <f>TB!O4</f>
        <v>2025</v>
      </c>
      <c r="O5" s="16" t="s">
        <v>1005</v>
      </c>
    </row>
    <row r="7" spans="1:15" x14ac:dyDescent="0.25">
      <c r="C7" t="s">
        <v>1055</v>
      </c>
      <c r="E7" s="40">
        <f>'Canton Sales Department'!E14</f>
        <v>534513.17000000004</v>
      </c>
      <c r="F7" s="41">
        <f t="shared" ref="F7:F13" si="0">IF(E$13,E7/E$13,0)</f>
        <v>0.37185214565715086</v>
      </c>
      <c r="H7" s="40">
        <f>'Canton Sales Department'!H14</f>
        <v>534513.17000000004</v>
      </c>
      <c r="I7" s="41">
        <f t="shared" ref="I7:I13" si="1">IF(H$13,H7/H$13,0)</f>
        <v>0.37185214565715086</v>
      </c>
      <c r="K7" s="40">
        <f>'Canton Sales Department'!K14</f>
        <v>332165.25</v>
      </c>
      <c r="L7" s="41">
        <f t="shared" ref="L7:L13" si="2">IF(K$13,K7/K$13,0)</f>
        <v>0.28824810834528092</v>
      </c>
      <c r="N7" s="40">
        <f>'Canton Sales Department'!N14</f>
        <v>332165.25</v>
      </c>
      <c r="O7" s="41">
        <f t="shared" ref="O7:O13" si="3">IF(N$13,N7/N$13,0)</f>
        <v>0.28824810834528092</v>
      </c>
    </row>
    <row r="8" spans="1:15" x14ac:dyDescent="0.25">
      <c r="C8" t="s">
        <v>1165</v>
      </c>
      <c r="E8" s="40">
        <f>'Canton Parts Department'!E32</f>
        <v>356824.8</v>
      </c>
      <c r="F8" s="41">
        <f t="shared" si="0"/>
        <v>0.24823722772571483</v>
      </c>
      <c r="H8" s="40">
        <f>'Canton Parts Department'!H32</f>
        <v>356824.8</v>
      </c>
      <c r="I8" s="41">
        <f t="shared" si="1"/>
        <v>0.24823722772571483</v>
      </c>
      <c r="K8" s="40">
        <f>'Canton Parts Department'!K32</f>
        <v>359559.03</v>
      </c>
      <c r="L8" s="41">
        <f t="shared" si="2"/>
        <v>0.3120200268871115</v>
      </c>
      <c r="N8" s="40">
        <f>'Canton Parts Department'!N32</f>
        <v>359559.03</v>
      </c>
      <c r="O8" s="41">
        <f t="shared" si="3"/>
        <v>0.3120200268871115</v>
      </c>
    </row>
    <row r="9" spans="1:15" x14ac:dyDescent="0.25">
      <c r="C9" t="s">
        <v>1166</v>
      </c>
      <c r="E9" s="40">
        <f>'Canton Service Department'!G29</f>
        <v>262602.76999999996</v>
      </c>
      <c r="F9" s="41">
        <f t="shared" si="0"/>
        <v>0.18268848919103578</v>
      </c>
      <c r="H9" s="40">
        <f>'Canton Service Department'!J29</f>
        <v>262602.76999999996</v>
      </c>
      <c r="I9" s="41">
        <f t="shared" si="1"/>
        <v>0.18268848919103578</v>
      </c>
      <c r="K9" s="40">
        <f>'Canton Service Department'!M29</f>
        <v>195151.12</v>
      </c>
      <c r="L9" s="41">
        <f t="shared" si="2"/>
        <v>0.16934926570874861</v>
      </c>
      <c r="N9" s="40">
        <f>'Canton Service Department'!P29</f>
        <v>195151.12</v>
      </c>
      <c r="O9" s="41">
        <f t="shared" si="3"/>
        <v>0.16934926570874861</v>
      </c>
    </row>
    <row r="10" spans="1:15" x14ac:dyDescent="0.25">
      <c r="C10" t="s">
        <v>1167</v>
      </c>
      <c r="E10" s="40">
        <f>'Canton Rental Department'!E11</f>
        <v>254808.52</v>
      </c>
      <c r="F10" s="41">
        <f t="shared" si="0"/>
        <v>0.17726615584368677</v>
      </c>
      <c r="H10" s="40">
        <f>'Canton Rental Department'!H11</f>
        <v>254808.52</v>
      </c>
      <c r="I10" s="41">
        <f t="shared" si="1"/>
        <v>0.17726615584368677</v>
      </c>
      <c r="K10" s="40">
        <f>'Canton Rental Department'!K11</f>
        <v>248311.77000000002</v>
      </c>
      <c r="L10" s="41">
        <f t="shared" si="2"/>
        <v>0.21548129427256005</v>
      </c>
      <c r="N10" s="40">
        <f>'Canton Rental Department'!N11</f>
        <v>248311.77000000002</v>
      </c>
      <c r="O10" s="41">
        <f t="shared" si="3"/>
        <v>0.21548129427256005</v>
      </c>
    </row>
    <row r="11" spans="1:15" x14ac:dyDescent="0.25">
      <c r="C11" t="s">
        <v>1168</v>
      </c>
      <c r="E11" s="40">
        <f>'Canton Used Department'!E14</f>
        <v>28739.73</v>
      </c>
      <c r="F11" s="41">
        <f t="shared" si="0"/>
        <v>1.9993764168817745E-2</v>
      </c>
      <c r="H11" s="40">
        <f>'Canton Used Department'!H14</f>
        <v>28739.73</v>
      </c>
      <c r="I11" s="41">
        <f t="shared" si="1"/>
        <v>1.9993764168817745E-2</v>
      </c>
      <c r="K11" s="40">
        <f>'Canton Used Department'!K14</f>
        <v>0</v>
      </c>
      <c r="L11" s="41">
        <f t="shared" si="2"/>
        <v>0</v>
      </c>
      <c r="N11" s="40">
        <f>'Canton Used Department'!N14</f>
        <v>0</v>
      </c>
      <c r="O11" s="41">
        <f t="shared" si="3"/>
        <v>0</v>
      </c>
    </row>
    <row r="12" spans="1:15" x14ac:dyDescent="0.25">
      <c r="C12" t="s">
        <v>1022</v>
      </c>
      <c r="E12" s="40">
        <f>'Administration Department'!E12</f>
        <v>-54.31</v>
      </c>
      <c r="F12" s="41">
        <f t="shared" si="0"/>
        <v>-3.7782586405943679E-5</v>
      </c>
      <c r="H12" s="40">
        <f>'Administration Department'!H12</f>
        <v>-54.31</v>
      </c>
      <c r="I12" s="41">
        <f t="shared" si="1"/>
        <v>-3.7782586405943679E-5</v>
      </c>
      <c r="K12" s="40">
        <f>'Administration Department'!K12</f>
        <v>17171.649999999998</v>
      </c>
      <c r="L12" s="41">
        <f t="shared" si="2"/>
        <v>1.4901304786299115E-2</v>
      </c>
      <c r="N12" s="40">
        <f>'Administration Department'!N12</f>
        <v>17171.649999999998</v>
      </c>
      <c r="O12" s="41">
        <f t="shared" si="3"/>
        <v>1.4901304786299115E-2</v>
      </c>
    </row>
    <row r="13" spans="1:15" x14ac:dyDescent="0.25">
      <c r="C13" s="43" t="s">
        <v>1038</v>
      </c>
      <c r="E13" s="74">
        <f>SUM(E7:E12)</f>
        <v>1437434.68</v>
      </c>
      <c r="F13" s="86">
        <f t="shared" si="0"/>
        <v>1</v>
      </c>
      <c r="H13" s="74">
        <f>SUM(H7:H12)</f>
        <v>1437434.68</v>
      </c>
      <c r="I13" s="86">
        <f t="shared" si="1"/>
        <v>1</v>
      </c>
      <c r="K13" s="74">
        <f>SUM(K7:K12)</f>
        <v>1152358.8199999998</v>
      </c>
      <c r="L13" s="86">
        <f t="shared" si="2"/>
        <v>1</v>
      </c>
      <c r="N13" s="74">
        <f>SUM(N7:N12)</f>
        <v>1152358.8199999998</v>
      </c>
      <c r="O13" s="86">
        <f t="shared" si="3"/>
        <v>1</v>
      </c>
    </row>
    <row r="15" spans="1:15" x14ac:dyDescent="0.25">
      <c r="C15" s="37" t="s">
        <v>1002</v>
      </c>
    </row>
    <row r="16" spans="1:15" x14ac:dyDescent="0.25">
      <c r="C16" t="s">
        <v>1055</v>
      </c>
      <c r="E16" s="40">
        <f>'Canton Sales Department'!E29</f>
        <v>478571.83000000007</v>
      </c>
      <c r="F16" s="41">
        <f t="shared" ref="F16:F23" si="4">IF(E$13,E16/E$13,0)</f>
        <v>0.33293466246410591</v>
      </c>
      <c r="H16" s="40">
        <f>'Canton Sales Department'!H29</f>
        <v>478571.83000000007</v>
      </c>
      <c r="I16" s="41">
        <f t="shared" ref="I16:I21" si="5">IF(H$13,H16/H$13,0)</f>
        <v>0.33293466246410591</v>
      </c>
      <c r="K16" s="40">
        <f>'Canton Sales Department'!K29</f>
        <v>307893.49</v>
      </c>
      <c r="L16" s="41">
        <f t="shared" ref="L16:L21" si="6">IF(K$13,K16/K$13,0)</f>
        <v>0.26718543274567902</v>
      </c>
      <c r="N16" s="40">
        <f>'Canton Sales Department'!N29</f>
        <v>307893.49</v>
      </c>
      <c r="O16" s="41">
        <f t="shared" ref="O16:O21" si="7">IF(N$13,N16/N$13,0)</f>
        <v>0.26718543274567902</v>
      </c>
    </row>
    <row r="17" spans="3:15" x14ac:dyDescent="0.25">
      <c r="C17" t="s">
        <v>1165</v>
      </c>
      <c r="E17" s="40">
        <f>'Canton Parts Department'!E55</f>
        <v>227645.63999999996</v>
      </c>
      <c r="F17" s="41">
        <f t="shared" si="4"/>
        <v>0.15836938065248291</v>
      </c>
      <c r="H17" s="40">
        <f>'Canton Parts Department'!H55</f>
        <v>227645.63999999996</v>
      </c>
      <c r="I17" s="41">
        <f t="shared" si="5"/>
        <v>0.15836938065248291</v>
      </c>
      <c r="K17" s="40">
        <f>'Canton Parts Department'!K55</f>
        <v>238562.87</v>
      </c>
      <c r="L17" s="41">
        <f t="shared" si="6"/>
        <v>0.20702134253634646</v>
      </c>
      <c r="N17" s="40">
        <f>'Canton Parts Department'!N55</f>
        <v>238562.87</v>
      </c>
      <c r="O17" s="41">
        <f t="shared" si="7"/>
        <v>0.20702134253634646</v>
      </c>
    </row>
    <row r="18" spans="3:15" x14ac:dyDescent="0.25">
      <c r="C18" t="s">
        <v>1166</v>
      </c>
      <c r="E18" s="40">
        <f>'Canton Service Department'!G48</f>
        <v>75002.870000000024</v>
      </c>
      <c r="F18" s="41">
        <f t="shared" si="4"/>
        <v>5.2178280546285434E-2</v>
      </c>
      <c r="H18" s="40">
        <f>'Canton Service Department'!J48</f>
        <v>75002.870000000024</v>
      </c>
      <c r="I18" s="41">
        <f t="shared" si="5"/>
        <v>5.2178280546285434E-2</v>
      </c>
      <c r="K18" s="40">
        <f>'Canton Service Department'!M48</f>
        <v>173013.95</v>
      </c>
      <c r="L18" s="41">
        <f t="shared" si="6"/>
        <v>0.15013895585057443</v>
      </c>
      <c r="N18" s="40">
        <f>'Canton Service Department'!P48</f>
        <v>173013.95</v>
      </c>
      <c r="O18" s="41">
        <f t="shared" si="7"/>
        <v>0.15013895585057443</v>
      </c>
    </row>
    <row r="19" spans="3:15" x14ac:dyDescent="0.25">
      <c r="C19" t="s">
        <v>1167</v>
      </c>
      <c r="E19" s="40">
        <f>'Canton Rental Department'!E20</f>
        <v>82096.66</v>
      </c>
      <c r="F19" s="41">
        <f t="shared" si="4"/>
        <v>5.7113315229044011E-2</v>
      </c>
      <c r="H19" s="40">
        <f>'Canton Rental Department'!H20</f>
        <v>82096.66</v>
      </c>
      <c r="I19" s="41">
        <f t="shared" si="5"/>
        <v>5.7113315229044011E-2</v>
      </c>
      <c r="K19" s="40">
        <f>'Canton Rental Department'!K20</f>
        <v>65581.25</v>
      </c>
      <c r="L19" s="41">
        <f t="shared" si="6"/>
        <v>5.6910442183277607E-2</v>
      </c>
      <c r="N19" s="40">
        <f>'Canton Rental Department'!N20</f>
        <v>65581.25</v>
      </c>
      <c r="O19" s="41">
        <f t="shared" si="7"/>
        <v>5.6910442183277607E-2</v>
      </c>
    </row>
    <row r="20" spans="3:15" x14ac:dyDescent="0.25">
      <c r="C20" t="s">
        <v>1168</v>
      </c>
      <c r="E20" s="40">
        <f>'Canton Used Department'!E27</f>
        <v>32449.449999999997</v>
      </c>
      <c r="F20" s="41">
        <f t="shared" si="4"/>
        <v>2.2574556222617365E-2</v>
      </c>
      <c r="H20" s="40">
        <f>'Canton Used Department'!H27</f>
        <v>32449.449999999997</v>
      </c>
      <c r="I20" s="41">
        <f t="shared" si="5"/>
        <v>2.2574556222617365E-2</v>
      </c>
      <c r="K20" s="40">
        <f>'Canton Used Department'!K27</f>
        <v>3418.2</v>
      </c>
      <c r="L20" s="41">
        <f t="shared" si="6"/>
        <v>2.9662635809912059E-3</v>
      </c>
      <c r="N20" s="40">
        <f>'Canton Used Department'!N27</f>
        <v>3418.2</v>
      </c>
      <c r="O20" s="41">
        <f t="shared" si="7"/>
        <v>2.9662635809912059E-3</v>
      </c>
    </row>
    <row r="21" spans="3:15" x14ac:dyDescent="0.25">
      <c r="C21" s="43" t="s">
        <v>1033</v>
      </c>
      <c r="E21" s="74">
        <f>SUM(E16:E20)</f>
        <v>895766.45</v>
      </c>
      <c r="F21" s="86">
        <f t="shared" si="4"/>
        <v>0.62317019511453553</v>
      </c>
      <c r="H21" s="74">
        <f>SUM(H16:H20)</f>
        <v>895766.45</v>
      </c>
      <c r="I21" s="86">
        <f t="shared" si="5"/>
        <v>0.62317019511453553</v>
      </c>
      <c r="K21" s="74">
        <f>SUM(K16:K20)</f>
        <v>788469.76000000001</v>
      </c>
      <c r="L21" s="86">
        <f t="shared" si="6"/>
        <v>0.68422243689686879</v>
      </c>
      <c r="N21" s="74">
        <f>SUM(N16:N20)</f>
        <v>788469.76000000001</v>
      </c>
      <c r="O21" s="86">
        <f t="shared" si="7"/>
        <v>0.68422243689686879</v>
      </c>
    </row>
    <row r="23" spans="3:15" x14ac:dyDescent="0.25">
      <c r="C23" s="43" t="s">
        <v>1034</v>
      </c>
      <c r="E23" s="40">
        <f>E13-E21</f>
        <v>541668.23</v>
      </c>
      <c r="F23" s="41">
        <f t="shared" si="4"/>
        <v>0.37682980488546441</v>
      </c>
      <c r="H23" s="40">
        <f>H13-H21</f>
        <v>541668.23</v>
      </c>
      <c r="I23" s="41">
        <f t="shared" ref="I23" si="8">IF(H$13,H23/H$13,0)</f>
        <v>0.37682980488546441</v>
      </c>
      <c r="K23" s="40">
        <f>K13-K21</f>
        <v>363889.05999999982</v>
      </c>
      <c r="L23" s="41">
        <f t="shared" ref="L23" si="9">IF(K$13,K23/K$13,0)</f>
        <v>0.31577756310313126</v>
      </c>
      <c r="N23" s="40">
        <f>N13-N21</f>
        <v>363889.05999999982</v>
      </c>
      <c r="O23" s="41">
        <f t="shared" ref="O23" si="10">IF(N$13,N23/N$13,0)</f>
        <v>0.31577756310313126</v>
      </c>
    </row>
    <row r="25" spans="3:15" x14ac:dyDescent="0.25">
      <c r="C25" s="64" t="s">
        <v>1006</v>
      </c>
    </row>
    <row r="26" spans="3:15" x14ac:dyDescent="0.25">
      <c r="C26" t="s">
        <v>1055</v>
      </c>
      <c r="E26" s="40">
        <f>'Canton Sales Department'!E56</f>
        <v>71330.27</v>
      </c>
      <c r="F26" s="41">
        <f t="shared" ref="F26:F35" si="11">IF(E$13,E26/E$13,0)</f>
        <v>4.9623312274614112E-2</v>
      </c>
      <c r="H26" s="40">
        <f>'Canton Sales Department'!H56</f>
        <v>71330.27</v>
      </c>
      <c r="I26" s="41">
        <f t="shared" ref="I26:I31" si="12">IF(H$13,H26/H$13,0)</f>
        <v>4.9623312274614112E-2</v>
      </c>
      <c r="K26" s="40">
        <f>'Canton Sales Department'!K56</f>
        <v>91058.91</v>
      </c>
      <c r="L26" s="41">
        <f t="shared" ref="L26:L31" si="13">IF(K$13,K26/K$13,0)</f>
        <v>7.9019580029768874E-2</v>
      </c>
      <c r="N26" s="40">
        <f>'Canton Sales Department'!N56</f>
        <v>91058.91</v>
      </c>
      <c r="O26" s="41">
        <f t="shared" ref="O26:O31" si="14">IF(N$13,N26/N$13,0)</f>
        <v>7.9019580029768874E-2</v>
      </c>
    </row>
    <row r="27" spans="3:15" x14ac:dyDescent="0.25">
      <c r="C27" t="s">
        <v>1165</v>
      </c>
      <c r="E27" s="40">
        <f>'Canton Parts Department'!E80</f>
        <v>52798.530000000006</v>
      </c>
      <c r="F27" s="41">
        <f t="shared" si="11"/>
        <v>3.6731081234244331E-2</v>
      </c>
      <c r="H27" s="40">
        <f>'Canton Parts Department'!H80</f>
        <v>52798.530000000006</v>
      </c>
      <c r="I27" s="41">
        <f t="shared" si="12"/>
        <v>3.6731081234244331E-2</v>
      </c>
      <c r="K27" s="40">
        <f>'Canton Parts Department'!K80</f>
        <v>47104.210000000006</v>
      </c>
      <c r="L27" s="41">
        <f t="shared" si="13"/>
        <v>4.0876339194418639E-2</v>
      </c>
      <c r="N27" s="40">
        <f>'Canton Parts Department'!N80</f>
        <v>47104.210000000006</v>
      </c>
      <c r="O27" s="41">
        <f t="shared" si="14"/>
        <v>4.0876339194418639E-2</v>
      </c>
    </row>
    <row r="28" spans="3:15" x14ac:dyDescent="0.25">
      <c r="C28" t="s">
        <v>1166</v>
      </c>
      <c r="E28" s="40">
        <f>'Canton Service Department'!G76</f>
        <v>118327.92999999996</v>
      </c>
      <c r="F28" s="41">
        <f t="shared" si="11"/>
        <v>8.2318822306416017E-2</v>
      </c>
      <c r="H28" s="40">
        <f>'Canton Service Department'!J76</f>
        <v>118327.92999999996</v>
      </c>
      <c r="I28" s="41">
        <f t="shared" si="12"/>
        <v>8.2318822306416017E-2</v>
      </c>
      <c r="K28" s="40">
        <f>'Canton Service Department'!M76</f>
        <v>129197.15000000002</v>
      </c>
      <c r="L28" s="41">
        <f t="shared" si="13"/>
        <v>0.11211538260279037</v>
      </c>
      <c r="N28" s="40">
        <f>'Canton Service Department'!P76</f>
        <v>129197.15000000002</v>
      </c>
      <c r="O28" s="41">
        <f t="shared" si="14"/>
        <v>0.11211538260279037</v>
      </c>
    </row>
    <row r="29" spans="3:15" x14ac:dyDescent="0.25">
      <c r="C29" t="s">
        <v>1167</v>
      </c>
      <c r="E29" s="40">
        <f>'Canton Rental Department'!E35</f>
        <v>7639.73</v>
      </c>
      <c r="F29" s="41">
        <f t="shared" si="11"/>
        <v>5.3148362887696574E-3</v>
      </c>
      <c r="H29" s="40">
        <f>'Canton Rental Department'!H35</f>
        <v>7639.73</v>
      </c>
      <c r="I29" s="41">
        <f t="shared" si="12"/>
        <v>5.3148362887696574E-3</v>
      </c>
      <c r="K29" s="40">
        <f>'Canton Rental Department'!K35</f>
        <v>3630.02</v>
      </c>
      <c r="L29" s="41">
        <f t="shared" si="13"/>
        <v>3.15007785509031E-3</v>
      </c>
      <c r="N29" s="40">
        <f>'Canton Rental Department'!N35</f>
        <v>3630.02</v>
      </c>
      <c r="O29" s="41">
        <f t="shared" si="14"/>
        <v>3.15007785509031E-3</v>
      </c>
    </row>
    <row r="30" spans="3:15" x14ac:dyDescent="0.25">
      <c r="C30" t="s">
        <v>1168</v>
      </c>
      <c r="E30" s="40">
        <f>'Canton Used Department'!E45</f>
        <v>3001.11</v>
      </c>
      <c r="F30" s="41">
        <f t="shared" si="11"/>
        <v>2.0878235663550292E-3</v>
      </c>
      <c r="H30" s="40">
        <f>'Canton Used Department'!H45</f>
        <v>3001.11</v>
      </c>
      <c r="I30" s="41">
        <f t="shared" si="12"/>
        <v>2.0878235663550292E-3</v>
      </c>
      <c r="K30" s="40">
        <f>'Canton Used Department'!K45</f>
        <v>-11606.289999999999</v>
      </c>
      <c r="L30" s="41">
        <f t="shared" si="13"/>
        <v>-1.0071767403142712E-2</v>
      </c>
      <c r="N30" s="40">
        <f>'Canton Used Department'!N45</f>
        <v>-11606.289999999999</v>
      </c>
      <c r="O30" s="41">
        <f t="shared" si="14"/>
        <v>-1.0071767403142712E-2</v>
      </c>
    </row>
    <row r="31" spans="3:15" x14ac:dyDescent="0.25">
      <c r="C31" s="43" t="s">
        <v>1003</v>
      </c>
      <c r="E31" s="74">
        <f>SUM(E26:E30)</f>
        <v>253097.56999999998</v>
      </c>
      <c r="F31" s="86">
        <f t="shared" si="11"/>
        <v>0.17607587567039915</v>
      </c>
      <c r="H31" s="74">
        <f>SUM(H26:H30)</f>
        <v>253097.56999999998</v>
      </c>
      <c r="I31" s="86">
        <f t="shared" si="12"/>
        <v>0.17607587567039915</v>
      </c>
      <c r="K31" s="74">
        <f>SUM(K26:K30)</f>
        <v>259384.00000000003</v>
      </c>
      <c r="L31" s="86">
        <f t="shared" si="13"/>
        <v>0.22508961227892546</v>
      </c>
      <c r="N31" s="74">
        <f>SUM(N26:N30)</f>
        <v>259384.00000000003</v>
      </c>
      <c r="O31" s="86">
        <f t="shared" si="14"/>
        <v>0.22508961227892546</v>
      </c>
    </row>
    <row r="32" spans="3:15" x14ac:dyDescent="0.25">
      <c r="C32" s="43"/>
      <c r="E32" s="40"/>
      <c r="F32" s="41"/>
      <c r="H32" s="40"/>
      <c r="I32" s="41"/>
      <c r="K32" s="40"/>
      <c r="L32" s="41"/>
      <c r="N32" s="40"/>
      <c r="O32" s="41"/>
    </row>
    <row r="33" spans="3:15" ht="15.75" thickBot="1" x14ac:dyDescent="0.3">
      <c r="C33" t="s">
        <v>1022</v>
      </c>
      <c r="E33" s="40">
        <f>'Administration Department'!E47</f>
        <v>141723.25</v>
      </c>
      <c r="F33" s="41">
        <f>IF(E$13,E33/E$13,0)</f>
        <v>9.8594567093650484E-2</v>
      </c>
      <c r="H33" s="40">
        <f>'Administration Department'!H47</f>
        <v>141723.25</v>
      </c>
      <c r="I33" s="41">
        <f>IF(H$13,H33/H$13,0)</f>
        <v>9.8594567093650484E-2</v>
      </c>
      <c r="K33" s="40">
        <f>'Administration Department'!K47</f>
        <v>110446.34</v>
      </c>
      <c r="L33" s="41">
        <f>IF(K$13,K33/K$13,0)</f>
        <v>9.584370604287995E-2</v>
      </c>
      <c r="N33" s="40">
        <f>'Administration Department'!N47</f>
        <v>110446.34</v>
      </c>
      <c r="O33" s="41">
        <f>IF(N$13,N33/N$13,0)</f>
        <v>9.584370604287995E-2</v>
      </c>
    </row>
    <row r="34" spans="3:15" ht="15.75" thickTop="1" x14ac:dyDescent="0.25">
      <c r="E34" s="100"/>
      <c r="F34" s="97"/>
      <c r="H34" s="100"/>
      <c r="I34" s="97"/>
      <c r="K34" s="100"/>
      <c r="L34" s="97"/>
      <c r="N34" s="100"/>
      <c r="O34" s="97"/>
    </row>
    <row r="35" spans="3:15" x14ac:dyDescent="0.25">
      <c r="C35" s="43" t="s">
        <v>1024</v>
      </c>
      <c r="E35" s="40">
        <f>E23-(E31+E33)</f>
        <v>146847.41000000003</v>
      </c>
      <c r="F35" s="41">
        <f t="shared" si="11"/>
        <v>0.10215936212141483</v>
      </c>
      <c r="H35" s="40">
        <f>H23-(H31+H33)</f>
        <v>146847.41000000003</v>
      </c>
      <c r="I35" s="41">
        <f t="shared" ref="I35" si="15">IF(H$13,H35/H$13,0)</f>
        <v>0.10215936212141483</v>
      </c>
      <c r="K35" s="40">
        <f>K23-(K31+K33)</f>
        <v>-5941.2800000002026</v>
      </c>
      <c r="L35" s="41">
        <f t="shared" ref="L35" si="16">IF(K$13,K35/K$13,0)</f>
        <v>-5.1557552186741653E-3</v>
      </c>
      <c r="N35" s="40">
        <f>N23-(N31+N33)</f>
        <v>-5941.2800000002026</v>
      </c>
      <c r="O35" s="41">
        <f t="shared" ref="O35" si="17">IF(N$13,N35/N$13,0)</f>
        <v>-5.1557552186741653E-3</v>
      </c>
    </row>
    <row r="37" spans="3:15" x14ac:dyDescent="0.25">
      <c r="C37" t="s">
        <v>1520</v>
      </c>
    </row>
    <row r="38" spans="3:15" x14ac:dyDescent="0.25">
      <c r="C38" t="s">
        <v>1521</v>
      </c>
      <c r="E38" s="40">
        <f>E35-'Combined Detail P and L'!N641</f>
        <v>-227175.62999999989</v>
      </c>
      <c r="H38" s="40">
        <f>H35-'Combined Detail P and L'!H641</f>
        <v>-227175.62999999989</v>
      </c>
      <c r="K38" s="40">
        <f>K35-'Combined Detail P and L'!K641</f>
        <v>-217497.81999999954</v>
      </c>
      <c r="N38" s="40">
        <f>N35-'Combined Detail P and L'!E641</f>
        <v>-217497.81999999954</v>
      </c>
    </row>
  </sheetData>
  <mergeCells count="3">
    <mergeCell ref="A1:O1"/>
    <mergeCell ref="A2:O2"/>
    <mergeCell ref="A3:O3"/>
  </mergeCells>
  <pageMargins left="0.7" right="0.7" top="0.75" bottom="0.75" header="0.3" footer="0.3"/>
  <pageSetup scale="5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6DC35A-AB17-4F3C-850C-2CD75E7DEB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17</vt:i4>
      </vt:variant>
    </vt:vector>
  </HeadingPairs>
  <TitlesOfParts>
    <vt:vector size="40" baseType="lpstr">
      <vt:lpstr>TB</vt:lpstr>
      <vt:lpstr>Balance Sheet</vt:lpstr>
      <vt:lpstr>Trial Balance</vt:lpstr>
      <vt:lpstr>Combined Detail P and L</vt:lpstr>
      <vt:lpstr>Consolidated Expense Statement</vt:lpstr>
      <vt:lpstr>Consolitated Income Statement</vt:lpstr>
      <vt:lpstr>Dynamic Storage Solutions</vt:lpstr>
      <vt:lpstr>C H Steel Solutions</vt:lpstr>
      <vt:lpstr>AMI Sales Department</vt:lpstr>
      <vt:lpstr>Canton Sales Department</vt:lpstr>
      <vt:lpstr>Canton Parts Department</vt:lpstr>
      <vt:lpstr>Canton Service Department</vt:lpstr>
      <vt:lpstr>Canton Rental Department</vt:lpstr>
      <vt:lpstr>Canton Used Department</vt:lpstr>
      <vt:lpstr>Administration Department</vt:lpstr>
      <vt:lpstr>Cleveland Sales Department</vt:lpstr>
      <vt:lpstr>Cleveland Parts Department</vt:lpstr>
      <vt:lpstr>Cleveland Service Department</vt:lpstr>
      <vt:lpstr>Cleveland Rental Department</vt:lpstr>
      <vt:lpstr>Cleveland Used Department</vt:lpstr>
      <vt:lpstr>CLE-Consolitated Income Stateme</vt:lpstr>
      <vt:lpstr>Cons. Inc. Stmt. - All Branches</vt:lpstr>
      <vt:lpstr>3M Meeting Income Statement</vt:lpstr>
      <vt:lpstr>'Administration Department'!Print_Area</vt:lpstr>
      <vt:lpstr>'AMI Sales Department'!Print_Area</vt:lpstr>
      <vt:lpstr>'Balance Sheet'!Print_Area</vt:lpstr>
      <vt:lpstr>'C H Steel Solutions'!Print_Area</vt:lpstr>
      <vt:lpstr>'Canton Parts Department'!Print_Area</vt:lpstr>
      <vt:lpstr>'Canton Rental Department'!Print_Area</vt:lpstr>
      <vt:lpstr>'Canton Sales Department'!Print_Area</vt:lpstr>
      <vt:lpstr>'Canton Service Department'!Print_Area</vt:lpstr>
      <vt:lpstr>'Canton Used Department'!Print_Area</vt:lpstr>
      <vt:lpstr>'Cleveland Parts Department'!Print_Area</vt:lpstr>
      <vt:lpstr>'Cleveland Rental Department'!Print_Area</vt:lpstr>
      <vt:lpstr>'Cleveland Sales Department'!Print_Area</vt:lpstr>
      <vt:lpstr>'Cleveland Service Department'!Print_Area</vt:lpstr>
      <vt:lpstr>'Cleveland Used Department'!Print_Area</vt:lpstr>
      <vt:lpstr>'Combined Detail P and L'!Print_Area</vt:lpstr>
      <vt:lpstr>'Consolidated Expense Statement'!Print_Area</vt:lpstr>
      <vt:lpstr>'Dynamic Storage Solutions'!Print_Area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Softbase Development</dc:creator>
  <cp:lastModifiedBy>Amie Baringer</cp:lastModifiedBy>
  <cp:lastPrinted>2026-01-28T15:42:06Z</cp:lastPrinted>
  <dcterms:created xsi:type="dcterms:W3CDTF">2020-02-04T19:31:33Z</dcterms:created>
  <dcterms:modified xsi:type="dcterms:W3CDTF">2026-02-10T17:34:11Z</dcterms:modified>
</cp:coreProperties>
</file>