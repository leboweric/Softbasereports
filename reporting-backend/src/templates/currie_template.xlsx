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4260" yWindow="2740" windowWidth="29280" windowHeight="15620" tabRatio="869" firstSheet="2" activeTab="2" autoFilterDateGrouping="1"/>
  </bookViews>
  <sheets>
    <sheet xmlns:r="http://schemas.openxmlformats.org/officeDocument/2006/relationships" name="INSTRUCTIONS" sheetId="1" state="visible" r:id="rId1"/>
    <sheet xmlns:r="http://schemas.openxmlformats.org/officeDocument/2006/relationships" name="NOTES FOR CURRIE" sheetId="2" state="visible" r:id="rId2"/>
    <sheet xmlns:r="http://schemas.openxmlformats.org/officeDocument/2006/relationships" name="Sales, COGS, GP" sheetId="3" state="visible" r:id="rId3"/>
    <sheet xmlns:r="http://schemas.openxmlformats.org/officeDocument/2006/relationships" name="Expenses, Miscellaneous" sheetId="4" state="visible" r:id="rId4"/>
    <sheet xmlns:r="http://schemas.openxmlformats.org/officeDocument/2006/relationships" name="Balance Sheet" sheetId="5" state="visible" r:id="rId5"/>
    <sheet xmlns:r="http://schemas.openxmlformats.org/officeDocument/2006/relationships" name="Gap Analysis" sheetId="6" state="visible" r:id="rId6"/>
    <sheet xmlns:r="http://schemas.openxmlformats.org/officeDocument/2006/relationships" name="Composite Preview" sheetId="7" state="visible" r:id="rId7"/>
    <sheet xmlns:r="http://schemas.openxmlformats.org/officeDocument/2006/relationships" name="MODELS" sheetId="8" state="visible" r:id="rId8"/>
    <sheet xmlns:r="http://schemas.openxmlformats.org/officeDocument/2006/relationships" name="NumberOfMonths" sheetId="9" state="hidden" r:id="rId9"/>
  </sheets>
  <externalReferences>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s>
  <definedNames>
    <definedName name="_new1">#REF!</definedName>
    <definedName name="Fax_Page">#REF!</definedName>
    <definedName name="GapCover">#REF!</definedName>
    <definedName name="Months">#REF!</definedName>
    <definedName name="Number_of_Months_Included">'Sales, COGS, GP'!$B$7</definedName>
    <definedName name="NumberofMonths">'[3]Sales, COGS, GP'!$F$5:$F$16</definedName>
    <definedName name="NumberofMonthsReported">#REF!</definedName>
    <definedName name="NumberofMonthsReporting">'[1]Sales, COGS, GP'!$F$5:$F$16</definedName>
    <definedName name="QComp">#REF!</definedName>
    <definedName name="TComp">#REF!</definedName>
    <definedName name="TechBenefits">#REF!</definedName>
    <definedName name="_xlnm.Print_Area" localSheetId="0">'INSTRUCTIONS'!$A$1:$I$197</definedName>
    <definedName name="Months" localSheetId="1">[2]Preview!#REF!</definedName>
    <definedName name="TechBenefits" localSheetId="1">[2]Preview!#REF!</definedName>
    <definedName name="_xlnm.Print_Area" localSheetId="2">'Sales, COGS, GP'!$A$1:$D$47</definedName>
    <definedName name="_xlnm.Print_Area" localSheetId="4">'Balance Sheet'!$A$1:$E$30</definedName>
    <definedName name="Months" localSheetId="6">'Composite Preview'!#REF!</definedName>
    <definedName name="TechBenefits" localSheetId="6">'Composite Preview'!#REF!</definedName>
    <definedName name="_xlnm.Print_Area" localSheetId="6">'Composite Preview'!$A$1:$K$138</definedName>
    <definedName name="Months" localSheetId="7">'[1]Composite Preview'!#REF!</definedName>
    <definedName name="Number_of_Months_Included" localSheetId="7">'[1]Sales, COGS, GP'!$B$7</definedName>
    <definedName name="TechBenefits" localSheetId="7">'[1]Composite Preview'!#REF!</definedName>
  </definedNames>
  <calcPr calcId="191028" fullCalcOnLoad="1"/>
</workbook>
</file>

<file path=xl/styles.xml><?xml version="1.0" encoding="utf-8"?>
<styleSheet xmlns="http://schemas.openxmlformats.org/spreadsheetml/2006/main">
  <numFmts count="15">
    <numFmt numFmtId="164" formatCode="&quot;$&quot;#,##0"/>
    <numFmt numFmtId="165" formatCode="_(&quot;$&quot;* #,##0_);_(&quot;$&quot;* \(#,##0\);_(&quot;$&quot;* &quot;-&quot;??_);_(@_)"/>
    <numFmt numFmtId="166" formatCode="&quot;$&quot;#,##0_);\(&quot;$&quot;#,##0\)"/>
    <numFmt numFmtId="167" formatCode="_(&quot;$&quot;* #,##0.00_);_(&quot;$&quot;* \(#,##0.00\);_(&quot;$&quot;* &quot;-&quot;??_);_(@_)"/>
    <numFmt numFmtId="168" formatCode="&quot;$&quot;#,##0_);[Red]\(&quot;$&quot;#,##0\)"/>
    <numFmt numFmtId="169" formatCode="#,##0.0_);[Red]\(#,##0.0\)"/>
    <numFmt numFmtId="170" formatCode="0.0%"/>
    <numFmt numFmtId="171" formatCode="&quot;$&quot;#,##0\ ;\(&quot;$&quot;#,##0\)"/>
    <numFmt numFmtId="172" formatCode="0.0"/>
    <numFmt numFmtId="173" formatCode="#,##0.0_);\(#,##0.0\)"/>
    <numFmt numFmtId="174" formatCode="&quot;$&quot;#,##0.00_);\(&quot;$&quot;#,##0.00\)"/>
    <numFmt numFmtId="175" formatCode="0.0\ &quot;:1&quot;"/>
    <numFmt numFmtId="176" formatCode="&quot;$&quot;#,##0.00"/>
    <numFmt numFmtId="177" formatCode="&quot;$&quot;#,##0.00_);[Red]\(&quot;$&quot;#,##0.00\)"/>
    <numFmt numFmtId="178" formatCode="_(* #,##0_);_(* \(#,##0\);_(* &quot;-&quot;??_);_(@_)"/>
  </numFmts>
  <fonts count="69">
    <font>
      <name val="Calibri"/>
      <family val="2"/>
      <color theme="1"/>
      <sz val="11"/>
      <scheme val="minor"/>
    </font>
    <font>
      <name val="Calibri"/>
      <family val="2"/>
      <color theme="1"/>
      <sz val="11"/>
      <scheme val="minor"/>
    </font>
    <font>
      <name val="Arial"/>
      <family val="2"/>
      <sz val="12"/>
    </font>
    <font>
      <name val="Arial"/>
      <family val="2"/>
      <color indexed="12"/>
      <sz val="10"/>
      <u val="single"/>
    </font>
    <font>
      <name val="Arial"/>
      <family val="2"/>
      <b val="1"/>
      <sz val="12"/>
    </font>
    <font>
      <name val="Arial"/>
      <family val="2"/>
      <i val="1"/>
      <sz val="12"/>
    </font>
    <font>
      <name val="Arial"/>
      <family val="2"/>
      <sz val="10"/>
    </font>
    <font>
      <name val="Arial"/>
      <family val="2"/>
      <b val="1"/>
      <sz val="10"/>
    </font>
    <font>
      <name val="Arial"/>
      <family val="2"/>
      <color indexed="57"/>
      <sz val="12"/>
    </font>
    <font>
      <name val="Arial"/>
      <family val="2"/>
      <color indexed="8"/>
      <sz val="12"/>
    </font>
    <font>
      <name val="Arial"/>
      <family val="2"/>
      <b val="1"/>
      <i val="1"/>
      <sz val="10"/>
    </font>
    <font>
      <name val="Arial"/>
      <family val="2"/>
      <b val="1"/>
      <sz val="14"/>
    </font>
    <font>
      <name val="Arial"/>
      <family val="2"/>
      <color indexed="12"/>
      <sz val="10"/>
    </font>
    <font>
      <name val="Arial"/>
      <family val="2"/>
      <color indexed="9"/>
      <sz val="10"/>
    </font>
    <font>
      <name val="Arial"/>
      <family val="2"/>
      <sz val="8"/>
    </font>
    <font>
      <name val="BergamoSmCaps"/>
      <b val="1"/>
      <color indexed="56"/>
      <sz val="14"/>
    </font>
    <font>
      <name val="Times New Roman"/>
      <family val="1"/>
      <b val="1"/>
      <i val="1"/>
      <color rgb="FFC00000"/>
      <sz val="14"/>
    </font>
    <font>
      <name val="Times New Roman"/>
      <family val="1"/>
      <color theme="1"/>
      <sz val="12"/>
    </font>
    <font>
      <name val="Times New Roman"/>
      <family val="1"/>
      <b val="1"/>
      <i val="1"/>
      <color theme="1"/>
      <sz val="11"/>
    </font>
    <font>
      <name val="Times New Roman"/>
      <family val="1"/>
      <b val="1"/>
      <color theme="1"/>
      <sz val="12"/>
    </font>
    <font>
      <name val="Times New Roman"/>
      <family val="1"/>
      <color theme="1"/>
      <sz val="11"/>
    </font>
    <font>
      <name val="Times New Roman"/>
      <family val="1"/>
      <b val="1"/>
      <color rgb="FFFF0000"/>
      <sz val="12"/>
    </font>
    <font>
      <name val="Times New Roman"/>
      <family val="1"/>
      <sz val="12"/>
    </font>
    <font>
      <name val="Times New Roman"/>
      <family val="1"/>
      <color indexed="48"/>
      <sz val="12"/>
      <u val="single"/>
    </font>
    <font>
      <name val="Times New Roman"/>
      <family val="1"/>
      <b val="1"/>
      <sz val="12"/>
    </font>
    <font>
      <name val="Times New Roman"/>
      <family val="1"/>
      <i val="1"/>
      <sz val="12"/>
    </font>
    <font>
      <name val="Times New Roman"/>
      <family val="1"/>
      <b val="1"/>
      <color indexed="30"/>
      <sz val="12"/>
    </font>
    <font>
      <name val="Times New Roman"/>
      <family val="1"/>
      <b val="1"/>
      <color indexed="9"/>
      <sz val="12"/>
    </font>
    <font>
      <name val="Times New Roman"/>
      <family val="1"/>
      <color indexed="57"/>
      <sz val="12"/>
    </font>
    <font>
      <name val="Times New Roman"/>
      <family val="1"/>
      <sz val="12"/>
      <u val="single"/>
    </font>
    <font>
      <name val="Times New Roman"/>
      <family val="1"/>
      <color indexed="10"/>
      <sz val="12"/>
    </font>
    <font>
      <name val="Times New Roman"/>
      <family val="1"/>
      <color indexed="57"/>
      <sz val="8"/>
    </font>
    <font>
      <name val="Times New Roman"/>
      <family val="1"/>
      <b val="1"/>
      <i val="1"/>
      <sz val="12"/>
    </font>
    <font>
      <name val="Arial"/>
      <family val="2"/>
      <color indexed="60"/>
      <sz val="12"/>
    </font>
    <font>
      <name val="Arial"/>
      <family val="2"/>
      <b val="1"/>
      <color indexed="57"/>
      <sz val="12"/>
    </font>
    <font>
      <name val="Arial"/>
      <family val="2"/>
      <b val="1"/>
      <color theme="0"/>
      <sz val="10"/>
    </font>
    <font>
      <name val="Arial"/>
      <family val="2"/>
      <color theme="0"/>
      <sz val="10"/>
    </font>
    <font>
      <name val="Times New Roman"/>
      <family val="1"/>
      <color rgb="FFFF0000"/>
      <sz val="12"/>
    </font>
    <font>
      <name val="Calibri"/>
      <family val="2"/>
      <color rgb="FF002060"/>
      <sz val="11"/>
      <scheme val="minor"/>
    </font>
    <font>
      <name val="BergamoSmCaps"/>
      <b val="1"/>
      <color rgb="FF002060"/>
      <sz val="10"/>
    </font>
    <font>
      <name val="Times New Roman"/>
      <family val="1"/>
      <i val="1"/>
      <color rgb="FFFF0000"/>
      <sz val="12"/>
    </font>
    <font>
      <name val="Times New Roman"/>
      <family val="1"/>
      <b val="1"/>
      <sz val="14"/>
      <u val="single"/>
    </font>
    <font>
      <name val="Times New Roman"/>
      <family val="1"/>
      <color theme="1"/>
      <sz val="8"/>
    </font>
    <font>
      <name val="Calibri"/>
      <family val="2"/>
      <b val="1"/>
      <i val="1"/>
      <color rgb="FF002060"/>
      <sz val="16"/>
      <scheme val="minor"/>
    </font>
    <font>
      <name val="Times New Roman"/>
      <family val="1"/>
      <b val="1"/>
      <color theme="0"/>
      <sz val="12"/>
    </font>
    <font>
      <name val="Times New Roman"/>
      <family val="1"/>
      <color theme="1"/>
      <sz val="20"/>
    </font>
    <font>
      <name val="Times New Roman"/>
      <family val="1"/>
      <b val="1"/>
      <i val="1"/>
      <color rgb="FFFF0000"/>
      <sz val="12"/>
    </font>
    <font>
      <name val="Tahoma"/>
      <family val="2"/>
      <color indexed="81"/>
      <sz val="9"/>
    </font>
    <font>
      <name val="Tahoma"/>
      <family val="2"/>
      <b val="1"/>
      <color indexed="81"/>
      <sz val="9"/>
    </font>
    <font>
      <name val="Times New Roman"/>
      <family val="1"/>
      <b val="1"/>
      <sz val="10"/>
    </font>
    <font>
      <name val="Times New Roman"/>
      <family val="1"/>
      <sz val="16"/>
    </font>
    <font>
      <name val="Arial"/>
      <family val="2"/>
      <b val="1"/>
      <color theme="0"/>
      <sz val="12"/>
    </font>
    <font>
      <name val="Arial"/>
      <family val="2"/>
      <color theme="0"/>
      <sz val="12"/>
    </font>
    <font>
      <name val="Arial"/>
      <family val="2"/>
      <sz val="12"/>
    </font>
    <font>
      <name val="Arial"/>
      <family val="2"/>
      <b val="1"/>
      <color theme="0"/>
      <sz val="12"/>
    </font>
    <font>
      <name val="Arial"/>
      <family val="2"/>
      <b val="1"/>
      <sz val="12"/>
    </font>
    <font>
      <name val="Arial"/>
      <family val="2"/>
      <color rgb="FF000000"/>
      <sz val="12"/>
    </font>
    <font>
      <name val="Times New Roman"/>
      <family val="1"/>
      <b val="1"/>
      <color rgb="FF0066CC"/>
      <sz val="12"/>
    </font>
    <font>
      <name val="Times New Roman"/>
      <family val="1"/>
      <i val="1"/>
      <color theme="1"/>
      <sz val="12"/>
    </font>
    <font>
      <name val="Calibri"/>
      <family val="2"/>
      <i val="1"/>
      <color theme="1"/>
      <sz val="11"/>
      <scheme val="minor"/>
    </font>
    <font>
      <name val="Times New Roman"/>
      <family val="1"/>
      <i val="1"/>
      <sz val="11"/>
    </font>
    <font>
      <name val="Arial"/>
      <family val="2"/>
      <sz val="9"/>
    </font>
    <font>
      <name val="Calibri"/>
      <family val="2"/>
      <sz val="8"/>
      <scheme val="minor"/>
    </font>
    <font>
      <name val="Calibri"/>
      <family val="2"/>
      <color indexed="8"/>
      <sz val="11"/>
      <scheme val="minor"/>
    </font>
    <font>
      <name val="Arial"/>
      <family val="2"/>
      <color rgb="FF000000"/>
      <sz val="10"/>
    </font>
    <font>
      <name val="Arial"/>
      <family val="2"/>
      <b val="1"/>
      <color rgb="FF000000"/>
      <sz val="10"/>
    </font>
    <font>
      <name val="Calibri"/>
      <family val="2"/>
      <color rgb="FF000000"/>
      <sz val="11"/>
    </font>
    <font>
      <name val="Tahoma"/>
      <family val="2"/>
      <b val="1"/>
      <color indexed="81"/>
      <sz val="8"/>
    </font>
    <font>
      <name val="Tahoma"/>
      <family val="2"/>
      <color indexed="81"/>
      <sz val="8"/>
    </font>
  </fonts>
  <fills count="19">
    <fill>
      <patternFill/>
    </fill>
    <fill>
      <patternFill patternType="gray125"/>
    </fill>
    <fill>
      <patternFill patternType="solid">
        <fgColor indexed="22"/>
        <bgColor indexed="64"/>
      </patternFill>
    </fill>
    <fill>
      <patternFill patternType="solid">
        <fgColor indexed="8"/>
        <bgColor indexed="64"/>
      </patternFill>
    </fill>
    <fill>
      <patternFill patternType="solid">
        <fgColor indexed="8"/>
        <bgColor indexed="8"/>
      </patternFill>
    </fill>
    <fill>
      <patternFill patternType="solid">
        <fgColor indexed="22"/>
        <bgColor indexed="8"/>
      </patternFill>
    </fill>
    <fill>
      <patternFill patternType="solid">
        <fgColor indexed="13"/>
        <bgColor indexed="64"/>
      </patternFill>
    </fill>
    <fill>
      <patternFill patternType="solid">
        <fgColor indexed="56"/>
        <bgColor indexed="64"/>
      </patternFill>
    </fill>
    <fill>
      <patternFill patternType="solid">
        <fgColor rgb="FF002060"/>
        <bgColor indexed="64"/>
      </patternFill>
    </fill>
    <fill>
      <patternFill patternType="solid">
        <fgColor theme="4" tint="0.7999816888943144"/>
        <bgColor indexed="64"/>
      </patternFill>
    </fill>
    <fill>
      <patternFill patternType="solid">
        <fgColor theme="8" tint="0.7999816888943144"/>
        <bgColor indexed="64"/>
      </patternFill>
    </fill>
    <fill>
      <patternFill patternType="solid">
        <fgColor theme="8" tint="0.7999816888943144"/>
        <bgColor indexed="8"/>
      </patternFill>
    </fill>
    <fill>
      <patternFill patternType="solid">
        <fgColor rgb="FFC00000"/>
        <bgColor indexed="64"/>
      </patternFill>
    </fill>
    <fill>
      <patternFill patternType="solid">
        <fgColor rgb="FFFFCCFF"/>
        <bgColor indexed="64"/>
      </patternFill>
    </fill>
    <fill>
      <patternFill patternType="solid">
        <fgColor rgb="FFFFCCFF"/>
        <bgColor indexed="8"/>
      </patternFill>
    </fill>
    <fill>
      <patternFill patternType="solid">
        <fgColor rgb="FFFFFF00"/>
        <bgColor indexed="64"/>
      </patternFill>
    </fill>
    <fill>
      <patternFill patternType="solid">
        <fgColor rgb="FFD9E1F2"/>
        <bgColor rgb="FF000000"/>
      </patternFill>
    </fill>
    <fill>
      <patternFill patternType="solid">
        <fgColor rgb="FFDDEBF7"/>
        <bgColor rgb="FF000000"/>
      </patternFill>
    </fill>
    <fill>
      <patternFill patternType="solid">
        <fgColor rgb="FFD9E1F2"/>
        <bgColor indexed="64"/>
      </patternFill>
    </fill>
  </fills>
  <borders count="4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style="medium">
        <color indexed="64"/>
      </right>
      <top/>
      <bottom/>
      <diagonal/>
    </border>
    <border>
      <left style="medium">
        <color indexed="64"/>
      </left>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bottom style="double">
        <color indexed="8"/>
      </bottom>
      <diagonal/>
    </border>
    <border>
      <left/>
      <right/>
      <top/>
      <bottom style="double">
        <color indexed="64"/>
      </bottom>
      <diagonal/>
    </border>
    <border>
      <left style="thin">
        <color indexed="64"/>
      </left>
      <right style="thin">
        <color indexed="64"/>
      </right>
      <top style="double">
        <color indexed="8"/>
      </top>
      <bottom/>
      <diagonal/>
    </border>
    <border>
      <left/>
      <right/>
      <top/>
      <bottom style="medium">
        <color indexed="64"/>
      </bottom>
      <diagonal/>
    </border>
    <border>
      <left style="thin">
        <color indexed="64"/>
      </left>
      <right style="thin">
        <color indexed="64"/>
      </right>
      <top style="double">
        <color indexed="64"/>
      </top>
      <bottom/>
      <diagonal/>
    </border>
    <border>
      <left style="thin">
        <color indexed="64"/>
      </left>
      <right style="thin">
        <color indexed="64"/>
      </right>
      <top style="thin">
        <color indexed="8"/>
      </top>
      <bottom/>
      <diagonal/>
    </border>
    <border>
      <left/>
      <right/>
      <top style="medium">
        <color indexed="64"/>
      </top>
      <bottom/>
      <diagonal/>
    </border>
    <border>
      <left style="thin">
        <color indexed="64"/>
      </left>
      <right style="medium">
        <color indexed="64"/>
      </right>
      <top style="thin">
        <color indexed="64"/>
      </top>
      <bottom style="thin">
        <color indexed="64"/>
      </bottom>
      <diagonal/>
    </border>
    <border>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auto="1"/>
      </left>
      <right style="medium">
        <color auto="1"/>
      </right>
      <top/>
      <bottom style="thin">
        <color auto="1"/>
      </bottom>
      <diagonal/>
    </border>
    <border>
      <left/>
      <right/>
      <top/>
      <bottom style="thin">
        <color auto="1"/>
      </bottom>
      <diagonal/>
    </border>
    <border>
      <left style="thin">
        <color indexed="64"/>
      </left>
      <right/>
      <top/>
      <bottom style="thin">
        <color indexed="64"/>
      </bottom>
      <diagonal/>
    </border>
    <border>
      <left style="medium">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medium">
        <color auto="1"/>
      </right>
      <top/>
      <bottom style="thin">
        <color auto="1"/>
      </bottom>
      <diagonal/>
    </border>
    <border>
      <left/>
      <right style="medium">
        <color auto="1"/>
      </right>
      <top/>
      <bottom style="thin">
        <color auto="1"/>
      </bottom>
      <diagonal/>
    </border>
    <border>
      <left style="thin">
        <color indexed="64"/>
      </left>
      <right style="thin">
        <color indexed="64"/>
      </right>
      <top/>
      <bottom style="thin">
        <color indexed="8"/>
      </bottom>
      <diagonal/>
    </border>
    <border>
      <left/>
      <right style="thin">
        <color indexed="64"/>
      </right>
      <top/>
      <bottom style="thin">
        <color indexed="64"/>
      </bottom>
      <diagonal/>
    </border>
    <border>
      <left style="medium">
        <color indexed="64"/>
      </left>
      <right style="thin">
        <color indexed="64"/>
      </right>
      <top/>
      <bottom/>
      <diagonal/>
    </border>
    <border>
      <left/>
      <right/>
      <top/>
      <bottom style="thin">
        <color indexed="64"/>
      </bottom>
      <diagonal/>
    </border>
    <border>
      <left style="medium">
        <color indexed="64"/>
      </left>
      <right style="medium">
        <color indexed="64"/>
      </right>
      <top style="medium">
        <color indexed="64"/>
      </top>
      <bottom/>
      <diagonal/>
    </border>
  </borders>
  <cellStyleXfs count="23">
    <xf numFmtId="0" fontId="1" fillId="0" borderId="0"/>
    <xf numFmtId="43" fontId="1" fillId="0" borderId="0"/>
    <xf numFmtId="44" fontId="1" fillId="0" borderId="0"/>
    <xf numFmtId="9" fontId="1" fillId="0" borderId="0"/>
    <xf numFmtId="0" fontId="3" fillId="0" borderId="0" applyAlignment="1" applyProtection="1">
      <alignment vertical="top"/>
      <protection locked="0" hidden="0"/>
    </xf>
    <xf numFmtId="3" fontId="6" fillId="0" borderId="0"/>
    <xf numFmtId="171" fontId="6" fillId="0" borderId="0"/>
    <xf numFmtId="0" fontId="6" fillId="0" borderId="0"/>
    <xf numFmtId="43" fontId="6" fillId="0" borderId="0"/>
    <xf numFmtId="43" fontId="6" fillId="0" borderId="0"/>
    <xf numFmtId="3" fontId="6" fillId="0" borderId="0"/>
    <xf numFmtId="44" fontId="6" fillId="0" borderId="0"/>
    <xf numFmtId="44" fontId="6" fillId="0" borderId="0"/>
    <xf numFmtId="171" fontId="6" fillId="0" borderId="0"/>
    <xf numFmtId="0" fontId="3" fillId="0" borderId="0" applyAlignment="1" applyProtection="1">
      <alignment vertical="top"/>
      <protection locked="0" hidden="0"/>
    </xf>
    <xf numFmtId="9" fontId="6" fillId="0" borderId="0"/>
    <xf numFmtId="9" fontId="6" fillId="0" borderId="0"/>
    <xf numFmtId="0" fontId="61" fillId="0" borderId="0"/>
    <xf numFmtId="0" fontId="63" fillId="0" borderId="0"/>
    <xf numFmtId="0" fontId="66" fillId="0" borderId="0" applyAlignment="1">
      <alignment wrapText="1"/>
    </xf>
    <xf numFmtId="43" fontId="66" fillId="0" borderId="0"/>
    <xf numFmtId="44" fontId="66" fillId="0" borderId="0"/>
    <xf numFmtId="9" fontId="66" fillId="0" borderId="0"/>
  </cellStyleXfs>
  <cellXfs count="657">
    <xf numFmtId="0" fontId="0" fillId="0" borderId="0" pivotButton="0" quotePrefix="0" xfId="0"/>
    <xf numFmtId="0" fontId="0" fillId="0" borderId="0" applyProtection="1" pivotButton="0" quotePrefix="0" xfId="0">
      <protection locked="1" hidden="1"/>
    </xf>
    <xf numFmtId="0" fontId="2" fillId="0" borderId="0" applyProtection="1" pivotButton="0" quotePrefix="0" xfId="0">
      <protection locked="1" hidden="1"/>
    </xf>
    <xf numFmtId="0" fontId="6" fillId="0" borderId="0" applyProtection="1" pivotButton="0" quotePrefix="0" xfId="0">
      <protection locked="1" hidden="1"/>
    </xf>
    <xf numFmtId="0" fontId="7" fillId="0" borderId="11" applyAlignment="1" applyProtection="1" pivotButton="0" quotePrefix="0" xfId="0">
      <alignment horizontal="center" vertical="center"/>
      <protection locked="1" hidden="1"/>
    </xf>
    <xf numFmtId="0" fontId="7" fillId="0" borderId="14" applyProtection="1" pivotButton="0" quotePrefix="0" xfId="0">
      <protection locked="1" hidden="1"/>
    </xf>
    <xf numFmtId="0" fontId="10" fillId="0" borderId="14" applyProtection="1" pivotButton="0" quotePrefix="0" xfId="0">
      <protection locked="1" hidden="1"/>
    </xf>
    <xf numFmtId="164" fontId="7" fillId="0" borderId="18" applyAlignment="1" applyProtection="1" pivotButton="0" quotePrefix="0" xfId="0">
      <alignment vertical="center"/>
      <protection locked="1" hidden="1"/>
    </xf>
    <xf numFmtId="0" fontId="25" fillId="0" borderId="0" applyAlignment="1" applyProtection="1" pivotButton="0" quotePrefix="0" xfId="0">
      <alignment horizontal="center"/>
      <protection locked="1" hidden="1"/>
    </xf>
    <xf numFmtId="0" fontId="24" fillId="0" borderId="0" applyAlignment="1" applyProtection="1" pivotButton="0" quotePrefix="0" xfId="0">
      <alignment horizontal="center"/>
      <protection locked="1" hidden="1"/>
    </xf>
    <xf numFmtId="0" fontId="24" fillId="0" borderId="0" applyProtection="1" pivotButton="0" quotePrefix="0" xfId="0">
      <protection locked="1" hidden="1"/>
    </xf>
    <xf numFmtId="0" fontId="24" fillId="0" borderId="1" applyAlignment="1" applyProtection="1" pivotButton="0" quotePrefix="0" xfId="0">
      <alignment horizontal="left"/>
      <protection locked="1" hidden="1"/>
    </xf>
    <xf numFmtId="0" fontId="27" fillId="0" borderId="0" applyProtection="1" pivotButton="0" quotePrefix="0" xfId="0">
      <protection locked="1" hidden="1"/>
    </xf>
    <xf numFmtId="165" fontId="28" fillId="0" borderId="9" applyAlignment="1" applyProtection="1" pivotButton="0" quotePrefix="0" xfId="2">
      <alignment horizontal="right"/>
      <protection locked="1" hidden="1"/>
    </xf>
    <xf numFmtId="165" fontId="28" fillId="3" borderId="9" applyAlignment="1" applyProtection="1" pivotButton="0" quotePrefix="0" xfId="2">
      <alignment horizontal="right"/>
      <protection locked="1" hidden="1"/>
    </xf>
    <xf numFmtId="165" fontId="23" fillId="0" borderId="0" applyAlignment="1" applyProtection="1" pivotButton="0" quotePrefix="0" xfId="4">
      <alignment horizontal="right"/>
      <protection locked="1" hidden="1"/>
    </xf>
    <xf numFmtId="166" fontId="23" fillId="0" borderId="0" applyAlignment="1" applyProtection="1" pivotButton="0" quotePrefix="0" xfId="4">
      <alignment horizontal="right"/>
      <protection locked="1" hidden="1"/>
    </xf>
    <xf numFmtId="166" fontId="29" fillId="0" borderId="0" applyAlignment="1" applyProtection="1" pivotButton="0" quotePrefix="0" xfId="4">
      <alignment horizontal="left"/>
      <protection locked="1" hidden="1"/>
    </xf>
    <xf numFmtId="165" fontId="28" fillId="0" borderId="0" applyAlignment="1" applyProtection="1" pivotButton="0" quotePrefix="0" xfId="2">
      <alignment horizontal="right" vertical="center"/>
      <protection locked="1" hidden="1"/>
    </xf>
    <xf numFmtId="0" fontId="22" fillId="0" borderId="0" applyProtection="1" pivotButton="0" quotePrefix="0" xfId="0">
      <protection locked="1" hidden="1"/>
    </xf>
    <xf numFmtId="164" fontId="22" fillId="0" borderId="0" applyAlignment="1" applyProtection="1" pivotButton="0" quotePrefix="0" xfId="5">
      <alignment horizontal="right"/>
      <protection locked="1" hidden="1"/>
    </xf>
    <xf numFmtId="0" fontId="25" fillId="0" borderId="0" applyProtection="1" pivotButton="0" quotePrefix="0" xfId="0">
      <protection locked="1" hidden="1"/>
    </xf>
    <xf numFmtId="0" fontId="17" fillId="0" borderId="0" applyProtection="1" pivotButton="0" quotePrefix="0" xfId="0">
      <protection locked="1" hidden="1"/>
    </xf>
    <xf numFmtId="3" fontId="24" fillId="0" borderId="0" applyAlignment="1" applyProtection="1" pivotButton="0" quotePrefix="0" xfId="5">
      <alignment horizontal="right"/>
      <protection locked="1" hidden="1"/>
    </xf>
    <xf numFmtId="0" fontId="28" fillId="0" borderId="4" applyProtection="1" pivotButton="0" quotePrefix="0" xfId="0">
      <protection locked="1" hidden="1"/>
    </xf>
    <xf numFmtId="0" fontId="22" fillId="0" borderId="4" applyProtection="1" pivotButton="0" quotePrefix="0" xfId="0">
      <protection locked="1" hidden="1"/>
    </xf>
    <xf numFmtId="0" fontId="22" fillId="0" borderId="7" applyProtection="1" pivotButton="0" quotePrefix="0" xfId="0">
      <protection locked="1" hidden="1"/>
    </xf>
    <xf numFmtId="0" fontId="28" fillId="0" borderId="7" applyProtection="1" pivotButton="0" quotePrefix="0" xfId="0">
      <protection locked="1" hidden="1"/>
    </xf>
    <xf numFmtId="3" fontId="22" fillId="0" borderId="7" applyProtection="1" pivotButton="0" quotePrefix="0" xfId="1">
      <protection locked="1" hidden="1"/>
    </xf>
    <xf numFmtId="0" fontId="28" fillId="3" borderId="4" applyProtection="1" pivotButton="0" quotePrefix="0" xfId="0">
      <protection locked="1" hidden="1"/>
    </xf>
    <xf numFmtId="0" fontId="28" fillId="0" borderId="4" applyAlignment="1" applyProtection="1" pivotButton="0" quotePrefix="0" xfId="0">
      <alignment horizontal="left"/>
      <protection locked="1" hidden="1"/>
    </xf>
    <xf numFmtId="0" fontId="28" fillId="0" borderId="7" applyAlignment="1" applyProtection="1" pivotButton="0" quotePrefix="0" xfId="0">
      <alignment horizontal="left"/>
      <protection locked="1" hidden="1"/>
    </xf>
    <xf numFmtId="0" fontId="22" fillId="0" borderId="7" applyAlignment="1" applyProtection="1" pivotButton="0" quotePrefix="0" xfId="0">
      <alignment horizontal="left"/>
      <protection locked="1" hidden="1"/>
    </xf>
    <xf numFmtId="165" fontId="31" fillId="0" borderId="9" applyAlignment="1" applyProtection="1" pivotButton="0" quotePrefix="0" xfId="2">
      <alignment horizontal="left"/>
      <protection locked="1" hidden="1"/>
    </xf>
    <xf numFmtId="165" fontId="31" fillId="0" borderId="1" applyAlignment="1" applyProtection="1" pivotButton="0" quotePrefix="0" xfId="2">
      <alignment horizontal="right"/>
      <protection locked="1" hidden="1"/>
    </xf>
    <xf numFmtId="0" fontId="17" fillId="8" borderId="0" applyProtection="1" pivotButton="0" quotePrefix="0" xfId="0">
      <protection locked="1" hidden="1"/>
    </xf>
    <xf numFmtId="0" fontId="22" fillId="0" borderId="0" applyAlignment="1" applyProtection="1" pivotButton="0" quotePrefix="0" xfId="0">
      <alignment horizontal="center"/>
      <protection locked="1" hidden="1"/>
    </xf>
    <xf numFmtId="0" fontId="32" fillId="0" borderId="0" applyProtection="1" pivotButton="0" quotePrefix="0" xfId="0">
      <protection locked="1" hidden="1"/>
    </xf>
    <xf numFmtId="0" fontId="17" fillId="0" borderId="0" applyAlignment="1" applyProtection="1" pivotButton="0" quotePrefix="0" xfId="0">
      <alignment horizontal="left"/>
      <protection locked="1" hidden="1"/>
    </xf>
    <xf numFmtId="3" fontId="27" fillId="0" borderId="0" applyAlignment="1" applyProtection="1" pivotButton="0" quotePrefix="0" xfId="5">
      <alignment horizontal="right"/>
      <protection locked="1" hidden="1"/>
    </xf>
    <xf numFmtId="0" fontId="24" fillId="2" borderId="9" applyProtection="1" pivotButton="0" quotePrefix="0" xfId="0">
      <protection locked="1" hidden="1"/>
    </xf>
    <xf numFmtId="0" fontId="24" fillId="2" borderId="9" applyAlignment="1" applyProtection="1" pivotButton="0" quotePrefix="0" xfId="0">
      <alignment horizontal="center"/>
      <protection locked="1" hidden="1"/>
    </xf>
    <xf numFmtId="0" fontId="24" fillId="2" borderId="5" applyAlignment="1" applyProtection="1" pivotButton="0" quotePrefix="0" xfId="0">
      <alignment horizontal="center"/>
      <protection locked="1" hidden="1"/>
    </xf>
    <xf numFmtId="0" fontId="22" fillId="0" borderId="10" applyProtection="1" pivotButton="0" quotePrefix="0" xfId="0">
      <protection locked="1" hidden="1"/>
    </xf>
    <xf numFmtId="167" fontId="17" fillId="0" borderId="0" applyProtection="1" pivotButton="0" quotePrefix="0" xfId="0">
      <protection locked="1" hidden="1"/>
    </xf>
    <xf numFmtId="167" fontId="17" fillId="0" borderId="0" applyProtection="1" pivotButton="0" quotePrefix="1" xfId="0">
      <protection locked="1" hidden="1"/>
    </xf>
    <xf numFmtId="0" fontId="28" fillId="0" borderId="1" applyProtection="1" pivotButton="0" quotePrefix="0" xfId="0">
      <protection locked="1" hidden="1"/>
    </xf>
    <xf numFmtId="0" fontId="28" fillId="0" borderId="0" applyProtection="1" pivotButton="0" quotePrefix="0" xfId="0">
      <protection locked="1" hidden="1"/>
    </xf>
    <xf numFmtId="168" fontId="2" fillId="0" borderId="1" applyAlignment="1" applyProtection="1" pivotButton="0" quotePrefix="0" xfId="2">
      <alignment horizontal="right"/>
      <protection locked="1" hidden="1"/>
    </xf>
    <xf numFmtId="169" fontId="8" fillId="0" borderId="10" applyAlignment="1" applyProtection="1" pivotButton="0" quotePrefix="0" xfId="0">
      <alignment horizontal="center"/>
      <protection locked="1" hidden="1"/>
    </xf>
    <xf numFmtId="169" fontId="8" fillId="0" borderId="1" applyAlignment="1" applyProtection="1" pivotButton="0" quotePrefix="0" xfId="0">
      <alignment horizontal="center"/>
      <protection locked="1" hidden="1"/>
    </xf>
    <xf numFmtId="169" fontId="34" fillId="0" borderId="1" applyAlignment="1" applyProtection="1" pivotButton="0" quotePrefix="0" xfId="0">
      <alignment horizontal="center"/>
      <protection locked="1" hidden="1"/>
    </xf>
    <xf numFmtId="168" fontId="8" fillId="0" borderId="10" applyAlignment="1" applyProtection="1" pivotButton="0" quotePrefix="0" xfId="0">
      <alignment horizontal="right"/>
      <protection locked="1" hidden="1"/>
    </xf>
    <xf numFmtId="168" fontId="8" fillId="0" borderId="1" applyAlignment="1" applyProtection="1" pivotButton="0" quotePrefix="0" xfId="5">
      <alignment horizontal="right"/>
      <protection locked="1" hidden="1"/>
    </xf>
    <xf numFmtId="168" fontId="8" fillId="0" borderId="3" applyAlignment="1" applyProtection="1" pivotButton="0" quotePrefix="0" xfId="5">
      <alignment horizontal="right"/>
      <protection locked="1" hidden="1"/>
    </xf>
    <xf numFmtId="168" fontId="17" fillId="8" borderId="0" applyProtection="1" pivotButton="0" quotePrefix="0" xfId="0">
      <protection locked="1" hidden="1"/>
    </xf>
    <xf numFmtId="168" fontId="22" fillId="0" borderId="0" applyProtection="1" pivotButton="0" quotePrefix="0" xfId="0">
      <protection locked="1" hidden="1"/>
    </xf>
    <xf numFmtId="168" fontId="22" fillId="0" borderId="0" applyAlignment="1" applyProtection="1" pivotButton="0" quotePrefix="0" xfId="0">
      <alignment horizontal="center"/>
      <protection locked="1" hidden="1"/>
    </xf>
    <xf numFmtId="168" fontId="24" fillId="0" borderId="0" applyProtection="1" pivotButton="0" quotePrefix="0" xfId="0">
      <protection locked="1" hidden="1"/>
    </xf>
    <xf numFmtId="168" fontId="26" fillId="9" borderId="1" applyProtection="1" pivotButton="0" quotePrefix="0" xfId="0">
      <protection locked="0" hidden="0"/>
    </xf>
    <xf numFmtId="168" fontId="22" fillId="0" borderId="0" applyProtection="1" pivotButton="0" quotePrefix="0" xfId="1">
      <protection locked="1" hidden="1"/>
    </xf>
    <xf numFmtId="168" fontId="22" fillId="0" borderId="23" applyProtection="1" pivotButton="0" quotePrefix="0" xfId="1">
      <protection locked="1" hidden="1"/>
    </xf>
    <xf numFmtId="168" fontId="17" fillId="0" borderId="0" applyProtection="1" pivotButton="0" quotePrefix="0" xfId="0">
      <protection locked="1" hidden="1"/>
    </xf>
    <xf numFmtId="168" fontId="22" fillId="0" borderId="0" applyProtection="1" pivotButton="0" quotePrefix="0" xfId="1">
      <protection locked="1" hidden="1"/>
    </xf>
    <xf numFmtId="0" fontId="24" fillId="2" borderId="4" applyProtection="1" pivotButton="0" quotePrefix="0" xfId="0">
      <protection locked="1" hidden="1"/>
    </xf>
    <xf numFmtId="3" fontId="24" fillId="5" borderId="6" applyAlignment="1" applyProtection="1" pivotButton="0" quotePrefix="0" xfId="5">
      <alignment horizontal="right"/>
      <protection locked="1" hidden="1"/>
    </xf>
    <xf numFmtId="0" fontId="30" fillId="0" borderId="0" applyProtection="1" pivotButton="0" quotePrefix="0" xfId="0">
      <protection locked="1" hidden="1"/>
    </xf>
    <xf numFmtId="0" fontId="22" fillId="0" borderId="7" applyAlignment="1" applyProtection="1" pivotButton="0" quotePrefix="0" xfId="0">
      <alignment horizontal="left" vertical="center"/>
      <protection locked="1" hidden="1"/>
    </xf>
    <xf numFmtId="168" fontId="6" fillId="0" borderId="0" applyProtection="1" pivotButton="0" quotePrefix="0" xfId="0">
      <protection locked="1" hidden="1"/>
    </xf>
    <xf numFmtId="170" fontId="6" fillId="0" borderId="0" applyProtection="1" pivotButton="0" quotePrefix="0" xfId="0">
      <protection locked="1" hidden="1"/>
    </xf>
    <xf numFmtId="0" fontId="22" fillId="0" borderId="0" applyAlignment="1" applyProtection="1" pivotButton="0" quotePrefix="0" xfId="0">
      <alignment vertical="center"/>
      <protection locked="1" hidden="1"/>
    </xf>
    <xf numFmtId="0" fontId="24" fillId="0" borderId="10" applyAlignment="1" applyProtection="1" pivotButton="0" quotePrefix="0" xfId="0">
      <alignment horizontal="left"/>
      <protection locked="1" hidden="1"/>
    </xf>
    <xf numFmtId="0" fontId="24" fillId="0" borderId="10" applyProtection="1" pivotButton="0" quotePrefix="0" xfId="0">
      <protection locked="1" hidden="1"/>
    </xf>
    <xf numFmtId="0" fontId="22" fillId="0" borderId="27" applyProtection="1" pivotButton="0" quotePrefix="0" xfId="0">
      <protection locked="1" hidden="1"/>
    </xf>
    <xf numFmtId="0" fontId="22" fillId="0" borderId="26" applyProtection="1" pivotButton="0" quotePrefix="0" xfId="0">
      <protection locked="1" hidden="1"/>
    </xf>
    <xf numFmtId="0" fontId="2" fillId="0" borderId="22" applyAlignment="1" applyProtection="1" pivotButton="0" quotePrefix="0" xfId="0">
      <alignment horizontal="center"/>
      <protection locked="1" hidden="1"/>
    </xf>
    <xf numFmtId="49" fontId="2" fillId="0" borderId="24" applyAlignment="1" applyProtection="1" pivotButton="0" quotePrefix="0" xfId="0">
      <alignment horizontal="center"/>
      <protection locked="1" hidden="1"/>
    </xf>
    <xf numFmtId="0" fontId="2" fillId="0" borderId="10" applyAlignment="1" applyProtection="1" pivotButton="0" quotePrefix="0" xfId="0">
      <alignment horizontal="center"/>
      <protection locked="1" hidden="1"/>
    </xf>
    <xf numFmtId="171" fontId="2" fillId="0" borderId="10" applyAlignment="1" applyProtection="1" pivotButton="0" quotePrefix="0" xfId="0">
      <alignment horizontal="center"/>
      <protection locked="1" hidden="1"/>
    </xf>
    <xf numFmtId="0" fontId="2" fillId="0" borderId="10" applyProtection="1" pivotButton="0" quotePrefix="0" xfId="0">
      <protection locked="1" hidden="1"/>
    </xf>
    <xf numFmtId="170" fontId="2" fillId="0" borderId="10" applyAlignment="1" applyProtection="1" pivotButton="0" quotePrefix="0" xfId="3">
      <alignment horizontal="center"/>
      <protection locked="1" hidden="1"/>
    </xf>
    <xf numFmtId="170" fontId="2" fillId="0" borderId="10" applyAlignment="1" applyProtection="1" pivotButton="0" quotePrefix="0" xfId="3">
      <alignment horizontal="center"/>
      <protection locked="1" hidden="1"/>
    </xf>
    <xf numFmtId="0" fontId="2" fillId="0" borderId="23" applyAlignment="1" applyProtection="1" pivotButton="0" quotePrefix="0" xfId="0">
      <alignment horizontal="center"/>
      <protection locked="1" hidden="1"/>
    </xf>
    <xf numFmtId="171" fontId="2" fillId="0" borderId="10" applyAlignment="1" applyProtection="1" pivotButton="0" quotePrefix="0" xfId="6">
      <alignment horizontal="center"/>
      <protection locked="1" hidden="1"/>
    </xf>
    <xf numFmtId="170" fontId="2" fillId="0" borderId="10" applyAlignment="1" applyProtection="1" pivotButton="0" quotePrefix="0" xfId="0">
      <alignment horizontal="center"/>
      <protection locked="1" hidden="1"/>
    </xf>
    <xf numFmtId="172" fontId="2" fillId="0" borderId="10" applyAlignment="1" applyProtection="1" pivotButton="0" quotePrefix="0" xfId="1">
      <alignment horizontal="center"/>
      <protection locked="1" hidden="1"/>
    </xf>
    <xf numFmtId="0" fontId="2" fillId="0" borderId="0" applyAlignment="1" applyProtection="1" pivotButton="0" quotePrefix="0" xfId="0">
      <alignment horizontal="center"/>
      <protection locked="1" hidden="1"/>
    </xf>
    <xf numFmtId="170" fontId="2" fillId="0" borderId="0" applyAlignment="1" applyProtection="1" pivotButton="0" quotePrefix="0" xfId="3">
      <alignment horizontal="center"/>
      <protection locked="1" hidden="1"/>
    </xf>
    <xf numFmtId="0" fontId="2" fillId="0" borderId="27" applyAlignment="1" applyProtection="1" pivotButton="0" quotePrefix="0" xfId="0">
      <alignment horizontal="center"/>
      <protection locked="1" hidden="1"/>
    </xf>
    <xf numFmtId="9" fontId="2" fillId="0" borderId="10" applyAlignment="1" applyProtection="1" pivotButton="0" quotePrefix="0" xfId="3">
      <alignment horizontal="center"/>
      <protection locked="1" hidden="1"/>
    </xf>
    <xf numFmtId="173" fontId="2" fillId="0" borderId="10" applyAlignment="1" applyProtection="1" pivotButton="0" quotePrefix="0" xfId="1">
      <alignment horizontal="center"/>
      <protection locked="1" hidden="1"/>
    </xf>
    <xf numFmtId="174" fontId="2" fillId="0" borderId="10" applyAlignment="1" applyProtection="1" pivotButton="0" quotePrefix="0" xfId="2">
      <alignment horizontal="center"/>
      <protection locked="1" hidden="1"/>
    </xf>
    <xf numFmtId="49" fontId="22" fillId="0" borderId="0" applyProtection="1" pivotButton="0" quotePrefix="0" xfId="0">
      <protection locked="1" hidden="1"/>
    </xf>
    <xf numFmtId="0" fontId="0" fillId="0" borderId="0" applyAlignment="1" applyProtection="1" pivotButton="0" quotePrefix="0" xfId="0">
      <alignment wrapText="1"/>
      <protection locked="1" hidden="1"/>
    </xf>
    <xf numFmtId="0" fontId="0" fillId="0" borderId="0" applyAlignment="1" applyProtection="1" pivotButton="0" quotePrefix="0" xfId="0">
      <alignment horizontal="left" wrapText="1"/>
      <protection locked="1" hidden="1"/>
    </xf>
    <xf numFmtId="0" fontId="20" fillId="0" borderId="0" applyProtection="1" pivotButton="0" quotePrefix="0" xfId="0">
      <protection locked="1" hidden="1"/>
    </xf>
    <xf numFmtId="0" fontId="20" fillId="0" borderId="0" applyAlignment="1" applyProtection="1" pivotButton="0" quotePrefix="0" xfId="0">
      <alignment vertical="top"/>
      <protection locked="1" hidden="1"/>
    </xf>
    <xf numFmtId="0" fontId="40" fillId="0" borderId="0" applyProtection="1" pivotButton="0" quotePrefix="0" xfId="0">
      <protection locked="1" hidden="1"/>
    </xf>
    <xf numFmtId="164" fontId="2" fillId="0" borderId="10" applyAlignment="1" applyProtection="1" pivotButton="0" quotePrefix="0" xfId="0">
      <alignment horizontal="center"/>
      <protection locked="1" hidden="1"/>
    </xf>
    <xf numFmtId="164" fontId="2" fillId="0" borderId="10" applyAlignment="1" applyProtection="1" pivotButton="0" quotePrefix="0" xfId="6">
      <alignment horizontal="center"/>
      <protection locked="1" hidden="1"/>
    </xf>
    <xf numFmtId="164" fontId="8" fillId="0" borderId="1" applyAlignment="1" applyProtection="1" pivotButton="0" quotePrefix="0" xfId="2">
      <alignment horizontal="right"/>
      <protection locked="1" hidden="1"/>
    </xf>
    <xf numFmtId="164" fontId="2" fillId="0" borderId="1" applyAlignment="1" applyProtection="1" pivotButton="0" quotePrefix="0" xfId="2">
      <alignment horizontal="right"/>
      <protection locked="1" hidden="1"/>
    </xf>
    <xf numFmtId="0" fontId="41" fillId="8" borderId="0" applyAlignment="1" applyProtection="1" pivotButton="0" quotePrefix="0" xfId="0">
      <alignment horizontal="center"/>
      <protection locked="1" hidden="1"/>
    </xf>
    <xf numFmtId="169" fontId="17" fillId="0" borderId="0" applyProtection="1" pivotButton="0" quotePrefix="0" xfId="0">
      <protection locked="1" hidden="1"/>
    </xf>
    <xf numFmtId="0" fontId="32" fillId="0" borderId="0" applyAlignment="1" applyProtection="1" pivotButton="0" quotePrefix="0" xfId="0">
      <alignment horizontal="left" indent="2"/>
      <protection locked="1" hidden="1"/>
    </xf>
    <xf numFmtId="171" fontId="2" fillId="0" borderId="0" applyAlignment="1" applyProtection="1" pivotButton="0" quotePrefix="0" xfId="0">
      <alignment horizontal="center"/>
      <protection locked="1" hidden="1"/>
    </xf>
    <xf numFmtId="10" fontId="17" fillId="0" borderId="0" applyProtection="1" pivotButton="0" quotePrefix="0" xfId="3">
      <protection locked="1" hidden="1"/>
    </xf>
    <xf numFmtId="1" fontId="2" fillId="0" borderId="0" applyAlignment="1" applyProtection="1" pivotButton="0" quotePrefix="0" xfId="0">
      <alignment horizontal="center"/>
      <protection locked="1" hidden="1"/>
    </xf>
    <xf numFmtId="170" fontId="2" fillId="0" borderId="0" applyAlignment="1" applyProtection="1" pivotButton="0" quotePrefix="0" xfId="3">
      <alignment horizontal="center"/>
      <protection locked="1" hidden="1"/>
    </xf>
    <xf numFmtId="9" fontId="2" fillId="0" borderId="0" applyAlignment="1" applyProtection="1" pivotButton="0" quotePrefix="0" xfId="3">
      <alignment horizontal="center"/>
      <protection locked="1" hidden="1"/>
    </xf>
    <xf numFmtId="170" fontId="2" fillId="0" borderId="0" applyAlignment="1" applyProtection="1" pivotButton="0" quotePrefix="0" xfId="0">
      <alignment horizontal="center"/>
      <protection locked="1" hidden="1"/>
    </xf>
    <xf numFmtId="171" fontId="2" fillId="0" borderId="0" applyAlignment="1" applyProtection="1" pivotButton="0" quotePrefix="0" xfId="6">
      <alignment horizontal="center"/>
      <protection locked="1" hidden="1"/>
    </xf>
    <xf numFmtId="49" fontId="2" fillId="0" borderId="0" applyAlignment="1" applyProtection="1" pivotButton="0" quotePrefix="0" xfId="0">
      <alignment horizontal="center"/>
      <protection locked="1" hidden="1"/>
    </xf>
    <xf numFmtId="0" fontId="4" fillId="0" borderId="0" applyAlignment="1" applyProtection="1" pivotButton="0" quotePrefix="0" xfId="0">
      <alignment horizontal="center"/>
      <protection locked="1" hidden="1"/>
    </xf>
    <xf numFmtId="172" fontId="2" fillId="0" borderId="0" applyAlignment="1" applyProtection="1" pivotButton="0" quotePrefix="0" xfId="0">
      <alignment horizontal="center"/>
      <protection locked="1" hidden="1"/>
    </xf>
    <xf numFmtId="173" fontId="2" fillId="0" borderId="0" applyAlignment="1" applyProtection="1" pivotButton="0" quotePrefix="0" xfId="1">
      <alignment horizontal="center"/>
      <protection locked="1" hidden="1"/>
    </xf>
    <xf numFmtId="174" fontId="2" fillId="0" borderId="0" applyAlignment="1" applyProtection="1" pivotButton="0" quotePrefix="0" xfId="2">
      <alignment horizontal="center"/>
      <protection locked="1" hidden="1"/>
    </xf>
    <xf numFmtId="164" fontId="2" fillId="0" borderId="10" applyAlignment="1" applyProtection="1" pivotButton="0" quotePrefix="0" xfId="2">
      <alignment horizontal="center"/>
      <protection locked="1" hidden="1"/>
    </xf>
    <xf numFmtId="3" fontId="24" fillId="5" borderId="21" applyAlignment="1" applyProtection="1" pivotButton="0" quotePrefix="0" xfId="5">
      <alignment horizontal="right"/>
      <protection locked="1" hidden="1"/>
    </xf>
    <xf numFmtId="168" fontId="9" fillId="10" borderId="29" applyAlignment="1" applyProtection="1" pivotButton="0" quotePrefix="0" xfId="0">
      <alignment horizontal="right"/>
      <protection locked="0" hidden="0"/>
    </xf>
    <xf numFmtId="168" fontId="9" fillId="10" borderId="29" applyProtection="1" pivotButton="0" quotePrefix="0" xfId="0">
      <protection locked="0" hidden="0"/>
    </xf>
    <xf numFmtId="168" fontId="2" fillId="10" borderId="29" applyProtection="1" pivotButton="0" quotePrefix="0" xfId="0">
      <protection locked="0" hidden="0"/>
    </xf>
    <xf numFmtId="168" fontId="8" fillId="0" borderId="16" applyProtection="1" pivotButton="0" quotePrefix="0" xfId="0">
      <protection locked="1" hidden="1"/>
    </xf>
    <xf numFmtId="3" fontId="9" fillId="10" borderId="29" applyProtection="1" pivotButton="0" quotePrefix="0" xfId="0">
      <protection locked="0" hidden="0"/>
    </xf>
    <xf numFmtId="168" fontId="9" fillId="10" borderId="31" applyProtection="1" pivotButton="0" quotePrefix="0" xfId="1">
      <protection locked="0" hidden="0"/>
    </xf>
    <xf numFmtId="168" fontId="42" fillId="0" borderId="0" applyProtection="1" pivotButton="0" quotePrefix="0" xfId="0">
      <protection locked="1" hidden="1"/>
    </xf>
    <xf numFmtId="1" fontId="2" fillId="0" borderId="10" applyAlignment="1" applyProtection="1" pivotButton="0" quotePrefix="0" xfId="0">
      <alignment horizontal="center"/>
      <protection locked="1" hidden="1"/>
    </xf>
    <xf numFmtId="0" fontId="22" fillId="0" borderId="9" applyProtection="1" pivotButton="0" quotePrefix="0" xfId="0">
      <protection locked="1" hidden="1"/>
    </xf>
    <xf numFmtId="0" fontId="2" fillId="0" borderId="9" applyAlignment="1" applyProtection="1" pivotButton="0" quotePrefix="0" xfId="0">
      <alignment horizontal="center"/>
      <protection locked="1" hidden="1"/>
    </xf>
    <xf numFmtId="168" fontId="46" fillId="0" borderId="0" applyProtection="1" pivotButton="0" quotePrefix="0" xfId="0">
      <protection locked="1" hidden="1"/>
    </xf>
    <xf numFmtId="168" fontId="8" fillId="0" borderId="1" applyAlignment="1" applyProtection="1" pivotButton="0" quotePrefix="0" xfId="5">
      <alignment horizontal="right"/>
      <protection locked="1" hidden="1"/>
    </xf>
    <xf numFmtId="175" fontId="2" fillId="0" borderId="10" applyAlignment="1" applyProtection="1" pivotButton="0" quotePrefix="0" xfId="1">
      <alignment horizontal="center"/>
      <protection locked="1" hidden="1"/>
    </xf>
    <xf numFmtId="14" fontId="2" fillId="0" borderId="0" applyProtection="1" pivotButton="0" quotePrefix="0" xfId="0">
      <protection locked="1" hidden="1"/>
    </xf>
    <xf numFmtId="0" fontId="21" fillId="0" borderId="0" applyProtection="1" pivotButton="0" quotePrefix="0" xfId="0">
      <protection locked="1" hidden="1"/>
    </xf>
    <xf numFmtId="0" fontId="22" fillId="10" borderId="11" applyProtection="1" pivotButton="0" quotePrefix="0" xfId="0">
      <protection locked="0" hidden="0"/>
    </xf>
    <xf numFmtId="172" fontId="8" fillId="0" borderId="1" applyAlignment="1" applyProtection="1" pivotButton="0" quotePrefix="0" xfId="5">
      <alignment horizontal="center"/>
      <protection locked="1" hidden="1"/>
    </xf>
    <xf numFmtId="0" fontId="22" fillId="0" borderId="8" applyProtection="1" pivotButton="0" quotePrefix="0" xfId="0">
      <protection locked="1" hidden="1"/>
    </xf>
    <xf numFmtId="0" fontId="50" fillId="0" borderId="22" applyProtection="1" pivotButton="0" quotePrefix="0" xfId="0">
      <protection locked="1" hidden="1"/>
    </xf>
    <xf numFmtId="170" fontId="2" fillId="0" borderId="7" applyAlignment="1" applyProtection="1" pivotButton="0" quotePrefix="0" xfId="3">
      <alignment horizontal="center"/>
      <protection locked="1" hidden="1"/>
    </xf>
    <xf numFmtId="9" fontId="2" fillId="0" borderId="7" applyAlignment="1" applyProtection="1" pivotButton="0" quotePrefix="0" xfId="3">
      <alignment horizontal="center"/>
      <protection locked="1" hidden="1"/>
    </xf>
    <xf numFmtId="0" fontId="24" fillId="0" borderId="9" applyProtection="1" pivotButton="0" quotePrefix="0" xfId="0">
      <protection locked="1" hidden="1"/>
    </xf>
    <xf numFmtId="170" fontId="2" fillId="0" borderId="9" applyAlignment="1" applyProtection="1" pivotButton="0" quotePrefix="0" xfId="3">
      <alignment horizontal="center"/>
      <protection locked="1" hidden="1"/>
    </xf>
    <xf numFmtId="0" fontId="50" fillId="0" borderId="23" applyProtection="1" pivotButton="0" quotePrefix="0" xfId="0">
      <protection locked="1" hidden="1"/>
    </xf>
    <xf numFmtId="49" fontId="2" fillId="0" borderId="10" applyAlignment="1" applyProtection="1" pivotButton="0" quotePrefix="0" xfId="0">
      <alignment horizontal="center"/>
      <protection locked="1" hidden="1"/>
    </xf>
    <xf numFmtId="0" fontId="22" fillId="13" borderId="10" applyProtection="1" pivotButton="0" quotePrefix="0" xfId="0">
      <protection locked="1" hidden="1"/>
    </xf>
    <xf numFmtId="171" fontId="2" fillId="14" borderId="10" applyAlignment="1" applyProtection="1" pivotButton="0" quotePrefix="0" xfId="6">
      <alignment horizontal="center"/>
      <protection locked="1" hidden="1"/>
    </xf>
    <xf numFmtId="168" fontId="2" fillId="14" borderId="10" applyAlignment="1" applyProtection="1" pivotButton="0" quotePrefix="0" xfId="6">
      <alignment horizontal="center"/>
      <protection locked="1" hidden="1"/>
    </xf>
    <xf numFmtId="0" fontId="17" fillId="0" borderId="10" applyProtection="1" pivotButton="0" quotePrefix="0" xfId="0">
      <protection locked="1" hidden="1"/>
    </xf>
    <xf numFmtId="172" fontId="2" fillId="0" borderId="10" applyAlignment="1" applyProtection="1" pivotButton="0" quotePrefix="0" xfId="0">
      <alignment horizontal="center"/>
      <protection locked="1" hidden="1"/>
    </xf>
    <xf numFmtId="175" fontId="2" fillId="0" borderId="10" applyAlignment="1" applyProtection="1" pivotButton="0" quotePrefix="0" xfId="3">
      <alignment horizontal="center"/>
      <protection locked="1" hidden="1"/>
    </xf>
    <xf numFmtId="168" fontId="8" fillId="0" borderId="1" applyAlignment="1" applyProtection="1" pivotButton="0" quotePrefix="0" xfId="5">
      <alignment horizontal="center"/>
      <protection locked="1" hidden="1"/>
    </xf>
    <xf numFmtId="3" fontId="24" fillId="5" borderId="6" applyProtection="1" pivotButton="0" quotePrefix="0" xfId="5">
      <protection locked="1" hidden="1"/>
    </xf>
    <xf numFmtId="9" fontId="0" fillId="0" borderId="0" applyProtection="1" pivotButton="0" quotePrefix="0" xfId="3">
      <protection locked="1" hidden="1"/>
    </xf>
    <xf numFmtId="3" fontId="24" fillId="5" borderId="28" applyAlignment="1" applyProtection="1" pivotButton="0" quotePrefix="0" xfId="5">
      <alignment horizontal="right"/>
      <protection locked="1" hidden="1"/>
    </xf>
    <xf numFmtId="168" fontId="9" fillId="10" borderId="2" applyAlignment="1" applyProtection="1" pivotButton="0" quotePrefix="0" xfId="0">
      <alignment horizontal="right"/>
      <protection locked="0" hidden="0"/>
    </xf>
    <xf numFmtId="168" fontId="8" fillId="0" borderId="25" applyProtection="1" pivotButton="0" quotePrefix="0" xfId="0">
      <protection locked="1" hidden="1"/>
    </xf>
    <xf numFmtId="0" fontId="17" fillId="0" borderId="19" applyProtection="1" pivotButton="0" quotePrefix="0" xfId="0">
      <protection locked="1" hidden="1"/>
    </xf>
    <xf numFmtId="0" fontId="17" fillId="0" borderId="25" applyProtection="1" pivotButton="0" quotePrefix="0" xfId="0">
      <protection locked="1" hidden="1"/>
    </xf>
    <xf numFmtId="164" fontId="17" fillId="0" borderId="0" applyProtection="1" pivotButton="0" quotePrefix="0" xfId="0">
      <protection locked="1" hidden="1"/>
    </xf>
    <xf numFmtId="165" fontId="22" fillId="0" borderId="0" applyAlignment="1" applyProtection="1" pivotButton="0" quotePrefix="0" xfId="4">
      <alignment horizontal="right"/>
      <protection locked="1" hidden="1"/>
    </xf>
    <xf numFmtId="0" fontId="6" fillId="0" borderId="13" applyAlignment="1" applyProtection="1" pivotButton="0" quotePrefix="0" xfId="0">
      <alignment horizontal="center" vertical="center"/>
      <protection locked="1" hidden="1"/>
    </xf>
    <xf numFmtId="170" fontId="6" fillId="0" borderId="0" applyAlignment="1" applyProtection="1" pivotButton="0" quotePrefix="0" xfId="0">
      <alignment horizontal="center"/>
      <protection locked="1" hidden="1"/>
    </xf>
    <xf numFmtId="0" fontId="7" fillId="0" borderId="13" applyAlignment="1" applyProtection="1" pivotButton="0" quotePrefix="0" xfId="0">
      <alignment horizontal="center" vertical="center"/>
      <protection locked="1" hidden="1"/>
    </xf>
    <xf numFmtId="170" fontId="6" fillId="0" borderId="16" applyAlignment="1" applyProtection="1" pivotButton="0" quotePrefix="0" xfId="0">
      <alignment horizontal="center"/>
      <protection locked="1" hidden="1"/>
    </xf>
    <xf numFmtId="170" fontId="12" fillId="0" borderId="16" applyAlignment="1" applyProtection="1" pivotButton="0" quotePrefix="0" xfId="0">
      <alignment horizontal="center"/>
      <protection locked="1" hidden="1"/>
    </xf>
    <xf numFmtId="0" fontId="7" fillId="0" borderId="32" applyProtection="1" pivotButton="0" quotePrefix="0" xfId="0">
      <protection locked="1" hidden="1"/>
    </xf>
    <xf numFmtId="170" fontId="6" fillId="0" borderId="20" applyAlignment="1" applyProtection="1" pivotButton="0" quotePrefix="0" xfId="0">
      <alignment horizontal="center" vertical="center"/>
      <protection locked="1" hidden="1"/>
    </xf>
    <xf numFmtId="0" fontId="0" fillId="0" borderId="0" applyAlignment="1" pivotButton="0" quotePrefix="0" xfId="0">
      <alignment horizontal="center"/>
    </xf>
    <xf numFmtId="0" fontId="24" fillId="0" borderId="34" applyAlignment="1" applyProtection="1" pivotButton="0" quotePrefix="0" xfId="0">
      <alignment horizontal="left"/>
      <protection locked="1" hidden="1"/>
    </xf>
    <xf numFmtId="0" fontId="28" fillId="0" borderId="34" applyProtection="1" pivotButton="0" quotePrefix="0" xfId="0">
      <protection locked="1" hidden="1"/>
    </xf>
    <xf numFmtId="0" fontId="22" fillId="0" borderId="34" applyProtection="1" pivotButton="0" quotePrefix="0" xfId="0">
      <protection locked="1" hidden="1"/>
    </xf>
    <xf numFmtId="0" fontId="28" fillId="0" borderId="34" applyAlignment="1" applyProtection="1" pivotButton="0" quotePrefix="0" xfId="0">
      <alignment horizontal="left"/>
      <protection locked="1" hidden="1"/>
    </xf>
    <xf numFmtId="0" fontId="22" fillId="0" borderId="34" applyAlignment="1" applyProtection="1" pivotButton="0" quotePrefix="0" xfId="0">
      <alignment horizontal="left" vertical="center"/>
      <protection locked="1" hidden="1"/>
    </xf>
    <xf numFmtId="1" fontId="2" fillId="0" borderId="34" applyAlignment="1" applyProtection="1" pivotButton="0" quotePrefix="0" xfId="0">
      <alignment horizontal="center"/>
      <protection locked="1" hidden="1"/>
    </xf>
    <xf numFmtId="0" fontId="22" fillId="13" borderId="34" applyAlignment="1" applyProtection="1" pivotButton="0" quotePrefix="0" xfId="0">
      <alignment horizontal="left"/>
      <protection locked="1" hidden="1"/>
    </xf>
    <xf numFmtId="164" fontId="2" fillId="0" borderId="0" applyAlignment="1" applyProtection="1" pivotButton="0" quotePrefix="0" xfId="6">
      <alignment horizontal="center"/>
      <protection locked="1" hidden="1"/>
    </xf>
    <xf numFmtId="1" fontId="2" fillId="0" borderId="7" applyAlignment="1" applyProtection="1" pivotButton="0" quotePrefix="0" xfId="0">
      <alignment horizontal="center"/>
      <protection locked="1" hidden="1"/>
    </xf>
    <xf numFmtId="170" fontId="2" fillId="0" borderId="7" applyAlignment="1" applyProtection="1" pivotButton="0" quotePrefix="0" xfId="3">
      <alignment horizontal="center"/>
      <protection locked="1" hidden="1"/>
    </xf>
    <xf numFmtId="0" fontId="50" fillId="0" borderId="0" applyProtection="1" pivotButton="0" quotePrefix="0" xfId="0">
      <protection locked="1" hidden="1"/>
    </xf>
    <xf numFmtId="168" fontId="2" fillId="0" borderId="0" applyAlignment="1" applyProtection="1" pivotButton="0" quotePrefix="0" xfId="6">
      <alignment horizontal="center"/>
      <protection locked="1" hidden="1"/>
    </xf>
    <xf numFmtId="0" fontId="22" fillId="0" borderId="10" applyAlignment="1" applyProtection="1" pivotButton="0" quotePrefix="0" xfId="0">
      <alignment horizontal="left"/>
      <protection locked="1" hidden="1"/>
    </xf>
    <xf numFmtId="0" fontId="50" fillId="0" borderId="10" applyProtection="1" pivotButton="0" quotePrefix="0" xfId="0">
      <protection locked="1" hidden="1"/>
    </xf>
    <xf numFmtId="3" fontId="22" fillId="0" borderId="10" applyAlignment="1" applyProtection="1" pivotButton="0" quotePrefix="0" xfId="1">
      <alignment horizontal="left"/>
      <protection locked="1" hidden="1"/>
    </xf>
    <xf numFmtId="0" fontId="22" fillId="0" borderId="24" applyProtection="1" pivotButton="0" quotePrefix="0" xfId="0">
      <protection locked="1" hidden="1"/>
    </xf>
    <xf numFmtId="0" fontId="22" fillId="0" borderId="27" applyAlignment="1" applyProtection="1" pivotButton="0" quotePrefix="0" xfId="0">
      <alignment horizontal="left"/>
      <protection locked="1" hidden="1"/>
    </xf>
    <xf numFmtId="49" fontId="4" fillId="0" borderId="24" applyAlignment="1" applyProtection="1" pivotButton="0" quotePrefix="0" xfId="0">
      <alignment horizontal="center"/>
      <protection locked="1" hidden="1"/>
    </xf>
    <xf numFmtId="49" fontId="52" fillId="8" borderId="24" applyAlignment="1" applyProtection="1" pivotButton="0" quotePrefix="0" xfId="0">
      <alignment horizontal="center"/>
      <protection locked="1" hidden="1"/>
    </xf>
    <xf numFmtId="0" fontId="51" fillId="8" borderId="10" applyAlignment="1" applyProtection="1" pivotButton="0" quotePrefix="0" xfId="0">
      <alignment horizontal="center"/>
      <protection locked="1" hidden="1"/>
    </xf>
    <xf numFmtId="164" fontId="51" fillId="8" borderId="10" applyAlignment="1" applyProtection="1" pivotButton="0" quotePrefix="0" xfId="0">
      <alignment horizontal="center"/>
      <protection locked="1" hidden="1"/>
    </xf>
    <xf numFmtId="170" fontId="51" fillId="8" borderId="10" applyAlignment="1" applyProtection="1" pivotButton="0" quotePrefix="0" xfId="3">
      <alignment horizontal="center"/>
      <protection locked="1" hidden="1"/>
    </xf>
    <xf numFmtId="170" fontId="51" fillId="8" borderId="10" applyAlignment="1" applyProtection="1" pivotButton="0" quotePrefix="0" xfId="0">
      <alignment horizontal="center"/>
      <protection locked="1" hidden="1"/>
    </xf>
    <xf numFmtId="172" fontId="51" fillId="8" borderId="10" applyAlignment="1" applyProtection="1" pivotButton="0" quotePrefix="0" xfId="1">
      <alignment horizontal="center"/>
      <protection locked="1" hidden="1"/>
    </xf>
    <xf numFmtId="49" fontId="51" fillId="8" borderId="24" applyAlignment="1" applyProtection="1" pivotButton="0" quotePrefix="0" xfId="0">
      <alignment horizontal="center"/>
      <protection locked="1" hidden="1"/>
    </xf>
    <xf numFmtId="9" fontId="51" fillId="8" borderId="10" applyAlignment="1" applyProtection="1" pivotButton="0" quotePrefix="0" xfId="3">
      <alignment horizontal="center"/>
      <protection locked="1" hidden="1"/>
    </xf>
    <xf numFmtId="171" fontId="51" fillId="8" borderId="10" applyAlignment="1" applyProtection="1" pivotButton="0" quotePrefix="0" xfId="6">
      <alignment horizontal="center"/>
      <protection locked="1" hidden="1"/>
    </xf>
    <xf numFmtId="164" fontId="51" fillId="8" borderId="10" applyAlignment="1" applyProtection="1" pivotButton="0" quotePrefix="0" xfId="6">
      <alignment horizontal="center"/>
      <protection locked="1" hidden="1"/>
    </xf>
    <xf numFmtId="171" fontId="4" fillId="13" borderId="10" applyAlignment="1" applyProtection="1" pivotButton="0" quotePrefix="0" xfId="6">
      <alignment horizontal="center"/>
      <protection locked="1" hidden="1"/>
    </xf>
    <xf numFmtId="170" fontId="51" fillId="8" borderId="8" applyAlignment="1" applyProtection="1" pivotButton="0" quotePrefix="0" xfId="1">
      <alignment horizontal="center"/>
      <protection locked="1" hidden="1"/>
    </xf>
    <xf numFmtId="172" fontId="51" fillId="8" borderId="10" applyAlignment="1" applyProtection="1" pivotButton="0" quotePrefix="0" xfId="0">
      <alignment horizontal="center"/>
      <protection locked="1" hidden="1"/>
    </xf>
    <xf numFmtId="1" fontId="51" fillId="8" borderId="10" applyAlignment="1" applyProtection="1" pivotButton="0" quotePrefix="0" xfId="0">
      <alignment horizontal="center"/>
      <protection locked="1" hidden="1"/>
    </xf>
    <xf numFmtId="0" fontId="51" fillId="8" borderId="9" applyAlignment="1" applyProtection="1" pivotButton="0" quotePrefix="0" xfId="0">
      <alignment horizontal="center"/>
      <protection locked="1" hidden="1"/>
    </xf>
    <xf numFmtId="170" fontId="51" fillId="8" borderId="9" applyAlignment="1" applyProtection="1" pivotButton="0" quotePrefix="0" xfId="3">
      <alignment horizontal="center"/>
      <protection locked="1" hidden="1"/>
    </xf>
    <xf numFmtId="173" fontId="51" fillId="8" borderId="10" applyAlignment="1" applyProtection="1" pivotButton="0" quotePrefix="0" xfId="1">
      <alignment horizontal="center"/>
      <protection locked="1" hidden="1"/>
    </xf>
    <xf numFmtId="175" fontId="51" fillId="8" borderId="10" applyAlignment="1" applyProtection="1" pivotButton="0" quotePrefix="0" xfId="1">
      <alignment horizontal="center"/>
      <protection locked="1" hidden="1"/>
    </xf>
    <xf numFmtId="174" fontId="51" fillId="8" borderId="10" applyAlignment="1" applyProtection="1" pivotButton="0" quotePrefix="0" xfId="2">
      <alignment horizontal="center"/>
      <protection locked="1" hidden="1"/>
    </xf>
    <xf numFmtId="164" fontId="2" fillId="0" borderId="10" applyAlignment="1" applyProtection="1" pivotButton="0" quotePrefix="0" xfId="2">
      <alignment horizontal="center"/>
      <protection locked="1" hidden="1"/>
    </xf>
    <xf numFmtId="164" fontId="51" fillId="8" borderId="10" applyAlignment="1" applyProtection="1" pivotButton="0" quotePrefix="0" xfId="2">
      <alignment horizontal="center"/>
      <protection locked="1" hidden="1"/>
    </xf>
    <xf numFmtId="168" fontId="4" fillId="13" borderId="10" applyAlignment="1" applyProtection="1" pivotButton="0" quotePrefix="0" xfId="6">
      <alignment horizontal="center"/>
      <protection locked="1" hidden="1"/>
    </xf>
    <xf numFmtId="0" fontId="32" fillId="0" borderId="10" applyProtection="1" pivotButton="0" quotePrefix="0" xfId="0">
      <protection locked="1" hidden="1"/>
    </xf>
    <xf numFmtId="174" fontId="51" fillId="0" borderId="0" applyAlignment="1" applyProtection="1" pivotButton="0" quotePrefix="0" xfId="2">
      <alignment horizontal="center"/>
      <protection locked="1" hidden="1"/>
    </xf>
    <xf numFmtId="170" fontId="2" fillId="0" borderId="10" applyAlignment="1" applyProtection="1" pivotButton="0" quotePrefix="0" xfId="1">
      <alignment horizontal="center"/>
      <protection locked="1" hidden="1"/>
    </xf>
    <xf numFmtId="170" fontId="51" fillId="8" borderId="10" applyAlignment="1" applyProtection="1" pivotButton="0" quotePrefix="0" xfId="1">
      <alignment horizontal="center"/>
      <protection locked="1" hidden="1"/>
    </xf>
    <xf numFmtId="172" fontId="51" fillId="8" borderId="10" applyAlignment="1" applyProtection="1" pivotButton="0" quotePrefix="0" xfId="2">
      <alignment horizontal="center"/>
      <protection locked="1" hidden="1"/>
    </xf>
    <xf numFmtId="0" fontId="2" fillId="0" borderId="10" applyAlignment="1" applyProtection="1" pivotButton="0" quotePrefix="0" xfId="2">
      <alignment horizontal="center"/>
      <protection locked="1" hidden="1"/>
    </xf>
    <xf numFmtId="176" fontId="2" fillId="0" borderId="10" applyAlignment="1" applyProtection="1" pivotButton="0" quotePrefix="0" xfId="1">
      <alignment horizontal="center"/>
      <protection locked="1" hidden="1"/>
    </xf>
    <xf numFmtId="0" fontId="51" fillId="8" borderId="27" applyAlignment="1" applyProtection="1" pivotButton="0" quotePrefix="0" xfId="0">
      <alignment horizontal="center"/>
      <protection locked="1" hidden="1"/>
    </xf>
    <xf numFmtId="49" fontId="51" fillId="8" borderId="10" applyAlignment="1" applyProtection="1" pivotButton="0" quotePrefix="0" xfId="0">
      <alignment horizontal="center"/>
      <protection locked="1" hidden="1"/>
    </xf>
    <xf numFmtId="0" fontId="22" fillId="0" borderId="0" applyAlignment="1" applyProtection="1" pivotButton="0" quotePrefix="0" xfId="0">
      <alignment horizontal="left"/>
      <protection locked="1" hidden="1"/>
    </xf>
    <xf numFmtId="0" fontId="44" fillId="0" borderId="0" applyProtection="1" pivotButton="0" quotePrefix="0" xfId="0">
      <protection locked="1" hidden="1"/>
    </xf>
    <xf numFmtId="170" fontId="51" fillId="0" borderId="0" applyAlignment="1" applyProtection="1" pivotButton="0" quotePrefix="0" xfId="3">
      <alignment horizontal="center"/>
      <protection locked="1" hidden="1"/>
    </xf>
    <xf numFmtId="170" fontId="51" fillId="8" borderId="37" applyAlignment="1" applyProtection="1" pivotButton="0" quotePrefix="0" xfId="3">
      <alignment horizontal="center"/>
      <protection locked="1" hidden="1"/>
    </xf>
    <xf numFmtId="3" fontId="51" fillId="8" borderId="37" applyAlignment="1" applyProtection="1" pivotButton="0" quotePrefix="0" xfId="1">
      <alignment horizontal="center"/>
      <protection locked="1" hidden="1"/>
    </xf>
    <xf numFmtId="0" fontId="51" fillId="0" borderId="0" applyProtection="1" pivotButton="0" quotePrefix="0" xfId="0">
      <protection locked="1" hidden="1"/>
    </xf>
    <xf numFmtId="0" fontId="44" fillId="13" borderId="36" applyProtection="1" pivotButton="0" quotePrefix="0" xfId="0">
      <protection locked="1" hidden="1"/>
    </xf>
    <xf numFmtId="0" fontId="22" fillId="13" borderId="3" applyProtection="1" pivotButton="0" quotePrefix="0" xfId="0">
      <protection locked="1" hidden="1"/>
    </xf>
    <xf numFmtId="3" fontId="2" fillId="0" borderId="10" applyAlignment="1" applyProtection="1" pivotButton="0" quotePrefix="0" xfId="1">
      <alignment horizontal="center"/>
      <protection locked="1" hidden="1"/>
    </xf>
    <xf numFmtId="3" fontId="51" fillId="8" borderId="10" applyAlignment="1" applyProtection="1" pivotButton="0" quotePrefix="0" xfId="1">
      <alignment horizontal="center"/>
      <protection locked="1" hidden="1"/>
    </xf>
    <xf numFmtId="0" fontId="22" fillId="0" borderId="37" applyProtection="1" pivotButton="0" quotePrefix="0" xfId="0">
      <protection locked="1" hidden="1"/>
    </xf>
    <xf numFmtId="170" fontId="2" fillId="0" borderId="10" applyAlignment="1" applyProtection="1" pivotButton="0" quotePrefix="0" xfId="6">
      <alignment horizontal="center"/>
      <protection locked="1" hidden="1"/>
    </xf>
    <xf numFmtId="170" fontId="51" fillId="8" borderId="10" applyAlignment="1" applyProtection="1" pivotButton="0" quotePrefix="0" xfId="6">
      <alignment horizontal="center"/>
      <protection locked="1" hidden="1"/>
    </xf>
    <xf numFmtId="170" fontId="51" fillId="8" borderId="37" applyAlignment="1" applyProtection="1" pivotButton="0" quotePrefix="0" xfId="0">
      <alignment horizontal="center"/>
      <protection locked="1" hidden="1"/>
    </xf>
    <xf numFmtId="170" fontId="2" fillId="0" borderId="37" applyAlignment="1" applyProtection="1" pivotButton="0" quotePrefix="0" xfId="6">
      <alignment horizontal="center"/>
      <protection locked="1" hidden="1"/>
    </xf>
    <xf numFmtId="172" fontId="2" fillId="0" borderId="10" applyAlignment="1" applyProtection="1" pivotButton="0" quotePrefix="0" xfId="3">
      <alignment horizontal="center"/>
      <protection locked="1" hidden="1"/>
    </xf>
    <xf numFmtId="170" fontId="2" fillId="0" borderId="37" applyAlignment="1" applyProtection="1" pivotButton="0" quotePrefix="0" xfId="3">
      <alignment horizontal="center"/>
      <protection locked="1" hidden="1"/>
    </xf>
    <xf numFmtId="0" fontId="53" fillId="0" borderId="10" applyAlignment="1" applyProtection="1" pivotButton="0" quotePrefix="0" xfId="0">
      <alignment horizontal="center"/>
      <protection locked="1" hidden="1"/>
    </xf>
    <xf numFmtId="0" fontId="54" fillId="8" borderId="10" applyAlignment="1" applyProtection="1" pivotButton="0" quotePrefix="0" xfId="0">
      <alignment horizontal="center"/>
      <protection locked="1" hidden="1"/>
    </xf>
    <xf numFmtId="172" fontId="53" fillId="0" borderId="10" applyAlignment="1" applyProtection="1" pivotButton="0" quotePrefix="0" xfId="1">
      <alignment horizontal="center"/>
      <protection locked="1" hidden="1"/>
    </xf>
    <xf numFmtId="172" fontId="54" fillId="8" borderId="10" applyAlignment="1" applyProtection="1" pivotButton="0" quotePrefix="0" xfId="1">
      <alignment horizontal="center"/>
      <protection locked="1" hidden="1"/>
    </xf>
    <xf numFmtId="0" fontId="53" fillId="0" borderId="10" applyProtection="1" pivotButton="0" quotePrefix="0" xfId="0">
      <protection locked="1" hidden="1"/>
    </xf>
    <xf numFmtId="0" fontId="54" fillId="8" borderId="10" applyProtection="1" pivotButton="0" quotePrefix="0" xfId="0">
      <protection locked="1" hidden="1"/>
    </xf>
    <xf numFmtId="171" fontId="2" fillId="0" borderId="10" applyAlignment="1" applyProtection="1" pivotButton="0" quotePrefix="0" xfId="6">
      <alignment horizontal="center"/>
      <protection locked="1" hidden="1"/>
    </xf>
    <xf numFmtId="0" fontId="53" fillId="0" borderId="9" applyProtection="1" pivotButton="0" quotePrefix="0" xfId="0">
      <protection locked="1" hidden="1"/>
    </xf>
    <xf numFmtId="0" fontId="54" fillId="8" borderId="6" applyProtection="1" pivotButton="0" quotePrefix="0" xfId="0">
      <protection locked="1" hidden="1"/>
    </xf>
    <xf numFmtId="43" fontId="53" fillId="0" borderId="10" applyAlignment="1" applyProtection="1" pivotButton="0" quotePrefix="0" xfId="1">
      <alignment horizontal="center"/>
      <protection locked="1" hidden="1"/>
    </xf>
    <xf numFmtId="43" fontId="54" fillId="8" borderId="10" applyAlignment="1" applyProtection="1" pivotButton="0" quotePrefix="0" xfId="1">
      <alignment horizontal="center"/>
      <protection locked="1" hidden="1"/>
    </xf>
    <xf numFmtId="170" fontId="53" fillId="0" borderId="10" applyAlignment="1" applyProtection="1" pivotButton="0" quotePrefix="0" xfId="3">
      <alignment horizontal="center"/>
      <protection locked="1" hidden="1"/>
    </xf>
    <xf numFmtId="170" fontId="54" fillId="8" borderId="10" applyAlignment="1" applyProtection="1" pivotButton="0" quotePrefix="0" xfId="3">
      <alignment horizontal="center"/>
      <protection locked="1" hidden="1"/>
    </xf>
    <xf numFmtId="170" fontId="53" fillId="0" borderId="7" applyAlignment="1" applyProtection="1" pivotButton="0" quotePrefix="0" xfId="3">
      <alignment horizontal="center"/>
      <protection locked="1" hidden="1"/>
    </xf>
    <xf numFmtId="0" fontId="53" fillId="0" borderId="0" applyAlignment="1" applyProtection="1" pivotButton="0" quotePrefix="0" xfId="0">
      <alignment horizontal="center"/>
      <protection locked="1" hidden="1"/>
    </xf>
    <xf numFmtId="171" fontId="55" fillId="14" borderId="10" applyAlignment="1" applyProtection="1" pivotButton="0" quotePrefix="0" xfId="6">
      <alignment horizontal="center"/>
      <protection locked="1" hidden="1"/>
    </xf>
    <xf numFmtId="170" fontId="2" fillId="0" borderId="37" applyAlignment="1" applyProtection="1" pivotButton="0" quotePrefix="0" xfId="3">
      <alignment horizontal="center"/>
      <protection locked="1" hidden="1"/>
    </xf>
    <xf numFmtId="172" fontId="2" fillId="10" borderId="1" applyAlignment="1" applyProtection="1" pivotButton="0" quotePrefix="0" xfId="0">
      <alignment horizontal="center"/>
      <protection locked="0" hidden="0"/>
    </xf>
    <xf numFmtId="172" fontId="33" fillId="0" borderId="2" applyAlignment="1" applyProtection="1" pivotButton="0" quotePrefix="1" xfId="0">
      <alignment horizontal="center"/>
      <protection locked="1" hidden="1"/>
    </xf>
    <xf numFmtId="172" fontId="33" fillId="0" borderId="3" applyAlignment="1" applyProtection="1" pivotButton="0" quotePrefix="1" xfId="0">
      <alignment horizontal="center"/>
      <protection locked="1" hidden="1"/>
    </xf>
    <xf numFmtId="172" fontId="2" fillId="0" borderId="9" applyAlignment="1" applyProtection="1" pivotButton="0" quotePrefix="0" xfId="0">
      <alignment horizontal="center"/>
      <protection locked="1" hidden="1"/>
    </xf>
    <xf numFmtId="49" fontId="49" fillId="18" borderId="1" applyAlignment="1" applyProtection="1" pivotButton="0" quotePrefix="0" xfId="0">
      <alignment horizontal="center"/>
      <protection locked="0" hidden="0"/>
    </xf>
    <xf numFmtId="168" fontId="2" fillId="16" borderId="1" applyAlignment="1" applyProtection="1" pivotButton="0" quotePrefix="0" xfId="0">
      <alignment horizontal="right"/>
      <protection locked="0" hidden="0"/>
    </xf>
    <xf numFmtId="0" fontId="2" fillId="16" borderId="1" applyAlignment="1" applyProtection="1" pivotButton="0" quotePrefix="0" xfId="0">
      <alignment horizontal="right"/>
      <protection locked="0" hidden="0"/>
    </xf>
    <xf numFmtId="0" fontId="2" fillId="16" borderId="1" applyAlignment="1" applyProtection="1" pivotButton="0" quotePrefix="0" xfId="0">
      <alignment horizontal="center"/>
      <protection locked="0" hidden="0"/>
    </xf>
    <xf numFmtId="172" fontId="2" fillId="16" borderId="1" applyAlignment="1" applyProtection="1" pivotButton="0" quotePrefix="0" xfId="0">
      <alignment horizontal="center"/>
      <protection locked="0" hidden="0"/>
    </xf>
    <xf numFmtId="168" fontId="56" fillId="16" borderId="2" applyAlignment="1" applyProtection="1" pivotButton="0" quotePrefix="0" xfId="0">
      <alignment horizontal="right"/>
      <protection locked="0" hidden="0"/>
    </xf>
    <xf numFmtId="10" fontId="2" fillId="16" borderId="1" applyProtection="1" pivotButton="0" quotePrefix="0" xfId="0">
      <protection locked="0" hidden="0"/>
    </xf>
    <xf numFmtId="3" fontId="2" fillId="16" borderId="1" applyProtection="1" pivotButton="0" quotePrefix="0" xfId="0">
      <protection locked="0" hidden="0"/>
    </xf>
    <xf numFmtId="3" fontId="56" fillId="16" borderId="29" applyProtection="1" pivotButton="0" quotePrefix="0" xfId="0">
      <protection locked="0" hidden="0"/>
    </xf>
    <xf numFmtId="168" fontId="56" fillId="16" borderId="29" applyProtection="1" pivotButton="0" quotePrefix="0" xfId="0">
      <protection locked="0" hidden="0"/>
    </xf>
    <xf numFmtId="0" fontId="56" fillId="16" borderId="31" applyProtection="1" pivotButton="0" quotePrefix="0" xfId="0">
      <protection locked="0" hidden="0"/>
    </xf>
    <xf numFmtId="3" fontId="2" fillId="16" borderId="1" applyAlignment="1" applyProtection="1" pivotButton="0" quotePrefix="0" xfId="0">
      <alignment horizontal="right"/>
      <protection locked="0" hidden="0"/>
    </xf>
    <xf numFmtId="177" fontId="2" fillId="16" borderId="1" applyAlignment="1" applyProtection="1" pivotButton="0" quotePrefix="0" xfId="0">
      <alignment horizontal="right"/>
      <protection locked="0" hidden="0"/>
    </xf>
    <xf numFmtId="10" fontId="2" fillId="16" borderId="1" applyAlignment="1" applyProtection="1" pivotButton="0" quotePrefix="0" xfId="0">
      <alignment horizontal="right"/>
      <protection locked="0" hidden="0"/>
    </xf>
    <xf numFmtId="9" fontId="2" fillId="16" borderId="1" applyAlignment="1" applyProtection="1" pivotButton="0" quotePrefix="0" xfId="0">
      <alignment horizontal="right"/>
      <protection locked="0" hidden="0"/>
    </xf>
    <xf numFmtId="172" fontId="2" fillId="0" borderId="1" applyAlignment="1" pivotButton="0" quotePrefix="0" xfId="0">
      <alignment horizontal="center"/>
    </xf>
    <xf numFmtId="0" fontId="22" fillId="0" borderId="0" pivotButton="0" quotePrefix="0" xfId="0"/>
    <xf numFmtId="168" fontId="57" fillId="17" borderId="1" applyProtection="1" pivotButton="0" quotePrefix="0" xfId="0">
      <protection locked="0" hidden="0"/>
    </xf>
    <xf numFmtId="0" fontId="6" fillId="0" borderId="0" applyProtection="1" pivotButton="0" quotePrefix="0" xfId="0">
      <protection locked="0" hidden="1"/>
    </xf>
    <xf numFmtId="168" fontId="6" fillId="0" borderId="0" applyProtection="1" pivotButton="0" quotePrefix="0" xfId="0">
      <protection locked="0" hidden="1"/>
    </xf>
    <xf numFmtId="170" fontId="6" fillId="0" borderId="0" applyProtection="1" pivotButton="0" quotePrefix="0" xfId="0">
      <protection locked="0" hidden="1"/>
    </xf>
    <xf numFmtId="0" fontId="35" fillId="8" borderId="0" applyProtection="1" pivotButton="0" quotePrefix="0" xfId="0">
      <protection locked="0" hidden="1"/>
    </xf>
    <xf numFmtId="168" fontId="35" fillId="8" borderId="0" applyProtection="1" pivotButton="0" quotePrefix="0" xfId="0">
      <protection locked="0" hidden="1"/>
    </xf>
    <xf numFmtId="170" fontId="35" fillId="8" borderId="0" applyProtection="1" pivotButton="0" quotePrefix="0" xfId="0">
      <protection locked="0" hidden="1"/>
    </xf>
    <xf numFmtId="170" fontId="35" fillId="8" borderId="0" applyProtection="1" pivotButton="0" quotePrefix="0" xfId="3">
      <protection locked="0" hidden="1"/>
    </xf>
    <xf numFmtId="0" fontId="7" fillId="0" borderId="11" applyAlignment="1" applyProtection="1" pivotButton="0" quotePrefix="0" xfId="0">
      <alignment horizontal="center" vertical="center"/>
      <protection locked="0" hidden="1"/>
    </xf>
    <xf numFmtId="0" fontId="7" fillId="0" borderId="14" applyProtection="1" pivotButton="0" quotePrefix="0" xfId="0">
      <protection locked="0" hidden="1"/>
    </xf>
    <xf numFmtId="168" fontId="6" fillId="0" borderId="15" applyAlignment="1" applyProtection="1" pivotButton="0" quotePrefix="0" xfId="2">
      <alignment horizontal="right"/>
      <protection locked="0" hidden="1"/>
    </xf>
    <xf numFmtId="170" fontId="6" fillId="0" borderId="16" applyProtection="1" pivotButton="0" quotePrefix="0" xfId="0">
      <protection locked="0" hidden="1"/>
    </xf>
    <xf numFmtId="170" fontId="6" fillId="0" borderId="16" applyProtection="1" pivotButton="0" quotePrefix="0" xfId="3">
      <protection locked="0" hidden="1"/>
    </xf>
    <xf numFmtId="168" fontId="6" fillId="0" borderId="17" applyAlignment="1" applyProtection="1" pivotButton="0" quotePrefix="0" xfId="2">
      <alignment horizontal="right"/>
      <protection locked="0" hidden="1"/>
    </xf>
    <xf numFmtId="170" fontId="6" fillId="0" borderId="16" applyAlignment="1" applyProtection="1" pivotButton="0" quotePrefix="0" xfId="0">
      <alignment horizontal="right"/>
      <protection locked="0" hidden="1"/>
    </xf>
    <xf numFmtId="170" fontId="12" fillId="0" borderId="16" applyProtection="1" pivotButton="0" quotePrefix="0" xfId="0">
      <protection locked="0" hidden="1"/>
    </xf>
    <xf numFmtId="0" fontId="10" fillId="0" borderId="14" applyProtection="1" pivotButton="0" quotePrefix="0" xfId="0">
      <protection locked="0" hidden="1"/>
    </xf>
    <xf numFmtId="168" fontId="6" fillId="0" borderId="17" applyProtection="1" pivotButton="0" quotePrefix="0" xfId="0">
      <protection locked="0" hidden="1"/>
    </xf>
    <xf numFmtId="0" fontId="7" fillId="0" borderId="32" applyProtection="1" pivotButton="0" quotePrefix="0" xfId="0">
      <protection locked="0" hidden="1"/>
    </xf>
    <xf numFmtId="168" fontId="6" fillId="0" borderId="35" applyAlignment="1" applyProtection="1" pivotButton="0" quotePrefix="0" xfId="2">
      <alignment horizontal="right"/>
      <protection locked="0" hidden="1"/>
    </xf>
    <xf numFmtId="170" fontId="6" fillId="0" borderId="16" applyAlignment="1" applyProtection="1" pivotButton="0" quotePrefix="0" xfId="3">
      <alignment horizontal="right"/>
      <protection locked="0" hidden="1"/>
    </xf>
    <xf numFmtId="164" fontId="7" fillId="0" borderId="18" applyAlignment="1" applyProtection="1" pivotButton="0" quotePrefix="0" xfId="0">
      <alignment vertical="center"/>
      <protection locked="0" hidden="1"/>
    </xf>
    <xf numFmtId="168" fontId="6" fillId="0" borderId="19" applyAlignment="1" applyProtection="1" pivotButton="0" quotePrefix="0" xfId="2">
      <alignment horizontal="right" vertical="center"/>
      <protection locked="0" hidden="1"/>
    </xf>
    <xf numFmtId="170" fontId="6" fillId="0" borderId="20" applyAlignment="1" applyProtection="1" pivotButton="0" quotePrefix="0" xfId="0">
      <alignment vertical="center"/>
      <protection locked="0" hidden="1"/>
    </xf>
    <xf numFmtId="170" fontId="6" fillId="0" borderId="20" applyAlignment="1" applyProtection="1" pivotButton="0" quotePrefix="0" xfId="3">
      <alignment horizontal="right" vertical="center"/>
      <protection locked="0" hidden="1"/>
    </xf>
    <xf numFmtId="164" fontId="7" fillId="0" borderId="0" applyProtection="1" pivotButton="0" quotePrefix="0" xfId="0">
      <protection locked="0" hidden="1"/>
    </xf>
    <xf numFmtId="168" fontId="6" fillId="0" borderId="0" applyProtection="1" pivotButton="0" quotePrefix="0" xfId="2">
      <protection locked="0" hidden="1"/>
    </xf>
    <xf numFmtId="168" fontId="13" fillId="0" borderId="0" applyProtection="1" pivotButton="0" quotePrefix="0" xfId="2">
      <protection locked="0" hidden="1"/>
    </xf>
    <xf numFmtId="170" fontId="6" fillId="0" borderId="0" applyProtection="1" pivotButton="0" quotePrefix="0" xfId="3">
      <protection locked="0" hidden="1"/>
    </xf>
    <xf numFmtId="9" fontId="35" fillId="8" borderId="0" applyProtection="1" pivotButton="0" quotePrefix="0" xfId="3">
      <protection locked="0" hidden="1"/>
    </xf>
    <xf numFmtId="170" fontId="6" fillId="0" borderId="20" applyAlignment="1" applyProtection="1" pivotButton="0" quotePrefix="0" xfId="3">
      <alignment horizontal="right"/>
      <protection locked="0" hidden="1"/>
    </xf>
    <xf numFmtId="164" fontId="35" fillId="8" borderId="0" applyAlignment="1" applyProtection="1" pivotButton="0" quotePrefix="0" xfId="0">
      <alignment vertical="center"/>
      <protection locked="0" hidden="1"/>
    </xf>
    <xf numFmtId="168" fontId="36" fillId="8" borderId="0" applyAlignment="1" applyProtection="1" pivotButton="0" quotePrefix="0" xfId="2">
      <alignment horizontal="right" vertical="center"/>
      <protection locked="0" hidden="1"/>
    </xf>
    <xf numFmtId="170" fontId="36" fillId="8" borderId="0" applyAlignment="1" applyProtection="1" pivotButton="0" quotePrefix="0" xfId="3">
      <alignment horizontal="right" vertical="center"/>
      <protection locked="0" hidden="1"/>
    </xf>
    <xf numFmtId="168" fontId="35" fillId="8" borderId="0" applyAlignment="1" applyProtection="1" pivotButton="0" quotePrefix="0" xfId="0">
      <alignment vertical="center"/>
      <protection locked="0" hidden="1"/>
    </xf>
    <xf numFmtId="170" fontId="36" fillId="8" borderId="0" applyAlignment="1" applyProtection="1" pivotButton="0" quotePrefix="0" xfId="2">
      <alignment horizontal="right" vertical="center"/>
      <protection locked="0" hidden="1"/>
    </xf>
    <xf numFmtId="168" fontId="13" fillId="0" borderId="0" applyProtection="1" pivotButton="0" quotePrefix="0" xfId="0">
      <protection locked="0" hidden="1"/>
    </xf>
    <xf numFmtId="0" fontId="6" fillId="0" borderId="14" applyProtection="1" pivotButton="0" quotePrefix="0" xfId="0">
      <protection locked="0" hidden="1"/>
    </xf>
    <xf numFmtId="168" fontId="6" fillId="0" borderId="15" applyProtection="1" pivotButton="0" quotePrefix="0" xfId="0">
      <protection locked="0" hidden="1"/>
    </xf>
    <xf numFmtId="168" fontId="6" fillId="0" borderId="17" applyProtection="1" pivotButton="0" quotePrefix="0" xfId="1">
      <protection locked="0" hidden="1"/>
    </xf>
    <xf numFmtId="168" fontId="6" fillId="0" borderId="17" applyProtection="1" pivotButton="0" quotePrefix="0" xfId="2">
      <protection locked="0" hidden="1"/>
    </xf>
    <xf numFmtId="168" fontId="6" fillId="0" borderId="35" applyProtection="1" pivotButton="0" quotePrefix="0" xfId="2">
      <protection locked="0" hidden="1"/>
    </xf>
    <xf numFmtId="168" fontId="6" fillId="0" borderId="19" applyAlignment="1" applyProtection="1" pivotButton="0" quotePrefix="0" xfId="2">
      <alignment vertical="center"/>
      <protection locked="0" hidden="1"/>
    </xf>
    <xf numFmtId="170" fontId="6" fillId="0" borderId="20" applyAlignment="1" applyProtection="1" pivotButton="0" quotePrefix="0" xfId="0">
      <alignment horizontal="right" vertical="center"/>
      <protection locked="0" hidden="1"/>
    </xf>
    <xf numFmtId="175" fontId="51" fillId="8" borderId="0" applyAlignment="1" applyProtection="1" pivotButton="0" quotePrefix="0" xfId="0">
      <alignment horizontal="center"/>
      <protection locked="1" hidden="1"/>
    </xf>
    <xf numFmtId="172" fontId="51" fillId="8" borderId="0" applyAlignment="1" applyProtection="1" pivotButton="0" quotePrefix="0" xfId="0">
      <alignment horizontal="center"/>
      <protection locked="1" hidden="1"/>
    </xf>
    <xf numFmtId="172" fontId="51" fillId="8" borderId="0" applyAlignment="1" applyProtection="1" pivotButton="0" quotePrefix="0" xfId="3">
      <alignment horizontal="center"/>
      <protection locked="1" hidden="1"/>
    </xf>
    <xf numFmtId="9" fontId="51" fillId="8" borderId="0" applyAlignment="1" applyProtection="1" pivotButton="0" quotePrefix="0" xfId="3">
      <alignment horizontal="center"/>
      <protection locked="1" hidden="1"/>
    </xf>
    <xf numFmtId="170" fontId="51" fillId="8" borderId="0" applyAlignment="1" applyProtection="1" pivotButton="0" quotePrefix="0" xfId="3">
      <alignment horizontal="center"/>
      <protection locked="1" hidden="1"/>
    </xf>
    <xf numFmtId="0" fontId="51" fillId="8" borderId="0" applyAlignment="1" applyProtection="1" pivotButton="0" quotePrefix="0" xfId="0">
      <alignment horizontal="center"/>
      <protection locked="1" hidden="1"/>
    </xf>
    <xf numFmtId="170" fontId="51" fillId="8" borderId="0" applyAlignment="1" applyProtection="1" pivotButton="0" quotePrefix="0" xfId="0">
      <alignment horizontal="center"/>
      <protection locked="1" hidden="1"/>
    </xf>
    <xf numFmtId="170" fontId="54" fillId="8" borderId="0" applyAlignment="1" applyProtection="1" pivotButton="0" quotePrefix="0" xfId="0">
      <alignment horizontal="center"/>
      <protection locked="1" hidden="1"/>
    </xf>
    <xf numFmtId="0" fontId="0" fillId="7" borderId="0" pivotButton="0" quotePrefix="0" xfId="0"/>
    <xf numFmtId="0" fontId="15" fillId="0" borderId="0" pivotButton="0" quotePrefix="0" xfId="0"/>
    <xf numFmtId="0" fontId="17" fillId="0" borderId="0" applyAlignment="1" pivotButton="0" quotePrefix="0" xfId="0">
      <alignment horizontal="left" wrapText="1"/>
    </xf>
    <xf numFmtId="0" fontId="18" fillId="0" borderId="0" applyAlignment="1" pivotButton="0" quotePrefix="0" xfId="0">
      <alignment horizontal="left" wrapText="1"/>
    </xf>
    <xf numFmtId="0" fontId="38" fillId="8" borderId="0" pivotButton="0" quotePrefix="0" xfId="0"/>
    <xf numFmtId="0" fontId="24" fillId="0" borderId="0" applyAlignment="1" pivotButton="0" quotePrefix="0" xfId="0">
      <alignment vertical="top"/>
    </xf>
    <xf numFmtId="0" fontId="17" fillId="0" borderId="0" applyAlignment="1" pivotButton="0" quotePrefix="0" xfId="0">
      <alignment horizontal="left" vertical="top" wrapText="1"/>
    </xf>
    <xf numFmtId="0" fontId="32"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15" fillId="8" borderId="0" pivotButton="0" quotePrefix="0" xfId="0"/>
    <xf numFmtId="0" fontId="0" fillId="8" borderId="0" pivotButton="0" quotePrefix="0" xfId="0"/>
    <xf numFmtId="0" fontId="17" fillId="8" borderId="0" applyAlignment="1" pivotButton="0" quotePrefix="0" xfId="0">
      <alignment horizontal="left" wrapText="1"/>
    </xf>
    <xf numFmtId="49" fontId="24" fillId="18" borderId="37" applyAlignment="1" applyProtection="1" pivotButton="0" quotePrefix="0" xfId="0">
      <alignment horizontal="center"/>
      <protection locked="0" hidden="0"/>
    </xf>
    <xf numFmtId="49" fontId="4" fillId="18" borderId="37" applyAlignment="1" applyProtection="1" pivotButton="0" quotePrefix="0" xfId="0">
      <alignment horizontal="center"/>
      <protection locked="0" hidden="0"/>
    </xf>
    <xf numFmtId="1" fontId="4" fillId="18" borderId="37" applyAlignment="1" applyProtection="1" pivotButton="0" quotePrefix="0" xfId="0">
      <alignment horizontal="center"/>
      <protection locked="0" hidden="0"/>
    </xf>
    <xf numFmtId="164" fontId="8" fillId="0" borderId="37" applyAlignment="1" applyProtection="1" pivotButton="0" quotePrefix="0" xfId="2">
      <alignment horizontal="right"/>
      <protection locked="1" hidden="1"/>
    </xf>
    <xf numFmtId="164" fontId="2" fillId="0" borderId="37" applyAlignment="1" applyProtection="1" pivotButton="0" quotePrefix="0" xfId="2">
      <alignment horizontal="right"/>
      <protection locked="1" hidden="1"/>
    </xf>
    <xf numFmtId="172" fontId="33" fillId="0" borderId="37" applyAlignment="1" applyProtection="1" pivotButton="0" quotePrefix="1" xfId="0">
      <alignment horizontal="center"/>
      <protection locked="1" hidden="1"/>
    </xf>
    <xf numFmtId="169" fontId="8" fillId="0" borderId="37" applyAlignment="1" applyProtection="1" pivotButton="0" quotePrefix="0" xfId="0">
      <alignment horizontal="center"/>
      <protection locked="1" hidden="1"/>
    </xf>
    <xf numFmtId="168" fontId="8" fillId="0" borderId="38" applyAlignment="1" applyProtection="1" pivotButton="0" quotePrefix="0" xfId="5">
      <alignment horizontal="right"/>
      <protection locked="1" hidden="1"/>
    </xf>
    <xf numFmtId="38" fontId="8" fillId="0" borderId="38" applyAlignment="1" applyProtection="1" pivotButton="0" quotePrefix="0" xfId="5">
      <alignment horizontal="right"/>
      <protection locked="1" hidden="1"/>
    </xf>
    <xf numFmtId="170" fontId="12" fillId="0" borderId="39" applyProtection="1" pivotButton="0" quotePrefix="0" xfId="0">
      <protection locked="0" hidden="1"/>
    </xf>
    <xf numFmtId="170" fontId="6" fillId="0" borderId="39" applyAlignment="1" applyProtection="1" pivotButton="0" quotePrefix="0" xfId="3">
      <alignment horizontal="right"/>
      <protection locked="0" hidden="1"/>
    </xf>
    <xf numFmtId="170" fontId="6" fillId="0" borderId="39" applyAlignment="1" applyProtection="1" pivotButton="0" quotePrefix="0" xfId="0">
      <alignment horizontal="right"/>
      <protection locked="0" hidden="1"/>
    </xf>
    <xf numFmtId="171" fontId="2" fillId="0" borderId="37" applyAlignment="1" applyProtection="1" pivotButton="0" quotePrefix="0" xfId="0">
      <alignment horizontal="center"/>
      <protection locked="1" hidden="1"/>
    </xf>
    <xf numFmtId="171" fontId="51" fillId="8" borderId="37" applyAlignment="1" applyProtection="1" pivotButton="0" quotePrefix="0" xfId="0">
      <alignment horizontal="center"/>
      <protection locked="1" hidden="1"/>
    </xf>
    <xf numFmtId="9" fontId="51" fillId="8" borderId="37" applyAlignment="1" applyProtection="1" pivotButton="0" quotePrefix="0" xfId="3">
      <alignment horizontal="center"/>
      <protection locked="1" hidden="1"/>
    </xf>
    <xf numFmtId="0" fontId="2" fillId="0" borderId="37" applyProtection="1" pivotButton="0" quotePrefix="0" xfId="0">
      <protection locked="1" hidden="1"/>
    </xf>
    <xf numFmtId="0" fontId="2" fillId="0" borderId="37" applyAlignment="1" applyProtection="1" pivotButton="0" quotePrefix="0" xfId="2">
      <alignment horizontal="center"/>
      <protection locked="1" hidden="1"/>
    </xf>
    <xf numFmtId="172" fontId="51" fillId="8" borderId="37" applyAlignment="1" applyProtection="1" pivotButton="0" quotePrefix="0" xfId="2">
      <alignment horizontal="center"/>
      <protection locked="1" hidden="1"/>
    </xf>
    <xf numFmtId="1" fontId="2" fillId="0" borderId="37" applyAlignment="1" applyProtection="1" pivotButton="0" quotePrefix="0" xfId="0">
      <alignment horizontal="center"/>
      <protection locked="1" hidden="1"/>
    </xf>
    <xf numFmtId="1" fontId="51" fillId="8" borderId="37" applyAlignment="1" applyProtection="1" pivotButton="0" quotePrefix="0" xfId="0">
      <alignment horizontal="center"/>
      <protection locked="1" hidden="1"/>
    </xf>
    <xf numFmtId="0" fontId="22" fillId="0" borderId="37" applyAlignment="1" applyProtection="1" pivotButton="0" quotePrefix="0" xfId="0">
      <alignment horizontal="left"/>
      <protection locked="1" hidden="1"/>
    </xf>
    <xf numFmtId="3" fontId="2" fillId="0" borderId="37" applyAlignment="1" applyProtection="1" pivotButton="0" quotePrefix="0" xfId="1">
      <alignment horizontal="center"/>
      <protection locked="1" hidden="1"/>
    </xf>
    <xf numFmtId="170" fontId="2" fillId="0" borderId="37" applyAlignment="1" applyProtection="1" pivotButton="0" quotePrefix="0" xfId="1">
      <alignment horizontal="center"/>
      <protection locked="1" hidden="1"/>
    </xf>
    <xf numFmtId="1" fontId="2" fillId="0" borderId="37" applyAlignment="1" applyProtection="1" pivotButton="0" quotePrefix="0" xfId="3">
      <alignment horizontal="center"/>
      <protection locked="1" hidden="1"/>
    </xf>
    <xf numFmtId="170" fontId="12" fillId="0" borderId="40" applyAlignment="1" applyProtection="1" pivotButton="0" quotePrefix="0" xfId="0">
      <alignment horizontal="center"/>
      <protection locked="1" hidden="1"/>
    </xf>
    <xf numFmtId="0" fontId="22" fillId="0" borderId="41" applyProtection="1" pivotButton="0" quotePrefix="0" xfId="0">
      <protection locked="1" hidden="1"/>
    </xf>
    <xf numFmtId="1" fontId="4" fillId="0" borderId="41" applyAlignment="1" applyProtection="1" pivotButton="0" quotePrefix="0" xfId="0">
      <alignment horizontal="center"/>
      <protection locked="1" hidden="1"/>
    </xf>
    <xf numFmtId="1" fontId="51" fillId="8" borderId="41" applyAlignment="1" applyProtection="1" pivotButton="0" quotePrefix="0" xfId="0">
      <alignment horizontal="center"/>
      <protection locked="1" hidden="1"/>
    </xf>
    <xf numFmtId="170" fontId="2" fillId="0" borderId="41" applyAlignment="1" applyProtection="1" pivotButton="0" quotePrefix="0" xfId="3">
      <alignment horizontal="center"/>
      <protection locked="1" hidden="1"/>
    </xf>
    <xf numFmtId="170" fontId="51" fillId="8" borderId="41" applyAlignment="1" applyProtection="1" pivotButton="0" quotePrefix="0" xfId="3">
      <alignment horizontal="center"/>
      <protection locked="1" hidden="1"/>
    </xf>
    <xf numFmtId="1" fontId="2" fillId="0" borderId="41" applyAlignment="1" applyProtection="1" pivotButton="0" quotePrefix="0" xfId="0">
      <alignment horizontal="center"/>
      <protection locked="1" hidden="1"/>
    </xf>
    <xf numFmtId="0" fontId="2" fillId="8" borderId="42" applyProtection="1" pivotButton="0" quotePrefix="0" xfId="0">
      <protection locked="1" hidden="1"/>
    </xf>
    <xf numFmtId="39" fontId="2" fillId="16" borderId="1" applyAlignment="1" applyProtection="1" pivotButton="0" quotePrefix="0" xfId="0">
      <alignment horizontal="right"/>
      <protection locked="0" hidden="0"/>
    </xf>
    <xf numFmtId="167" fontId="2" fillId="11" borderId="1" applyAlignment="1" applyProtection="1" pivotButton="0" quotePrefix="0" xfId="2">
      <alignment horizontal="right"/>
      <protection locked="0" hidden="0"/>
    </xf>
    <xf numFmtId="2" fontId="2" fillId="11" borderId="1" applyAlignment="1" applyProtection="1" pivotButton="0" quotePrefix="0" xfId="3">
      <alignment horizontal="right"/>
      <protection locked="0" hidden="0"/>
    </xf>
    <xf numFmtId="0" fontId="64" fillId="0" borderId="0" applyAlignment="1" pivotButton="0" quotePrefix="0" xfId="0">
      <alignment horizontal="right" vertical="top" readingOrder="1"/>
    </xf>
    <xf numFmtId="0" fontId="64" fillId="0" borderId="0" applyAlignment="1" pivotButton="0" quotePrefix="0" xfId="0">
      <alignment horizontal="left" vertical="top" readingOrder="1"/>
    </xf>
    <xf numFmtId="0" fontId="65" fillId="0" borderId="0" applyAlignment="1" pivotButton="0" quotePrefix="0" xfId="0">
      <alignment vertical="top" readingOrder="1"/>
    </xf>
    <xf numFmtId="43" fontId="64" fillId="0" borderId="0" applyAlignment="1" pivotButton="0" quotePrefix="0" xfId="1">
      <alignment horizontal="right" vertical="top" readingOrder="1"/>
    </xf>
    <xf numFmtId="43" fontId="64" fillId="0" borderId="0" applyAlignment="1" pivotButton="0" quotePrefix="0" xfId="1">
      <alignment horizontal="right" vertical="top" wrapText="1" readingOrder="1"/>
    </xf>
    <xf numFmtId="43" fontId="0" fillId="0" borderId="0" pivotButton="0" quotePrefix="0" xfId="1"/>
    <xf numFmtId="43" fontId="65" fillId="0" borderId="0" applyAlignment="1" pivotButton="0" quotePrefix="0" xfId="1">
      <alignment vertical="top" readingOrder="1"/>
    </xf>
    <xf numFmtId="43" fontId="65" fillId="0" borderId="0" applyAlignment="1" pivotButton="0" quotePrefix="0" xfId="1">
      <alignment vertical="top" wrapText="1" readingOrder="1"/>
    </xf>
    <xf numFmtId="43" fontId="64" fillId="15" borderId="0" applyAlignment="1" pivotButton="0" quotePrefix="0" xfId="1">
      <alignment horizontal="right" vertical="top" wrapText="1" readingOrder="1"/>
    </xf>
    <xf numFmtId="43" fontId="2" fillId="16" borderId="1" applyAlignment="1" applyProtection="1" pivotButton="0" quotePrefix="0" xfId="0">
      <alignment horizontal="right"/>
      <protection locked="0" hidden="0"/>
    </xf>
    <xf numFmtId="178" fontId="2" fillId="16" borderId="1" applyAlignment="1" applyProtection="1" pivotButton="0" quotePrefix="0" xfId="0">
      <alignment horizontal="right"/>
      <protection locked="0" hidden="0"/>
    </xf>
    <xf numFmtId="178" fontId="8" fillId="0" borderId="37" applyAlignment="1" applyProtection="1" pivotButton="0" quotePrefix="0" xfId="2">
      <alignment horizontal="right"/>
      <protection locked="1" hidden="1"/>
    </xf>
    <xf numFmtId="178" fontId="8" fillId="0" borderId="1" applyAlignment="1" applyProtection="1" pivotButton="0" quotePrefix="0" xfId="2">
      <alignment horizontal="right"/>
      <protection locked="1" hidden="1"/>
    </xf>
    <xf numFmtId="178" fontId="2" fillId="16" borderId="37" applyAlignment="1" applyProtection="1" pivotButton="0" quotePrefix="0" xfId="0">
      <alignment horizontal="right"/>
      <protection locked="0" hidden="0"/>
    </xf>
    <xf numFmtId="178" fontId="28" fillId="4" borderId="0" applyAlignment="1" applyProtection="1" pivotButton="0" quotePrefix="0" xfId="2">
      <alignment horizontal="right"/>
      <protection locked="1" hidden="1"/>
    </xf>
    <xf numFmtId="178" fontId="28" fillId="0" borderId="1" applyAlignment="1" applyProtection="1" pivotButton="0" quotePrefix="0" xfId="2">
      <alignment horizontal="right"/>
      <protection locked="1" hidden="1"/>
    </xf>
    <xf numFmtId="178" fontId="28" fillId="0" borderId="0" applyAlignment="1" applyProtection="1" pivotButton="0" quotePrefix="0" xfId="2">
      <alignment horizontal="right"/>
      <protection locked="1" hidden="1"/>
    </xf>
    <xf numFmtId="178" fontId="22" fillId="0" borderId="0" applyAlignment="1" applyProtection="1" pivotButton="0" quotePrefix="0" xfId="2">
      <alignment horizontal="right"/>
      <protection locked="1" hidden="1"/>
    </xf>
    <xf numFmtId="178" fontId="2" fillId="18" borderId="1" applyAlignment="1" applyProtection="1" pivotButton="0" quotePrefix="0" xfId="2">
      <alignment horizontal="right"/>
      <protection locked="0" hidden="0"/>
    </xf>
    <xf numFmtId="43" fontId="56" fillId="16" borderId="29" applyAlignment="1" applyProtection="1" pivotButton="0" quotePrefix="0" xfId="0">
      <alignment horizontal="right"/>
      <protection locked="0" hidden="0"/>
    </xf>
    <xf numFmtId="0" fontId="6" fillId="0" borderId="0" pivotButton="0" quotePrefix="0" xfId="0"/>
    <xf numFmtId="43" fontId="56" fillId="16" borderId="2" applyAlignment="1" applyProtection="1" pivotButton="0" quotePrefix="0" xfId="0">
      <alignment horizontal="right"/>
      <protection locked="0" hidden="0"/>
    </xf>
    <xf numFmtId="0" fontId="45" fillId="0" borderId="0" applyAlignment="1" pivotButton="0" quotePrefix="0" xfId="0">
      <alignment horizontal="center"/>
    </xf>
    <xf numFmtId="0" fontId="43" fillId="0" borderId="0" applyAlignment="1" pivotButton="0" quotePrefix="0" xfId="0">
      <alignment horizontal="center"/>
    </xf>
    <xf numFmtId="0" fontId="22" fillId="0" borderId="0" applyAlignment="1" pivotButton="0" quotePrefix="0" xfId="0">
      <alignment horizontal="left" vertical="top" wrapText="1"/>
    </xf>
    <xf numFmtId="0" fontId="25" fillId="15" borderId="0" applyAlignment="1" pivotButton="0" quotePrefix="0" xfId="0">
      <alignment horizontal="left" vertical="top" wrapText="1"/>
    </xf>
    <xf numFmtId="0" fontId="21" fillId="0" borderId="0" applyAlignment="1" pivotButton="0" quotePrefix="0" xfId="0">
      <alignment horizontal="left" vertical="top" wrapText="1"/>
    </xf>
    <xf numFmtId="0" fontId="17" fillId="0" borderId="0" applyAlignment="1" pivotButton="0" quotePrefix="0" xfId="0">
      <alignment horizontal="left" wrapText="1"/>
    </xf>
    <xf numFmtId="0" fontId="17" fillId="0" borderId="0" applyAlignment="1" pivotButton="0" quotePrefix="0" xfId="0">
      <alignment horizontal="left" vertical="top" wrapText="1"/>
    </xf>
    <xf numFmtId="0" fontId="0" fillId="0" borderId="0" applyAlignment="1" pivotButton="0" quotePrefix="0" xfId="0">
      <alignment horizontal="left" vertical="top" wrapText="1"/>
    </xf>
    <xf numFmtId="0" fontId="58" fillId="15" borderId="0" applyAlignment="1" pivotButton="0" quotePrefix="0" xfId="0">
      <alignment horizontal="left" wrapText="1"/>
    </xf>
    <xf numFmtId="0" fontId="37" fillId="0" borderId="0" applyAlignment="1" pivotButton="0" quotePrefix="0" xfId="0">
      <alignment horizontal="center" vertical="center" wrapText="1"/>
    </xf>
    <xf numFmtId="0" fontId="15" fillId="0" borderId="0" applyAlignment="1" pivotButton="0" quotePrefix="0" xfId="0">
      <alignment horizontal="center"/>
    </xf>
    <xf numFmtId="0" fontId="18" fillId="6" borderId="0" applyAlignment="1" pivotButton="0" quotePrefix="0" xfId="0">
      <alignment horizontal="left" wrapText="1"/>
    </xf>
    <xf numFmtId="0" fontId="16" fillId="0" borderId="0" applyAlignment="1" pivotButton="0" quotePrefix="0" xfId="0">
      <alignment horizontal="center" wrapText="1"/>
    </xf>
    <xf numFmtId="0" fontId="44" fillId="12" borderId="0" applyAlignment="1" pivotButton="0" quotePrefix="0" xfId="0">
      <alignment horizontal="left" vertical="top" wrapText="1"/>
    </xf>
    <xf numFmtId="0" fontId="22" fillId="0" borderId="7" applyAlignment="1" pivotButton="0" quotePrefix="0" xfId="0">
      <alignment horizontal="left" vertical="top" wrapText="1"/>
    </xf>
    <xf numFmtId="0" fontId="60" fillId="15" borderId="0" applyAlignment="1" pivotButton="0" quotePrefix="0" xfId="0">
      <alignment horizontal="left" wrapText="1"/>
    </xf>
    <xf numFmtId="0" fontId="19" fillId="0" borderId="0" applyAlignment="1" pivotButton="0" quotePrefix="0" xfId="0">
      <alignment horizontal="left"/>
    </xf>
    <xf numFmtId="0" fontId="58" fillId="15" borderId="0" applyAlignment="1" pivotButton="0" quotePrefix="0" xfId="0">
      <alignment horizontal="left" vertical="top" wrapText="1"/>
    </xf>
    <xf numFmtId="0" fontId="59" fillId="15" borderId="0" applyAlignment="1" pivotButton="0" quotePrefix="0" xfId="0">
      <alignment horizontal="left" vertical="top" wrapText="1"/>
    </xf>
    <xf numFmtId="49" fontId="0" fillId="0" borderId="0" applyAlignment="1" applyProtection="1" pivotButton="0" quotePrefix="0" xfId="0">
      <alignment horizontal="left" vertical="top" wrapText="1"/>
      <protection locked="0" hidden="0"/>
    </xf>
    <xf numFmtId="0" fontId="25" fillId="0" borderId="33" applyAlignment="1" applyProtection="1" pivotButton="0" quotePrefix="0" xfId="0">
      <alignment horizontal="center" vertical="center"/>
      <protection locked="1" hidden="1"/>
    </xf>
    <xf numFmtId="0" fontId="25" fillId="0" borderId="0" applyAlignment="1" applyProtection="1" pivotButton="0" quotePrefix="0" xfId="0">
      <alignment horizontal="center" wrapText="1"/>
      <protection locked="1" hidden="1"/>
    </xf>
    <xf numFmtId="0" fontId="24" fillId="2" borderId="4" applyProtection="1" pivotButton="0" quotePrefix="0" xfId="0">
      <protection locked="1" hidden="1"/>
    </xf>
    <xf numFmtId="0" fontId="24" fillId="2" borderId="5" applyProtection="1" pivotButton="0" quotePrefix="0" xfId="0">
      <protection locked="1" hidden="1"/>
    </xf>
    <xf numFmtId="0" fontId="22" fillId="0" borderId="7" applyProtection="1" pivotButton="0" quotePrefix="0" xfId="0">
      <protection locked="1" hidden="1"/>
    </xf>
    <xf numFmtId="0" fontId="22" fillId="0" borderId="8" applyProtection="1" pivotButton="0" quotePrefix="0" xfId="0">
      <protection locked="1" hidden="1"/>
    </xf>
    <xf numFmtId="0" fontId="22" fillId="0" borderId="34" applyProtection="1" pivotButton="0" quotePrefix="0" xfId="0">
      <protection locked="1" hidden="1"/>
    </xf>
    <xf numFmtId="0" fontId="22" fillId="0" borderId="38" applyProtection="1" pivotButton="0" quotePrefix="0" xfId="0">
      <protection locked="1" hidden="1"/>
    </xf>
    <xf numFmtId="0" fontId="24" fillId="2" borderId="15" applyProtection="1" pivotButton="0" quotePrefix="0" xfId="0">
      <protection locked="1" hidden="1"/>
    </xf>
    <xf numFmtId="0" fontId="24" fillId="2" borderId="28" applyProtection="1" pivotButton="0" quotePrefix="0" xfId="0">
      <protection locked="1" hidden="1"/>
    </xf>
    <xf numFmtId="37" fontId="22" fillId="0" borderId="17" applyAlignment="1" applyProtection="1" pivotButton="0" quotePrefix="0" xfId="1">
      <alignment horizontal="left"/>
      <protection locked="1" hidden="1"/>
    </xf>
    <xf numFmtId="37" fontId="22" fillId="0" borderId="8" applyAlignment="1" applyProtection="1" pivotButton="0" quotePrefix="0" xfId="1">
      <alignment horizontal="left"/>
      <protection locked="1" hidden="1"/>
    </xf>
    <xf numFmtId="0" fontId="22" fillId="0" borderId="17" applyProtection="1" pivotButton="0" quotePrefix="0" xfId="0">
      <protection locked="1" hidden="1"/>
    </xf>
    <xf numFmtId="0" fontId="28" fillId="0" borderId="19" applyProtection="1" pivotButton="0" quotePrefix="0" xfId="0">
      <protection locked="1" hidden="1"/>
    </xf>
    <xf numFmtId="0" fontId="28" fillId="0" borderId="25" applyProtection="1" pivotButton="0" quotePrefix="0" xfId="0">
      <protection locked="1" hidden="1"/>
    </xf>
    <xf numFmtId="0" fontId="22" fillId="0" borderId="0" applyAlignment="1" applyProtection="1" pivotButton="0" quotePrefix="0" xfId="0">
      <alignment wrapText="1"/>
      <protection locked="1" hidden="1"/>
    </xf>
    <xf numFmtId="0" fontId="22" fillId="0" borderId="8" applyAlignment="1" applyProtection="1" pivotButton="0" quotePrefix="0" xfId="0">
      <alignment wrapText="1"/>
      <protection locked="1" hidden="1"/>
    </xf>
    <xf numFmtId="0" fontId="22" fillId="0" borderId="25" applyAlignment="1" applyProtection="1" pivotButton="0" quotePrefix="0" xfId="0">
      <alignment wrapText="1"/>
      <protection locked="1" hidden="1"/>
    </xf>
    <xf numFmtId="0" fontId="22" fillId="0" borderId="30" applyAlignment="1" applyProtection="1" pivotButton="0" quotePrefix="0" xfId="0">
      <alignment wrapText="1"/>
      <protection locked="1" hidden="1"/>
    </xf>
    <xf numFmtId="37" fontId="22" fillId="0" borderId="0" applyAlignment="1" applyProtection="1" pivotButton="0" quotePrefix="0" xfId="1">
      <alignment horizontal="left"/>
      <protection locked="1" hidden="1"/>
    </xf>
    <xf numFmtId="0" fontId="22" fillId="0" borderId="0" applyProtection="1" pivotButton="0" quotePrefix="0" xfId="0">
      <protection locked="1" hidden="1"/>
    </xf>
    <xf numFmtId="0" fontId="28" fillId="0" borderId="0" applyProtection="1" pivotButton="0" quotePrefix="0" xfId="0">
      <protection locked="1" hidden="1"/>
    </xf>
    <xf numFmtId="0" fontId="41" fillId="0" borderId="0" applyAlignment="1" applyProtection="1" pivotButton="0" quotePrefix="0" xfId="0">
      <alignment horizontal="center"/>
      <protection locked="1" hidden="1"/>
    </xf>
    <xf numFmtId="0" fontId="28" fillId="0" borderId="34" applyProtection="1" pivotButton="0" quotePrefix="0" xfId="0">
      <protection locked="1" hidden="1"/>
    </xf>
    <xf numFmtId="0" fontId="28" fillId="0" borderId="33" applyProtection="1" pivotButton="0" quotePrefix="0" xfId="0">
      <protection locked="1" hidden="1"/>
    </xf>
    <xf numFmtId="0" fontId="22" fillId="0" borderId="17" applyAlignment="1" applyProtection="1" pivotButton="0" quotePrefix="0" xfId="0">
      <alignment wrapText="1"/>
      <protection locked="1" hidden="1"/>
    </xf>
    <xf numFmtId="0" fontId="28" fillId="0" borderId="17" applyProtection="1" pivotButton="0" quotePrefix="0" xfId="0">
      <protection locked="1" hidden="1"/>
    </xf>
    <xf numFmtId="0" fontId="19" fillId="0" borderId="0" applyAlignment="1" applyProtection="1" pivotButton="0" quotePrefix="0" xfId="0">
      <alignment horizontal="center"/>
      <protection locked="1" hidden="1"/>
    </xf>
    <xf numFmtId="49" fontId="11" fillId="0" borderId="0" applyAlignment="1" applyProtection="1" pivotButton="0" quotePrefix="0" xfId="0">
      <alignment horizontal="center"/>
      <protection locked="0" hidden="1"/>
    </xf>
    <xf numFmtId="0" fontId="11" fillId="0" borderId="0" applyAlignment="1" applyProtection="1" pivotButton="0" quotePrefix="0" xfId="0">
      <alignment horizontal="center"/>
      <protection locked="0" hidden="1"/>
    </xf>
    <xf numFmtId="0" fontId="5" fillId="0" borderId="0" applyAlignment="1" applyProtection="1" pivotButton="0" quotePrefix="0" xfId="0">
      <alignment horizontal="center"/>
      <protection locked="0" hidden="1"/>
    </xf>
    <xf numFmtId="0" fontId="7" fillId="0" borderId="12" applyAlignment="1" applyProtection="1" pivotButton="0" quotePrefix="0" xfId="0">
      <alignment horizontal="center" vertical="center"/>
      <protection locked="0" hidden="1"/>
    </xf>
    <xf numFmtId="0" fontId="6" fillId="0" borderId="13" applyAlignment="1" applyProtection="1" pivotButton="0" quotePrefix="0" xfId="0">
      <alignment horizontal="center" vertical="center"/>
      <protection locked="0" hidden="1"/>
    </xf>
    <xf numFmtId="0" fontId="14" fillId="0" borderId="15" applyAlignment="1" applyProtection="1" pivotButton="0" quotePrefix="0" xfId="0">
      <alignment horizontal="center" vertical="center" wrapText="1"/>
      <protection locked="0" hidden="1"/>
    </xf>
    <xf numFmtId="0" fontId="14" fillId="0" borderId="21" applyAlignment="1" applyProtection="1" pivotButton="0" quotePrefix="0" xfId="0">
      <alignment horizontal="center" vertical="center" wrapText="1"/>
      <protection locked="0" hidden="1"/>
    </xf>
    <xf numFmtId="0" fontId="14" fillId="0" borderId="17" applyAlignment="1" applyProtection="1" pivotButton="0" quotePrefix="0" xfId="0">
      <alignment horizontal="center" vertical="center" wrapText="1"/>
      <protection locked="0" hidden="1"/>
    </xf>
    <xf numFmtId="0" fontId="14" fillId="0" borderId="16" applyAlignment="1" applyProtection="1" pivotButton="0" quotePrefix="0" xfId="0">
      <alignment horizontal="center" vertical="center" wrapText="1"/>
      <protection locked="0" hidden="1"/>
    </xf>
    <xf numFmtId="0" fontId="5" fillId="0" borderId="0" applyAlignment="1" applyProtection="1" pivotButton="0" quotePrefix="0" xfId="0">
      <alignment horizontal="center"/>
      <protection locked="1" hidden="1"/>
    </xf>
    <xf numFmtId="0" fontId="14" fillId="0" borderId="16" applyAlignment="1" applyProtection="1" pivotButton="0" quotePrefix="0" xfId="0">
      <alignment horizontal="center" vertical="center" wrapText="1"/>
      <protection locked="1" hidden="1"/>
    </xf>
    <xf numFmtId="0" fontId="0" fillId="0" borderId="0" applyProtection="1" pivotButton="0" quotePrefix="0" xfId="0">
      <protection locked="0" hidden="0"/>
    </xf>
    <xf numFmtId="0" fontId="0" fillId="0" borderId="33" applyProtection="1" pivotButton="0" quotePrefix="0" xfId="0">
      <protection locked="1" hidden="1"/>
    </xf>
    <xf numFmtId="165" fontId="31" fillId="0" borderId="9" applyAlignment="1" applyProtection="1" pivotButton="0" quotePrefix="0" xfId="2">
      <alignment horizontal="left"/>
      <protection locked="1" hidden="1"/>
    </xf>
    <xf numFmtId="165" fontId="28" fillId="0" borderId="9" applyAlignment="1" applyProtection="1" pivotButton="0" quotePrefix="0" xfId="2">
      <alignment horizontal="right"/>
      <protection locked="1" hidden="1"/>
    </xf>
    <xf numFmtId="165" fontId="31" fillId="0" borderId="1" applyAlignment="1" applyProtection="1" pivotButton="0" quotePrefix="0" xfId="2">
      <alignment horizontal="right"/>
      <protection locked="1" hidden="1"/>
    </xf>
    <xf numFmtId="178" fontId="2" fillId="16" borderId="1" applyAlignment="1" applyProtection="1" pivotButton="0" quotePrefix="0" xfId="0">
      <alignment horizontal="right"/>
      <protection locked="0" hidden="0"/>
    </xf>
    <xf numFmtId="164" fontId="2" fillId="0" borderId="1" applyAlignment="1" applyProtection="1" pivotButton="0" quotePrefix="0" xfId="2">
      <alignment horizontal="right"/>
      <protection locked="1" hidden="1"/>
    </xf>
    <xf numFmtId="167" fontId="17" fillId="0" borderId="0" applyProtection="1" pivotButton="0" quotePrefix="0" xfId="0">
      <protection locked="1" hidden="1"/>
    </xf>
    <xf numFmtId="178" fontId="8" fillId="0" borderId="37" applyAlignment="1" applyProtection="1" pivotButton="0" quotePrefix="0" xfId="2">
      <alignment horizontal="right"/>
      <protection locked="1" hidden="1"/>
    </xf>
    <xf numFmtId="164" fontId="8" fillId="0" borderId="37" applyAlignment="1" applyProtection="1" pivotButton="0" quotePrefix="0" xfId="2">
      <alignment horizontal="right"/>
      <protection locked="1" hidden="1"/>
    </xf>
    <xf numFmtId="164" fontId="2" fillId="0" borderId="37" applyAlignment="1" applyProtection="1" pivotButton="0" quotePrefix="0" xfId="2">
      <alignment horizontal="right"/>
      <protection locked="1" hidden="1"/>
    </xf>
    <xf numFmtId="178" fontId="8" fillId="0" borderId="1" applyAlignment="1" applyProtection="1" pivotButton="0" quotePrefix="0" xfId="2">
      <alignment horizontal="right"/>
      <protection locked="1" hidden="1"/>
    </xf>
    <xf numFmtId="164" fontId="17" fillId="0" borderId="0" applyProtection="1" pivotButton="0" quotePrefix="0" xfId="0">
      <protection locked="1" hidden="1"/>
    </xf>
    <xf numFmtId="178" fontId="2" fillId="16" borderId="37" applyAlignment="1" applyProtection="1" pivotButton="0" quotePrefix="0" xfId="0">
      <alignment horizontal="right"/>
      <protection locked="0" hidden="0"/>
    </xf>
    <xf numFmtId="178" fontId="28" fillId="4" borderId="0" applyAlignment="1" applyProtection="1" pivotButton="0" quotePrefix="0" xfId="2">
      <alignment horizontal="right"/>
      <protection locked="1" hidden="1"/>
    </xf>
    <xf numFmtId="165" fontId="28" fillId="3" borderId="9" applyAlignment="1" applyProtection="1" pivotButton="0" quotePrefix="0" xfId="2">
      <alignment horizontal="right"/>
      <protection locked="1" hidden="1"/>
    </xf>
    <xf numFmtId="178" fontId="28" fillId="0" borderId="1" applyAlignment="1" applyProtection="1" pivotButton="0" quotePrefix="0" xfId="2">
      <alignment horizontal="right"/>
      <protection locked="1" hidden="1"/>
    </xf>
    <xf numFmtId="164" fontId="8" fillId="0" borderId="1" applyAlignment="1" applyProtection="1" pivotButton="0" quotePrefix="0" xfId="2">
      <alignment horizontal="right"/>
      <protection locked="1" hidden="1"/>
    </xf>
    <xf numFmtId="168" fontId="17" fillId="0" borderId="0" applyProtection="1" pivotButton="0" quotePrefix="0" xfId="0">
      <protection locked="1" hidden="1"/>
    </xf>
    <xf numFmtId="178" fontId="28" fillId="0" borderId="0" applyAlignment="1" applyProtection="1" pivotButton="0" quotePrefix="0" xfId="2">
      <alignment horizontal="right"/>
      <protection locked="1" hidden="1"/>
    </xf>
    <xf numFmtId="165" fontId="23" fillId="0" borderId="0" applyAlignment="1" applyProtection="1" pivotButton="0" quotePrefix="0" xfId="4">
      <alignment horizontal="right"/>
      <protection locked="1" hidden="1"/>
    </xf>
    <xf numFmtId="178" fontId="22" fillId="0" borderId="0" applyAlignment="1" applyProtection="1" pivotButton="0" quotePrefix="0" xfId="2">
      <alignment horizontal="right"/>
      <protection locked="1" hidden="1"/>
    </xf>
    <xf numFmtId="166" fontId="23" fillId="0" borderId="0" applyAlignment="1" applyProtection="1" pivotButton="0" quotePrefix="0" xfId="4">
      <alignment horizontal="right"/>
      <protection locked="1" hidden="1"/>
    </xf>
    <xf numFmtId="178" fontId="2" fillId="18" borderId="1" applyAlignment="1" applyProtection="1" pivotButton="0" quotePrefix="0" xfId="2">
      <alignment horizontal="right"/>
      <protection locked="0" hidden="0"/>
    </xf>
    <xf numFmtId="166" fontId="29" fillId="0" borderId="0" applyAlignment="1" applyProtection="1" pivotButton="0" quotePrefix="0" xfId="4">
      <alignment horizontal="left"/>
      <protection locked="1" hidden="1"/>
    </xf>
    <xf numFmtId="165" fontId="28" fillId="0" borderId="0" applyAlignment="1" applyProtection="1" pivotButton="0" quotePrefix="0" xfId="2">
      <alignment horizontal="right" vertical="center"/>
      <protection locked="1" hidden="1"/>
    </xf>
    <xf numFmtId="165" fontId="22" fillId="0" borderId="0" applyAlignment="1" applyProtection="1" pivotButton="0" quotePrefix="0" xfId="4">
      <alignment horizontal="right"/>
      <protection locked="1" hidden="1"/>
    </xf>
    <xf numFmtId="164" fontId="22" fillId="0" borderId="0" applyAlignment="1" applyProtection="1" pivotButton="0" quotePrefix="0" xfId="5">
      <alignment horizontal="right"/>
      <protection locked="1" hidden="1"/>
    </xf>
    <xf numFmtId="168" fontId="8" fillId="0" borderId="1" applyAlignment="1" applyProtection="1" pivotButton="0" quotePrefix="0" xfId="5">
      <alignment horizontal="right"/>
      <protection locked="1" hidden="1"/>
    </xf>
    <xf numFmtId="168" fontId="8" fillId="0" borderId="10" applyAlignment="1" applyProtection="1" pivotButton="0" quotePrefix="0" xfId="0">
      <alignment horizontal="right"/>
      <protection locked="1" hidden="1"/>
    </xf>
    <xf numFmtId="167" fontId="17" fillId="0" borderId="0" applyProtection="1" pivotButton="0" quotePrefix="1" xfId="0">
      <protection locked="1" hidden="1"/>
    </xf>
    <xf numFmtId="168" fontId="8" fillId="0" borderId="3" applyAlignment="1" applyProtection="1" pivotButton="0" quotePrefix="0" xfId="5">
      <alignment horizontal="right"/>
      <protection locked="1" hidden="1"/>
    </xf>
    <xf numFmtId="168" fontId="8" fillId="0" borderId="1" applyAlignment="1" applyProtection="1" pivotButton="0" quotePrefix="0" xfId="5">
      <alignment horizontal="center"/>
      <protection locked="1" hidden="1"/>
    </xf>
    <xf numFmtId="168" fontId="2" fillId="0" borderId="1" applyAlignment="1" applyProtection="1" pivotButton="0" quotePrefix="0" xfId="2">
      <alignment horizontal="right"/>
      <protection locked="1" hidden="1"/>
    </xf>
    <xf numFmtId="168" fontId="42" fillId="0" borderId="0" applyProtection="1" pivotButton="0" quotePrefix="0" xfId="0">
      <protection locked="1" hidden="1"/>
    </xf>
    <xf numFmtId="172" fontId="2" fillId="16" borderId="1" applyAlignment="1" applyProtection="1" pivotButton="0" quotePrefix="0" xfId="0">
      <alignment horizontal="center"/>
      <protection locked="0" hidden="0"/>
    </xf>
    <xf numFmtId="172" fontId="2" fillId="10" borderId="1" applyAlignment="1" applyProtection="1" pivotButton="0" quotePrefix="0" xfId="0">
      <alignment horizontal="center"/>
      <protection locked="0" hidden="0"/>
    </xf>
    <xf numFmtId="172" fontId="8" fillId="0" borderId="1" applyAlignment="1" applyProtection="1" pivotButton="0" quotePrefix="0" xfId="5">
      <alignment horizontal="center"/>
      <protection locked="1" hidden="1"/>
    </xf>
    <xf numFmtId="169" fontId="8" fillId="0" borderId="10" applyAlignment="1" applyProtection="1" pivotButton="0" quotePrefix="0" xfId="0">
      <alignment horizontal="center"/>
      <protection locked="1" hidden="1"/>
    </xf>
    <xf numFmtId="172" fontId="2" fillId="0" borderId="9" applyAlignment="1" applyProtection="1" pivotButton="0" quotePrefix="0" xfId="0">
      <alignment horizontal="center"/>
      <protection locked="1" hidden="1"/>
    </xf>
    <xf numFmtId="172" fontId="33" fillId="0" borderId="2" applyAlignment="1" applyProtection="1" pivotButton="0" quotePrefix="1" xfId="0">
      <alignment horizontal="center"/>
      <protection locked="1" hidden="1"/>
    </xf>
    <xf numFmtId="172" fontId="33" fillId="0" borderId="3" applyAlignment="1" applyProtection="1" pivotButton="0" quotePrefix="1" xfId="0">
      <alignment horizontal="center"/>
      <protection locked="1" hidden="1"/>
    </xf>
    <xf numFmtId="172" fontId="33" fillId="0" borderId="37" applyAlignment="1" applyProtection="1" pivotButton="0" quotePrefix="1" xfId="0">
      <alignment horizontal="center"/>
      <protection locked="1" hidden="1"/>
    </xf>
    <xf numFmtId="172" fontId="2" fillId="0" borderId="1" applyAlignment="1" pivotButton="0" quotePrefix="0" xfId="0">
      <alignment horizontal="center"/>
    </xf>
    <xf numFmtId="169" fontId="8" fillId="0" borderId="37" applyAlignment="1" applyProtection="1" pivotButton="0" quotePrefix="0" xfId="0">
      <alignment horizontal="center"/>
      <protection locked="1" hidden="1"/>
    </xf>
    <xf numFmtId="169" fontId="8" fillId="0" borderId="1" applyAlignment="1" applyProtection="1" pivotButton="0" quotePrefix="0" xfId="0">
      <alignment horizontal="center"/>
      <protection locked="1" hidden="1"/>
    </xf>
    <xf numFmtId="169" fontId="34" fillId="0" borderId="1" applyAlignment="1" applyProtection="1" pivotButton="0" quotePrefix="0" xfId="0">
      <alignment horizontal="center"/>
      <protection locked="1" hidden="1"/>
    </xf>
    <xf numFmtId="169" fontId="17" fillId="0" borderId="0" applyProtection="1" pivotButton="0" quotePrefix="0" xfId="0">
      <protection locked="1" hidden="1"/>
    </xf>
    <xf numFmtId="0" fontId="0" fillId="0" borderId="5" applyProtection="1" pivotButton="0" quotePrefix="0" xfId="0">
      <protection locked="1" hidden="1"/>
    </xf>
    <xf numFmtId="168" fontId="2" fillId="16" borderId="1" applyAlignment="1" applyProtection="1" pivotButton="0" quotePrefix="0" xfId="0">
      <alignment horizontal="right"/>
      <protection locked="0" hidden="0"/>
    </xf>
    <xf numFmtId="0" fontId="0" fillId="0" borderId="8" applyProtection="1" pivotButton="0" quotePrefix="0" xfId="0">
      <protection locked="1" hidden="1"/>
    </xf>
    <xf numFmtId="177" fontId="2" fillId="16" borderId="1" applyAlignment="1" applyProtection="1" pivotButton="0" quotePrefix="0" xfId="0">
      <alignment horizontal="right"/>
      <protection locked="0" hidden="0"/>
    </xf>
    <xf numFmtId="168" fontId="8" fillId="0" borderId="38" applyAlignment="1" applyProtection="1" pivotButton="0" quotePrefix="0" xfId="5">
      <alignment horizontal="right"/>
      <protection locked="1" hidden="1"/>
    </xf>
    <xf numFmtId="0" fontId="0" fillId="0" borderId="44" applyProtection="1" pivotButton="0" quotePrefix="0" xfId="0">
      <protection locked="1" hidden="1"/>
    </xf>
    <xf numFmtId="0" fontId="0" fillId="0" borderId="42" applyProtection="1" pivotButton="0" quotePrefix="0" xfId="0">
      <protection locked="1" hidden="1"/>
    </xf>
    <xf numFmtId="0" fontId="0" fillId="0" borderId="28" applyProtection="1" pivotButton="0" quotePrefix="0" xfId="0">
      <protection locked="1" hidden="1"/>
    </xf>
    <xf numFmtId="37" fontId="22" fillId="0" borderId="43" applyAlignment="1" applyProtection="1" pivotButton="0" quotePrefix="0" xfId="1">
      <alignment horizontal="left"/>
      <protection locked="1" hidden="1"/>
    </xf>
    <xf numFmtId="168" fontId="56" fillId="16" borderId="2" applyAlignment="1" applyProtection="1" pivotButton="0" quotePrefix="0" xfId="0">
      <alignment horizontal="right"/>
      <protection locked="0" hidden="0"/>
    </xf>
    <xf numFmtId="168" fontId="9" fillId="10" borderId="29" applyAlignment="1" applyProtection="1" pivotButton="0" quotePrefix="0" xfId="0">
      <alignment horizontal="right"/>
      <protection locked="0" hidden="0"/>
    </xf>
    <xf numFmtId="167" fontId="2" fillId="11" borderId="1" applyAlignment="1" applyProtection="1" pivotButton="0" quotePrefix="0" xfId="2">
      <alignment horizontal="right"/>
      <protection locked="0" hidden="0"/>
    </xf>
    <xf numFmtId="168" fontId="9" fillId="10" borderId="2" applyAlignment="1" applyProtection="1" pivotButton="0" quotePrefix="0" xfId="0">
      <alignment horizontal="right"/>
      <protection locked="0" hidden="0"/>
    </xf>
    <xf numFmtId="0" fontId="22" fillId="0" borderId="43" applyProtection="1" pivotButton="0" quotePrefix="0" xfId="0">
      <protection locked="1" hidden="1"/>
    </xf>
    <xf numFmtId="168" fontId="9" fillId="10" borderId="29" applyProtection="1" pivotButton="0" quotePrefix="0" xfId="0">
      <protection locked="0" hidden="0"/>
    </xf>
    <xf numFmtId="168" fontId="2" fillId="10" borderId="29" applyProtection="1" pivotButton="0" quotePrefix="0" xfId="0">
      <protection locked="0" hidden="0"/>
    </xf>
    <xf numFmtId="168" fontId="8" fillId="0" borderId="16" applyProtection="1" pivotButton="0" quotePrefix="0" xfId="0">
      <protection locked="1" hidden="1"/>
    </xf>
    <xf numFmtId="0" fontId="0" fillId="0" borderId="25" applyProtection="1" pivotButton="0" quotePrefix="0" xfId="0">
      <protection locked="1" hidden="1"/>
    </xf>
    <xf numFmtId="168" fontId="8" fillId="0" borderId="25" applyProtection="1" pivotButton="0" quotePrefix="0" xfId="0">
      <protection locked="1" hidden="1"/>
    </xf>
    <xf numFmtId="168" fontId="56" fillId="16" borderId="29" applyProtection="1" pivotButton="0" quotePrefix="0" xfId="0">
      <protection locked="0" hidden="0"/>
    </xf>
    <xf numFmtId="0" fontId="0" fillId="0" borderId="30" applyProtection="1" pivotButton="0" quotePrefix="0" xfId="0">
      <protection locked="1" hidden="1"/>
    </xf>
    <xf numFmtId="168" fontId="9" fillId="10" borderId="31" applyProtection="1" pivotButton="0" quotePrefix="0" xfId="1">
      <protection locked="0" hidden="0"/>
    </xf>
    <xf numFmtId="168" fontId="17" fillId="8" borderId="0" applyProtection="1" pivotButton="0" quotePrefix="0" xfId="0">
      <protection locked="1" hidden="1"/>
    </xf>
    <xf numFmtId="168" fontId="22" fillId="0" borderId="0" applyProtection="1" pivotButton="0" quotePrefix="0" xfId="0">
      <protection locked="1" hidden="1"/>
    </xf>
    <xf numFmtId="168" fontId="22" fillId="0" borderId="0" applyAlignment="1" applyProtection="1" pivotButton="0" quotePrefix="0" xfId="0">
      <alignment horizontal="center"/>
      <protection locked="1" hidden="1"/>
    </xf>
    <xf numFmtId="168" fontId="24" fillId="0" borderId="0" applyProtection="1" pivotButton="0" quotePrefix="0" xfId="0">
      <protection locked="1" hidden="1"/>
    </xf>
    <xf numFmtId="168" fontId="57" fillId="17" borderId="1" applyProtection="1" pivotButton="0" quotePrefix="0" xfId="0">
      <protection locked="0" hidden="0"/>
    </xf>
    <xf numFmtId="168" fontId="22" fillId="0" borderId="0" applyProtection="1" pivotButton="0" quotePrefix="0" xfId="1">
      <protection locked="1" hidden="1"/>
    </xf>
    <xf numFmtId="168" fontId="26" fillId="9" borderId="1" applyProtection="1" pivotButton="0" quotePrefix="0" xfId="0">
      <protection locked="0" hidden="0"/>
    </xf>
    <xf numFmtId="168" fontId="22" fillId="0" borderId="23" applyProtection="1" pivotButton="0" quotePrefix="0" xfId="1">
      <protection locked="1" hidden="1"/>
    </xf>
    <xf numFmtId="168" fontId="46" fillId="0" borderId="0" applyProtection="1" pivotButton="0" quotePrefix="0" xfId="0">
      <protection locked="1" hidden="1"/>
    </xf>
    <xf numFmtId="168" fontId="6" fillId="0" borderId="0" applyProtection="1" pivotButton="0" quotePrefix="0" xfId="0">
      <protection locked="1" hidden="1"/>
    </xf>
    <xf numFmtId="170" fontId="6" fillId="0" borderId="0" applyProtection="1" pivotButton="0" quotePrefix="0" xfId="0">
      <protection locked="1" hidden="1"/>
    </xf>
    <xf numFmtId="0" fontId="0" fillId="0" borderId="0" applyProtection="1" pivotButton="0" quotePrefix="0" xfId="0">
      <protection locked="0" hidden="1"/>
    </xf>
    <xf numFmtId="168" fontId="6" fillId="0" borderId="0" applyProtection="1" pivotButton="0" quotePrefix="0" xfId="0">
      <protection locked="0" hidden="1"/>
    </xf>
    <xf numFmtId="170" fontId="6" fillId="0" borderId="0" applyProtection="1" pivotButton="0" quotePrefix="0" xfId="0">
      <protection locked="0" hidden="1"/>
    </xf>
    <xf numFmtId="168" fontId="35" fillId="8" borderId="0" applyProtection="1" pivotButton="0" quotePrefix="0" xfId="0">
      <protection locked="0" hidden="1"/>
    </xf>
    <xf numFmtId="170" fontId="35" fillId="8" borderId="0" applyProtection="1" pivotButton="0" quotePrefix="0" xfId="0">
      <protection locked="0" hidden="1"/>
    </xf>
    <xf numFmtId="170" fontId="35" fillId="8" borderId="0" applyProtection="1" pivotButton="0" quotePrefix="0" xfId="3">
      <protection locked="0" hidden="1"/>
    </xf>
    <xf numFmtId="0" fontId="0" fillId="0" borderId="13" applyProtection="1" pivotButton="0" quotePrefix="0" xfId="0">
      <protection locked="0" hidden="1"/>
    </xf>
    <xf numFmtId="168" fontId="6" fillId="0" borderId="15" applyAlignment="1" applyProtection="1" pivotButton="0" quotePrefix="0" xfId="2">
      <alignment horizontal="right"/>
      <protection locked="0" hidden="1"/>
    </xf>
    <xf numFmtId="170" fontId="6" fillId="0" borderId="16" applyProtection="1" pivotButton="0" quotePrefix="0" xfId="0">
      <protection locked="0" hidden="1"/>
    </xf>
    <xf numFmtId="170" fontId="6" fillId="0" borderId="16" applyProtection="1" pivotButton="0" quotePrefix="0" xfId="3">
      <protection locked="0" hidden="1"/>
    </xf>
    <xf numFmtId="0" fontId="14" fillId="0" borderId="45" applyAlignment="1" applyProtection="1" pivotButton="0" quotePrefix="0" xfId="0">
      <alignment horizontal="center" vertical="center" wrapText="1"/>
      <protection locked="0" hidden="1"/>
    </xf>
    <xf numFmtId="0" fontId="0" fillId="0" borderId="21" applyProtection="1" pivotButton="0" quotePrefix="0" xfId="0">
      <protection locked="0" hidden="1"/>
    </xf>
    <xf numFmtId="168" fontId="6" fillId="0" borderId="17" applyAlignment="1" applyProtection="1" pivotButton="0" quotePrefix="0" xfId="2">
      <alignment horizontal="right"/>
      <protection locked="0" hidden="1"/>
    </xf>
    <xf numFmtId="0" fontId="0" fillId="0" borderId="17" applyProtection="1" pivotButton="0" quotePrefix="0" xfId="0">
      <protection locked="0" hidden="1"/>
    </xf>
    <xf numFmtId="0" fontId="0" fillId="0" borderId="16" applyProtection="1" pivotButton="0" quotePrefix="0" xfId="0">
      <protection locked="0" hidden="1"/>
    </xf>
    <xf numFmtId="170" fontId="6" fillId="0" borderId="16" applyAlignment="1" applyProtection="1" pivotButton="0" quotePrefix="0" xfId="0">
      <alignment horizontal="right"/>
      <protection locked="0" hidden="1"/>
    </xf>
    <xf numFmtId="170" fontId="12" fillId="0" borderId="16" applyProtection="1" pivotButton="0" quotePrefix="0" xfId="0">
      <protection locked="0" hidden="1"/>
    </xf>
    <xf numFmtId="168" fontId="6" fillId="0" borderId="17" applyProtection="1" pivotButton="0" quotePrefix="0" xfId="0">
      <protection locked="0" hidden="1"/>
    </xf>
    <xf numFmtId="168" fontId="6" fillId="0" borderId="35" applyAlignment="1" applyProtection="1" pivotButton="0" quotePrefix="0" xfId="2">
      <alignment horizontal="right"/>
      <protection locked="0" hidden="1"/>
    </xf>
    <xf numFmtId="170" fontId="12" fillId="0" borderId="39" applyProtection="1" pivotButton="0" quotePrefix="0" xfId="0">
      <protection locked="0" hidden="1"/>
    </xf>
    <xf numFmtId="170" fontId="6" fillId="0" borderId="39" applyAlignment="1" applyProtection="1" pivotButton="0" quotePrefix="0" xfId="3">
      <alignment horizontal="right"/>
      <protection locked="0" hidden="1"/>
    </xf>
    <xf numFmtId="170" fontId="6" fillId="0" borderId="16" applyAlignment="1" applyProtection="1" pivotButton="0" quotePrefix="0" xfId="3">
      <alignment horizontal="right"/>
      <protection locked="0" hidden="1"/>
    </xf>
    <xf numFmtId="164" fontId="7" fillId="0" borderId="18" applyAlignment="1" applyProtection="1" pivotButton="0" quotePrefix="0" xfId="0">
      <alignment vertical="center"/>
      <protection locked="0" hidden="1"/>
    </xf>
    <xf numFmtId="168" fontId="6" fillId="0" borderId="19" applyAlignment="1" applyProtection="1" pivotButton="0" quotePrefix="0" xfId="2">
      <alignment horizontal="right" vertical="center"/>
      <protection locked="0" hidden="1"/>
    </xf>
    <xf numFmtId="170" fontId="6" fillId="0" borderId="20" applyAlignment="1" applyProtection="1" pivotButton="0" quotePrefix="0" xfId="0">
      <alignment vertical="center"/>
      <protection locked="0" hidden="1"/>
    </xf>
    <xf numFmtId="170" fontId="6" fillId="0" borderId="20" applyAlignment="1" applyProtection="1" pivotButton="0" quotePrefix="0" xfId="3">
      <alignment horizontal="right" vertical="center"/>
      <protection locked="0" hidden="1"/>
    </xf>
    <xf numFmtId="164" fontId="7" fillId="0" borderId="0" applyProtection="1" pivotButton="0" quotePrefix="0" xfId="0">
      <protection locked="0" hidden="1"/>
    </xf>
    <xf numFmtId="168" fontId="6" fillId="0" borderId="0" applyProtection="1" pivotButton="0" quotePrefix="0" xfId="2">
      <protection locked="0" hidden="1"/>
    </xf>
    <xf numFmtId="168" fontId="13" fillId="0" borderId="0" applyProtection="1" pivotButton="0" quotePrefix="0" xfId="2">
      <protection locked="0" hidden="1"/>
    </xf>
    <xf numFmtId="170" fontId="6" fillId="0" borderId="0" applyProtection="1" pivotButton="0" quotePrefix="0" xfId="3">
      <protection locked="0" hidden="1"/>
    </xf>
    <xf numFmtId="170" fontId="6" fillId="0" borderId="20" applyAlignment="1" applyProtection="1" pivotButton="0" quotePrefix="0" xfId="3">
      <alignment horizontal="right"/>
      <protection locked="0" hidden="1"/>
    </xf>
    <xf numFmtId="164" fontId="35" fillId="8" borderId="0" applyAlignment="1" applyProtection="1" pivotButton="0" quotePrefix="0" xfId="0">
      <alignment vertical="center"/>
      <protection locked="0" hidden="1"/>
    </xf>
    <xf numFmtId="168" fontId="36" fillId="8" borderId="0" applyAlignment="1" applyProtection="1" pivotButton="0" quotePrefix="0" xfId="2">
      <alignment horizontal="right" vertical="center"/>
      <protection locked="0" hidden="1"/>
    </xf>
    <xf numFmtId="170" fontId="36" fillId="8" borderId="0" applyAlignment="1" applyProtection="1" pivotButton="0" quotePrefix="0" xfId="3">
      <alignment horizontal="right" vertical="center"/>
      <protection locked="0" hidden="1"/>
    </xf>
    <xf numFmtId="168" fontId="35" fillId="8" borderId="0" applyAlignment="1" applyProtection="1" pivotButton="0" quotePrefix="0" xfId="0">
      <alignment vertical="center"/>
      <protection locked="0" hidden="1"/>
    </xf>
    <xf numFmtId="170" fontId="36" fillId="8" borderId="0" applyAlignment="1" applyProtection="1" pivotButton="0" quotePrefix="0" xfId="2">
      <alignment horizontal="right" vertical="center"/>
      <protection locked="0" hidden="1"/>
    </xf>
    <xf numFmtId="168" fontId="13" fillId="0" borderId="0" applyProtection="1" pivotButton="0" quotePrefix="0" xfId="0">
      <protection locked="0" hidden="1"/>
    </xf>
    <xf numFmtId="168" fontId="6" fillId="0" borderId="15" applyProtection="1" pivotButton="0" quotePrefix="0" xfId="0">
      <protection locked="0" hidden="1"/>
    </xf>
    <xf numFmtId="168" fontId="6" fillId="0" borderId="17" applyProtection="1" pivotButton="0" quotePrefix="0" xfId="1">
      <protection locked="0" hidden="1"/>
    </xf>
    <xf numFmtId="168" fontId="6" fillId="0" borderId="17" applyProtection="1" pivotButton="0" quotePrefix="0" xfId="2">
      <protection locked="0" hidden="1"/>
    </xf>
    <xf numFmtId="168" fontId="6" fillId="0" borderId="35" applyProtection="1" pivotButton="0" quotePrefix="0" xfId="2">
      <protection locked="0" hidden="1"/>
    </xf>
    <xf numFmtId="170" fontId="6" fillId="0" borderId="39" applyAlignment="1" applyProtection="1" pivotButton="0" quotePrefix="0" xfId="0">
      <alignment horizontal="right"/>
      <protection locked="0" hidden="1"/>
    </xf>
    <xf numFmtId="168" fontId="6" fillId="0" borderId="19" applyAlignment="1" applyProtection="1" pivotButton="0" quotePrefix="0" xfId="2">
      <alignment vertical="center"/>
      <protection locked="0" hidden="1"/>
    </xf>
    <xf numFmtId="170" fontId="6" fillId="0" borderId="20" applyAlignment="1" applyProtection="1" pivotButton="0" quotePrefix="0" xfId="0">
      <alignment horizontal="right" vertical="center"/>
      <protection locked="0" hidden="1"/>
    </xf>
    <xf numFmtId="171" fontId="2" fillId="0" borderId="10" applyAlignment="1" applyProtection="1" pivotButton="0" quotePrefix="0" xfId="0">
      <alignment horizontal="center"/>
      <protection locked="1" hidden="1"/>
    </xf>
    <xf numFmtId="171" fontId="2" fillId="0" borderId="0" applyAlignment="1" applyProtection="1" pivotButton="0" quotePrefix="0" xfId="0">
      <alignment horizontal="center"/>
      <protection locked="1" hidden="1"/>
    </xf>
    <xf numFmtId="164" fontId="2" fillId="0" borderId="10" applyAlignment="1" applyProtection="1" pivotButton="0" quotePrefix="0" xfId="0">
      <alignment horizontal="center"/>
      <protection locked="1" hidden="1"/>
    </xf>
    <xf numFmtId="164" fontId="51" fillId="8" borderId="10" applyAlignment="1" applyProtection="1" pivotButton="0" quotePrefix="0" xfId="0">
      <alignment horizontal="center"/>
      <protection locked="1" hidden="1"/>
    </xf>
    <xf numFmtId="170" fontId="2" fillId="0" borderId="0" applyAlignment="1" applyProtection="1" pivotButton="0" quotePrefix="0" xfId="3">
      <alignment horizontal="center"/>
      <protection locked="1" hidden="1"/>
    </xf>
    <xf numFmtId="170" fontId="2" fillId="0" borderId="10" applyAlignment="1" applyProtection="1" pivotButton="0" quotePrefix="0" xfId="3">
      <alignment horizontal="center"/>
      <protection locked="1" hidden="1"/>
    </xf>
    <xf numFmtId="170" fontId="51" fillId="8" borderId="10" applyAlignment="1" applyProtection="1" pivotButton="0" quotePrefix="0" xfId="3">
      <alignment horizontal="center"/>
      <protection locked="1" hidden="1"/>
    </xf>
    <xf numFmtId="170" fontId="2" fillId="0" borderId="10" applyAlignment="1" applyProtection="1" pivotButton="0" quotePrefix="0" xfId="0">
      <alignment horizontal="center"/>
      <protection locked="1" hidden="1"/>
    </xf>
    <xf numFmtId="170" fontId="51" fillId="8" borderId="10" applyAlignment="1" applyProtection="1" pivotButton="0" quotePrefix="0" xfId="0">
      <alignment horizontal="center"/>
      <protection locked="1" hidden="1"/>
    </xf>
    <xf numFmtId="170" fontId="2" fillId="0" borderId="0" applyAlignment="1" applyProtection="1" pivotButton="0" quotePrefix="0" xfId="0">
      <alignment horizontal="center"/>
      <protection locked="1" hidden="1"/>
    </xf>
    <xf numFmtId="170" fontId="2" fillId="0" borderId="37" applyAlignment="1" applyProtection="1" pivotButton="0" quotePrefix="0" xfId="3">
      <alignment horizontal="center"/>
      <protection locked="1" hidden="1"/>
    </xf>
    <xf numFmtId="170" fontId="51" fillId="8" borderId="37" applyAlignment="1" applyProtection="1" pivotButton="0" quotePrefix="0" xfId="3">
      <alignment horizontal="center"/>
      <protection locked="1" hidden="1"/>
    </xf>
    <xf numFmtId="171" fontId="2" fillId="14" borderId="10" applyAlignment="1" applyProtection="1" pivotButton="0" quotePrefix="0" xfId="6">
      <alignment horizontal="center"/>
      <protection locked="1" hidden="1"/>
    </xf>
    <xf numFmtId="171" fontId="55" fillId="14" borderId="10" applyAlignment="1" applyProtection="1" pivotButton="0" quotePrefix="0" xfId="6">
      <alignment horizontal="center"/>
      <protection locked="1" hidden="1"/>
    </xf>
    <xf numFmtId="171" fontId="2" fillId="0" borderId="10" applyAlignment="1" applyProtection="1" pivotButton="0" quotePrefix="0" xfId="6">
      <alignment horizontal="center"/>
      <protection locked="1" hidden="1"/>
    </xf>
    <xf numFmtId="172" fontId="53" fillId="0" borderId="10" applyAlignment="1" applyProtection="1" pivotButton="0" quotePrefix="0" xfId="1">
      <alignment horizontal="center"/>
      <protection locked="1" hidden="1"/>
    </xf>
    <xf numFmtId="172" fontId="54" fillId="8" borderId="10" applyAlignment="1" applyProtection="1" pivotButton="0" quotePrefix="0" xfId="1">
      <alignment horizontal="center"/>
      <protection locked="1" hidden="1"/>
    </xf>
    <xf numFmtId="171" fontId="2" fillId="0" borderId="0" applyAlignment="1" applyProtection="1" pivotButton="0" quotePrefix="0" xfId="6">
      <alignment horizontal="center"/>
      <protection locked="1" hidden="1"/>
    </xf>
    <xf numFmtId="170" fontId="2" fillId="0" borderId="41" applyAlignment="1" applyProtection="1" pivotButton="0" quotePrefix="0" xfId="3">
      <alignment horizontal="center"/>
      <protection locked="1" hidden="1"/>
    </xf>
    <xf numFmtId="170" fontId="51" fillId="8" borderId="41" applyAlignment="1" applyProtection="1" pivotButton="0" quotePrefix="0" xfId="3">
      <alignment horizontal="center"/>
      <protection locked="1" hidden="1"/>
    </xf>
    <xf numFmtId="170" fontId="53" fillId="0" borderId="10" applyAlignment="1" applyProtection="1" pivotButton="0" quotePrefix="0" xfId="3">
      <alignment horizontal="center"/>
      <protection locked="1" hidden="1"/>
    </xf>
    <xf numFmtId="170" fontId="54" fillId="8" borderId="10" applyAlignment="1" applyProtection="1" pivotButton="0" quotePrefix="0" xfId="3">
      <alignment horizontal="center"/>
      <protection locked="1" hidden="1"/>
    </xf>
    <xf numFmtId="170" fontId="53" fillId="0" borderId="7" applyAlignment="1" applyProtection="1" pivotButton="0" quotePrefix="0" xfId="3">
      <alignment horizontal="center"/>
      <protection locked="1" hidden="1"/>
    </xf>
    <xf numFmtId="171" fontId="51" fillId="8" borderId="10" applyAlignment="1" applyProtection="1" pivotButton="0" quotePrefix="0" xfId="6">
      <alignment horizontal="center"/>
      <protection locked="1" hidden="1"/>
    </xf>
    <xf numFmtId="172" fontId="2" fillId="0" borderId="0" applyAlignment="1" applyProtection="1" pivotButton="0" quotePrefix="0" xfId="0">
      <alignment horizontal="center"/>
      <protection locked="1" hidden="1"/>
    </xf>
    <xf numFmtId="171" fontId="2" fillId="0" borderId="37" applyAlignment="1" applyProtection="1" pivotButton="0" quotePrefix="0" xfId="0">
      <alignment horizontal="center"/>
      <protection locked="1" hidden="1"/>
    </xf>
    <xf numFmtId="175" fontId="51" fillId="8" borderId="0" applyAlignment="1" applyProtection="1" pivotButton="0" quotePrefix="0" xfId="0">
      <alignment horizontal="center"/>
      <protection locked="1" hidden="1"/>
    </xf>
    <xf numFmtId="171" fontId="51" fillId="8" borderId="37" applyAlignment="1" applyProtection="1" pivotButton="0" quotePrefix="0" xfId="0">
      <alignment horizontal="center"/>
      <protection locked="1" hidden="1"/>
    </xf>
    <xf numFmtId="164" fontId="2" fillId="0" borderId="0" applyAlignment="1" applyProtection="1" pivotButton="0" quotePrefix="0" xfId="6">
      <alignment horizontal="center"/>
      <protection locked="1" hidden="1"/>
    </xf>
    <xf numFmtId="164" fontId="2" fillId="0" borderId="10" applyAlignment="1" applyProtection="1" pivotButton="0" quotePrefix="0" xfId="6">
      <alignment horizontal="center"/>
      <protection locked="1" hidden="1"/>
    </xf>
    <xf numFmtId="164" fontId="51" fillId="8" borderId="10" applyAlignment="1" applyProtection="1" pivotButton="0" quotePrefix="0" xfId="6">
      <alignment horizontal="center"/>
      <protection locked="1" hidden="1"/>
    </xf>
    <xf numFmtId="170" fontId="2" fillId="0" borderId="7" applyAlignment="1" applyProtection="1" pivotButton="0" quotePrefix="0" xfId="3">
      <alignment horizontal="center"/>
      <protection locked="1" hidden="1"/>
    </xf>
    <xf numFmtId="170" fontId="51" fillId="8" borderId="9" applyAlignment="1" applyProtection="1" pivotButton="0" quotePrefix="0" xfId="3">
      <alignment horizontal="center"/>
      <protection locked="1" hidden="1"/>
    </xf>
    <xf numFmtId="170" fontId="2" fillId="0" borderId="9" applyAlignment="1" applyProtection="1" pivotButton="0" quotePrefix="0" xfId="3">
      <alignment horizontal="center"/>
      <protection locked="1" hidden="1"/>
    </xf>
    <xf numFmtId="171" fontId="4" fillId="13" borderId="10" applyAlignment="1" applyProtection="1" pivotButton="0" quotePrefix="0" xfId="6">
      <alignment horizontal="center"/>
      <protection locked="1" hidden="1"/>
    </xf>
    <xf numFmtId="168" fontId="2" fillId="0" borderId="0" applyAlignment="1" applyProtection="1" pivotButton="0" quotePrefix="0" xfId="6">
      <alignment horizontal="center"/>
      <protection locked="1" hidden="1"/>
    </xf>
    <xf numFmtId="168" fontId="2" fillId="14" borderId="10" applyAlignment="1" applyProtection="1" pivotButton="0" quotePrefix="0" xfId="6">
      <alignment horizontal="center"/>
      <protection locked="1" hidden="1"/>
    </xf>
    <xf numFmtId="168" fontId="4" fillId="13" borderId="10" applyAlignment="1" applyProtection="1" pivotButton="0" quotePrefix="0" xfId="6">
      <alignment horizontal="center"/>
      <protection locked="1" hidden="1"/>
    </xf>
    <xf numFmtId="172" fontId="2" fillId="0" borderId="10" applyAlignment="1" applyProtection="1" pivotButton="0" quotePrefix="0" xfId="0">
      <alignment horizontal="center"/>
      <protection locked="1" hidden="1"/>
    </xf>
    <xf numFmtId="172" fontId="51" fillId="8" borderId="10" applyAlignment="1" applyProtection="1" pivotButton="0" quotePrefix="0" xfId="0">
      <alignment horizontal="center"/>
      <protection locked="1" hidden="1"/>
    </xf>
    <xf numFmtId="170" fontId="51" fillId="8" borderId="8" applyAlignment="1" applyProtection="1" pivotButton="0" quotePrefix="0" xfId="1">
      <alignment horizontal="center"/>
      <protection locked="1" hidden="1"/>
    </xf>
    <xf numFmtId="173" fontId="2" fillId="0" borderId="0" applyAlignment="1" applyProtection="1" pivotButton="0" quotePrefix="0" xfId="1">
      <alignment horizontal="center"/>
      <protection locked="1" hidden="1"/>
    </xf>
    <xf numFmtId="173" fontId="2" fillId="0" borderId="10" applyAlignment="1" applyProtection="1" pivotButton="0" quotePrefix="0" xfId="1">
      <alignment horizontal="center"/>
      <protection locked="1" hidden="1"/>
    </xf>
    <xf numFmtId="173" fontId="51" fillId="8" borderId="10" applyAlignment="1" applyProtection="1" pivotButton="0" quotePrefix="0" xfId="1">
      <alignment horizontal="center"/>
      <protection locked="1" hidden="1"/>
    </xf>
    <xf numFmtId="172" fontId="2" fillId="0" borderId="10" applyAlignment="1" applyProtection="1" pivotButton="0" quotePrefix="0" xfId="1">
      <alignment horizontal="center"/>
      <protection locked="1" hidden="1"/>
    </xf>
    <xf numFmtId="172" fontId="51" fillId="8" borderId="10" applyAlignment="1" applyProtection="1" pivotButton="0" quotePrefix="0" xfId="1">
      <alignment horizontal="center"/>
      <protection locked="1" hidden="1"/>
    </xf>
    <xf numFmtId="164" fontId="2" fillId="0" borderId="10" applyAlignment="1" applyProtection="1" pivotButton="0" quotePrefix="0" xfId="2">
      <alignment horizontal="center"/>
      <protection locked="1" hidden="1"/>
    </xf>
    <xf numFmtId="164" fontId="51" fillId="8" borderId="10" applyAlignment="1" applyProtection="1" pivotButton="0" quotePrefix="0" xfId="2">
      <alignment horizontal="center"/>
      <protection locked="1" hidden="1"/>
    </xf>
    <xf numFmtId="175" fontId="2" fillId="0" borderId="10" applyAlignment="1" applyProtection="1" pivotButton="0" quotePrefix="0" xfId="1">
      <alignment horizontal="center"/>
      <protection locked="1" hidden="1"/>
    </xf>
    <xf numFmtId="175" fontId="51" fillId="8" borderId="10" applyAlignment="1" applyProtection="1" pivotButton="0" quotePrefix="0" xfId="1">
      <alignment horizontal="center"/>
      <protection locked="1" hidden="1"/>
    </xf>
    <xf numFmtId="174" fontId="2" fillId="0" borderId="0" applyAlignment="1" applyProtection="1" pivotButton="0" quotePrefix="0" xfId="2">
      <alignment horizontal="center"/>
      <protection locked="1" hidden="1"/>
    </xf>
    <xf numFmtId="170" fontId="2" fillId="0" borderId="10" applyAlignment="1" applyProtection="1" pivotButton="0" quotePrefix="0" xfId="1">
      <alignment horizontal="center"/>
      <protection locked="1" hidden="1"/>
    </xf>
    <xf numFmtId="170" fontId="51" fillId="8" borderId="10" applyAlignment="1" applyProtection="1" pivotButton="0" quotePrefix="0" xfId="1">
      <alignment horizontal="center"/>
      <protection locked="1" hidden="1"/>
    </xf>
    <xf numFmtId="176" fontId="2" fillId="0" borderId="10" applyAlignment="1" applyProtection="1" pivotButton="0" quotePrefix="0" xfId="1">
      <alignment horizontal="center"/>
      <protection locked="1" hidden="1"/>
    </xf>
    <xf numFmtId="174" fontId="2" fillId="0" borderId="10" applyAlignment="1" applyProtection="1" pivotButton="0" quotePrefix="0" xfId="2">
      <alignment horizontal="center"/>
      <protection locked="1" hidden="1"/>
    </xf>
    <xf numFmtId="174" fontId="51" fillId="8" borderId="10" applyAlignment="1" applyProtection="1" pivotButton="0" quotePrefix="0" xfId="2">
      <alignment horizontal="center"/>
      <protection locked="1" hidden="1"/>
    </xf>
    <xf numFmtId="172" fontId="51" fillId="8" borderId="10" applyAlignment="1" applyProtection="1" pivotButton="0" quotePrefix="0" xfId="2">
      <alignment horizontal="center"/>
      <protection locked="1" hidden="1"/>
    </xf>
    <xf numFmtId="172" fontId="51" fillId="8" borderId="37" applyAlignment="1" applyProtection="1" pivotButton="0" quotePrefix="0" xfId="2">
      <alignment horizontal="center"/>
      <protection locked="1" hidden="1"/>
    </xf>
    <xf numFmtId="174" fontId="51" fillId="0" borderId="0" applyAlignment="1" applyProtection="1" pivotButton="0" quotePrefix="0" xfId="2">
      <alignment horizontal="center"/>
      <protection locked="1" hidden="1"/>
    </xf>
    <xf numFmtId="172" fontId="2" fillId="0" borderId="10" applyAlignment="1" applyProtection="1" pivotButton="0" quotePrefix="0" xfId="3">
      <alignment horizontal="center"/>
      <protection locked="1" hidden="1"/>
    </xf>
    <xf numFmtId="170" fontId="51" fillId="0" borderId="0" applyAlignment="1" applyProtection="1" pivotButton="0" quotePrefix="0" xfId="3">
      <alignment horizontal="center"/>
      <protection locked="1" hidden="1"/>
    </xf>
    <xf numFmtId="170" fontId="2" fillId="0" borderId="37" applyAlignment="1" applyProtection="1" pivotButton="0" quotePrefix="0" xfId="1">
      <alignment horizontal="center"/>
      <protection locked="1" hidden="1"/>
    </xf>
    <xf numFmtId="175" fontId="2" fillId="0" borderId="10" applyAlignment="1" applyProtection="1" pivotButton="0" quotePrefix="0" xfId="3">
      <alignment horizontal="center"/>
      <protection locked="1" hidden="1"/>
    </xf>
    <xf numFmtId="170" fontId="2" fillId="0" borderId="10" applyAlignment="1" applyProtection="1" pivotButton="0" quotePrefix="0" xfId="6">
      <alignment horizontal="center"/>
      <protection locked="1" hidden="1"/>
    </xf>
    <xf numFmtId="170" fontId="51" fillId="8" borderId="10" applyAlignment="1" applyProtection="1" pivotButton="0" quotePrefix="0" xfId="6">
      <alignment horizontal="center"/>
      <protection locked="1" hidden="1"/>
    </xf>
    <xf numFmtId="172" fontId="51" fillId="8" borderId="0" applyAlignment="1" applyProtection="1" pivotButton="0" quotePrefix="0" xfId="0">
      <alignment horizontal="center"/>
      <protection locked="1" hidden="1"/>
    </xf>
    <xf numFmtId="170" fontId="2" fillId="0" borderId="37" applyAlignment="1" applyProtection="1" pivotButton="0" quotePrefix="0" xfId="6">
      <alignment horizontal="center"/>
      <protection locked="1" hidden="1"/>
    </xf>
    <xf numFmtId="170" fontId="51" fillId="8" borderId="37" applyAlignment="1" applyProtection="1" pivotButton="0" quotePrefix="0" xfId="0">
      <alignment horizontal="center"/>
      <protection locked="1" hidden="1"/>
    </xf>
    <xf numFmtId="172" fontId="51" fillId="8" borderId="0" applyAlignment="1" applyProtection="1" pivotButton="0" quotePrefix="0" xfId="3">
      <alignment horizontal="center"/>
      <protection locked="1" hidden="1"/>
    </xf>
    <xf numFmtId="170" fontId="51" fillId="8" borderId="0" applyAlignment="1" applyProtection="1" pivotButton="0" quotePrefix="0" xfId="3">
      <alignment horizontal="center"/>
      <protection locked="1" hidden="1"/>
    </xf>
    <xf numFmtId="170" fontId="51" fillId="8" borderId="0" applyAlignment="1" applyProtection="1" pivotButton="0" quotePrefix="0" xfId="0">
      <alignment horizontal="center"/>
      <protection locked="1" hidden="1"/>
    </xf>
    <xf numFmtId="170" fontId="54" fillId="8" borderId="0" applyAlignment="1" applyProtection="1" pivotButton="0" quotePrefix="0" xfId="0">
      <alignment horizontal="center"/>
      <protection locked="1" hidden="1"/>
    </xf>
    <xf numFmtId="170" fontId="6" fillId="0" borderId="0" applyAlignment="1" applyProtection="1" pivotButton="0" quotePrefix="0" xfId="0">
      <alignment horizontal="center"/>
      <protection locked="1" hidden="1"/>
    </xf>
    <xf numFmtId="170" fontId="6" fillId="0" borderId="16" applyAlignment="1" applyProtection="1" pivotButton="0" quotePrefix="0" xfId="0">
      <alignment horizontal="center"/>
      <protection locked="1" hidden="1"/>
    </xf>
    <xf numFmtId="170" fontId="12" fillId="0" borderId="16" applyAlignment="1" applyProtection="1" pivotButton="0" quotePrefix="0" xfId="0">
      <alignment horizontal="center"/>
      <protection locked="1" hidden="1"/>
    </xf>
    <xf numFmtId="0" fontId="0" fillId="0" borderId="16" applyProtection="1" pivotButton="0" quotePrefix="0" xfId="0">
      <protection locked="1" hidden="1"/>
    </xf>
    <xf numFmtId="170" fontId="12" fillId="0" borderId="40" applyAlignment="1" applyProtection="1" pivotButton="0" quotePrefix="0" xfId="0">
      <alignment horizontal="center"/>
      <protection locked="1" hidden="1"/>
    </xf>
    <xf numFmtId="164" fontId="7" fillId="0" borderId="18" applyAlignment="1" applyProtection="1" pivotButton="0" quotePrefix="0" xfId="0">
      <alignment vertical="center"/>
      <protection locked="1" hidden="1"/>
    </xf>
    <xf numFmtId="170" fontId="6" fillId="0" borderId="20" applyAlignment="1" applyProtection="1" pivotButton="0" quotePrefix="0" xfId="0">
      <alignment horizontal="center" vertical="center"/>
      <protection locked="1" hidden="1"/>
    </xf>
  </cellXfs>
  <cellStyles count="23">
    <cellStyle name="Normal" xfId="0" builtinId="0"/>
    <cellStyle name="Comma" xfId="1" builtinId="3"/>
    <cellStyle name="Currency" xfId="2" builtinId="4"/>
    <cellStyle name="Percent" xfId="3" builtinId="5"/>
    <cellStyle name="Hyperlink" xfId="4" builtinId="8"/>
    <cellStyle name="Comma0" xfId="5"/>
    <cellStyle name="Currency0" xfId="6"/>
    <cellStyle name="Normal 2" xfId="7"/>
    <cellStyle name="Comma 3" xfId="8"/>
    <cellStyle name="Comma 2" xfId="9"/>
    <cellStyle name="Comma0 2" xfId="10"/>
    <cellStyle name="Currency 3" xfId="11"/>
    <cellStyle name="Currency 2" xfId="12"/>
    <cellStyle name="Currency0 2" xfId="13"/>
    <cellStyle name="Hyperlink 2" xfId="14"/>
    <cellStyle name="Percent 3" xfId="15"/>
    <cellStyle name="Percent 2" xfId="16"/>
    <cellStyle name="Normal 2 2" xfId="17"/>
    <cellStyle name="Normal 3" xfId="18"/>
    <cellStyle name="Normal 4" xfId="19"/>
    <cellStyle name="Comma 4" xfId="20"/>
    <cellStyle name="Currency 4" xfId="21"/>
    <cellStyle name="Percent 4" xfId="22"/>
  </cellStyles>
  <dxfs count="102">
    <dxf>
      <font>
        <condense val="0"/>
        <color indexed="9"/>
        <extend val="0"/>
      </font>
    </dxf>
    <dxf>
      <font>
        <condense val="0"/>
        <color indexed="9"/>
        <extend val="0"/>
      </font>
    </dxf>
    <dxf>
      <font>
        <condense val="0"/>
        <color indexed="9"/>
        <extend val="0"/>
      </font>
    </dxf>
    <dxf>
      <font>
        <condense val="0"/>
        <color indexed="9"/>
        <extend val="0"/>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b val="1"/>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10"/>
        <extend val="0"/>
      </font>
    </dxf>
    <dxf>
      <font>
        <condense val="0"/>
        <color indexed="9"/>
        <extend val="0"/>
      </font>
    </dxf>
    <dxf>
      <font>
        <condense val="0"/>
        <color indexed="9"/>
        <extend val="0"/>
      </font>
    </dxf>
    <dxf>
      <font>
        <condense val="0"/>
        <color indexed="9"/>
        <extend val="0"/>
      </font>
      <fill>
        <patternFill>
          <bgColor indexed="9"/>
        </patternFill>
      </fill>
    </dxf>
    <dxf>
      <font>
        <condense val="0"/>
        <color indexed="9"/>
        <extend val="0"/>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externalLink" Target="/xl/externalLinks/externalLink1.xml" Id="rId10"/><Relationship Type="http://schemas.openxmlformats.org/officeDocument/2006/relationships/externalLink" Target="/xl/externalLinks/externalLink2.xml" Id="rId11"/><Relationship Type="http://schemas.openxmlformats.org/officeDocument/2006/relationships/externalLink" Target="/xl/externalLinks/externalLink3.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Robin Currie</author>
  </authors>
  <commentList>
    <comment ref="H5" authorId="0" shapeId="0">
      <text>
        <t xml:space="preserve">Robin Currie:
Includes Re-Rent
</t>
      </text>
    </comment>
    <comment ref="P5" authorId="0" shapeId="0">
      <text>
        <t>Robin Currie:
Includes
 Parts Freight</t>
      </text>
    </comment>
  </commentList>
</comments>
</file>

<file path=xl/comments/comment2.xml><?xml version="1.0" encoding="utf-8"?>
<comments xmlns="http://schemas.openxmlformats.org/spreadsheetml/2006/main">
  <authors>
    <author>Robin Currie</author>
  </authors>
  <commentList>
    <comment ref="E30" authorId="0" shapeId="0">
      <text>
        <t>Robin Currie:
(Lost Units+Sold Units)/Size of Market</t>
      </text>
    </comment>
    <comment ref="E31" authorId="0" shapeId="0">
      <text>
        <t>Robin Currie:
Sold Units/(Lost Units+Sold Units)</t>
      </text>
    </comment>
    <comment ref="E32" authorId="0" shapeId="0">
      <text>
        <t>Robin Currie:
Sold Units/Size of market</t>
      </text>
    </comment>
    <comment ref="I98" authorId="0" shapeId="0">
      <text>
        <t>Robin Currie:
Monthly Revenue/Acquisition Cost of Fleet</t>
      </text>
    </comment>
    <comment ref="A103" authorId="0" shapeId="0">
      <text>
        <t>Robin Currie:
Applied Hours/Hours Paid</t>
      </text>
    </comment>
    <comment ref="A104" authorId="0" shapeId="0">
      <text>
        <t>Robin Currie:
Hours Billed/Applied Hours</t>
      </text>
    </comment>
    <comment ref="E104" authorId="0" shapeId="0">
      <text>
        <t>Robin Currie:
Monthly Revenue/Acquisition Cost of Fleet</t>
      </text>
    </comment>
    <comment ref="A105" authorId="0" shapeId="0">
      <text>
        <t>Robin Currie:
Hours Billed/Hours Paid</t>
      </text>
    </comment>
  </commentList>
</comments>
</file>

<file path=xl/externalLinks/_rels/externalLink1.xml.rels><Relationships xmlns="http://schemas.openxmlformats.org/package/2006/relationships"><Relationship Type="http://schemas.openxmlformats.org/officeDocument/2006/relationships/externalLinkPath" Target="file:///C:/OneDrive/OneDrive%20-%20Currie%20Management%20Consultants/Currie%20Shared/Clark%20Financial%20Composite%202016/Q416/ClarkAllLiftQ416.xlsx" TargetMode="External" Id="rId1"/></Relationships>
</file>

<file path=xl/externalLinks/_rels/externalLink2.xml.rels><Relationships xmlns="http://schemas.openxmlformats.org/package/2006/relationships"><Relationship Type="http://schemas.openxmlformats.org/officeDocument/2006/relationships/externalLinkPath" Target="file:///C:/DEALER%20GROUP%20-%20GENERAL/Composite%20Masters/Agricultural%20Equipment/2015%20JD1%20Financial%20Composite%20Input%20Template.xls.xlsx" TargetMode="External" Id="rId1"/></Relationships>
</file>

<file path=xl/externalLinks/_rels/externalLink3.xml.rels><Relationships xmlns="http://schemas.openxmlformats.org/package/2006/relationships"><Relationship Type="http://schemas.openxmlformats.org/officeDocument/2006/relationships/externalLinkPath" Target="file:///C:/OneDrive/OneDrive%20-%20Currie%20Management%20Consultants/Currie%20Shared/Clark%20Financial%20Composite%202016/Q416/ClarkMHIQ416.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NSTRUCTIONS"/>
      <sheetName val="NOTES FOR CURRIE"/>
      <sheetName val="Sales, COGS, GP"/>
      <sheetName val="Expenses, Miscellaneous"/>
      <sheetName val="Balance Sheet"/>
      <sheetName val="Gap Analysis"/>
      <sheetName val="Composite Preview"/>
      <sheetName val="ClarkAllLiftQ416"/>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NSTRUCTIONS"/>
      <sheetName val="NOTES FOR CURRIE"/>
      <sheetName val="Sales, COGS, GP"/>
      <sheetName val="Expenses, Miscellaneous"/>
      <sheetName val="Balance Sheet"/>
      <sheetName val=" Gap Analysis without G &amp; A"/>
      <sheetName val="Gap Analysis"/>
      <sheetName val="Preview"/>
      <sheetName val="Currie"/>
    </sheetNames>
    <sheetDataSet>
      <sheetData sheetId="0"/>
      <sheetData sheetId="1"/>
      <sheetData sheetId="2"/>
      <sheetData sheetId="3"/>
      <sheetData sheetId="4"/>
      <sheetData sheetId="5"/>
      <sheetData sheetId="6"/>
      <sheetData sheetId="7"/>
      <sheetData sheetId="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NSTRUCTIONS"/>
      <sheetName val="NOTES FOR CURRIE"/>
      <sheetName val="Sales, COGS, GP"/>
      <sheetName val="Expenses, Miscellaneous"/>
      <sheetName val="Balance Sheet"/>
      <sheetName val="Gap Analysis"/>
      <sheetName val="Composite Preview"/>
      <sheetName val="ClarkMHIQ416"/>
    </sheetNames>
    <sheetDataSet>
      <sheetData sheetId="0"/>
      <sheetData sheetId="1"/>
      <sheetData sheetId="2"/>
      <sheetData sheetId="3"/>
      <sheetData sheetId="4"/>
      <sheetData sheetId="5"/>
      <sheetData sheetId="6"/>
      <sheetData sheetId="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002060"/>
    <outlinePr summaryBelow="1" summaryRight="1"/>
    <pageSetUpPr/>
  </sheetPr>
  <dimension ref="A1:I197"/>
  <sheetViews>
    <sheetView view="pageBreakPreview" topLeftCell="A89" zoomScaleNormal="100" zoomScaleSheetLayoutView="100" workbookViewId="0">
      <selection activeCell="A109" sqref="A109:I111"/>
    </sheetView>
  </sheetViews>
  <sheetFormatPr baseColWidth="10" defaultColWidth="9.1640625" defaultRowHeight="15"/>
  <cols>
    <col width="20.83203125" customWidth="1" min="9" max="9"/>
    <col width="9.1640625" customWidth="1" style="1" min="10" max="16384"/>
  </cols>
  <sheetData>
    <row r="1">
      <c r="A1" s="324" t="n"/>
      <c r="B1" s="324" t="n"/>
      <c r="C1" s="324" t="n"/>
      <c r="D1" s="324" t="n"/>
      <c r="E1" s="324" t="n"/>
      <c r="F1" s="324" t="n"/>
      <c r="G1" s="324" t="n"/>
      <c r="H1" s="324" t="n"/>
      <c r="I1" s="324" t="n"/>
    </row>
    <row r="2" ht="18" customHeight="1">
      <c r="A2" s="325" t="inlineStr">
        <is>
          <t>General instructions:</t>
        </is>
      </c>
    </row>
    <row r="3" ht="18" customHeight="1">
      <c r="A3" s="325" t="n"/>
    </row>
    <row r="4" ht="58.5" customFormat="1" customHeight="1" s="93">
      <c r="A4" s="406" t="inlineStr">
        <is>
          <t>REMINDER:  The information contained in this report is confidential.  By agreement, this report and all reports associated with the information contained herein may not be shared with any unauthorized parties.</t>
        </is>
      </c>
    </row>
    <row r="5" ht="63" customFormat="1" customHeight="1" s="93">
      <c r="A5" s="399" t="inlineStr">
        <is>
          <t xml:space="preserve">Welcome to the Currie Financial Composite Data Input Template for material handling equipment dealers.   Please note that all blue shaded cells are input cells and must be filled in.  All other cells may be locked for editing.  If you have any questions or need any assistance with the form, please contact Currie Management Consultants, Inc. </t>
        </is>
      </c>
    </row>
    <row r="7" ht="32.25" customFormat="1" customHeight="1" s="93">
      <c r="A7" s="399" t="inlineStr">
        <is>
          <t>Please do not enter "NA" or any other value in the cells other than what is requested.  For cells that you are unable to fill in, or that have no value, please leave the cell blank and it will default to the appropriate entry.</t>
        </is>
      </c>
    </row>
    <row r="9" ht="48.75" customFormat="1" customHeight="1" s="93">
      <c r="A9" s="399" t="inlineStr">
        <is>
          <t>All dollar amounts may be entered as whole dollars.  All percent values may  be entered as whole numbers (for example, 70% may be entered as "70").  In both cases, you may enter the number without adding symbols.</t>
        </is>
      </c>
    </row>
    <row r="11" ht="18" customFormat="1" customHeight="1" s="93">
      <c r="A11" s="399" t="inlineStr">
        <is>
          <t>Enter all negative amounts as a negative, using a minus sign before the number.</t>
        </is>
      </c>
    </row>
    <row r="12" ht="15" customFormat="1" customHeight="1" s="93">
      <c r="A12" s="399" t="n"/>
      <c r="B12" s="399" t="n"/>
      <c r="C12" s="399" t="n"/>
      <c r="D12" s="399" t="n"/>
      <c r="E12" s="399" t="n"/>
      <c r="F12" s="399" t="n"/>
      <c r="G12" s="399" t="n"/>
      <c r="H12" s="399" t="n"/>
      <c r="I12" s="399" t="n"/>
    </row>
    <row r="13">
      <c r="A13" s="405" t="inlineStr">
        <is>
          <t>Once you have completed all worksheets, save and email to reporting@curriemanagement.com</t>
        </is>
      </c>
    </row>
    <row r="14">
      <c r="A14" s="327" t="n"/>
      <c r="B14" s="327" t="n"/>
      <c r="C14" s="327" t="n"/>
      <c r="D14" s="327" t="n"/>
      <c r="E14" s="327" t="n"/>
      <c r="F14" s="327" t="n"/>
      <c r="G14" s="327" t="n"/>
      <c r="H14" s="327" t="n"/>
      <c r="I14" s="327" t="n"/>
    </row>
    <row r="15">
      <c r="A15" s="324" t="n"/>
      <c r="B15" s="324" t="n"/>
      <c r="C15" s="324" t="n"/>
      <c r="D15" s="324" t="n"/>
      <c r="E15" s="324" t="n"/>
      <c r="F15" s="324" t="n"/>
      <c r="G15" s="324" t="n"/>
      <c r="H15" s="324" t="n"/>
      <c r="I15" s="324" t="n"/>
    </row>
    <row r="16" ht="18" customHeight="1">
      <c r="A16" s="325" t="inlineStr">
        <is>
          <t>Notes for Currie Tab:</t>
        </is>
      </c>
    </row>
    <row r="17" ht="35.25" customFormat="1" customHeight="1" s="94">
      <c r="A17" s="407" t="inlineStr">
        <is>
          <t>■Use this space to write any specific explanations of data that may appear to be different than typical reporting.  Also use this space to ask questions, or supply feedback and/or suggestions.</t>
        </is>
      </c>
    </row>
    <row r="18">
      <c r="A18" s="324" t="n"/>
      <c r="B18" s="324" t="n"/>
      <c r="C18" s="324" t="n"/>
      <c r="D18" s="324" t="n"/>
      <c r="E18" s="324" t="n"/>
      <c r="F18" s="324" t="n"/>
      <c r="G18" s="324" t="n"/>
      <c r="H18" s="324" t="n"/>
      <c r="I18" s="324" t="n"/>
    </row>
    <row r="19" ht="18" customHeight="1">
      <c r="A19" s="325" t="inlineStr">
        <is>
          <t>Sales, COGS, Gross Profit Tab:</t>
        </is>
      </c>
    </row>
    <row r="20" ht="51" customHeight="1">
      <c r="A20" s="396" t="inlineStr">
        <is>
          <t>■Number of Months Included: Please use the dropdown menu and choose the appropriate number. For submissions that contain information for a reporting period greater than one year, please leave the cell blank and write an explanation on the red "NOTES FOR CURRIE" tab.</t>
        </is>
      </c>
    </row>
    <row r="21" ht="15" customHeight="1"/>
    <row r="22" ht="47.25" customHeight="1">
      <c r="A22" s="402" t="inlineStr">
        <is>
          <t>Most of the remaining information for this sheet will come from your Income Statement. Please enter Sales Revenues in Column A and corresponding COGS in Column B.  Gross Profit (Column C) will calculate automatically.</t>
        </is>
      </c>
    </row>
    <row r="23" ht="15" customHeight="1">
      <c r="A23" s="399" t="n"/>
      <c r="B23" s="399" t="n"/>
      <c r="C23" s="399" t="n"/>
      <c r="D23" s="399" t="n"/>
      <c r="E23" s="399" t="n"/>
      <c r="F23" s="399" t="n"/>
      <c r="G23" s="399" t="n"/>
      <c r="H23" s="399" t="n"/>
      <c r="I23" s="399" t="n"/>
    </row>
    <row r="24" ht="81" customHeight="1">
      <c r="A24" s="408" t="inlineStr">
        <is>
          <t>■New Lift Truck Equipment, Primary Brand and all other brands: Enter total Revenue in dollars and COGS in dollars for all new equipment sold. This should include all new Lift Trucks, batteries sold with new trucks (batteries sold directly to a customer should be included in the category Batteries), and RPO agreements. If you have more than one primary brand, combine the revenue dollars, and the COGS sold dollars and enter the totals on this line.</t>
        </is>
      </c>
    </row>
    <row r="25" ht="15" customFormat="1" customHeight="1" s="93"/>
    <row r="26" ht="48" customFormat="1" customHeight="1" s="93">
      <c r="A26" s="396" t="inlineStr">
        <is>
          <t>■New Allied Equipment: Enter total Revenue in dollars and COGS in dollars for all new Allied, non-motorized products including everything related to SMO, racking, shelving, catalog items and attachments. Also include used racking here.</t>
        </is>
      </c>
    </row>
    <row r="27" ht="15" customHeight="1"/>
    <row r="28" ht="82.5" customHeight="1">
      <c r="A28" s="396" t="inlineStr">
        <is>
          <t>■Other New Equipment: Enter total revenue in dollars and COGS in dollars for all new equipment sold that is not entered in the New Equipment categories, or in the New Allied Category. Sweepers, scrubbers, and other motorized new equipment can be included here. Other industry lines, such as Dock and Door business, can also be included here. Example: construction equipment that is included as part of your lift truck enterprise, and is not a separate business.</t>
        </is>
      </c>
    </row>
    <row r="29" ht="15" customHeight="1"/>
    <row r="30" ht="33" customHeight="1">
      <c r="A30" s="396" t="inlineStr">
        <is>
          <t>■Operator Training: Enter total revenue in dollars, and COGS in dollars, for all operator training that is conducted by your company.</t>
        </is>
      </c>
    </row>
    <row r="31" ht="15" customHeight="1"/>
    <row r="32" ht="33.75" customHeight="1">
      <c r="A32" s="396" t="inlineStr">
        <is>
          <t>■Used Equipment Sales: Enter total revenue in dollars and COGS in dollars for all used equipment and rental disposals sold.</t>
        </is>
      </c>
    </row>
    <row r="33" ht="15" customHeight="1"/>
    <row r="34" ht="34.5" customHeight="1">
      <c r="A34" s="396" t="inlineStr">
        <is>
          <t>■E-Commerce Sales: Enter total revenue in dollars and COGS in dollars for all products sold through E-Commerce.</t>
        </is>
      </c>
    </row>
    <row r="35" ht="15" customHeight="1"/>
    <row r="36" ht="34.5" customHeight="1">
      <c r="A36" s="396" t="inlineStr">
        <is>
          <t>■Systems: Enter total revenue for all systems, with or without installation. COGS should include the salaries of the project engineers.</t>
        </is>
      </c>
    </row>
    <row r="37" ht="15" customHeight="1"/>
    <row r="38" ht="33.75" customHeight="1">
      <c r="A38" s="396" t="inlineStr">
        <is>
          <t>■Batteries: Enter total revenue for all batteries sold separately (not included in a unit). COGS includes the cost for the batteries sold.</t>
        </is>
      </c>
    </row>
    <row r="39" ht="15" customHeight="1"/>
    <row r="40" ht="105.75" customHeight="1">
      <c r="A40" s="396" t="inlineStr">
        <is>
          <t>■Rent-To-Rent (Short Term and Long Term, trucks only): If your dealership has a separate rental department, enter all Rent-to-Rent revenue for the appropriate category, in dollars in Column A. Rent-to-Sell (RPO) revenue should remain in the New Equipment Sales category. COGS in Column B which includes Depreciation, Interest and Maintenance, will populate automatically from the Expenses, Miscellaneous tab after you enter your detail there. (Note: Service Department and Parts Department should charge full customer rates for prep, reconditioning and maintenance of rental equipment).</t>
        </is>
      </c>
    </row>
    <row r="41" ht="15" customHeight="1"/>
    <row r="42" ht="18.75" customHeight="1">
      <c r="A42" s="396" t="inlineStr">
        <is>
          <t>■Re-Rent (or Sub-Rent): Enter all Re-Rent revenue in dollars and Re-Rent COGS in dollars.</t>
        </is>
      </c>
    </row>
    <row r="43" ht="15" customHeight="1"/>
    <row r="44" ht="33.75" customHeight="1">
      <c r="A44" s="397" t="inlineStr">
        <is>
          <t>Special Note on Service Labor - Service COGS are technician wages, please do not enter technician wages anywhere else, and please do not include anything else as a Service COGS.</t>
        </is>
      </c>
    </row>
    <row r="45" ht="15" customHeight="1"/>
    <row r="46" ht="50.25" customHeight="1">
      <c r="A46" s="396" t="inlineStr">
        <is>
          <t>■Customer Labor Sales: Enter revenue dollars for all customer labor sales. This includes planned maintenance agreements and the labor portion of guaranteed maintenance agreements. For Cost of Goods Sold enter technicians' wages.</t>
        </is>
      </c>
    </row>
    <row r="47" ht="15" customHeight="1"/>
    <row r="48" ht="32.25" customHeight="1">
      <c r="A48" s="396" t="inlineStr">
        <is>
          <t>■Internal Labor Sales: Enter revenue dollars for all internal labor sales. This includes new prep, used reconditioning, and rental repairs. For Cost of Goods Sold enter technicians' wages.</t>
        </is>
      </c>
    </row>
    <row r="49" ht="15" customHeight="1"/>
    <row r="50" ht="34.5" customHeight="1">
      <c r="A50" s="396" t="inlineStr">
        <is>
          <t>■Warranty Labor Sales: Enter revenue dollars for all warranty labor sales. For Cost of Goods Sold enter technicians' wages.</t>
        </is>
      </c>
    </row>
    <row r="51" ht="15" customHeight="1"/>
    <row r="52" ht="18" customHeight="1">
      <c r="A52" s="396" t="inlineStr">
        <is>
          <t>■Sublet Sales: Enter revenue dollars and COGS dollars for sublet sales.</t>
        </is>
      </c>
    </row>
    <row r="53" ht="15" customHeight="1"/>
    <row r="54" ht="34.5" customHeight="1">
      <c r="A54" s="396" t="inlineStr">
        <is>
          <t>■Other Service Sales: Enter revenue dollars and COGS dollars for all other service sales. Include battery service here.</t>
        </is>
      </c>
    </row>
    <row r="55" ht="15" customHeight="1"/>
    <row r="56" ht="33" customHeight="1">
      <c r="A56" s="397" t="inlineStr">
        <is>
          <t>Parts Discount Earned - please enter this amount in the Counter Parts GP and/or Repair Order Parts GP cells.</t>
        </is>
      </c>
    </row>
    <row r="57" ht="15" customHeight="1"/>
    <row r="58" ht="48.75" customHeight="1">
      <c r="A58" s="396" t="inlineStr">
        <is>
          <t>■Counter Parts: Enter revenue dollars for all Counter Parts sales. Include "Other" Parts revenue and gross profit here if you do not track them separately. Do not include freight charges in the COGS amount--they will be entered as Operating Expense.</t>
        </is>
      </c>
    </row>
    <row r="59" ht="15" customHeight="1"/>
    <row r="60" ht="48.75" customHeight="1">
      <c r="A60" s="396" t="inlineStr">
        <is>
          <t>■Repair Order Parts: Enter revenue dollars for all parts sold on Repair Orders, or parts sold through the Service Department. Freight charges should not be included in the COGS amount--they will be entered as Operating Expense.</t>
        </is>
      </c>
    </row>
    <row r="61" ht="15" customHeight="1"/>
    <row r="62" ht="36" customHeight="1">
      <c r="A62" s="396" t="inlineStr">
        <is>
          <t>■Internal Parts: Enter revenue dollars for all internal parts sales. Freight charges should not be included in the COGS amount--they will be entered as Operating Expense.</t>
        </is>
      </c>
    </row>
    <row r="63" ht="15" customHeight="1"/>
    <row r="64" ht="36.75" customHeight="1">
      <c r="A64" s="396" t="inlineStr">
        <is>
          <t>■Warranty Parts: Enter revenue dollars for all warranty parts sold. Freight charges should not be included in the COGS amount--they will be entered as Operating Expense.</t>
        </is>
      </c>
    </row>
    <row r="65" ht="15" customHeight="1"/>
    <row r="66" ht="33.75" customHeight="1">
      <c r="A66" s="396" t="inlineStr">
        <is>
          <t>■E-Commerce Parts: Enter revenue dollars for all E-Commerce parts sold. Freight charges should not be included in the COGS amount--they will be entered as Operating Expense.</t>
        </is>
      </c>
    </row>
    <row r="67" ht="15" customHeight="1"/>
    <row r="68" ht="48" customHeight="1">
      <c r="A68" s="396" t="inlineStr">
        <is>
          <t>■Trucking Department: Enter all Trucking revenue in dollars. COGS in Column B which includes Maintenance, Fuel, and Other Costs, will populate automatically from the Expenses, Miscellaneous tab after you enter your detail there.</t>
        </is>
      </c>
    </row>
    <row r="69" ht="15" customHeight="1"/>
    <row r="70" ht="51" customHeight="1">
      <c r="A70" s="396" t="inlineStr">
        <is>
          <t>■Other Income (Expenses): Please enter an expense as a negative number. Include all other income  (expenses) as reported on your financial statement. This includes interest income (but not F&amp;I or interest expense).</t>
        </is>
      </c>
    </row>
    <row r="71" ht="15" customHeight="1"/>
    <row r="72" ht="18" customHeight="1">
      <c r="A72" s="396" t="inlineStr">
        <is>
          <t>■Interest (Expense): Please report ONLY interest expense here, and not other expenses.</t>
        </is>
      </c>
    </row>
    <row r="73" ht="15" customHeight="1"/>
    <row r="74" ht="33" customHeight="1">
      <c r="A74" s="396" t="inlineStr">
        <is>
          <t>■F&amp;I (Income): Enter total Finance &amp; Insurance Income. (Note: this should not be included in any other numbers above).</t>
        </is>
      </c>
    </row>
    <row r="75" ht="15" customHeight="1"/>
    <row r="76" ht="36" customHeight="1">
      <c r="A76" s="397" t="inlineStr">
        <is>
          <t>Please note that Total Company Expenses is locked for editing. This cell will automatically populate as you enter your company's expense detail on the Expenses, Miscellaneous tab.</t>
        </is>
      </c>
    </row>
    <row r="77" ht="15" customHeight="1">
      <c r="A77" s="328" t="n"/>
      <c r="B77" s="328" t="n"/>
      <c r="C77" s="328" t="n"/>
      <c r="D77" s="328" t="n"/>
      <c r="E77" s="328" t="n"/>
      <c r="F77" s="328" t="n"/>
      <c r="G77" s="328" t="n"/>
      <c r="H77" s="328" t="n"/>
      <c r="I77" s="328" t="n"/>
    </row>
    <row r="78" ht="22.5" customHeight="1">
      <c r="A78" s="325" t="inlineStr">
        <is>
          <t>Expenses, Miscellaneous Tab:</t>
        </is>
      </c>
    </row>
    <row r="79" ht="31.5" customFormat="1" customHeight="1" s="95">
      <c r="A79" s="399" t="inlineStr">
        <is>
          <t>Please enter the appropriate data as directed. Please check that all entries are correct by verifying the total with your records.</t>
        </is>
      </c>
    </row>
    <row r="80" ht="15" customHeight="1">
      <c r="H80" s="399" t="n"/>
      <c r="I80" s="399" t="n"/>
    </row>
    <row r="81" ht="18" customFormat="1" customHeight="1" s="95">
      <c r="A81" s="329" t="inlineStr">
        <is>
          <t>EXPENSES</t>
        </is>
      </c>
      <c r="B81" s="399" t="n"/>
      <c r="C81" s="399" t="n"/>
      <c r="D81" s="399" t="n"/>
      <c r="E81" s="399" t="n"/>
      <c r="F81" s="399" t="n"/>
      <c r="G81" s="399" t="n"/>
      <c r="H81" s="399" t="n"/>
      <c r="I81" s="399" t="n"/>
    </row>
    <row r="82" ht="75.75" customHeight="1">
      <c r="A82" s="396" t="inlineStr">
        <is>
          <t>■Personnel Expenses: Include all expenses associated with personnel including wages, commissions holiday pay, sick time, vacation time (except technicians' wages shown as Service Cost of Goods Sold), and other employee benefits (such as health insurance and 401k). Also includes payroll taxes and workman's compensation. Do not include sales vehicle expenses, or expense payments for vehicles here.</t>
        </is>
      </c>
    </row>
    <row r="83" ht="15" customHeight="1">
      <c r="H83" s="399" t="n"/>
      <c r="I83" s="399" t="n"/>
    </row>
    <row r="84" ht="19.5" customHeight="1">
      <c r="A84" s="396" t="inlineStr">
        <is>
          <t>■Operating Expenses: Include all expenses not included in Personnel (above) or Occupancy (below).</t>
        </is>
      </c>
    </row>
    <row r="85" ht="15" customHeight="1">
      <c r="H85" s="399" t="n"/>
      <c r="I85" s="399" t="n"/>
    </row>
    <row r="86" ht="61.5" customHeight="1">
      <c r="A86" s="396" t="inlineStr">
        <is>
          <t>■Occupancy Expenses: Includes all expenses associated with the building itself, such as: mortgage interest, rent or lease, insurance on the building, building depreciation, heat, light, power, amortization of leasehold improvements, property taxes, repair and maintenance of the building, and other such related expenses. Include other interest expense in Operating G&amp;A.</t>
        </is>
      </c>
    </row>
    <row r="87" ht="15" customHeight="1">
      <c r="A87" s="400" t="n"/>
      <c r="B87" s="400" t="n"/>
      <c r="C87" s="400" t="n"/>
      <c r="D87" s="400" t="n"/>
      <c r="E87" s="400" t="n"/>
      <c r="F87" s="400" t="n"/>
      <c r="G87" s="400" t="n"/>
      <c r="H87" s="400" t="n"/>
      <c r="I87" s="400" t="n"/>
    </row>
    <row r="88" ht="22.5" customFormat="1" customHeight="1" s="95">
      <c r="A88" s="329" t="inlineStr">
        <is>
          <t>PERSONNEL COUNT</t>
        </is>
      </c>
      <c r="B88" s="399" t="n"/>
      <c r="C88" s="399" t="n"/>
      <c r="D88" s="399" t="n"/>
      <c r="E88" s="399" t="n"/>
      <c r="F88" s="399" t="n"/>
      <c r="G88" s="399" t="n"/>
      <c r="H88" s="399" t="n"/>
      <c r="I88" s="399" t="n"/>
    </row>
    <row r="89" ht="34.5" customHeight="1">
      <c r="A89" s="396" t="inlineStr">
        <is>
          <t>■Enter the appropriate count by position as indicated. Totals will calculate automatically. Please check that all entries are correct by verifying the total against your records.</t>
        </is>
      </c>
    </row>
    <row r="90" ht="15" customFormat="1" customHeight="1" s="93">
      <c r="H90" s="399" t="n"/>
      <c r="I90" s="399" t="n"/>
    </row>
    <row r="91" ht="34.5" customHeight="1">
      <c r="A91" s="397" t="inlineStr">
        <is>
          <t>Employees dedicated to Tire Pressing should be listed as a Parts Department employee, in the Technician category.</t>
        </is>
      </c>
    </row>
    <row r="92" ht="15" customFormat="1" customHeight="1" s="93">
      <c r="H92" s="399" t="n"/>
      <c r="I92" s="399" t="n"/>
    </row>
    <row r="93" ht="34.5" customHeight="1">
      <c r="A93" s="397" t="inlineStr">
        <is>
          <t>Driver counts in the Transportation/Trucking Department should be listed in the Technician category for that department (this will allow them to be counted in the Revenue Producing Category).</t>
        </is>
      </c>
    </row>
    <row r="94" ht="15" customFormat="1" customHeight="1" s="93">
      <c r="H94" s="399" t="n"/>
      <c r="I94" s="399" t="n"/>
    </row>
    <row r="95" ht="17.25" customFormat="1" customHeight="1" s="93">
      <c r="A95" s="410" t="inlineStr">
        <is>
          <t>MISCELLANEOUS INFORMATION</t>
        </is>
      </c>
    </row>
    <row r="96" ht="17.25" customFormat="1" customHeight="1" s="93">
      <c r="A96" s="410" t="inlineStr">
        <is>
          <t>ACCOUNTS RECEIVABLE AGING</t>
        </is>
      </c>
    </row>
    <row r="97" ht="15" customFormat="1" customHeight="1" s="93">
      <c r="A97" s="396" t="inlineStr">
        <is>
          <t>■Current: All trade accounts receivable less than 31 days old.</t>
        </is>
      </c>
    </row>
    <row r="98" ht="15" customFormat="1" customHeight="1" s="93">
      <c r="A98" s="396" t="inlineStr">
        <is>
          <t>■31-60 Days: All trade accounts receivable between 31 and 60 days old.</t>
        </is>
      </c>
    </row>
    <row r="99" ht="15" customFormat="1" customHeight="1" s="93">
      <c r="A99" s="396" t="inlineStr">
        <is>
          <t>■61-90 Days: All trade accounts receivable between 61 and 90 days old.</t>
        </is>
      </c>
    </row>
    <row r="100" ht="15" customFormat="1" customHeight="1" s="93">
      <c r="A100" s="396" t="inlineStr">
        <is>
          <t>■91+ Days: All trade accounts receivable 91 days and older.</t>
        </is>
      </c>
    </row>
    <row r="101" ht="15" customFormat="1" customHeight="1" s="93">
      <c r="H101" s="399" t="n"/>
      <c r="I101" s="399" t="n"/>
    </row>
    <row r="102" ht="16.5" customFormat="1" customHeight="1" s="93">
      <c r="A102" s="410" t="inlineStr">
        <is>
          <t>Trucking Department COGS</t>
        </is>
      </c>
    </row>
    <row r="103" ht="18.75" customFormat="1" customHeight="1" s="93">
      <c r="A103" s="400" t="inlineStr">
        <is>
          <t>■Maintenance: Enter in dollars all costs related to maintenance.</t>
        </is>
      </c>
    </row>
    <row r="104" ht="16.5" customFormat="1" customHeight="1" s="93">
      <c r="A104" s="400" t="inlineStr">
        <is>
          <t>■Drivers: Enter in dollars all costs related to drivers.</t>
        </is>
      </c>
    </row>
    <row r="105" ht="15.75" customFormat="1" customHeight="1" s="93">
      <c r="A105" s="400" t="inlineStr">
        <is>
          <t>■Fuel: Enter in dollars all costs related to fuel.</t>
        </is>
      </c>
    </row>
    <row r="106" ht="16.5" customFormat="1" customHeight="1" s="93">
      <c r="A106" s="400" t="inlineStr">
        <is>
          <t>■Other Costs: Enter in dollars all other costs related to the Trucking department.</t>
        </is>
      </c>
    </row>
    <row r="107" ht="32.25" customFormat="1" customHeight="1" s="93">
      <c r="H107" s="399" t="n"/>
      <c r="I107" s="399" t="n"/>
    </row>
    <row r="108" ht="15" customFormat="1" customHeight="1" s="93">
      <c r="A108" s="410" t="inlineStr">
        <is>
          <t>Parts Department</t>
        </is>
      </c>
    </row>
    <row r="109" ht="32.25" customFormat="1" customHeight="1" s="93">
      <c r="A109" s="400" t="inlineStr">
        <is>
          <t>■Stock Fill Rate %: At what rate is your company able to fill a parts order that is considered to be a stocking part.</t>
        </is>
      </c>
    </row>
    <row r="110" ht="16.5" customHeight="1">
      <c r="A110" s="400" t="inlineStr">
        <is>
          <t>■Stock v. NonStock: Your percentage of inventory that is stocking inventory.</t>
        </is>
      </c>
    </row>
    <row r="111" ht="16.5" customHeight="1">
      <c r="A111" s="400" t="inlineStr">
        <is>
          <t>■Parts inventory aging: Enter total percent of parts inventory that is over 12 months old. Entering 0% indicates no inventory over 1 year old.</t>
        </is>
      </c>
    </row>
    <row r="112" ht="33.75" customFormat="1" customHeight="1" s="93">
      <c r="H112" s="399" t="n"/>
      <c r="I112" s="399" t="n"/>
    </row>
    <row r="113" ht="63" customFormat="1" customHeight="1" s="93">
      <c r="A113" s="410" t="inlineStr">
        <is>
          <t>Marketshare Information</t>
        </is>
      </c>
    </row>
    <row r="114" ht="18.75" customHeight="1">
      <c r="A114" s="396" t="inlineStr">
        <is>
          <t xml:space="preserve">■Sold Units: Enter total number of new units sold during the period for which you are reporting. </t>
        </is>
      </c>
    </row>
    <row r="115" ht="50.25" customHeight="1">
      <c r="A115" s="396" t="inlineStr">
        <is>
          <t>■Lost Units: Enter total number of new units quoted by your team, that were lost to a competitor for which you have a lost order report (do not include units quoted that did not culminate in a sale to someone, such as abandoned quotes, budget quotes, re-quotes, insurance quotes, and the like).</t>
        </is>
      </c>
    </row>
    <row r="116" ht="36" customHeight="1">
      <c r="A116" s="396" t="inlineStr">
        <is>
          <t>■Size of Market: Enter total number of new equipment units sold within your market area, within the same time frame as above. (These numbers should be available through industry statistics.)</t>
        </is>
      </c>
    </row>
    <row r="117" ht="18" customFormat="1" customHeight="1" s="93">
      <c r="H117" s="399" t="n"/>
      <c r="I117" s="399" t="n"/>
    </row>
    <row r="118" ht="27" customFormat="1" customHeight="1" s="93">
      <c r="A118" s="410" t="inlineStr">
        <is>
          <t>Rental COGS</t>
        </is>
      </c>
    </row>
    <row r="119" ht="35.25" customHeight="1">
      <c r="A119" s="396" t="inlineStr">
        <is>
          <t xml:space="preserve">■Depreciation of Rental Fleet: Enter amount of depreciation taken on units that are included in your dedicated rent-to-rent rental fleet for the time period you are reporting.  </t>
        </is>
      </c>
    </row>
    <row r="120" ht="35.25" customHeight="1">
      <c r="A120" s="396" t="inlineStr">
        <is>
          <t>■Interest: Enter amount of interest paid for the financing of rent-to-rent units for the time period you are reporting.</t>
        </is>
      </c>
    </row>
    <row r="121" ht="48" customHeight="1">
      <c r="A121" s="396" t="inlineStr">
        <is>
          <t>■Maintenance of Rental Fleet Units: Enter amount spent to perform maintenance and repairs on rent-to-rent units for the time period you are reporting. Please note that wages of dedicated rental department technicians should be reported here.</t>
        </is>
      </c>
    </row>
    <row r="122" ht="50.25" customHeight="1">
      <c r="A122" s="396" t="inlineStr">
        <is>
          <t>■Number Of Units In Rental Fleet: Enter the total number of dedicated rent-to-rent units in your fleet, that are available to rent. This figure is used to calculate the monthly revenue multiple, a critical profitability variable in the Rental Department.</t>
        </is>
      </c>
    </row>
    <row r="123" ht="52.5" customHeight="1">
      <c r="A123" s="396" t="inlineStr">
        <is>
          <t>■Acquisition Cost Of Rental Fleet: Enter the total amount paid for all of the dedicated rent-to-rent units in your fleet. Do NOT use Current Book Value. This figure is used to calculate the monthly revenue multiple, a critical profitability variable in the Rental Department.</t>
        </is>
      </c>
    </row>
    <row r="124" ht="44.25" customFormat="1" customHeight="1" s="93">
      <c r="H124" s="399" t="n"/>
      <c r="I124" s="399" t="n"/>
    </row>
    <row r="125" ht="44.25" customFormat="1" customHeight="1" s="93">
      <c r="A125" s="410" t="inlineStr">
        <is>
          <t>Service Technician Productivity</t>
        </is>
      </c>
    </row>
    <row r="126" ht="18" customHeight="1">
      <c r="A126" s="396" t="inlineStr">
        <is>
          <t>■Customer Labor Rate: Enter hourly rate published for customer work.</t>
        </is>
      </c>
    </row>
    <row r="127" ht="18" customHeight="1">
      <c r="A127" s="396" t="inlineStr">
        <is>
          <t>■Average Hourly Technician Pay Rate: Please provide an average of all tech hourly rates.</t>
        </is>
      </c>
    </row>
    <row r="128" ht="64.5" customHeight="1">
      <c r="A128" s="396" t="inlineStr">
        <is>
          <t>■Total Hours Billed: Enter total service hours billed to customers for Customer Service, PM Maintenance, Full Maintenance, or billed internally for New Warranty, Used Warranty, New Equipment Prep, Used Reconditioning and Rental Repair. This number will likely DIFFER from Total Hours Paid, and may come from your labor Analysis Report.</t>
        </is>
      </c>
    </row>
    <row r="129" ht="48.75" customHeight="1">
      <c r="A129" s="396" t="inlineStr">
        <is>
          <t>■Productive Hours: Enter hours spent by service technicians on Customer Service, PM Maintenance, Full Maintenance, New Warranty, Used Warranty, New Equipment Prep, Used Reconditioning and Rental Repair.</t>
        </is>
      </c>
    </row>
    <row r="130" ht="33" customHeight="1">
      <c r="A130" s="396" t="inlineStr">
        <is>
          <t>■Non-productive Hours: Enter hours spent on work other than Productive Hours such as plant and vehicle maintenance, sick time, vacations, holidays, training, rework, lost time, and the like.</t>
        </is>
      </c>
    </row>
    <row r="131" ht="15" customFormat="1" customHeight="1" s="93">
      <c r="H131" s="399" t="n"/>
      <c r="I131" s="399" t="n"/>
    </row>
    <row r="132" ht="48.75" customHeight="1">
      <c r="A132" s="396" t="inlineStr">
        <is>
          <t>■PM Completion Rate: Enter the percentage of PM contracts that are completed within their 30 day term. When a PM call is declined by the customer, do not count it as a complete. Remove that count from the number of PMs that are open for that term.</t>
        </is>
      </c>
    </row>
    <row r="133" ht="34.5" customHeight="1">
      <c r="A133" s="396" t="inlineStr">
        <is>
          <t>■First Call Completion Rate: Count road service work orders that are completed in one day. Do not include PM road calls in this entry.</t>
        </is>
      </c>
    </row>
    <row r="134" ht="54" customFormat="1" customHeight="1" s="93">
      <c r="H134" s="399" t="n"/>
      <c r="I134" s="399" t="n"/>
    </row>
    <row r="135" ht="31.5" customFormat="1" customHeight="1" s="93">
      <c r="A135" s="410" t="inlineStr">
        <is>
          <t>Inventory Aging</t>
        </is>
      </c>
    </row>
    <row r="136" ht="51" customFormat="1" customHeight="1" s="95">
      <c r="A136" s="411" t="inlineStr">
        <is>
          <t xml:space="preserve">Inventory Aging: Enter each aged inventory number as a percent. The number you enter will indicate what percentage of your inventory for each category was acquired by your company more than one year ago. </t>
        </is>
      </c>
    </row>
    <row r="137" ht="18.75" customFormat="1" customHeight="1" s="93">
      <c r="H137" s="399" t="n"/>
      <c r="I137" s="399" t="n"/>
    </row>
    <row r="138" ht="17.25" customFormat="1" customHeight="1" s="95">
      <c r="A138" s="400" t="inlineStr">
        <is>
          <t>■New Inventory Aging: Enter total percent of new inventory that is over 12 months old. Entering 0% indicates no inventory over 1 year old.</t>
        </is>
      </c>
    </row>
    <row r="139" ht="23.25" customFormat="1" customHeight="1" s="93">
      <c r="H139" s="399" t="n"/>
      <c r="I139" s="399" t="n"/>
    </row>
    <row r="140" ht="15" customFormat="1" customHeight="1" s="95">
      <c r="A140" s="400" t="inlineStr">
        <is>
          <t>■Used Inventory Aging: Enter total percent of used inventory that is over 12 months old. Entering 0% indicates no inventory over 1 year old.</t>
        </is>
      </c>
    </row>
    <row r="141" ht="21" customFormat="1" customHeight="1" s="93">
      <c r="H141" s="399" t="n"/>
      <c r="I141" s="399" t="n"/>
    </row>
    <row r="142" ht="27" customFormat="1" customHeight="1" s="93">
      <c r="A142" s="410" t="inlineStr">
        <is>
          <t>Marketing</t>
        </is>
      </c>
    </row>
    <row r="143" ht="18.75" customFormat="1" customHeight="1" s="95">
      <c r="A143" s="400" t="inlineStr">
        <is>
          <t>■Marketing Expense: Enter your dollars spent for all marketing.</t>
        </is>
      </c>
    </row>
    <row r="144" ht="33.75" customFormat="1" customHeight="1" s="93">
      <c r="H144" s="399" t="n"/>
      <c r="I144" s="399" t="n"/>
    </row>
    <row r="145" ht="14.25" customFormat="1" customHeight="1" s="93">
      <c r="A145" s="410" t="inlineStr">
        <is>
          <t>Service Department</t>
        </is>
      </c>
    </row>
    <row r="146" ht="19.5" customFormat="1" customHeight="1" s="95">
      <c r="A146" s="400" t="inlineStr">
        <is>
          <t>■Service Calls per day: Enter the number of service calls executed per day.</t>
        </is>
      </c>
    </row>
    <row r="147" ht="14.25" customFormat="1" customHeight="1" s="95">
      <c r="A147" s="324" t="n"/>
      <c r="B147" s="324" t="n"/>
      <c r="C147" s="324" t="n"/>
      <c r="D147" s="324" t="n"/>
      <c r="E147" s="324" t="n"/>
      <c r="F147" s="324" t="n"/>
      <c r="G147" s="324" t="n"/>
      <c r="H147" s="324" t="n"/>
      <c r="I147" s="324" t="n"/>
    </row>
    <row r="148" ht="35.25" customHeight="1">
      <c r="A148" s="325" t="inlineStr">
        <is>
          <t>Balance Sheet tab:</t>
        </is>
      </c>
    </row>
    <row r="149" ht="37.5" customFormat="1" customHeight="1" s="93">
      <c r="H149" s="399" t="n"/>
      <c r="I149" s="399" t="n"/>
    </row>
    <row r="150" ht="48" customFormat="1" customHeight="1" s="95">
      <c r="A150" s="402" t="inlineStr">
        <is>
          <t>Please fill in all blue shaded cells as whole dollars. Totals will calculate automatically as you enter data. If the Balance Sheet does not balance, you will see an error message to the right of Total Liabilities &amp; Net Worth. The error message will appear as follows:</t>
        </is>
      </c>
    </row>
    <row r="151" ht="29.25" customFormat="1" customHeight="1" s="96">
      <c r="A151" s="403" t="inlineStr">
        <is>
          <t>NOT BALANCED</t>
        </is>
      </c>
    </row>
    <row r="152" ht="18" customFormat="1" customHeight="1" s="96">
      <c r="A152" s="402" t="inlineStr">
        <is>
          <t>If you see the above message, please check all entries and correct where necessary.</t>
        </is>
      </c>
    </row>
    <row r="153" ht="46.5" customFormat="1" customHeight="1" s="93">
      <c r="H153" s="399" t="n"/>
      <c r="I153" s="399" t="n"/>
    </row>
    <row r="154" ht="15.75" customFormat="1" customHeight="1" s="95">
      <c r="A154" s="409" t="inlineStr">
        <is>
          <t>Always enter “point-in-time” numbers, as  from your company Balance Sheet.</t>
        </is>
      </c>
    </row>
    <row r="155" ht="35.25" customFormat="1" customHeight="1" s="93">
      <c r="H155" s="399" t="n"/>
      <c r="I155" s="399" t="n"/>
    </row>
    <row r="156" ht="14.25" customFormat="1" customHeight="1" s="93">
      <c r="A156" s="410" t="inlineStr">
        <is>
          <t>ASSETS</t>
        </is>
      </c>
    </row>
    <row r="157" ht="17.25" customFormat="1" customHeight="1" s="95">
      <c r="A157" s="396" t="inlineStr">
        <is>
          <t>■Trade Accounts Receivable: Enter total of all trade accounts receivable as stated on the Balance Sheet.</t>
        </is>
      </c>
    </row>
    <row r="158" ht="18" customFormat="1" customHeight="1" s="95">
      <c r="A158" s="396" t="inlineStr">
        <is>
          <t>■Other Accounts Receivable: Enter total of all other accounts receivable as stated on the Balance Sheet.</t>
        </is>
      </c>
    </row>
    <row r="159" ht="33.75" customFormat="1" customHeight="1" s="93">
      <c r="H159" s="399" t="n"/>
      <c r="I159" s="399" t="n"/>
    </row>
    <row r="160" ht="14.25" customFormat="1" customHeight="1" s="93">
      <c r="A160" s="410" t="inlineStr">
        <is>
          <t>Inventory/Current Assets</t>
        </is>
      </c>
    </row>
    <row r="161" ht="32.25" customFormat="1" customHeight="1" s="93">
      <c r="H161" s="399" t="n"/>
      <c r="I161" s="399" t="n"/>
    </row>
    <row r="162" ht="32.25" customHeight="1">
      <c r="A162" s="397" t="inlineStr">
        <is>
          <t>All inventory categories correspond to the Sales Department Categories as entered on the Sales, COGS, GP tab.</t>
        </is>
      </c>
    </row>
    <row r="163" ht="22.5" customFormat="1" customHeight="1" s="93">
      <c r="H163" s="399" t="n"/>
      <c r="I163" s="399" t="n"/>
    </row>
    <row r="164" ht="31.5" customHeight="1">
      <c r="A164" s="396" t="inlineStr">
        <is>
          <t>■New Equipment, all brands: Enter total dollar value of Primary Brand New Equipment Inventory as stated on your company Balance Sheet. Do not include LIFO reserve.</t>
        </is>
      </c>
    </row>
    <row r="165" ht="33.75" customHeight="1">
      <c r="A165" s="396" t="inlineStr">
        <is>
          <t>■New Allied Equipment: Enter total dollar value of New Allied Equipment Inventory as stated on your company Balance Sheet. Do not include LIFO reserve.</t>
        </is>
      </c>
    </row>
    <row r="166" ht="33" customFormat="1" customHeight="1" s="95">
      <c r="A166" s="396" t="inlineStr">
        <is>
          <t>■Other New Equipment: Enter total dollar value of Other New Equipment Inventory as stated on your company Balance Sheet. Do not include LIFO reserve.</t>
        </is>
      </c>
    </row>
    <row r="167" ht="34.5" customHeight="1">
      <c r="A167" s="396" t="inlineStr">
        <is>
          <t>■Used Equipment: Enter total dollar value of Used Equipment Inventory as stated on your company Balance Sheet. Do not include LIFO reserve.</t>
        </is>
      </c>
    </row>
    <row r="168" ht="35.25" customHeight="1">
      <c r="A168" s="396" t="inlineStr">
        <is>
          <t>■Parts Inventory: Enter total dollar value of New, Used, Other, Consumer Parts and Misc. Parts Inventory as stated on your company Balance Sheet. Do not include LIFO reserve.</t>
        </is>
      </c>
    </row>
    <row r="169" ht="35.25" customHeight="1">
      <c r="A169" s="396" t="inlineStr">
        <is>
          <t>■Battery Inventory: Enter total dollar value of Battery Inventory as stated on your company Balance Sheet. Do not include LIFO reserve.</t>
        </is>
      </c>
    </row>
    <row r="170" ht="51" customHeight="1">
      <c r="A170" s="396" t="inlineStr">
        <is>
          <t>■Other Inventory: Enter total dollar value of any other inventory, which does not apply to any of the other inventory categories, as stated on your company Balance Sheet. Work in Process may be entered here.  Do not include LIFO reserve.</t>
        </is>
      </c>
    </row>
    <row r="171" ht="51" customFormat="1" customHeight="1" s="93">
      <c r="H171" s="399" t="n"/>
      <c r="I171" s="399" t="n"/>
    </row>
    <row r="172" ht="18" customHeight="1">
      <c r="A172" s="396" t="inlineStr">
        <is>
          <t>■WIP: This will be mostly service related works that have not been invoiced, this work may be awaiting additional items in order to complete.</t>
        </is>
      </c>
    </row>
    <row r="173" ht="65.25" customFormat="1" customHeight="1" s="93">
      <c r="H173" s="399" t="n"/>
      <c r="I173" s="399" t="n"/>
    </row>
    <row r="174" ht="17.25" customHeight="1">
      <c r="A174" s="396" t="inlineStr">
        <is>
          <t>■Other Current Assets: Include LIFO reserve for all inventory.</t>
        </is>
      </c>
    </row>
    <row r="175" ht="16" customFormat="1" customHeight="1" s="93">
      <c r="H175" s="399" t="n"/>
      <c r="I175" s="399" t="n"/>
    </row>
    <row r="176" ht="16.5" customHeight="1">
      <c r="A176" s="331" t="inlineStr">
        <is>
          <t>Fixed Assets</t>
        </is>
      </c>
      <c r="B176" s="332" t="n"/>
      <c r="C176" s="332" t="n"/>
      <c r="D176" s="332" t="n"/>
      <c r="E176" s="332" t="n"/>
      <c r="F176" s="333" t="n"/>
      <c r="G176" s="333" t="n"/>
      <c r="H176" s="333" t="n"/>
      <c r="I176" s="333" t="n"/>
    </row>
    <row r="177" ht="33.75" customHeight="1">
      <c r="A177" s="396" t="inlineStr">
        <is>
          <t xml:space="preserve">■Rental Fleet: Enter the total dollar value of your Rent-to-Rent units, as stated on your company Balance Sheet. </t>
        </is>
      </c>
    </row>
    <row r="178" ht="34.5" customHeight="1">
      <c r="A178" s="396" t="inlineStr">
        <is>
          <t>■Other Long term or Fixed Assets: Enter the dollar value of any other Long term, or Fixed Assets not reported above, as stated on your company Balance Sheet.</t>
        </is>
      </c>
    </row>
    <row r="179" ht="19.5" customFormat="1" customHeight="1" s="93">
      <c r="H179" s="399" t="n"/>
      <c r="I179" s="399" t="n"/>
    </row>
    <row r="180" ht="16" customFormat="1" customHeight="1" s="93">
      <c r="A180" s="410" t="inlineStr">
        <is>
          <t>LIABILITIES</t>
        </is>
      </c>
    </row>
    <row r="181" ht="35.25" customHeight="1">
      <c r="A181" s="396" t="inlineStr">
        <is>
          <t>■A/P Primary Brand(s): Enter total Liabilities for New Units (this includes Floor Plan) as stated on your company Balance Sheet.</t>
        </is>
      </c>
    </row>
    <row r="182" ht="18.75" customHeight="1">
      <c r="A182" s="396" t="inlineStr">
        <is>
          <t>■Notes Payable: Enter all short term (less than one year) debt as stated on your company Balance Sheet.</t>
        </is>
      </c>
    </row>
    <row r="183" ht="32.25" customHeight="1">
      <c r="A183" s="396" t="inlineStr">
        <is>
          <t>■ST Rental Finance: Enter your total Short Term Debt for the Rental Fleet as stated on your company Balance Sheet.</t>
        </is>
      </c>
    </row>
    <row r="184" ht="33.75" customHeight="1">
      <c r="A184" s="396" t="inlineStr">
        <is>
          <t>■Other Current Liabilities: Enter the dollar value of any other Current Liabilities not reported above, as stated on your company Balance Sheet.</t>
        </is>
      </c>
    </row>
    <row r="185" ht="33" customHeight="1">
      <c r="A185" s="396" t="inlineStr">
        <is>
          <t>■Long Term Notes Payable: Enter all long term (greater than one year) debt as stated on your company Balance Sheet.</t>
        </is>
      </c>
    </row>
    <row r="186" ht="33" customFormat="1" customHeight="1" s="93">
      <c r="H186" s="399" t="n"/>
      <c r="I186" s="399" t="n"/>
    </row>
    <row r="187" ht="17.25" customHeight="1">
      <c r="A187" s="396" t="inlineStr">
        <is>
          <t>■Other Liabilities: Enter all Other Liabilities, not reported above, as stated on your company Balance Sheet.</t>
        </is>
      </c>
    </row>
    <row r="188" ht="18" customHeight="1">
      <c r="A188" s="334" t="n"/>
      <c r="B188" s="335" t="n"/>
      <c r="C188" s="335" t="n"/>
      <c r="D188" s="335" t="n"/>
      <c r="E188" s="335" t="n"/>
      <c r="F188" s="335" t="n"/>
      <c r="G188" s="335" t="n"/>
      <c r="H188" s="336" t="n"/>
      <c r="I188" s="336" t="n"/>
    </row>
    <row r="189" ht="18" customHeight="1">
      <c r="A189" s="325" t="inlineStr">
        <is>
          <t>Gap Analysis and Preview Tabs</t>
        </is>
      </c>
    </row>
    <row r="190" ht="66" customHeight="1">
      <c r="A190" s="398" t="inlineStr">
        <is>
          <t>No entries are required for these tabs with one exception.  All cells calculate automatically.  Use the Preview page as a quick review of your entries and also a preview of how your input will appear in the Currie Financial Composite for your group.  After reviewing the Preview, please enter your name in the blue cell at the top of the Preview page.</t>
        </is>
      </c>
    </row>
    <row r="191" ht="36" customHeight="1">
      <c r="A191" s="398" t="inlineStr">
        <is>
          <t>The Preview tab has some comments that you may find useful.  Wherever you see a red triangle in a cell containing a title, open the comment to learn more.</t>
        </is>
      </c>
    </row>
    <row r="192" ht="16" customHeight="1">
      <c r="A192" s="335" t="n"/>
      <c r="B192" s="335" t="n"/>
      <c r="C192" s="335" t="n"/>
      <c r="D192" s="335" t="n"/>
      <c r="E192" s="335" t="n"/>
      <c r="F192" s="335" t="n"/>
      <c r="G192" s="335" t="n"/>
      <c r="H192" s="336" t="n"/>
      <c r="I192" s="336" t="n"/>
    </row>
    <row r="193" ht="25" customHeight="1">
      <c r="A193" s="394" t="inlineStr">
        <is>
          <t>Contact information</t>
        </is>
      </c>
    </row>
    <row r="194" ht="18" customHeight="1">
      <c r="A194" s="404" t="inlineStr">
        <is>
          <t>Currie Management Consultants, Inc.</t>
        </is>
      </c>
    </row>
    <row r="195" ht="18" customHeight="1">
      <c r="A195" s="404" t="inlineStr">
        <is>
          <t>Office telephone 508-752-9229</t>
        </is>
      </c>
    </row>
    <row r="196" ht="18" customHeight="1">
      <c r="A196" s="404" t="inlineStr">
        <is>
          <t>Email Matt@CurrieManagement.com</t>
        </is>
      </c>
    </row>
    <row r="197" ht="21" customHeight="1">
      <c r="A197" s="395" t="inlineStr">
        <is>
          <t>Thank you!  Please call if you need any further assistance!</t>
        </is>
      </c>
    </row>
  </sheetData>
  <sheetProtection selectLockedCells="0" selectUnlockedCells="0" sheet="1" objects="1" insertRows="1" insertHyperlinks="1" autoFilter="1" scenarios="1" formatColumns="1" deleteColumns="1" insertColumns="1" pivotTables="1" deleteRows="1" formatCells="1" formatRows="1" sort="1"/>
  <mergeCells count="118">
    <mergeCell ref="A7:I7"/>
    <mergeCell ref="A172:I172"/>
    <mergeCell ref="A99:I99"/>
    <mergeCell ref="A164:I164"/>
    <mergeCell ref="A108:I108"/>
    <mergeCell ref="A56:I56"/>
    <mergeCell ref="A154:I154"/>
    <mergeCell ref="A195:I195"/>
    <mergeCell ref="A42:I42"/>
    <mergeCell ref="A17:I17"/>
    <mergeCell ref="A126:I126"/>
    <mergeCell ref="A140:I140"/>
    <mergeCell ref="A22:I22"/>
    <mergeCell ref="A135:I135"/>
    <mergeCell ref="A109:I109"/>
    <mergeCell ref="A62:I62"/>
    <mergeCell ref="A68:I68"/>
    <mergeCell ref="A190:I190"/>
    <mergeCell ref="A28:I28"/>
    <mergeCell ref="A111:I111"/>
    <mergeCell ref="A9:I9"/>
    <mergeCell ref="A167:I167"/>
    <mergeCell ref="A48:I48"/>
    <mergeCell ref="A30:I30"/>
    <mergeCell ref="A142:I142"/>
    <mergeCell ref="A182:I182"/>
    <mergeCell ref="A11:I11"/>
    <mergeCell ref="A103:I103"/>
    <mergeCell ref="A169:I169"/>
    <mergeCell ref="A79:I79"/>
    <mergeCell ref="A128:I128"/>
    <mergeCell ref="A46:I46"/>
    <mergeCell ref="A177:I177"/>
    <mergeCell ref="A89:I89"/>
    <mergeCell ref="A136:I136"/>
    <mergeCell ref="A105:I105"/>
    <mergeCell ref="A74:I74"/>
    <mergeCell ref="A145:I145"/>
    <mergeCell ref="A26:I26"/>
    <mergeCell ref="A129:I129"/>
    <mergeCell ref="A194:I194"/>
    <mergeCell ref="A76:I76"/>
    <mergeCell ref="A116:I116"/>
    <mergeCell ref="A181:I181"/>
    <mergeCell ref="A91:I91"/>
    <mergeCell ref="A184:I184"/>
    <mergeCell ref="A100:I100"/>
    <mergeCell ref="A52:I52"/>
    <mergeCell ref="A180:I180"/>
    <mergeCell ref="A165:I165"/>
    <mergeCell ref="A115:I115"/>
    <mergeCell ref="A93:I93"/>
    <mergeCell ref="A102:I102"/>
    <mergeCell ref="A34:I34"/>
    <mergeCell ref="A143:I143"/>
    <mergeCell ref="A157:I157"/>
    <mergeCell ref="A166:I166"/>
    <mergeCell ref="A36:I36"/>
    <mergeCell ref="A168:I168"/>
    <mergeCell ref="A183:I183"/>
    <mergeCell ref="A133:I133"/>
    <mergeCell ref="A193:I193"/>
    <mergeCell ref="A120:I120"/>
    <mergeCell ref="A104:I104"/>
    <mergeCell ref="A113:I113"/>
    <mergeCell ref="A5:I5"/>
    <mergeCell ref="A32:I32"/>
    <mergeCell ref="A185:I185"/>
    <mergeCell ref="A106:I106"/>
    <mergeCell ref="A4:I4"/>
    <mergeCell ref="A96:I96"/>
    <mergeCell ref="A38:I38"/>
    <mergeCell ref="A156:I156"/>
    <mergeCell ref="A170:I170"/>
    <mergeCell ref="A40:I40"/>
    <mergeCell ref="A130:I130"/>
    <mergeCell ref="A24:I24"/>
    <mergeCell ref="A82:I82"/>
    <mergeCell ref="A123:I123"/>
    <mergeCell ref="A138:I138"/>
    <mergeCell ref="A132:I132"/>
    <mergeCell ref="A197:I197"/>
    <mergeCell ref="A110:I110"/>
    <mergeCell ref="A146:I146"/>
    <mergeCell ref="A119:I119"/>
    <mergeCell ref="A187:I187"/>
    <mergeCell ref="A196:I196"/>
    <mergeCell ref="A174:I174"/>
    <mergeCell ref="A84:I84"/>
    <mergeCell ref="A66:I66"/>
    <mergeCell ref="A118:I118"/>
    <mergeCell ref="A158:I158"/>
    <mergeCell ref="A50:I50"/>
    <mergeCell ref="A86:I86"/>
    <mergeCell ref="A95:I95"/>
    <mergeCell ref="A151:I151"/>
    <mergeCell ref="A160:I160"/>
    <mergeCell ref="A150:I150"/>
    <mergeCell ref="A122:I122"/>
    <mergeCell ref="A97:I97"/>
    <mergeCell ref="A20:I20"/>
    <mergeCell ref="A125:I125"/>
    <mergeCell ref="A72:I72"/>
    <mergeCell ref="A152:I152"/>
    <mergeCell ref="A121:I121"/>
    <mergeCell ref="A13:I13"/>
    <mergeCell ref="A44:I44"/>
    <mergeCell ref="A127:I127"/>
    <mergeCell ref="A58:I58"/>
    <mergeCell ref="A114:I114"/>
    <mergeCell ref="A64:I64"/>
    <mergeCell ref="A98:I98"/>
    <mergeCell ref="A191:I191"/>
    <mergeCell ref="A178:I178"/>
    <mergeCell ref="A60:I60"/>
    <mergeCell ref="A70:I70"/>
    <mergeCell ref="A162:I162"/>
    <mergeCell ref="A54:I54"/>
  </mergeCells>
  <pageMargins left="0.7" right="0.7" top="0.75" bottom="0.75" header="0.3" footer="0.3"/>
  <pageSetup orientation="portrait" scale="82"/>
  <rowBreaks count="4" manualBreakCount="4">
    <brk id="14" min="0" max="8" man="1"/>
    <brk id="76" min="0" max="8" man="1"/>
    <brk id="175" min="0" max="8" man="1"/>
    <brk id="180" min="0" max="8" man="1"/>
  </rowBreaks>
</worksheet>
</file>

<file path=xl/worksheets/sheet2.xml><?xml version="1.0" encoding="utf-8"?>
<worksheet xmlns="http://schemas.openxmlformats.org/spreadsheetml/2006/main">
  <sheetPr>
    <tabColor rgb="FFC00000"/>
    <outlinePr summaryBelow="1" summaryRight="1"/>
    <pageSetUpPr/>
  </sheetPr>
  <dimension ref="A1:L26"/>
  <sheetViews>
    <sheetView workbookViewId="0">
      <selection activeCell="A1" sqref="A1:L26"/>
    </sheetView>
  </sheetViews>
  <sheetFormatPr baseColWidth="10" defaultColWidth="8.83203125" defaultRowHeight="15"/>
  <sheetData>
    <row r="1">
      <c r="A1" s="413" t="inlineStr">
        <is>
          <t>Rental COGs are not tracked short term and long term, all have been entered under short term on expenses sheet
Re-Rent sales are included in short term rentals
All of our G&amp;A expenses have been reallocated as overhead to the other departments, we will work on splitting those out.</t>
        </is>
      </c>
      <c r="B1" s="453" t="n"/>
      <c r="C1" s="453" t="n"/>
      <c r="D1" s="453" t="n"/>
      <c r="E1" s="453" t="n"/>
      <c r="F1" s="453" t="n"/>
      <c r="G1" s="453" t="n"/>
      <c r="H1" s="453" t="n"/>
      <c r="I1" s="453" t="n"/>
      <c r="J1" s="453" t="n"/>
      <c r="K1" s="453" t="n"/>
      <c r="L1" s="453" t="n"/>
    </row>
    <row r="2">
      <c r="A2" s="453" t="n"/>
      <c r="B2" s="453" t="n"/>
      <c r="C2" s="453" t="n"/>
      <c r="D2" s="453" t="n"/>
      <c r="E2" s="453" t="n"/>
      <c r="F2" s="453" t="n"/>
      <c r="G2" s="453" t="n"/>
      <c r="H2" s="453" t="n"/>
      <c r="I2" s="453" t="n"/>
      <c r="J2" s="453" t="n"/>
      <c r="K2" s="453" t="n"/>
      <c r="L2" s="453" t="n"/>
    </row>
    <row r="3">
      <c r="A3" s="453" t="n"/>
      <c r="B3" s="453" t="n"/>
      <c r="C3" s="453" t="n"/>
      <c r="D3" s="453" t="n"/>
      <c r="E3" s="453" t="n"/>
      <c r="F3" s="453" t="n"/>
      <c r="G3" s="453" t="n"/>
      <c r="H3" s="453" t="n"/>
      <c r="I3" s="453" t="n"/>
      <c r="J3" s="453" t="n"/>
      <c r="K3" s="453" t="n"/>
      <c r="L3" s="453" t="n"/>
    </row>
    <row r="4">
      <c r="A4" s="453" t="n"/>
      <c r="B4" s="453" t="n"/>
      <c r="C4" s="453" t="n"/>
      <c r="D4" s="453" t="n"/>
      <c r="E4" s="453" t="n"/>
      <c r="F4" s="453" t="n"/>
      <c r="G4" s="453" t="n"/>
      <c r="H4" s="453" t="n"/>
      <c r="I4" s="453" t="n"/>
      <c r="J4" s="453" t="n"/>
      <c r="K4" s="453" t="n"/>
      <c r="L4" s="453" t="n"/>
    </row>
    <row r="5">
      <c r="A5" s="453" t="n"/>
      <c r="B5" s="453" t="n"/>
      <c r="C5" s="453" t="n"/>
      <c r="D5" s="453" t="n"/>
      <c r="E5" s="453" t="n"/>
      <c r="F5" s="453" t="n"/>
      <c r="G5" s="453" t="n"/>
      <c r="H5" s="453" t="n"/>
      <c r="I5" s="453" t="n"/>
      <c r="J5" s="453" t="n"/>
      <c r="K5" s="453" t="n"/>
      <c r="L5" s="453" t="n"/>
    </row>
    <row r="6">
      <c r="A6" s="453" t="n"/>
      <c r="B6" s="453" t="n"/>
      <c r="C6" s="453" t="n"/>
      <c r="D6" s="453" t="n"/>
      <c r="E6" s="453" t="n"/>
      <c r="F6" s="453" t="n"/>
      <c r="G6" s="453" t="n"/>
      <c r="H6" s="453" t="n"/>
      <c r="I6" s="453" t="n"/>
      <c r="J6" s="453" t="n"/>
      <c r="K6" s="453" t="n"/>
      <c r="L6" s="453" t="n"/>
    </row>
    <row r="7">
      <c r="A7" s="453" t="n"/>
      <c r="B7" s="453" t="n"/>
      <c r="C7" s="453" t="n"/>
      <c r="D7" s="453" t="n"/>
      <c r="E7" s="453" t="n"/>
      <c r="F7" s="453" t="n"/>
      <c r="G7" s="453" t="n"/>
      <c r="H7" s="453" t="n"/>
      <c r="I7" s="453" t="n"/>
      <c r="J7" s="453" t="n"/>
      <c r="K7" s="453" t="n"/>
      <c r="L7" s="453" t="n"/>
    </row>
    <row r="8">
      <c r="A8" s="453" t="n"/>
      <c r="B8" s="453" t="n"/>
      <c r="C8" s="453" t="n"/>
      <c r="D8" s="453" t="n"/>
      <c r="E8" s="453" t="n"/>
      <c r="F8" s="453" t="n"/>
      <c r="G8" s="453" t="n"/>
      <c r="H8" s="453" t="n"/>
      <c r="I8" s="453" t="n"/>
      <c r="J8" s="453" t="n"/>
      <c r="K8" s="453" t="n"/>
      <c r="L8" s="453" t="n"/>
    </row>
    <row r="9">
      <c r="A9" s="453" t="n"/>
      <c r="B9" s="453" t="n"/>
      <c r="C9" s="453" t="n"/>
      <c r="D9" s="453" t="n"/>
      <c r="E9" s="453" t="n"/>
      <c r="F9" s="453" t="n"/>
      <c r="G9" s="453" t="n"/>
      <c r="H9" s="453" t="n"/>
      <c r="I9" s="453" t="n"/>
      <c r="J9" s="453" t="n"/>
      <c r="K9" s="453" t="n"/>
      <c r="L9" s="453" t="n"/>
    </row>
    <row r="10">
      <c r="A10" s="453" t="n"/>
      <c r="B10" s="453" t="n"/>
      <c r="C10" s="453" t="n"/>
      <c r="D10" s="453" t="n"/>
      <c r="E10" s="453" t="n"/>
      <c r="F10" s="453" t="n"/>
      <c r="G10" s="453" t="n"/>
      <c r="H10" s="453" t="n"/>
      <c r="I10" s="453" t="n"/>
      <c r="J10" s="453" t="n"/>
      <c r="K10" s="453" t="n"/>
      <c r="L10" s="453" t="n"/>
    </row>
    <row r="11">
      <c r="A11" s="453" t="n"/>
      <c r="B11" s="453" t="n"/>
      <c r="C11" s="453" t="n"/>
      <c r="D11" s="453" t="n"/>
      <c r="E11" s="453" t="n"/>
      <c r="F11" s="453" t="n"/>
      <c r="G11" s="453" t="n"/>
      <c r="H11" s="453" t="n"/>
      <c r="I11" s="453" t="n"/>
      <c r="J11" s="453" t="n"/>
      <c r="K11" s="453" t="n"/>
      <c r="L11" s="453" t="n"/>
    </row>
    <row r="12">
      <c r="A12" s="453" t="n"/>
      <c r="B12" s="453" t="n"/>
      <c r="C12" s="453" t="n"/>
      <c r="D12" s="453" t="n"/>
      <c r="E12" s="453" t="n"/>
      <c r="F12" s="453" t="n"/>
      <c r="G12" s="453" t="n"/>
      <c r="H12" s="453" t="n"/>
      <c r="I12" s="453" t="n"/>
      <c r="J12" s="453" t="n"/>
      <c r="K12" s="453" t="n"/>
      <c r="L12" s="453" t="n"/>
    </row>
    <row r="13">
      <c r="A13" s="453" t="n"/>
      <c r="B13" s="453" t="n"/>
      <c r="C13" s="453" t="n"/>
      <c r="D13" s="453" t="n"/>
      <c r="E13" s="453" t="n"/>
      <c r="F13" s="453" t="n"/>
      <c r="G13" s="453" t="n"/>
      <c r="H13" s="453" t="n"/>
      <c r="I13" s="453" t="n"/>
      <c r="J13" s="453" t="n"/>
      <c r="K13" s="453" t="n"/>
      <c r="L13" s="453" t="n"/>
    </row>
    <row r="14">
      <c r="A14" s="453" t="n"/>
      <c r="B14" s="453" t="n"/>
      <c r="C14" s="453" t="n"/>
      <c r="D14" s="453" t="n"/>
      <c r="E14" s="453" t="n"/>
      <c r="F14" s="453" t="n"/>
      <c r="G14" s="453" t="n"/>
      <c r="H14" s="453" t="n"/>
      <c r="I14" s="453" t="n"/>
      <c r="J14" s="453" t="n"/>
      <c r="K14" s="453" t="n"/>
      <c r="L14" s="453" t="n"/>
    </row>
    <row r="15">
      <c r="A15" s="453" t="n"/>
      <c r="B15" s="453" t="n"/>
      <c r="C15" s="453" t="n"/>
      <c r="D15" s="453" t="n"/>
      <c r="E15" s="453" t="n"/>
      <c r="F15" s="453" t="n"/>
      <c r="G15" s="453" t="n"/>
      <c r="H15" s="453" t="n"/>
      <c r="I15" s="453" t="n"/>
      <c r="J15" s="453" t="n"/>
      <c r="K15" s="453" t="n"/>
      <c r="L15" s="453" t="n"/>
    </row>
    <row r="16">
      <c r="A16" s="453" t="n"/>
      <c r="B16" s="453" t="n"/>
      <c r="C16" s="453" t="n"/>
      <c r="D16" s="453" t="n"/>
      <c r="E16" s="453" t="n"/>
      <c r="F16" s="453" t="n"/>
      <c r="G16" s="453" t="n"/>
      <c r="H16" s="453" t="n"/>
      <c r="I16" s="453" t="n"/>
      <c r="J16" s="453" t="n"/>
      <c r="K16" s="453" t="n"/>
      <c r="L16" s="453" t="n"/>
    </row>
    <row r="17">
      <c r="A17" s="453" t="n"/>
      <c r="B17" s="453" t="n"/>
      <c r="C17" s="453" t="n"/>
      <c r="D17" s="453" t="n"/>
      <c r="E17" s="453" t="n"/>
      <c r="F17" s="453" t="n"/>
      <c r="G17" s="453" t="n"/>
      <c r="H17" s="453" t="n"/>
      <c r="I17" s="453" t="n"/>
      <c r="J17" s="453" t="n"/>
      <c r="K17" s="453" t="n"/>
      <c r="L17" s="453" t="n"/>
    </row>
    <row r="18">
      <c r="A18" s="453" t="n"/>
      <c r="B18" s="453" t="n"/>
      <c r="C18" s="453" t="n"/>
      <c r="D18" s="453" t="n"/>
      <c r="E18" s="453" t="n"/>
      <c r="F18" s="453" t="n"/>
      <c r="G18" s="453" t="n"/>
      <c r="H18" s="453" t="n"/>
      <c r="I18" s="453" t="n"/>
      <c r="J18" s="453" t="n"/>
      <c r="K18" s="453" t="n"/>
      <c r="L18" s="453" t="n"/>
    </row>
    <row r="19">
      <c r="A19" s="453" t="n"/>
      <c r="B19" s="453" t="n"/>
      <c r="C19" s="453" t="n"/>
      <c r="D19" s="453" t="n"/>
      <c r="E19" s="453" t="n"/>
      <c r="F19" s="453" t="n"/>
      <c r="G19" s="453" t="n"/>
      <c r="H19" s="453" t="n"/>
      <c r="I19" s="453" t="n"/>
      <c r="J19" s="453" t="n"/>
      <c r="K19" s="453" t="n"/>
      <c r="L19" s="453" t="n"/>
    </row>
    <row r="20">
      <c r="A20" s="453" t="n"/>
      <c r="B20" s="453" t="n"/>
      <c r="C20" s="453" t="n"/>
      <c r="D20" s="453" t="n"/>
      <c r="E20" s="453" t="n"/>
      <c r="F20" s="453" t="n"/>
      <c r="G20" s="453" t="n"/>
      <c r="H20" s="453" t="n"/>
      <c r="I20" s="453" t="n"/>
      <c r="J20" s="453" t="n"/>
      <c r="K20" s="453" t="n"/>
      <c r="L20" s="453" t="n"/>
    </row>
    <row r="21">
      <c r="A21" s="453" t="n"/>
      <c r="B21" s="453" t="n"/>
      <c r="C21" s="453" t="n"/>
      <c r="D21" s="453" t="n"/>
      <c r="E21" s="453" t="n"/>
      <c r="F21" s="453" t="n"/>
      <c r="G21" s="453" t="n"/>
      <c r="H21" s="453" t="n"/>
      <c r="I21" s="453" t="n"/>
      <c r="J21" s="453" t="n"/>
      <c r="K21" s="453" t="n"/>
      <c r="L21" s="453" t="n"/>
    </row>
    <row r="22">
      <c r="A22" s="453" t="n"/>
      <c r="B22" s="453" t="n"/>
      <c r="C22" s="453" t="n"/>
      <c r="D22" s="453" t="n"/>
      <c r="E22" s="453" t="n"/>
      <c r="F22" s="453" t="n"/>
      <c r="G22" s="453" t="n"/>
      <c r="H22" s="453" t="n"/>
      <c r="I22" s="453" t="n"/>
      <c r="J22" s="453" t="n"/>
      <c r="K22" s="453" t="n"/>
      <c r="L22" s="453" t="n"/>
    </row>
    <row r="23">
      <c r="A23" s="453" t="n"/>
      <c r="B23" s="453" t="n"/>
      <c r="C23" s="453" t="n"/>
      <c r="D23" s="453" t="n"/>
      <c r="E23" s="453" t="n"/>
      <c r="F23" s="453" t="n"/>
      <c r="G23" s="453" t="n"/>
      <c r="H23" s="453" t="n"/>
      <c r="I23" s="453" t="n"/>
      <c r="J23" s="453" t="n"/>
      <c r="K23" s="453" t="n"/>
      <c r="L23" s="453" t="n"/>
    </row>
    <row r="24">
      <c r="A24" s="453" t="n"/>
      <c r="B24" s="453" t="n"/>
      <c r="C24" s="453" t="n"/>
      <c r="D24" s="453" t="n"/>
      <c r="E24" s="453" t="n"/>
      <c r="F24" s="453" t="n"/>
      <c r="G24" s="453" t="n"/>
      <c r="H24" s="453" t="n"/>
      <c r="I24" s="453" t="n"/>
      <c r="J24" s="453" t="n"/>
      <c r="K24" s="453" t="n"/>
      <c r="L24" s="453" t="n"/>
    </row>
    <row r="25">
      <c r="A25" s="453" t="n"/>
      <c r="B25" s="453" t="n"/>
      <c r="C25" s="453" t="n"/>
      <c r="D25" s="453" t="n"/>
      <c r="E25" s="453" t="n"/>
      <c r="F25" s="453" t="n"/>
      <c r="G25" s="453" t="n"/>
      <c r="H25" s="453" t="n"/>
      <c r="I25" s="453" t="n"/>
      <c r="J25" s="453" t="n"/>
      <c r="K25" s="453" t="n"/>
      <c r="L25" s="453" t="n"/>
    </row>
    <row r="26">
      <c r="A26" s="453" t="n"/>
      <c r="B26" s="453" t="n"/>
      <c r="C26" s="453" t="n"/>
      <c r="D26" s="453" t="n"/>
      <c r="E26" s="453" t="n"/>
      <c r="F26" s="453" t="n"/>
      <c r="G26" s="453" t="n"/>
      <c r="H26" s="453" t="n"/>
      <c r="I26" s="453" t="n"/>
      <c r="J26" s="453" t="n"/>
      <c r="K26" s="453" t="n"/>
      <c r="L26" s="453" t="n"/>
    </row>
  </sheetData>
  <sheetProtection selectLockedCells="1" selectUnlockedCells="0" sheet="1" objects="1" insertRows="1" insertHyperlinks="1" autoFilter="1" scenarios="1" formatColumns="1" deleteColumns="1" insertColumns="1" pivotTables="1" deleteRows="1" formatCells="1" formatRows="1" sort="1"/>
  <mergeCells count="1">
    <mergeCell ref="A1:L26"/>
  </mergeCells>
  <pageMargins left="0.7" right="0.7" top="0.75" bottom="0.75" header="0.3" footer="0.3"/>
  <pageSetup orientation="portrait"/>
</worksheet>
</file>

<file path=xl/worksheets/sheet3.xml><?xml version="1.0" encoding="utf-8"?>
<worksheet xmlns="http://schemas.openxmlformats.org/spreadsheetml/2006/main">
  <sheetPr>
    <tabColor theme="8" tint="0.5999938962981048"/>
    <outlinePr summaryBelow="1" summaryRight="1"/>
    <pageSetUpPr/>
  </sheetPr>
  <dimension ref="A1:I49"/>
  <sheetViews>
    <sheetView tabSelected="1" view="pageBreakPreview" topLeftCell="A28" zoomScaleNormal="110" zoomScaleSheetLayoutView="100" workbookViewId="0">
      <selection activeCell="B7" sqref="B7"/>
    </sheetView>
  </sheetViews>
  <sheetFormatPr baseColWidth="10" defaultColWidth="8.83203125" defaultRowHeight="16"/>
  <cols>
    <col width="42.33203125" customWidth="1" style="22" min="1" max="1"/>
    <col width="23.5" customWidth="1" style="22" min="2" max="2"/>
    <col width="23.1640625" customWidth="1" style="22" min="3" max="3"/>
    <col width="24.33203125" customWidth="1" style="22" min="4" max="4"/>
    <col width="9.1640625" customWidth="1" style="22" min="5" max="8"/>
    <col width="13.5" bestFit="1" customWidth="1" style="22" min="9" max="9"/>
    <col width="9.1640625" customWidth="1" style="22" min="10" max="251"/>
    <col width="5.1640625" customWidth="1" style="22" min="252" max="252"/>
    <col width="34.5" customWidth="1" style="22" min="253" max="253"/>
    <col width="23.1640625" customWidth="1" style="22" min="254" max="254"/>
    <col width="24.33203125" customWidth="1" style="22" min="255" max="255"/>
    <col width="2.83203125" customWidth="1" style="22" min="256" max="256"/>
    <col width="4.83203125" customWidth="1" style="22" min="257" max="257"/>
    <col width="26" customWidth="1" style="22" min="258" max="258"/>
    <col width="14.5" customWidth="1" style="22" min="259" max="259"/>
    <col width="4.1640625" customWidth="1" style="22" min="260" max="260"/>
    <col width="9.1640625" customWidth="1" style="22" min="261" max="507"/>
    <col width="5.1640625" customWidth="1" style="22" min="508" max="508"/>
    <col width="34.5" customWidth="1" style="22" min="509" max="509"/>
    <col width="23.1640625" customWidth="1" style="22" min="510" max="510"/>
    <col width="24.33203125" customWidth="1" style="22" min="511" max="511"/>
    <col width="2.83203125" customWidth="1" style="22" min="512" max="512"/>
    <col width="4.83203125" customWidth="1" style="22" min="513" max="513"/>
    <col width="26" customWidth="1" style="22" min="514" max="514"/>
    <col width="14.5" customWidth="1" style="22" min="515" max="515"/>
    <col width="4.1640625" customWidth="1" style="22" min="516" max="516"/>
    <col width="9.1640625" customWidth="1" style="22" min="517" max="763"/>
    <col width="5.1640625" customWidth="1" style="22" min="764" max="764"/>
    <col width="34.5" customWidth="1" style="22" min="765" max="765"/>
    <col width="23.1640625" customWidth="1" style="22" min="766" max="766"/>
    <col width="24.33203125" customWidth="1" style="22" min="767" max="767"/>
    <col width="2.83203125" customWidth="1" style="22" min="768" max="768"/>
    <col width="4.83203125" customWidth="1" style="22" min="769" max="769"/>
    <col width="26" customWidth="1" style="22" min="770" max="770"/>
    <col width="14.5" customWidth="1" style="22" min="771" max="771"/>
    <col width="4.1640625" customWidth="1" style="22" min="772" max="772"/>
    <col width="9.1640625" customWidth="1" style="22" min="773" max="1019"/>
    <col width="5.1640625" customWidth="1" style="22" min="1020" max="1020"/>
    <col width="34.5" customWidth="1" style="22" min="1021" max="1021"/>
    <col width="23.1640625" customWidth="1" style="22" min="1022" max="1022"/>
    <col width="24.33203125" customWidth="1" style="22" min="1023" max="1023"/>
    <col width="2.83203125" customWidth="1" style="22" min="1024" max="1024"/>
    <col width="4.83203125" customWidth="1" style="22" min="1025" max="1025"/>
    <col width="26" customWidth="1" style="22" min="1026" max="1026"/>
    <col width="14.5" customWidth="1" style="22" min="1027" max="1027"/>
    <col width="4.1640625" customWidth="1" style="22" min="1028" max="1028"/>
    <col width="9.1640625" customWidth="1" style="22" min="1029" max="1275"/>
    <col width="5.1640625" customWidth="1" style="22" min="1276" max="1276"/>
    <col width="34.5" customWidth="1" style="22" min="1277" max="1277"/>
    <col width="23.1640625" customWidth="1" style="22" min="1278" max="1278"/>
    <col width="24.33203125" customWidth="1" style="22" min="1279" max="1279"/>
    <col width="2.83203125" customWidth="1" style="22" min="1280" max="1280"/>
    <col width="4.83203125" customWidth="1" style="22" min="1281" max="1281"/>
    <col width="26" customWidth="1" style="22" min="1282" max="1282"/>
    <col width="14.5" customWidth="1" style="22" min="1283" max="1283"/>
    <col width="4.1640625" customWidth="1" style="22" min="1284" max="1284"/>
    <col width="9.1640625" customWidth="1" style="22" min="1285" max="1531"/>
    <col width="5.1640625" customWidth="1" style="22" min="1532" max="1532"/>
    <col width="34.5" customWidth="1" style="22" min="1533" max="1533"/>
    <col width="23.1640625" customWidth="1" style="22" min="1534" max="1534"/>
    <col width="24.33203125" customWidth="1" style="22" min="1535" max="1535"/>
    <col width="2.83203125" customWidth="1" style="22" min="1536" max="1536"/>
    <col width="4.83203125" customWidth="1" style="22" min="1537" max="1537"/>
    <col width="26" customWidth="1" style="22" min="1538" max="1538"/>
    <col width="14.5" customWidth="1" style="22" min="1539" max="1539"/>
    <col width="4.1640625" customWidth="1" style="22" min="1540" max="1540"/>
    <col width="9.1640625" customWidth="1" style="22" min="1541" max="1787"/>
    <col width="5.1640625" customWidth="1" style="22" min="1788" max="1788"/>
    <col width="34.5" customWidth="1" style="22" min="1789" max="1789"/>
    <col width="23.1640625" customWidth="1" style="22" min="1790" max="1790"/>
    <col width="24.33203125" customWidth="1" style="22" min="1791" max="1791"/>
    <col width="2.83203125" customWidth="1" style="22" min="1792" max="1792"/>
    <col width="4.83203125" customWidth="1" style="22" min="1793" max="1793"/>
    <col width="26" customWidth="1" style="22" min="1794" max="1794"/>
    <col width="14.5" customWidth="1" style="22" min="1795" max="1795"/>
    <col width="4.1640625" customWidth="1" style="22" min="1796" max="1796"/>
    <col width="9.1640625" customWidth="1" style="22" min="1797" max="2043"/>
    <col width="5.1640625" customWidth="1" style="22" min="2044" max="2044"/>
    <col width="34.5" customWidth="1" style="22" min="2045" max="2045"/>
    <col width="23.1640625" customWidth="1" style="22" min="2046" max="2046"/>
    <col width="24.33203125" customWidth="1" style="22" min="2047" max="2047"/>
    <col width="2.83203125" customWidth="1" style="22" min="2048" max="2048"/>
    <col width="4.83203125" customWidth="1" style="22" min="2049" max="2049"/>
    <col width="26" customWidth="1" style="22" min="2050" max="2050"/>
    <col width="14.5" customWidth="1" style="22" min="2051" max="2051"/>
    <col width="4.1640625" customWidth="1" style="22" min="2052" max="2052"/>
    <col width="9.1640625" customWidth="1" style="22" min="2053" max="2299"/>
    <col width="5.1640625" customWidth="1" style="22" min="2300" max="2300"/>
    <col width="34.5" customWidth="1" style="22" min="2301" max="2301"/>
    <col width="23.1640625" customWidth="1" style="22" min="2302" max="2302"/>
    <col width="24.33203125" customWidth="1" style="22" min="2303" max="2303"/>
    <col width="2.83203125" customWidth="1" style="22" min="2304" max="2304"/>
    <col width="4.83203125" customWidth="1" style="22" min="2305" max="2305"/>
    <col width="26" customWidth="1" style="22" min="2306" max="2306"/>
    <col width="14.5" customWidth="1" style="22" min="2307" max="2307"/>
    <col width="4.1640625" customWidth="1" style="22" min="2308" max="2308"/>
    <col width="9.1640625" customWidth="1" style="22" min="2309" max="2555"/>
    <col width="5.1640625" customWidth="1" style="22" min="2556" max="2556"/>
    <col width="34.5" customWidth="1" style="22" min="2557" max="2557"/>
    <col width="23.1640625" customWidth="1" style="22" min="2558" max="2558"/>
    <col width="24.33203125" customWidth="1" style="22" min="2559" max="2559"/>
    <col width="2.83203125" customWidth="1" style="22" min="2560" max="2560"/>
    <col width="4.83203125" customWidth="1" style="22" min="2561" max="2561"/>
    <col width="26" customWidth="1" style="22" min="2562" max="2562"/>
    <col width="14.5" customWidth="1" style="22" min="2563" max="2563"/>
    <col width="4.1640625" customWidth="1" style="22" min="2564" max="2564"/>
    <col width="9.1640625" customWidth="1" style="22" min="2565" max="2811"/>
    <col width="5.1640625" customWidth="1" style="22" min="2812" max="2812"/>
    <col width="34.5" customWidth="1" style="22" min="2813" max="2813"/>
    <col width="23.1640625" customWidth="1" style="22" min="2814" max="2814"/>
    <col width="24.33203125" customWidth="1" style="22" min="2815" max="2815"/>
    <col width="2.83203125" customWidth="1" style="22" min="2816" max="2816"/>
    <col width="4.83203125" customWidth="1" style="22" min="2817" max="2817"/>
    <col width="26" customWidth="1" style="22" min="2818" max="2818"/>
    <col width="14.5" customWidth="1" style="22" min="2819" max="2819"/>
    <col width="4.1640625" customWidth="1" style="22" min="2820" max="2820"/>
    <col width="9.1640625" customWidth="1" style="22" min="2821" max="3067"/>
    <col width="5.1640625" customWidth="1" style="22" min="3068" max="3068"/>
    <col width="34.5" customWidth="1" style="22" min="3069" max="3069"/>
    <col width="23.1640625" customWidth="1" style="22" min="3070" max="3070"/>
    <col width="24.33203125" customWidth="1" style="22" min="3071" max="3071"/>
    <col width="2.83203125" customWidth="1" style="22" min="3072" max="3072"/>
    <col width="4.83203125" customWidth="1" style="22" min="3073" max="3073"/>
    <col width="26" customWidth="1" style="22" min="3074" max="3074"/>
    <col width="14.5" customWidth="1" style="22" min="3075" max="3075"/>
    <col width="4.1640625" customWidth="1" style="22" min="3076" max="3076"/>
    <col width="9.1640625" customWidth="1" style="22" min="3077" max="3323"/>
    <col width="5.1640625" customWidth="1" style="22" min="3324" max="3324"/>
    <col width="34.5" customWidth="1" style="22" min="3325" max="3325"/>
    <col width="23.1640625" customWidth="1" style="22" min="3326" max="3326"/>
    <col width="24.33203125" customWidth="1" style="22" min="3327" max="3327"/>
    <col width="2.83203125" customWidth="1" style="22" min="3328" max="3328"/>
    <col width="4.83203125" customWidth="1" style="22" min="3329" max="3329"/>
    <col width="26" customWidth="1" style="22" min="3330" max="3330"/>
    <col width="14.5" customWidth="1" style="22" min="3331" max="3331"/>
    <col width="4.1640625" customWidth="1" style="22" min="3332" max="3332"/>
    <col width="9.1640625" customWidth="1" style="22" min="3333" max="3579"/>
    <col width="5.1640625" customWidth="1" style="22" min="3580" max="3580"/>
    <col width="34.5" customWidth="1" style="22" min="3581" max="3581"/>
    <col width="23.1640625" customWidth="1" style="22" min="3582" max="3582"/>
    <col width="24.33203125" customWidth="1" style="22" min="3583" max="3583"/>
    <col width="2.83203125" customWidth="1" style="22" min="3584" max="3584"/>
    <col width="4.83203125" customWidth="1" style="22" min="3585" max="3585"/>
    <col width="26" customWidth="1" style="22" min="3586" max="3586"/>
    <col width="14.5" customWidth="1" style="22" min="3587" max="3587"/>
    <col width="4.1640625" customWidth="1" style="22" min="3588" max="3588"/>
    <col width="9.1640625" customWidth="1" style="22" min="3589" max="3835"/>
    <col width="5.1640625" customWidth="1" style="22" min="3836" max="3836"/>
    <col width="34.5" customWidth="1" style="22" min="3837" max="3837"/>
    <col width="23.1640625" customWidth="1" style="22" min="3838" max="3838"/>
    <col width="24.33203125" customWidth="1" style="22" min="3839" max="3839"/>
    <col width="2.83203125" customWidth="1" style="22" min="3840" max="3840"/>
    <col width="4.83203125" customWidth="1" style="22" min="3841" max="3841"/>
    <col width="26" customWidth="1" style="22" min="3842" max="3842"/>
    <col width="14.5" customWidth="1" style="22" min="3843" max="3843"/>
    <col width="4.1640625" customWidth="1" style="22" min="3844" max="3844"/>
    <col width="9.1640625" customWidth="1" style="22" min="3845" max="4091"/>
    <col width="5.1640625" customWidth="1" style="22" min="4092" max="4092"/>
    <col width="34.5" customWidth="1" style="22" min="4093" max="4093"/>
    <col width="23.1640625" customWidth="1" style="22" min="4094" max="4094"/>
    <col width="24.33203125" customWidth="1" style="22" min="4095" max="4095"/>
    <col width="2.83203125" customWidth="1" style="22" min="4096" max="4096"/>
    <col width="4.83203125" customWidth="1" style="22" min="4097" max="4097"/>
    <col width="26" customWidth="1" style="22" min="4098" max="4098"/>
    <col width="14.5" customWidth="1" style="22" min="4099" max="4099"/>
    <col width="4.1640625" customWidth="1" style="22" min="4100" max="4100"/>
    <col width="9.1640625" customWidth="1" style="22" min="4101" max="4347"/>
    <col width="5.1640625" customWidth="1" style="22" min="4348" max="4348"/>
    <col width="34.5" customWidth="1" style="22" min="4349" max="4349"/>
    <col width="23.1640625" customWidth="1" style="22" min="4350" max="4350"/>
    <col width="24.33203125" customWidth="1" style="22" min="4351" max="4351"/>
    <col width="2.83203125" customWidth="1" style="22" min="4352" max="4352"/>
    <col width="4.83203125" customWidth="1" style="22" min="4353" max="4353"/>
    <col width="26" customWidth="1" style="22" min="4354" max="4354"/>
    <col width="14.5" customWidth="1" style="22" min="4355" max="4355"/>
    <col width="4.1640625" customWidth="1" style="22" min="4356" max="4356"/>
    <col width="9.1640625" customWidth="1" style="22" min="4357" max="4603"/>
    <col width="5.1640625" customWidth="1" style="22" min="4604" max="4604"/>
    <col width="34.5" customWidth="1" style="22" min="4605" max="4605"/>
    <col width="23.1640625" customWidth="1" style="22" min="4606" max="4606"/>
    <col width="24.33203125" customWidth="1" style="22" min="4607" max="4607"/>
    <col width="2.83203125" customWidth="1" style="22" min="4608" max="4608"/>
    <col width="4.83203125" customWidth="1" style="22" min="4609" max="4609"/>
    <col width="26" customWidth="1" style="22" min="4610" max="4610"/>
    <col width="14.5" customWidth="1" style="22" min="4611" max="4611"/>
    <col width="4.1640625" customWidth="1" style="22" min="4612" max="4612"/>
    <col width="9.1640625" customWidth="1" style="22" min="4613" max="4859"/>
    <col width="5.1640625" customWidth="1" style="22" min="4860" max="4860"/>
    <col width="34.5" customWidth="1" style="22" min="4861" max="4861"/>
    <col width="23.1640625" customWidth="1" style="22" min="4862" max="4862"/>
    <col width="24.33203125" customWidth="1" style="22" min="4863" max="4863"/>
    <col width="2.83203125" customWidth="1" style="22" min="4864" max="4864"/>
    <col width="4.83203125" customWidth="1" style="22" min="4865" max="4865"/>
    <col width="26" customWidth="1" style="22" min="4866" max="4866"/>
    <col width="14.5" customWidth="1" style="22" min="4867" max="4867"/>
    <col width="4.1640625" customWidth="1" style="22" min="4868" max="4868"/>
    <col width="9.1640625" customWidth="1" style="22" min="4869" max="5115"/>
    <col width="5.1640625" customWidth="1" style="22" min="5116" max="5116"/>
    <col width="34.5" customWidth="1" style="22" min="5117" max="5117"/>
    <col width="23.1640625" customWidth="1" style="22" min="5118" max="5118"/>
    <col width="24.33203125" customWidth="1" style="22" min="5119" max="5119"/>
    <col width="2.83203125" customWidth="1" style="22" min="5120" max="5120"/>
    <col width="4.83203125" customWidth="1" style="22" min="5121" max="5121"/>
    <col width="26" customWidth="1" style="22" min="5122" max="5122"/>
    <col width="14.5" customWidth="1" style="22" min="5123" max="5123"/>
    <col width="4.1640625" customWidth="1" style="22" min="5124" max="5124"/>
    <col width="9.1640625" customWidth="1" style="22" min="5125" max="5371"/>
    <col width="5.1640625" customWidth="1" style="22" min="5372" max="5372"/>
    <col width="34.5" customWidth="1" style="22" min="5373" max="5373"/>
    <col width="23.1640625" customWidth="1" style="22" min="5374" max="5374"/>
    <col width="24.33203125" customWidth="1" style="22" min="5375" max="5375"/>
    <col width="2.83203125" customWidth="1" style="22" min="5376" max="5376"/>
    <col width="4.83203125" customWidth="1" style="22" min="5377" max="5377"/>
    <col width="26" customWidth="1" style="22" min="5378" max="5378"/>
    <col width="14.5" customWidth="1" style="22" min="5379" max="5379"/>
    <col width="4.1640625" customWidth="1" style="22" min="5380" max="5380"/>
    <col width="9.1640625" customWidth="1" style="22" min="5381" max="5627"/>
    <col width="5.1640625" customWidth="1" style="22" min="5628" max="5628"/>
    <col width="34.5" customWidth="1" style="22" min="5629" max="5629"/>
    <col width="23.1640625" customWidth="1" style="22" min="5630" max="5630"/>
    <col width="24.33203125" customWidth="1" style="22" min="5631" max="5631"/>
    <col width="2.83203125" customWidth="1" style="22" min="5632" max="5632"/>
    <col width="4.83203125" customWidth="1" style="22" min="5633" max="5633"/>
    <col width="26" customWidth="1" style="22" min="5634" max="5634"/>
    <col width="14.5" customWidth="1" style="22" min="5635" max="5635"/>
    <col width="4.1640625" customWidth="1" style="22" min="5636" max="5636"/>
    <col width="9.1640625" customWidth="1" style="22" min="5637" max="5883"/>
    <col width="5.1640625" customWidth="1" style="22" min="5884" max="5884"/>
    <col width="34.5" customWidth="1" style="22" min="5885" max="5885"/>
    <col width="23.1640625" customWidth="1" style="22" min="5886" max="5886"/>
    <col width="24.33203125" customWidth="1" style="22" min="5887" max="5887"/>
    <col width="2.83203125" customWidth="1" style="22" min="5888" max="5888"/>
    <col width="4.83203125" customWidth="1" style="22" min="5889" max="5889"/>
    <col width="26" customWidth="1" style="22" min="5890" max="5890"/>
    <col width="14.5" customWidth="1" style="22" min="5891" max="5891"/>
    <col width="4.1640625" customWidth="1" style="22" min="5892" max="5892"/>
    <col width="9.1640625" customWidth="1" style="22" min="5893" max="6139"/>
    <col width="5.1640625" customWidth="1" style="22" min="6140" max="6140"/>
    <col width="34.5" customWidth="1" style="22" min="6141" max="6141"/>
    <col width="23.1640625" customWidth="1" style="22" min="6142" max="6142"/>
    <col width="24.33203125" customWidth="1" style="22" min="6143" max="6143"/>
    <col width="2.83203125" customWidth="1" style="22" min="6144" max="6144"/>
    <col width="4.83203125" customWidth="1" style="22" min="6145" max="6145"/>
    <col width="26" customWidth="1" style="22" min="6146" max="6146"/>
    <col width="14.5" customWidth="1" style="22" min="6147" max="6147"/>
    <col width="4.1640625" customWidth="1" style="22" min="6148" max="6148"/>
    <col width="9.1640625" customWidth="1" style="22" min="6149" max="6395"/>
    <col width="5.1640625" customWidth="1" style="22" min="6396" max="6396"/>
    <col width="34.5" customWidth="1" style="22" min="6397" max="6397"/>
    <col width="23.1640625" customWidth="1" style="22" min="6398" max="6398"/>
    <col width="24.33203125" customWidth="1" style="22" min="6399" max="6399"/>
    <col width="2.83203125" customWidth="1" style="22" min="6400" max="6400"/>
    <col width="4.83203125" customWidth="1" style="22" min="6401" max="6401"/>
    <col width="26" customWidth="1" style="22" min="6402" max="6402"/>
    <col width="14.5" customWidth="1" style="22" min="6403" max="6403"/>
    <col width="4.1640625" customWidth="1" style="22" min="6404" max="6404"/>
    <col width="9.1640625" customWidth="1" style="22" min="6405" max="6651"/>
    <col width="5.1640625" customWidth="1" style="22" min="6652" max="6652"/>
    <col width="34.5" customWidth="1" style="22" min="6653" max="6653"/>
    <col width="23.1640625" customWidth="1" style="22" min="6654" max="6654"/>
    <col width="24.33203125" customWidth="1" style="22" min="6655" max="6655"/>
    <col width="2.83203125" customWidth="1" style="22" min="6656" max="6656"/>
    <col width="4.83203125" customWidth="1" style="22" min="6657" max="6657"/>
    <col width="26" customWidth="1" style="22" min="6658" max="6658"/>
    <col width="14.5" customWidth="1" style="22" min="6659" max="6659"/>
    <col width="4.1640625" customWidth="1" style="22" min="6660" max="6660"/>
    <col width="9.1640625" customWidth="1" style="22" min="6661" max="6907"/>
    <col width="5.1640625" customWidth="1" style="22" min="6908" max="6908"/>
    <col width="34.5" customWidth="1" style="22" min="6909" max="6909"/>
    <col width="23.1640625" customWidth="1" style="22" min="6910" max="6910"/>
    <col width="24.33203125" customWidth="1" style="22" min="6911" max="6911"/>
    <col width="2.83203125" customWidth="1" style="22" min="6912" max="6912"/>
    <col width="4.83203125" customWidth="1" style="22" min="6913" max="6913"/>
    <col width="26" customWidth="1" style="22" min="6914" max="6914"/>
    <col width="14.5" customWidth="1" style="22" min="6915" max="6915"/>
    <col width="4.1640625" customWidth="1" style="22" min="6916" max="6916"/>
    <col width="9.1640625" customWidth="1" style="22" min="6917" max="7163"/>
    <col width="5.1640625" customWidth="1" style="22" min="7164" max="7164"/>
    <col width="34.5" customWidth="1" style="22" min="7165" max="7165"/>
    <col width="23.1640625" customWidth="1" style="22" min="7166" max="7166"/>
    <col width="24.33203125" customWidth="1" style="22" min="7167" max="7167"/>
    <col width="2.83203125" customWidth="1" style="22" min="7168" max="7168"/>
    <col width="4.83203125" customWidth="1" style="22" min="7169" max="7169"/>
    <col width="26" customWidth="1" style="22" min="7170" max="7170"/>
    <col width="14.5" customWidth="1" style="22" min="7171" max="7171"/>
    <col width="4.1640625" customWidth="1" style="22" min="7172" max="7172"/>
    <col width="9.1640625" customWidth="1" style="22" min="7173" max="7419"/>
    <col width="5.1640625" customWidth="1" style="22" min="7420" max="7420"/>
    <col width="34.5" customWidth="1" style="22" min="7421" max="7421"/>
    <col width="23.1640625" customWidth="1" style="22" min="7422" max="7422"/>
    <col width="24.33203125" customWidth="1" style="22" min="7423" max="7423"/>
    <col width="2.83203125" customWidth="1" style="22" min="7424" max="7424"/>
    <col width="4.83203125" customWidth="1" style="22" min="7425" max="7425"/>
    <col width="26" customWidth="1" style="22" min="7426" max="7426"/>
    <col width="14.5" customWidth="1" style="22" min="7427" max="7427"/>
    <col width="4.1640625" customWidth="1" style="22" min="7428" max="7428"/>
    <col width="9.1640625" customWidth="1" style="22" min="7429" max="7675"/>
    <col width="5.1640625" customWidth="1" style="22" min="7676" max="7676"/>
    <col width="34.5" customWidth="1" style="22" min="7677" max="7677"/>
    <col width="23.1640625" customWidth="1" style="22" min="7678" max="7678"/>
    <col width="24.33203125" customWidth="1" style="22" min="7679" max="7679"/>
    <col width="2.83203125" customWidth="1" style="22" min="7680" max="7680"/>
    <col width="4.83203125" customWidth="1" style="22" min="7681" max="7681"/>
    <col width="26" customWidth="1" style="22" min="7682" max="7682"/>
    <col width="14.5" customWidth="1" style="22" min="7683" max="7683"/>
    <col width="4.1640625" customWidth="1" style="22" min="7684" max="7684"/>
    <col width="9.1640625" customWidth="1" style="22" min="7685" max="7931"/>
    <col width="5.1640625" customWidth="1" style="22" min="7932" max="7932"/>
    <col width="34.5" customWidth="1" style="22" min="7933" max="7933"/>
    <col width="23.1640625" customWidth="1" style="22" min="7934" max="7934"/>
    <col width="24.33203125" customWidth="1" style="22" min="7935" max="7935"/>
    <col width="2.83203125" customWidth="1" style="22" min="7936" max="7936"/>
    <col width="4.83203125" customWidth="1" style="22" min="7937" max="7937"/>
    <col width="26" customWidth="1" style="22" min="7938" max="7938"/>
    <col width="14.5" customWidth="1" style="22" min="7939" max="7939"/>
    <col width="4.1640625" customWidth="1" style="22" min="7940" max="7940"/>
    <col width="9.1640625" customWidth="1" style="22" min="7941" max="8187"/>
    <col width="5.1640625" customWidth="1" style="22" min="8188" max="8188"/>
    <col width="34.5" customWidth="1" style="22" min="8189" max="8189"/>
    <col width="23.1640625" customWidth="1" style="22" min="8190" max="8190"/>
    <col width="24.33203125" customWidth="1" style="22" min="8191" max="8191"/>
    <col width="2.83203125" customWidth="1" style="22" min="8192" max="8192"/>
    <col width="4.83203125" customWidth="1" style="22" min="8193" max="8193"/>
    <col width="26" customWidth="1" style="22" min="8194" max="8194"/>
    <col width="14.5" customWidth="1" style="22" min="8195" max="8195"/>
    <col width="4.1640625" customWidth="1" style="22" min="8196" max="8196"/>
    <col width="9.1640625" customWidth="1" style="22" min="8197" max="8443"/>
    <col width="5.1640625" customWidth="1" style="22" min="8444" max="8444"/>
    <col width="34.5" customWidth="1" style="22" min="8445" max="8445"/>
    <col width="23.1640625" customWidth="1" style="22" min="8446" max="8446"/>
    <col width="24.33203125" customWidth="1" style="22" min="8447" max="8447"/>
    <col width="2.83203125" customWidth="1" style="22" min="8448" max="8448"/>
    <col width="4.83203125" customWidth="1" style="22" min="8449" max="8449"/>
    <col width="26" customWidth="1" style="22" min="8450" max="8450"/>
    <col width="14.5" customWidth="1" style="22" min="8451" max="8451"/>
    <col width="4.1640625" customWidth="1" style="22" min="8452" max="8452"/>
    <col width="9.1640625" customWidth="1" style="22" min="8453" max="8699"/>
    <col width="5.1640625" customWidth="1" style="22" min="8700" max="8700"/>
    <col width="34.5" customWidth="1" style="22" min="8701" max="8701"/>
    <col width="23.1640625" customWidth="1" style="22" min="8702" max="8702"/>
    <col width="24.33203125" customWidth="1" style="22" min="8703" max="8703"/>
    <col width="2.83203125" customWidth="1" style="22" min="8704" max="8704"/>
    <col width="4.83203125" customWidth="1" style="22" min="8705" max="8705"/>
    <col width="26" customWidth="1" style="22" min="8706" max="8706"/>
    <col width="14.5" customWidth="1" style="22" min="8707" max="8707"/>
    <col width="4.1640625" customWidth="1" style="22" min="8708" max="8708"/>
    <col width="9.1640625" customWidth="1" style="22" min="8709" max="8955"/>
    <col width="5.1640625" customWidth="1" style="22" min="8956" max="8956"/>
    <col width="34.5" customWidth="1" style="22" min="8957" max="8957"/>
    <col width="23.1640625" customWidth="1" style="22" min="8958" max="8958"/>
    <col width="24.33203125" customWidth="1" style="22" min="8959" max="8959"/>
    <col width="2.83203125" customWidth="1" style="22" min="8960" max="8960"/>
    <col width="4.83203125" customWidth="1" style="22" min="8961" max="8961"/>
    <col width="26" customWidth="1" style="22" min="8962" max="8962"/>
    <col width="14.5" customWidth="1" style="22" min="8963" max="8963"/>
    <col width="4.1640625" customWidth="1" style="22" min="8964" max="8964"/>
    <col width="9.1640625" customWidth="1" style="22" min="8965" max="9211"/>
    <col width="5.1640625" customWidth="1" style="22" min="9212" max="9212"/>
    <col width="34.5" customWidth="1" style="22" min="9213" max="9213"/>
    <col width="23.1640625" customWidth="1" style="22" min="9214" max="9214"/>
    <col width="24.33203125" customWidth="1" style="22" min="9215" max="9215"/>
    <col width="2.83203125" customWidth="1" style="22" min="9216" max="9216"/>
    <col width="4.83203125" customWidth="1" style="22" min="9217" max="9217"/>
    <col width="26" customWidth="1" style="22" min="9218" max="9218"/>
    <col width="14.5" customWidth="1" style="22" min="9219" max="9219"/>
    <col width="4.1640625" customWidth="1" style="22" min="9220" max="9220"/>
    <col width="9.1640625" customWidth="1" style="22" min="9221" max="9467"/>
    <col width="5.1640625" customWidth="1" style="22" min="9468" max="9468"/>
    <col width="34.5" customWidth="1" style="22" min="9469" max="9469"/>
    <col width="23.1640625" customWidth="1" style="22" min="9470" max="9470"/>
    <col width="24.33203125" customWidth="1" style="22" min="9471" max="9471"/>
    <col width="2.83203125" customWidth="1" style="22" min="9472" max="9472"/>
    <col width="4.83203125" customWidth="1" style="22" min="9473" max="9473"/>
    <col width="26" customWidth="1" style="22" min="9474" max="9474"/>
    <col width="14.5" customWidth="1" style="22" min="9475" max="9475"/>
    <col width="4.1640625" customWidth="1" style="22" min="9476" max="9476"/>
    <col width="9.1640625" customWidth="1" style="22" min="9477" max="9723"/>
    <col width="5.1640625" customWidth="1" style="22" min="9724" max="9724"/>
    <col width="34.5" customWidth="1" style="22" min="9725" max="9725"/>
    <col width="23.1640625" customWidth="1" style="22" min="9726" max="9726"/>
    <col width="24.33203125" customWidth="1" style="22" min="9727" max="9727"/>
    <col width="2.83203125" customWidth="1" style="22" min="9728" max="9728"/>
    <col width="4.83203125" customWidth="1" style="22" min="9729" max="9729"/>
    <col width="26" customWidth="1" style="22" min="9730" max="9730"/>
    <col width="14.5" customWidth="1" style="22" min="9731" max="9731"/>
    <col width="4.1640625" customWidth="1" style="22" min="9732" max="9732"/>
    <col width="9.1640625" customWidth="1" style="22" min="9733" max="9979"/>
    <col width="5.1640625" customWidth="1" style="22" min="9980" max="9980"/>
    <col width="34.5" customWidth="1" style="22" min="9981" max="9981"/>
    <col width="23.1640625" customWidth="1" style="22" min="9982" max="9982"/>
    <col width="24.33203125" customWidth="1" style="22" min="9983" max="9983"/>
    <col width="2.83203125" customWidth="1" style="22" min="9984" max="9984"/>
    <col width="4.83203125" customWidth="1" style="22" min="9985" max="9985"/>
    <col width="26" customWidth="1" style="22" min="9986" max="9986"/>
    <col width="14.5" customWidth="1" style="22" min="9987" max="9987"/>
    <col width="4.1640625" customWidth="1" style="22" min="9988" max="9988"/>
    <col width="9.1640625" customWidth="1" style="22" min="9989" max="10235"/>
    <col width="5.1640625" customWidth="1" style="22" min="10236" max="10236"/>
    <col width="34.5" customWidth="1" style="22" min="10237" max="10237"/>
    <col width="23.1640625" customWidth="1" style="22" min="10238" max="10238"/>
    <col width="24.33203125" customWidth="1" style="22" min="10239" max="10239"/>
    <col width="2.83203125" customWidth="1" style="22" min="10240" max="10240"/>
    <col width="4.83203125" customWidth="1" style="22" min="10241" max="10241"/>
    <col width="26" customWidth="1" style="22" min="10242" max="10242"/>
    <col width="14.5" customWidth="1" style="22" min="10243" max="10243"/>
    <col width="4.1640625" customWidth="1" style="22" min="10244" max="10244"/>
    <col width="9.1640625" customWidth="1" style="22" min="10245" max="10491"/>
    <col width="5.1640625" customWidth="1" style="22" min="10492" max="10492"/>
    <col width="34.5" customWidth="1" style="22" min="10493" max="10493"/>
    <col width="23.1640625" customWidth="1" style="22" min="10494" max="10494"/>
    <col width="24.33203125" customWidth="1" style="22" min="10495" max="10495"/>
    <col width="2.83203125" customWidth="1" style="22" min="10496" max="10496"/>
    <col width="4.83203125" customWidth="1" style="22" min="10497" max="10497"/>
    <col width="26" customWidth="1" style="22" min="10498" max="10498"/>
    <col width="14.5" customWidth="1" style="22" min="10499" max="10499"/>
    <col width="4.1640625" customWidth="1" style="22" min="10500" max="10500"/>
    <col width="9.1640625" customWidth="1" style="22" min="10501" max="10747"/>
    <col width="5.1640625" customWidth="1" style="22" min="10748" max="10748"/>
    <col width="34.5" customWidth="1" style="22" min="10749" max="10749"/>
    <col width="23.1640625" customWidth="1" style="22" min="10750" max="10750"/>
    <col width="24.33203125" customWidth="1" style="22" min="10751" max="10751"/>
    <col width="2.83203125" customWidth="1" style="22" min="10752" max="10752"/>
    <col width="4.83203125" customWidth="1" style="22" min="10753" max="10753"/>
    <col width="26" customWidth="1" style="22" min="10754" max="10754"/>
    <col width="14.5" customWidth="1" style="22" min="10755" max="10755"/>
    <col width="4.1640625" customWidth="1" style="22" min="10756" max="10756"/>
    <col width="9.1640625" customWidth="1" style="22" min="10757" max="11003"/>
    <col width="5.1640625" customWidth="1" style="22" min="11004" max="11004"/>
    <col width="34.5" customWidth="1" style="22" min="11005" max="11005"/>
    <col width="23.1640625" customWidth="1" style="22" min="11006" max="11006"/>
    <col width="24.33203125" customWidth="1" style="22" min="11007" max="11007"/>
    <col width="2.83203125" customWidth="1" style="22" min="11008" max="11008"/>
    <col width="4.83203125" customWidth="1" style="22" min="11009" max="11009"/>
    <col width="26" customWidth="1" style="22" min="11010" max="11010"/>
    <col width="14.5" customWidth="1" style="22" min="11011" max="11011"/>
    <col width="4.1640625" customWidth="1" style="22" min="11012" max="11012"/>
    <col width="9.1640625" customWidth="1" style="22" min="11013" max="11259"/>
    <col width="5.1640625" customWidth="1" style="22" min="11260" max="11260"/>
    <col width="34.5" customWidth="1" style="22" min="11261" max="11261"/>
    <col width="23.1640625" customWidth="1" style="22" min="11262" max="11262"/>
    <col width="24.33203125" customWidth="1" style="22" min="11263" max="11263"/>
    <col width="2.83203125" customWidth="1" style="22" min="11264" max="11264"/>
    <col width="4.83203125" customWidth="1" style="22" min="11265" max="11265"/>
    <col width="26" customWidth="1" style="22" min="11266" max="11266"/>
    <col width="14.5" customWidth="1" style="22" min="11267" max="11267"/>
    <col width="4.1640625" customWidth="1" style="22" min="11268" max="11268"/>
    <col width="9.1640625" customWidth="1" style="22" min="11269" max="11515"/>
    <col width="5.1640625" customWidth="1" style="22" min="11516" max="11516"/>
    <col width="34.5" customWidth="1" style="22" min="11517" max="11517"/>
    <col width="23.1640625" customWidth="1" style="22" min="11518" max="11518"/>
    <col width="24.33203125" customWidth="1" style="22" min="11519" max="11519"/>
    <col width="2.83203125" customWidth="1" style="22" min="11520" max="11520"/>
    <col width="4.83203125" customWidth="1" style="22" min="11521" max="11521"/>
    <col width="26" customWidth="1" style="22" min="11522" max="11522"/>
    <col width="14.5" customWidth="1" style="22" min="11523" max="11523"/>
    <col width="4.1640625" customWidth="1" style="22" min="11524" max="11524"/>
    <col width="9.1640625" customWidth="1" style="22" min="11525" max="11771"/>
    <col width="5.1640625" customWidth="1" style="22" min="11772" max="11772"/>
    <col width="34.5" customWidth="1" style="22" min="11773" max="11773"/>
    <col width="23.1640625" customWidth="1" style="22" min="11774" max="11774"/>
    <col width="24.33203125" customWidth="1" style="22" min="11775" max="11775"/>
    <col width="2.83203125" customWidth="1" style="22" min="11776" max="11776"/>
    <col width="4.83203125" customWidth="1" style="22" min="11777" max="11777"/>
    <col width="26" customWidth="1" style="22" min="11778" max="11778"/>
    <col width="14.5" customWidth="1" style="22" min="11779" max="11779"/>
    <col width="4.1640625" customWidth="1" style="22" min="11780" max="11780"/>
    <col width="9.1640625" customWidth="1" style="22" min="11781" max="12027"/>
    <col width="5.1640625" customWidth="1" style="22" min="12028" max="12028"/>
    <col width="34.5" customWidth="1" style="22" min="12029" max="12029"/>
    <col width="23.1640625" customWidth="1" style="22" min="12030" max="12030"/>
    <col width="24.33203125" customWidth="1" style="22" min="12031" max="12031"/>
    <col width="2.83203125" customWidth="1" style="22" min="12032" max="12032"/>
    <col width="4.83203125" customWidth="1" style="22" min="12033" max="12033"/>
    <col width="26" customWidth="1" style="22" min="12034" max="12034"/>
    <col width="14.5" customWidth="1" style="22" min="12035" max="12035"/>
    <col width="4.1640625" customWidth="1" style="22" min="12036" max="12036"/>
    <col width="9.1640625" customWidth="1" style="22" min="12037" max="12283"/>
    <col width="5.1640625" customWidth="1" style="22" min="12284" max="12284"/>
    <col width="34.5" customWidth="1" style="22" min="12285" max="12285"/>
    <col width="23.1640625" customWidth="1" style="22" min="12286" max="12286"/>
    <col width="24.33203125" customWidth="1" style="22" min="12287" max="12287"/>
    <col width="2.83203125" customWidth="1" style="22" min="12288" max="12288"/>
    <col width="4.83203125" customWidth="1" style="22" min="12289" max="12289"/>
    <col width="26" customWidth="1" style="22" min="12290" max="12290"/>
    <col width="14.5" customWidth="1" style="22" min="12291" max="12291"/>
    <col width="4.1640625" customWidth="1" style="22" min="12292" max="12292"/>
    <col width="9.1640625" customWidth="1" style="22" min="12293" max="12539"/>
    <col width="5.1640625" customWidth="1" style="22" min="12540" max="12540"/>
    <col width="34.5" customWidth="1" style="22" min="12541" max="12541"/>
    <col width="23.1640625" customWidth="1" style="22" min="12542" max="12542"/>
    <col width="24.33203125" customWidth="1" style="22" min="12543" max="12543"/>
    <col width="2.83203125" customWidth="1" style="22" min="12544" max="12544"/>
    <col width="4.83203125" customWidth="1" style="22" min="12545" max="12545"/>
    <col width="26" customWidth="1" style="22" min="12546" max="12546"/>
    <col width="14.5" customWidth="1" style="22" min="12547" max="12547"/>
    <col width="4.1640625" customWidth="1" style="22" min="12548" max="12548"/>
    <col width="9.1640625" customWidth="1" style="22" min="12549" max="12795"/>
    <col width="5.1640625" customWidth="1" style="22" min="12796" max="12796"/>
    <col width="34.5" customWidth="1" style="22" min="12797" max="12797"/>
    <col width="23.1640625" customWidth="1" style="22" min="12798" max="12798"/>
    <col width="24.33203125" customWidth="1" style="22" min="12799" max="12799"/>
    <col width="2.83203125" customWidth="1" style="22" min="12800" max="12800"/>
    <col width="4.83203125" customWidth="1" style="22" min="12801" max="12801"/>
    <col width="26" customWidth="1" style="22" min="12802" max="12802"/>
    <col width="14.5" customWidth="1" style="22" min="12803" max="12803"/>
    <col width="4.1640625" customWidth="1" style="22" min="12804" max="12804"/>
    <col width="9.1640625" customWidth="1" style="22" min="12805" max="13051"/>
    <col width="5.1640625" customWidth="1" style="22" min="13052" max="13052"/>
    <col width="34.5" customWidth="1" style="22" min="13053" max="13053"/>
    <col width="23.1640625" customWidth="1" style="22" min="13054" max="13054"/>
    <col width="24.33203125" customWidth="1" style="22" min="13055" max="13055"/>
    <col width="2.83203125" customWidth="1" style="22" min="13056" max="13056"/>
    <col width="4.83203125" customWidth="1" style="22" min="13057" max="13057"/>
    <col width="26" customWidth="1" style="22" min="13058" max="13058"/>
    <col width="14.5" customWidth="1" style="22" min="13059" max="13059"/>
    <col width="4.1640625" customWidth="1" style="22" min="13060" max="13060"/>
    <col width="9.1640625" customWidth="1" style="22" min="13061" max="13307"/>
    <col width="5.1640625" customWidth="1" style="22" min="13308" max="13308"/>
    <col width="34.5" customWidth="1" style="22" min="13309" max="13309"/>
    <col width="23.1640625" customWidth="1" style="22" min="13310" max="13310"/>
    <col width="24.33203125" customWidth="1" style="22" min="13311" max="13311"/>
    <col width="2.83203125" customWidth="1" style="22" min="13312" max="13312"/>
    <col width="4.83203125" customWidth="1" style="22" min="13313" max="13313"/>
    <col width="26" customWidth="1" style="22" min="13314" max="13314"/>
    <col width="14.5" customWidth="1" style="22" min="13315" max="13315"/>
    <col width="4.1640625" customWidth="1" style="22" min="13316" max="13316"/>
    <col width="9.1640625" customWidth="1" style="22" min="13317" max="13563"/>
    <col width="5.1640625" customWidth="1" style="22" min="13564" max="13564"/>
    <col width="34.5" customWidth="1" style="22" min="13565" max="13565"/>
    <col width="23.1640625" customWidth="1" style="22" min="13566" max="13566"/>
    <col width="24.33203125" customWidth="1" style="22" min="13567" max="13567"/>
    <col width="2.83203125" customWidth="1" style="22" min="13568" max="13568"/>
    <col width="4.83203125" customWidth="1" style="22" min="13569" max="13569"/>
    <col width="26" customWidth="1" style="22" min="13570" max="13570"/>
    <col width="14.5" customWidth="1" style="22" min="13571" max="13571"/>
    <col width="4.1640625" customWidth="1" style="22" min="13572" max="13572"/>
    <col width="9.1640625" customWidth="1" style="22" min="13573" max="13819"/>
    <col width="5.1640625" customWidth="1" style="22" min="13820" max="13820"/>
    <col width="34.5" customWidth="1" style="22" min="13821" max="13821"/>
    <col width="23.1640625" customWidth="1" style="22" min="13822" max="13822"/>
    <col width="24.33203125" customWidth="1" style="22" min="13823" max="13823"/>
    <col width="2.83203125" customWidth="1" style="22" min="13824" max="13824"/>
    <col width="4.83203125" customWidth="1" style="22" min="13825" max="13825"/>
    <col width="26" customWidth="1" style="22" min="13826" max="13826"/>
    <col width="14.5" customWidth="1" style="22" min="13827" max="13827"/>
    <col width="4.1640625" customWidth="1" style="22" min="13828" max="13828"/>
    <col width="9.1640625" customWidth="1" style="22" min="13829" max="14075"/>
    <col width="5.1640625" customWidth="1" style="22" min="14076" max="14076"/>
    <col width="34.5" customWidth="1" style="22" min="14077" max="14077"/>
    <col width="23.1640625" customWidth="1" style="22" min="14078" max="14078"/>
    <col width="24.33203125" customWidth="1" style="22" min="14079" max="14079"/>
    <col width="2.83203125" customWidth="1" style="22" min="14080" max="14080"/>
    <col width="4.83203125" customWidth="1" style="22" min="14081" max="14081"/>
    <col width="26" customWidth="1" style="22" min="14082" max="14082"/>
    <col width="14.5" customWidth="1" style="22" min="14083" max="14083"/>
    <col width="4.1640625" customWidth="1" style="22" min="14084" max="14084"/>
    <col width="9.1640625" customWidth="1" style="22" min="14085" max="14331"/>
    <col width="5.1640625" customWidth="1" style="22" min="14332" max="14332"/>
    <col width="34.5" customWidth="1" style="22" min="14333" max="14333"/>
    <col width="23.1640625" customWidth="1" style="22" min="14334" max="14334"/>
    <col width="24.33203125" customWidth="1" style="22" min="14335" max="14335"/>
    <col width="2.83203125" customWidth="1" style="22" min="14336" max="14336"/>
    <col width="4.83203125" customWidth="1" style="22" min="14337" max="14337"/>
    <col width="26" customWidth="1" style="22" min="14338" max="14338"/>
    <col width="14.5" customWidth="1" style="22" min="14339" max="14339"/>
    <col width="4.1640625" customWidth="1" style="22" min="14340" max="14340"/>
    <col width="9.1640625" customWidth="1" style="22" min="14341" max="14587"/>
    <col width="5.1640625" customWidth="1" style="22" min="14588" max="14588"/>
    <col width="34.5" customWidth="1" style="22" min="14589" max="14589"/>
    <col width="23.1640625" customWidth="1" style="22" min="14590" max="14590"/>
    <col width="24.33203125" customWidth="1" style="22" min="14591" max="14591"/>
    <col width="2.83203125" customWidth="1" style="22" min="14592" max="14592"/>
    <col width="4.83203125" customWidth="1" style="22" min="14593" max="14593"/>
    <col width="26" customWidth="1" style="22" min="14594" max="14594"/>
    <col width="14.5" customWidth="1" style="22" min="14595" max="14595"/>
    <col width="4.1640625" customWidth="1" style="22" min="14596" max="14596"/>
    <col width="9.1640625" customWidth="1" style="22" min="14597" max="14843"/>
    <col width="5.1640625" customWidth="1" style="22" min="14844" max="14844"/>
    <col width="34.5" customWidth="1" style="22" min="14845" max="14845"/>
    <col width="23.1640625" customWidth="1" style="22" min="14846" max="14846"/>
    <col width="24.33203125" customWidth="1" style="22" min="14847" max="14847"/>
    <col width="2.83203125" customWidth="1" style="22" min="14848" max="14848"/>
    <col width="4.83203125" customWidth="1" style="22" min="14849" max="14849"/>
    <col width="26" customWidth="1" style="22" min="14850" max="14850"/>
    <col width="14.5" customWidth="1" style="22" min="14851" max="14851"/>
    <col width="4.1640625" customWidth="1" style="22" min="14852" max="14852"/>
    <col width="9.1640625" customWidth="1" style="22" min="14853" max="15099"/>
    <col width="5.1640625" customWidth="1" style="22" min="15100" max="15100"/>
    <col width="34.5" customWidth="1" style="22" min="15101" max="15101"/>
    <col width="23.1640625" customWidth="1" style="22" min="15102" max="15102"/>
    <col width="24.33203125" customWidth="1" style="22" min="15103" max="15103"/>
    <col width="2.83203125" customWidth="1" style="22" min="15104" max="15104"/>
    <col width="4.83203125" customWidth="1" style="22" min="15105" max="15105"/>
    <col width="26" customWidth="1" style="22" min="15106" max="15106"/>
    <col width="14.5" customWidth="1" style="22" min="15107" max="15107"/>
    <col width="4.1640625" customWidth="1" style="22" min="15108" max="15108"/>
    <col width="9.1640625" customWidth="1" style="22" min="15109" max="15355"/>
    <col width="5.1640625" customWidth="1" style="22" min="15356" max="15356"/>
    <col width="34.5" customWidth="1" style="22" min="15357" max="15357"/>
    <col width="23.1640625" customWidth="1" style="22" min="15358" max="15358"/>
    <col width="24.33203125" customWidth="1" style="22" min="15359" max="15359"/>
    <col width="2.83203125" customWidth="1" style="22" min="15360" max="15360"/>
    <col width="4.83203125" customWidth="1" style="22" min="15361" max="15361"/>
    <col width="26" customWidth="1" style="22" min="15362" max="15362"/>
    <col width="14.5" customWidth="1" style="22" min="15363" max="15363"/>
    <col width="4.1640625" customWidth="1" style="22" min="15364" max="15364"/>
    <col width="9.1640625" customWidth="1" style="22" min="15365" max="15611"/>
    <col width="5.1640625" customWidth="1" style="22" min="15612" max="15612"/>
    <col width="34.5" customWidth="1" style="22" min="15613" max="15613"/>
    <col width="23.1640625" customWidth="1" style="22" min="15614" max="15614"/>
    <col width="24.33203125" customWidth="1" style="22" min="15615" max="15615"/>
    <col width="2.83203125" customWidth="1" style="22" min="15616" max="15616"/>
    <col width="4.83203125" customWidth="1" style="22" min="15617" max="15617"/>
    <col width="26" customWidth="1" style="22" min="15618" max="15618"/>
    <col width="14.5" customWidth="1" style="22" min="15619" max="15619"/>
    <col width="4.1640625" customWidth="1" style="22" min="15620" max="15620"/>
    <col width="9.1640625" customWidth="1" style="22" min="15621" max="15867"/>
    <col width="5.1640625" customWidth="1" style="22" min="15868" max="15868"/>
    <col width="34.5" customWidth="1" style="22" min="15869" max="15869"/>
    <col width="23.1640625" customWidth="1" style="22" min="15870" max="15870"/>
    <col width="24.33203125" customWidth="1" style="22" min="15871" max="15871"/>
    <col width="2.83203125" customWidth="1" style="22" min="15872" max="15872"/>
    <col width="4.83203125" customWidth="1" style="22" min="15873" max="15873"/>
    <col width="26" customWidth="1" style="22" min="15874" max="15874"/>
    <col width="14.5" customWidth="1" style="22" min="15875" max="15875"/>
    <col width="4.1640625" customWidth="1" style="22" min="15876" max="15876"/>
    <col width="9.1640625" customWidth="1" style="22" min="15877" max="16123"/>
    <col width="5.1640625" customWidth="1" style="22" min="16124" max="16124"/>
    <col width="34.5" customWidth="1" style="22" min="16125" max="16125"/>
    <col width="23.1640625" customWidth="1" style="22" min="16126" max="16126"/>
    <col width="24.33203125" customWidth="1" style="22" min="16127" max="16127"/>
    <col width="2.83203125" customWidth="1" style="22" min="16128" max="16128"/>
    <col width="4.83203125" customWidth="1" style="22" min="16129" max="16129"/>
    <col width="26" customWidth="1" style="22" min="16130" max="16130"/>
    <col width="14.5" customWidth="1" style="22" min="16131" max="16131"/>
    <col width="4.1640625" customWidth="1" style="22" min="16132" max="16132"/>
    <col width="9.1640625" customWidth="1" style="22" min="16133" max="16384"/>
  </cols>
  <sheetData>
    <row r="1" ht="15" customHeight="1">
      <c r="A1" s="35" t="n"/>
      <c r="B1" s="35" t="n"/>
      <c r="C1" s="35" t="n"/>
      <c r="D1" s="35" t="n"/>
    </row>
    <row r="2" ht="48" customHeight="1">
      <c r="A2" s="414" t="inlineStr">
        <is>
          <t>See Instructions tab before entering information.</t>
        </is>
      </c>
      <c r="B2" s="454" t="n"/>
      <c r="C2" s="415" t="inlineStr">
        <is>
          <t>Please review the Preview tab after all data is entered and enter your name in the blue cell at the top of the Preview.</t>
        </is>
      </c>
      <c r="D2" s="1" t="n"/>
    </row>
    <row r="3">
      <c r="A3" s="11" t="inlineStr">
        <is>
          <t>Dealership Name</t>
        </is>
      </c>
      <c r="B3" s="255" t="inlineStr">
        <is>
          <t>Bennett Material Handling</t>
        </is>
      </c>
      <c r="C3" s="133">
        <f>IF(ISBLANK('Composite Preview'!G1),"NOT REVIEWED",'Composite Preview'!G1)</f>
        <v/>
      </c>
      <c r="D3" s="9" t="n"/>
    </row>
    <row r="4">
      <c r="A4" s="168" t="inlineStr">
        <is>
          <t>Submitted By</t>
        </is>
      </c>
      <c r="B4" s="337" t="inlineStr">
        <is>
          <t>Marissa Lakeman</t>
        </is>
      </c>
      <c r="C4" s="21" t="n"/>
      <c r="D4" s="9" t="n"/>
    </row>
    <row r="5">
      <c r="A5" s="168" t="inlineStr">
        <is>
          <t>Date</t>
        </is>
      </c>
      <c r="B5" s="338" t="inlineStr">
        <is>
          <t>10/1/2025</t>
        </is>
      </c>
      <c r="C5" s="21" t="n"/>
      <c r="D5" s="9" t="n"/>
    </row>
    <row r="6">
      <c r="A6" s="168" t="inlineStr">
        <is>
          <t>Number of Locations</t>
        </is>
      </c>
      <c r="B6" s="339" t="n">
        <v>1</v>
      </c>
      <c r="C6" s="21" t="n"/>
      <c r="D6" s="9" t="n"/>
    </row>
    <row r="7">
      <c r="A7" s="168" t="inlineStr">
        <is>
          <t>Number of Months Included</t>
        </is>
      </c>
      <c r="B7" s="339" t="n">
        <v>3</v>
      </c>
      <c r="C7" s="21" t="n"/>
      <c r="D7" s="9" t="n"/>
    </row>
    <row r="8">
      <c r="A8" s="12" t="n"/>
      <c r="B8" s="9" t="inlineStr">
        <is>
          <t>SALES (A)</t>
        </is>
      </c>
      <c r="C8" s="9" t="inlineStr">
        <is>
          <t>COGS (B)</t>
        </is>
      </c>
      <c r="D8" s="9" t="inlineStr">
        <is>
          <t>GROSS PROFIT (C)</t>
        </is>
      </c>
    </row>
    <row r="9">
      <c r="A9" s="24" t="inlineStr">
        <is>
          <t>Avg. Monthly Sales &amp; GP</t>
        </is>
      </c>
      <c r="B9" s="455">
        <f>IF(B7=0,"Please enter Number of Months",B41/B7)</f>
        <v/>
      </c>
      <c r="C9" s="456" t="n"/>
      <c r="D9" s="457">
        <f>IF(B7=0,"Please enter Number of Months",D41/B7)</f>
        <v/>
      </c>
      <c r="E9" s="23" t="n"/>
    </row>
    <row r="10">
      <c r="A10" s="418" t="inlineStr">
        <is>
          <t>New Lift Truck Equipment, primary brand</t>
        </is>
      </c>
      <c r="B10" s="458">
        <f>-'New TB'!O122-'New TB'!O142</f>
        <v/>
      </c>
      <c r="C10" s="458">
        <f>'New TB'!O184+'New TB'!O208</f>
        <v/>
      </c>
      <c r="D10" s="459">
        <f>B10-C10</f>
        <v/>
      </c>
      <c r="E10" s="106" t="n"/>
    </row>
    <row r="11">
      <c r="A11" s="418" t="inlineStr">
        <is>
          <t>New Lift Truck Equipment, other brands</t>
        </is>
      </c>
      <c r="B11" s="458" t="n"/>
      <c r="C11" s="458" t="n"/>
      <c r="D11" s="459">
        <f>B11-C11</f>
        <v/>
      </c>
      <c r="E11" s="106" t="n"/>
    </row>
    <row r="12">
      <c r="A12" s="418" t="inlineStr">
        <is>
          <t>New Allied Equipment</t>
        </is>
      </c>
      <c r="B12" s="458">
        <f>-'New TB'!O120</f>
        <v/>
      </c>
      <c r="C12" s="458">
        <f>'New TB'!O182</f>
        <v/>
      </c>
      <c r="D12" s="459">
        <f>B12-C12</f>
        <v/>
      </c>
      <c r="E12" s="106" t="n"/>
    </row>
    <row r="13">
      <c r="A13" s="418" t="inlineStr">
        <is>
          <t>Other New Equipment</t>
        </is>
      </c>
      <c r="B13" s="458">
        <f>-SUM('New TB'!O106,'New TB'!O153,'New TB'!O179)</f>
        <v/>
      </c>
      <c r="C13" s="458">
        <f>SUM('New TB'!O168,'New TB'!O219,'New TB'!O225,'New TB'!O206,'New TB'!O190,'New TB'!O236)</f>
        <v/>
      </c>
      <c r="D13" s="459">
        <f>B13-C13</f>
        <v/>
      </c>
      <c r="E13" s="106" t="n"/>
      <c r="I13" s="460" t="n"/>
    </row>
    <row r="14">
      <c r="A14" s="437" t="inlineStr">
        <is>
          <t>Total New Equipment</t>
        </is>
      </c>
      <c r="B14" s="461">
        <f>SUM(B10:B13)</f>
        <v/>
      </c>
      <c r="C14" s="461">
        <f>SUM(C10:C13)</f>
        <v/>
      </c>
      <c r="D14" s="462">
        <f>B14-C14</f>
        <v/>
      </c>
    </row>
    <row r="15">
      <c r="A15" s="418" t="inlineStr">
        <is>
          <t>Operator Training</t>
        </is>
      </c>
      <c r="B15" s="458" t="n"/>
      <c r="C15" s="458" t="n"/>
      <c r="D15" s="463">
        <f>B15-C15</f>
        <v/>
      </c>
      <c r="E15" s="106" t="n"/>
    </row>
    <row r="16">
      <c r="A16" s="418" t="inlineStr">
        <is>
          <t>Used Equipment</t>
        </is>
      </c>
      <c r="B16" s="458">
        <f>-SUM('New TB'!O107,'New TB'!O130)</f>
        <v/>
      </c>
      <c r="C16" s="458">
        <f>SUM('New TB'!O169,'New TB'!O191)</f>
        <v/>
      </c>
      <c r="D16" s="459">
        <f>B16-C16</f>
        <v/>
      </c>
      <c r="E16" s="106" t="n"/>
    </row>
    <row r="17">
      <c r="A17" s="418" t="inlineStr">
        <is>
          <t>E-Commerce</t>
        </is>
      </c>
      <c r="B17" s="458" t="n"/>
      <c r="C17" s="458" t="n"/>
      <c r="D17" s="463">
        <f>B17-C17</f>
        <v/>
      </c>
      <c r="E17" s="106" t="n"/>
    </row>
    <row r="18">
      <c r="A18" s="418" t="inlineStr">
        <is>
          <t>Systems</t>
        </is>
      </c>
      <c r="B18" s="458" t="n"/>
      <c r="C18" s="458" t="n"/>
      <c r="D18" s="463">
        <f>B18-C18</f>
        <v/>
      </c>
      <c r="E18" s="106" t="n"/>
    </row>
    <row r="19">
      <c r="A19" s="418" t="inlineStr">
        <is>
          <t>Batteries</t>
        </is>
      </c>
      <c r="B19" s="458">
        <f>-SUM('New TB'!O124,'New TB'!O125)</f>
        <v/>
      </c>
      <c r="C19" s="458">
        <f>SUM('New TB'!O186,'New TB'!O187)</f>
        <v/>
      </c>
      <c r="D19" s="463">
        <f>B19-C19</f>
        <v/>
      </c>
      <c r="E19" s="106" t="n"/>
    </row>
    <row r="20">
      <c r="A20" s="27" t="inlineStr">
        <is>
          <t>Total Sales Dept.</t>
        </is>
      </c>
      <c r="B20" s="464">
        <f>SUM(B14:B19)</f>
        <v/>
      </c>
      <c r="C20" s="464">
        <f>SUM(C14:C19)</f>
        <v/>
      </c>
      <c r="D20" s="462">
        <f>B20-C20</f>
        <v/>
      </c>
      <c r="E20" s="106" t="n"/>
      <c r="F20" s="465" t="n"/>
    </row>
    <row r="21">
      <c r="A21" s="418" t="inlineStr">
        <is>
          <t>Short Term Rental Sales</t>
        </is>
      </c>
      <c r="B21" s="458">
        <f>-SUM('New TB'!O112,'New TB'!O119,'New TB'!O126,'New TB'!O127,'New TB'!O128)</f>
        <v/>
      </c>
      <c r="C21" s="464">
        <f>'Expenses, Miscellaneous'!F37</f>
        <v/>
      </c>
      <c r="D21" s="462">
        <f>B21-C21</f>
        <v/>
      </c>
    </row>
    <row r="22">
      <c r="A22" s="418" t="inlineStr">
        <is>
          <t>Long Term Rental Sales</t>
        </is>
      </c>
      <c r="B22" s="458" t="n"/>
      <c r="C22" s="464">
        <f>'Expenses, Miscellaneous'!I37</f>
        <v/>
      </c>
      <c r="D22" s="462">
        <f>B22-C22</f>
        <v/>
      </c>
    </row>
    <row r="23">
      <c r="A23" s="418" t="inlineStr">
        <is>
          <t>Re-rent (sub-rent)</t>
        </is>
      </c>
      <c r="B23" s="458" t="n"/>
      <c r="C23" s="458">
        <f>'New TB'!O243</f>
        <v/>
      </c>
      <c r="D23" s="459">
        <f>B23-C23</f>
        <v/>
      </c>
    </row>
    <row r="24">
      <c r="A24" s="25" t="inlineStr">
        <is>
          <t>Customer Labor</t>
        </is>
      </c>
      <c r="B24" s="458">
        <f>-SUM('New TB'!O132,'New TB'!O133,'New TB'!O134,'New TB'!O135,'New TB'!O118,'New TB'!O110,'New TB'!O109,'New TB'!O148,'New TB'!O111)</f>
        <v/>
      </c>
      <c r="C24" s="458">
        <f>SUM('New TB'!O171:O173,'New TB'!O192:O195,'New TB'!O196,'New TB'!O200,'New TB'!O212:O213,'New TB'!O227)</f>
        <v/>
      </c>
      <c r="D24" s="459">
        <f>B24-C24</f>
        <v/>
      </c>
    </row>
    <row r="25">
      <c r="A25" s="418" t="inlineStr">
        <is>
          <t>Internal Labor</t>
        </is>
      </c>
      <c r="B25" s="458">
        <f>-SUM('New TB'!O139,'New TB'!O141)</f>
        <v/>
      </c>
      <c r="C25" s="458">
        <f>SUM('New TB'!O205,'New TB'!O202:O203)</f>
        <v/>
      </c>
      <c r="D25" s="459">
        <f>B25-C25</f>
        <v/>
      </c>
    </row>
    <row r="26">
      <c r="A26" s="420" t="inlineStr">
        <is>
          <t>Warranty Labor</t>
        </is>
      </c>
      <c r="B26" s="458">
        <f>-'New TB'!O161-'New TB'!O162-'New TB'!O163-'New TB'!O160</f>
        <v/>
      </c>
      <c r="C26" s="458">
        <f>'New TB'!O228+'New TB'!O229+'New TB'!O231+'New TB'!O232</f>
        <v/>
      </c>
      <c r="D26" s="459">
        <f>B26-C26</f>
        <v/>
      </c>
    </row>
    <row r="27">
      <c r="A27" s="418" t="inlineStr">
        <is>
          <t>Sublet Sales</t>
        </is>
      </c>
      <c r="B27" s="458">
        <f>-'New TB'!O151</f>
        <v/>
      </c>
      <c r="C27" s="458">
        <f>'New TB'!O217</f>
        <v/>
      </c>
      <c r="D27" s="459">
        <f>B27-C27</f>
        <v/>
      </c>
    </row>
    <row r="28">
      <c r="A28" s="28" t="inlineStr">
        <is>
          <t>Other Service Sales</t>
        </is>
      </c>
      <c r="B28" s="458">
        <f>-'New TB'!O145</f>
        <v/>
      </c>
      <c r="C28" s="458">
        <f>'New TB'!O211</f>
        <v/>
      </c>
      <c r="D28" s="459">
        <f>B28-C28</f>
        <v/>
      </c>
    </row>
    <row r="29">
      <c r="A29" s="437" t="inlineStr">
        <is>
          <t>Total Service Sales</t>
        </is>
      </c>
      <c r="B29" s="461">
        <f>SUM(B24:B28)</f>
        <v/>
      </c>
      <c r="C29" s="461">
        <f>SUM(C24:C28)</f>
        <v/>
      </c>
      <c r="D29" s="462">
        <f>B29-C29</f>
        <v/>
      </c>
    </row>
    <row r="30">
      <c r="A30" s="25" t="inlineStr">
        <is>
          <t>Primary Brand Counter Parts Sales</t>
        </is>
      </c>
      <c r="B30" s="458">
        <f>-SUM('New TB'!O108,'New TB'!O167,'New TB'!O152)</f>
        <v/>
      </c>
      <c r="C30" s="458">
        <f>SUM('New TB'!O170,'New TB'!O218)</f>
        <v/>
      </c>
      <c r="D30" s="459">
        <f>B30-C30</f>
        <v/>
      </c>
    </row>
    <row r="31">
      <c r="A31" s="418" t="inlineStr">
        <is>
          <t>Other Brand Counter Parts</t>
        </is>
      </c>
      <c r="B31" s="458" t="n"/>
      <c r="C31" s="458" t="n"/>
      <c r="D31" s="459">
        <f>B31-C31</f>
        <v/>
      </c>
    </row>
    <row r="32">
      <c r="A32" s="418" t="inlineStr">
        <is>
          <t>Primary Brand Repair Order Parts</t>
        </is>
      </c>
      <c r="B32" s="458">
        <f>-SUM('New TB'!O115,'New TB'!O117,'New TB'!O146)</f>
        <v/>
      </c>
      <c r="C32" s="458">
        <f>SUM('New TB'!O177,'New TB'!O201,'New TB'!O213,'New TB'!O178,'New TB'!O180)</f>
        <v/>
      </c>
      <c r="D32" s="459">
        <f>B32-C32</f>
        <v/>
      </c>
    </row>
    <row r="33">
      <c r="A33" s="418" t="inlineStr">
        <is>
          <t>Other Brand Repair Order Parts</t>
        </is>
      </c>
      <c r="B33" s="458" t="n"/>
      <c r="C33" s="458" t="n"/>
      <c r="D33" s="459">
        <f>B33-C33</f>
        <v/>
      </c>
    </row>
    <row r="34">
      <c r="A34" s="418" t="inlineStr">
        <is>
          <t>Internal Parts Sales</t>
        </is>
      </c>
      <c r="B34" s="458">
        <f>-SUM('New TB'!O139,'New TB'!O148)</f>
        <v/>
      </c>
      <c r="C34" s="458">
        <f>SUM('New TB'!O204,'New TB'!O214,'New TB'!O240,'New TB'!O241)</f>
        <v/>
      </c>
      <c r="D34" s="459">
        <f>B34-C34</f>
        <v/>
      </c>
    </row>
    <row r="35">
      <c r="A35" s="418" t="inlineStr">
        <is>
          <t>Warranty Parts Sales</t>
        </is>
      </c>
      <c r="B35" s="458">
        <f>-'New TB'!O116</f>
        <v/>
      </c>
      <c r="C35" s="458">
        <f>'New TB'!O179</f>
        <v/>
      </c>
      <c r="D35" s="459">
        <f>B35-C35</f>
        <v/>
      </c>
    </row>
    <row r="36">
      <c r="A36" s="418" t="inlineStr">
        <is>
          <t>E-Commerce Parts Sales</t>
        </is>
      </c>
      <c r="B36" s="466" t="n"/>
      <c r="C36" s="466" t="n"/>
      <c r="D36" s="459">
        <f>B36-C36</f>
        <v/>
      </c>
    </row>
    <row r="37">
      <c r="A37" s="437" t="inlineStr">
        <is>
          <t>Total Parts Sales</t>
        </is>
      </c>
      <c r="B37" s="461">
        <f>SUM(B30:B36)</f>
        <v/>
      </c>
      <c r="C37" s="461">
        <f>SUM(C30:C36)</f>
        <v/>
      </c>
      <c r="D37" s="462">
        <f>B37-C37</f>
        <v/>
      </c>
    </row>
    <row r="38">
      <c r="A38" s="418" t="inlineStr">
        <is>
          <t>Trucking Department</t>
        </is>
      </c>
      <c r="B38" s="458">
        <f>'New TB'!O156</f>
        <v/>
      </c>
      <c r="C38" s="461">
        <f>'Expenses, Miscellaneous'!C38</f>
        <v/>
      </c>
      <c r="D38" s="462">
        <f>B38-C38</f>
        <v/>
      </c>
    </row>
    <row r="39" ht="6" customHeight="1">
      <c r="A39" s="29" t="n"/>
      <c r="B39" s="467" t="n"/>
      <c r="C39" s="467" t="n"/>
      <c r="D39" s="468" t="n"/>
    </row>
    <row r="40">
      <c r="A40" s="30" t="inlineStr">
        <is>
          <t>Total Aftermarket Sales, COGS &amp; GP</t>
        </is>
      </c>
      <c r="B40" s="464">
        <f>B21+B22+B23+B29+B37+'Expenses, Miscellaneous'!E25</f>
        <v/>
      </c>
      <c r="C40" s="469">
        <f>C21+C22+C23+C29+C37+'Expenses, Miscellaneous'!E26</f>
        <v/>
      </c>
      <c r="D40" s="470">
        <f>B40-C40</f>
        <v/>
      </c>
    </row>
    <row r="41">
      <c r="A41" s="31" t="inlineStr">
        <is>
          <t>Total Net Sales &amp; GP</t>
        </is>
      </c>
      <c r="B41" s="464">
        <f>B20+B38+B40</f>
        <v/>
      </c>
      <c r="C41" s="469">
        <f>C20+C38+C40</f>
        <v/>
      </c>
      <c r="D41" s="470">
        <f>B41-C41</f>
        <v/>
      </c>
      <c r="G41" s="471" t="n"/>
    </row>
    <row r="42">
      <c r="A42" s="31" t="inlineStr">
        <is>
          <t>Total Company Expenses</t>
        </is>
      </c>
      <c r="B42" s="464">
        <f>'Expenses, Miscellaneous'!K7</f>
        <v/>
      </c>
      <c r="C42" s="472" t="n"/>
      <c r="D42" s="473" t="n"/>
    </row>
    <row r="43">
      <c r="A43" s="32" t="inlineStr">
        <is>
          <t>Other Income (Expenses)</t>
        </is>
      </c>
      <c r="B43" s="458">
        <f>-SUM('New TB'!O267,'New TB'!O281,'New TB'!O294,'New TB'!O303,'New TB'!O311)</f>
        <v/>
      </c>
      <c r="C43" s="474" t="n"/>
      <c r="D43" s="475" t="n"/>
    </row>
    <row r="44">
      <c r="A44" s="32" t="inlineStr">
        <is>
          <t>Interest (Expense)</t>
        </is>
      </c>
      <c r="B44" s="458">
        <f>-'New TB'!O271</f>
        <v/>
      </c>
      <c r="C44" s="474" t="n"/>
      <c r="D44" s="475" t="n"/>
    </row>
    <row r="45">
      <c r="A45" s="31" t="inlineStr">
        <is>
          <t>Total operating profit</t>
        </is>
      </c>
      <c r="B45" s="464">
        <f>(D41-B42)+B43+B44</f>
        <v/>
      </c>
      <c r="C45" s="472" t="n"/>
      <c r="D45" s="475" t="n"/>
    </row>
    <row r="46">
      <c r="A46" s="32" t="inlineStr">
        <is>
          <t>F &amp; I Income</t>
        </is>
      </c>
      <c r="B46" s="476" t="n"/>
      <c r="C46" s="474" t="n"/>
      <c r="D46" s="477" t="n"/>
    </row>
    <row r="47">
      <c r="A47" s="171" t="inlineStr">
        <is>
          <t>Pre-Tax Income</t>
        </is>
      </c>
      <c r="B47" s="470">
        <f>B45+B46</f>
        <v/>
      </c>
      <c r="C47" s="478" t="n"/>
      <c r="D47" s="479" t="n"/>
    </row>
    <row r="49">
      <c r="B49" s="480" t="n"/>
      <c r="C49" s="480" t="n"/>
    </row>
  </sheetData>
  <mergeCells count="2">
    <mergeCell ref="A2:B2"/>
    <mergeCell ref="C2:D2"/>
  </mergeCells>
  <conditionalFormatting sqref="D42">
    <cfRule type="cellIs" priority="1" operator="equal" dxfId="0" stopIfTrue="1">
      <formula>-$D$41</formula>
    </cfRule>
  </conditionalFormatting>
  <conditionalFormatting sqref="D47">
    <cfRule type="expression" priority="3" dxfId="100" stopIfTrue="1">
      <formula>ROUND($B$47,2)</formula>
    </cfRule>
  </conditionalFormatting>
  <printOptions horizontalCentered="1" verticalCentered="1"/>
  <pageMargins left="0.7" right="0.7" top="0.75" bottom="0.75" header="0.3" footer="0.3"/>
  <pageSetup orientation="portrait" scale="79"/>
  <headerFooter>
    <oddHeader>&amp;C&amp;"Times New Roman,Regular"&amp;12 Currie Financial Composite Input Template_x000a_Material Handling Equipment&amp;R&amp;G</oddHeader>
    <oddFooter>&amp;C&amp;"BergamoSmCaps,Bold"&amp;9 &amp;K002060www.curriemanagement.com</oddFooter>
    <evenHeader/>
    <evenFooter/>
    <firstHeader/>
    <firstFooter/>
  </headerFooter>
</worksheet>
</file>

<file path=xl/worksheets/sheet4.xml><?xml version="1.0" encoding="utf-8"?>
<worksheet xmlns="http://schemas.openxmlformats.org/spreadsheetml/2006/main">
  <sheetPr>
    <tabColor theme="8" tint="0.5999938962981048"/>
    <outlinePr summaryBelow="1" summaryRight="1"/>
    <pageSetUpPr fitToPage="1"/>
  </sheetPr>
  <dimension ref="A1:M40"/>
  <sheetViews>
    <sheetView view="pageBreakPreview" topLeftCell="A19" zoomScale="70" zoomScaleNormal="80" zoomScaleSheetLayoutView="70" workbookViewId="0">
      <selection activeCell="C38" sqref="C38"/>
    </sheetView>
  </sheetViews>
  <sheetFormatPr baseColWidth="10" defaultColWidth="8.83203125" defaultRowHeight="16"/>
  <cols>
    <col width="28.6640625" bestFit="1" customWidth="1" style="22" min="1" max="1"/>
    <col width="16.6640625" customWidth="1" style="22" min="2" max="2"/>
    <col width="13.33203125" bestFit="1" customWidth="1" style="22" min="3" max="3"/>
    <col width="23.33203125" customWidth="1" style="22" min="4" max="4"/>
    <col width="19" bestFit="1" customWidth="1" style="22" min="5" max="5"/>
    <col width="15.5" customWidth="1" style="22" min="6" max="6"/>
    <col width="20.1640625" customWidth="1" style="22" min="7" max="7"/>
    <col width="22.6640625" customWidth="1" style="22" min="8" max="8"/>
    <col width="19.5" bestFit="1" customWidth="1" style="22" min="9" max="9"/>
    <col width="15.1640625" bestFit="1" customWidth="1" style="22" min="10" max="10"/>
    <col width="23.6640625" customWidth="1" style="22" min="11" max="11"/>
    <col width="13.5" customWidth="1" style="22" min="12" max="12"/>
    <col width="9.5" bestFit="1" customWidth="1" style="22" min="13" max="13"/>
    <col width="9.1640625" customWidth="1" style="22" min="14" max="257"/>
    <col width="15.5" customWidth="1" style="22" min="258" max="258"/>
    <col width="23.1640625" customWidth="1" style="22" min="259" max="259"/>
    <col width="15.5" customWidth="1" style="22" min="260" max="263"/>
    <col width="13.5" customWidth="1" style="22" min="264" max="264"/>
    <col width="14.5" customWidth="1" style="22" min="265" max="265"/>
    <col width="17" customWidth="1" style="22" min="266" max="266"/>
    <col width="9.1640625" customWidth="1" style="22" min="267" max="513"/>
    <col width="15.5" customWidth="1" style="22" min="514" max="514"/>
    <col width="23.1640625" customWidth="1" style="22" min="515" max="515"/>
    <col width="15.5" customWidth="1" style="22" min="516" max="519"/>
    <col width="13.5" customWidth="1" style="22" min="520" max="520"/>
    <col width="14.5" customWidth="1" style="22" min="521" max="521"/>
    <col width="17" customWidth="1" style="22" min="522" max="522"/>
    <col width="9.1640625" customWidth="1" style="22" min="523" max="769"/>
    <col width="15.5" customWidth="1" style="22" min="770" max="770"/>
    <col width="23.1640625" customWidth="1" style="22" min="771" max="771"/>
    <col width="15.5" customWidth="1" style="22" min="772" max="775"/>
    <col width="13.5" customWidth="1" style="22" min="776" max="776"/>
    <col width="14.5" customWidth="1" style="22" min="777" max="777"/>
    <col width="17" customWidth="1" style="22" min="778" max="778"/>
    <col width="9.1640625" customWidth="1" style="22" min="779" max="1025"/>
    <col width="15.5" customWidth="1" style="22" min="1026" max="1026"/>
    <col width="23.1640625" customWidth="1" style="22" min="1027" max="1027"/>
    <col width="15.5" customWidth="1" style="22" min="1028" max="1031"/>
    <col width="13.5" customWidth="1" style="22" min="1032" max="1032"/>
    <col width="14.5" customWidth="1" style="22" min="1033" max="1033"/>
    <col width="17" customWidth="1" style="22" min="1034" max="1034"/>
    <col width="9.1640625" customWidth="1" style="22" min="1035" max="1281"/>
    <col width="15.5" customWidth="1" style="22" min="1282" max="1282"/>
    <col width="23.1640625" customWidth="1" style="22" min="1283" max="1283"/>
    <col width="15.5" customWidth="1" style="22" min="1284" max="1287"/>
    <col width="13.5" customWidth="1" style="22" min="1288" max="1288"/>
    <col width="14.5" customWidth="1" style="22" min="1289" max="1289"/>
    <col width="17" customWidth="1" style="22" min="1290" max="1290"/>
    <col width="9.1640625" customWidth="1" style="22" min="1291" max="1537"/>
    <col width="15.5" customWidth="1" style="22" min="1538" max="1538"/>
    <col width="23.1640625" customWidth="1" style="22" min="1539" max="1539"/>
    <col width="15.5" customWidth="1" style="22" min="1540" max="1543"/>
    <col width="13.5" customWidth="1" style="22" min="1544" max="1544"/>
    <col width="14.5" customWidth="1" style="22" min="1545" max="1545"/>
    <col width="17" customWidth="1" style="22" min="1546" max="1546"/>
    <col width="9.1640625" customWidth="1" style="22" min="1547" max="1793"/>
    <col width="15.5" customWidth="1" style="22" min="1794" max="1794"/>
    <col width="23.1640625" customWidth="1" style="22" min="1795" max="1795"/>
    <col width="15.5" customWidth="1" style="22" min="1796" max="1799"/>
    <col width="13.5" customWidth="1" style="22" min="1800" max="1800"/>
    <col width="14.5" customWidth="1" style="22" min="1801" max="1801"/>
    <col width="17" customWidth="1" style="22" min="1802" max="1802"/>
    <col width="9.1640625" customWidth="1" style="22" min="1803" max="2049"/>
    <col width="15.5" customWidth="1" style="22" min="2050" max="2050"/>
    <col width="23.1640625" customWidth="1" style="22" min="2051" max="2051"/>
    <col width="15.5" customWidth="1" style="22" min="2052" max="2055"/>
    <col width="13.5" customWidth="1" style="22" min="2056" max="2056"/>
    <col width="14.5" customWidth="1" style="22" min="2057" max="2057"/>
    <col width="17" customWidth="1" style="22" min="2058" max="2058"/>
    <col width="9.1640625" customWidth="1" style="22" min="2059" max="2305"/>
    <col width="15.5" customWidth="1" style="22" min="2306" max="2306"/>
    <col width="23.1640625" customWidth="1" style="22" min="2307" max="2307"/>
    <col width="15.5" customWidth="1" style="22" min="2308" max="2311"/>
    <col width="13.5" customWidth="1" style="22" min="2312" max="2312"/>
    <col width="14.5" customWidth="1" style="22" min="2313" max="2313"/>
    <col width="17" customWidth="1" style="22" min="2314" max="2314"/>
    <col width="9.1640625" customWidth="1" style="22" min="2315" max="2561"/>
    <col width="15.5" customWidth="1" style="22" min="2562" max="2562"/>
    <col width="23.1640625" customWidth="1" style="22" min="2563" max="2563"/>
    <col width="15.5" customWidth="1" style="22" min="2564" max="2567"/>
    <col width="13.5" customWidth="1" style="22" min="2568" max="2568"/>
    <col width="14.5" customWidth="1" style="22" min="2569" max="2569"/>
    <col width="17" customWidth="1" style="22" min="2570" max="2570"/>
    <col width="9.1640625" customWidth="1" style="22" min="2571" max="2817"/>
    <col width="15.5" customWidth="1" style="22" min="2818" max="2818"/>
    <col width="23.1640625" customWidth="1" style="22" min="2819" max="2819"/>
    <col width="15.5" customWidth="1" style="22" min="2820" max="2823"/>
    <col width="13.5" customWidth="1" style="22" min="2824" max="2824"/>
    <col width="14.5" customWidth="1" style="22" min="2825" max="2825"/>
    <col width="17" customWidth="1" style="22" min="2826" max="2826"/>
    <col width="9.1640625" customWidth="1" style="22" min="2827" max="3073"/>
    <col width="15.5" customWidth="1" style="22" min="3074" max="3074"/>
    <col width="23.1640625" customWidth="1" style="22" min="3075" max="3075"/>
    <col width="15.5" customWidth="1" style="22" min="3076" max="3079"/>
    <col width="13.5" customWidth="1" style="22" min="3080" max="3080"/>
    <col width="14.5" customWidth="1" style="22" min="3081" max="3081"/>
    <col width="17" customWidth="1" style="22" min="3082" max="3082"/>
    <col width="9.1640625" customWidth="1" style="22" min="3083" max="3329"/>
    <col width="15.5" customWidth="1" style="22" min="3330" max="3330"/>
    <col width="23.1640625" customWidth="1" style="22" min="3331" max="3331"/>
    <col width="15.5" customWidth="1" style="22" min="3332" max="3335"/>
    <col width="13.5" customWidth="1" style="22" min="3336" max="3336"/>
    <col width="14.5" customWidth="1" style="22" min="3337" max="3337"/>
    <col width="17" customWidth="1" style="22" min="3338" max="3338"/>
    <col width="9.1640625" customWidth="1" style="22" min="3339" max="3585"/>
    <col width="15.5" customWidth="1" style="22" min="3586" max="3586"/>
    <col width="23.1640625" customWidth="1" style="22" min="3587" max="3587"/>
    <col width="15.5" customWidth="1" style="22" min="3588" max="3591"/>
    <col width="13.5" customWidth="1" style="22" min="3592" max="3592"/>
    <col width="14.5" customWidth="1" style="22" min="3593" max="3593"/>
    <col width="17" customWidth="1" style="22" min="3594" max="3594"/>
    <col width="9.1640625" customWidth="1" style="22" min="3595" max="3841"/>
    <col width="15.5" customWidth="1" style="22" min="3842" max="3842"/>
    <col width="23.1640625" customWidth="1" style="22" min="3843" max="3843"/>
    <col width="15.5" customWidth="1" style="22" min="3844" max="3847"/>
    <col width="13.5" customWidth="1" style="22" min="3848" max="3848"/>
    <col width="14.5" customWidth="1" style="22" min="3849" max="3849"/>
    <col width="17" customWidth="1" style="22" min="3850" max="3850"/>
    <col width="9.1640625" customWidth="1" style="22" min="3851" max="4097"/>
    <col width="15.5" customWidth="1" style="22" min="4098" max="4098"/>
    <col width="23.1640625" customWidth="1" style="22" min="4099" max="4099"/>
    <col width="15.5" customWidth="1" style="22" min="4100" max="4103"/>
    <col width="13.5" customWidth="1" style="22" min="4104" max="4104"/>
    <col width="14.5" customWidth="1" style="22" min="4105" max="4105"/>
    <col width="17" customWidth="1" style="22" min="4106" max="4106"/>
    <col width="9.1640625" customWidth="1" style="22" min="4107" max="4353"/>
    <col width="15.5" customWidth="1" style="22" min="4354" max="4354"/>
    <col width="23.1640625" customWidth="1" style="22" min="4355" max="4355"/>
    <col width="15.5" customWidth="1" style="22" min="4356" max="4359"/>
    <col width="13.5" customWidth="1" style="22" min="4360" max="4360"/>
    <col width="14.5" customWidth="1" style="22" min="4361" max="4361"/>
    <col width="17" customWidth="1" style="22" min="4362" max="4362"/>
    <col width="9.1640625" customWidth="1" style="22" min="4363" max="4609"/>
    <col width="15.5" customWidth="1" style="22" min="4610" max="4610"/>
    <col width="23.1640625" customWidth="1" style="22" min="4611" max="4611"/>
    <col width="15.5" customWidth="1" style="22" min="4612" max="4615"/>
    <col width="13.5" customWidth="1" style="22" min="4616" max="4616"/>
    <col width="14.5" customWidth="1" style="22" min="4617" max="4617"/>
    <col width="17" customWidth="1" style="22" min="4618" max="4618"/>
    <col width="9.1640625" customWidth="1" style="22" min="4619" max="4865"/>
    <col width="15.5" customWidth="1" style="22" min="4866" max="4866"/>
    <col width="23.1640625" customWidth="1" style="22" min="4867" max="4867"/>
    <col width="15.5" customWidth="1" style="22" min="4868" max="4871"/>
    <col width="13.5" customWidth="1" style="22" min="4872" max="4872"/>
    <col width="14.5" customWidth="1" style="22" min="4873" max="4873"/>
    <col width="17" customWidth="1" style="22" min="4874" max="4874"/>
    <col width="9.1640625" customWidth="1" style="22" min="4875" max="5121"/>
    <col width="15.5" customWidth="1" style="22" min="5122" max="5122"/>
    <col width="23.1640625" customWidth="1" style="22" min="5123" max="5123"/>
    <col width="15.5" customWidth="1" style="22" min="5124" max="5127"/>
    <col width="13.5" customWidth="1" style="22" min="5128" max="5128"/>
    <col width="14.5" customWidth="1" style="22" min="5129" max="5129"/>
    <col width="17" customWidth="1" style="22" min="5130" max="5130"/>
    <col width="9.1640625" customWidth="1" style="22" min="5131" max="5377"/>
    <col width="15.5" customWidth="1" style="22" min="5378" max="5378"/>
    <col width="23.1640625" customWidth="1" style="22" min="5379" max="5379"/>
    <col width="15.5" customWidth="1" style="22" min="5380" max="5383"/>
    <col width="13.5" customWidth="1" style="22" min="5384" max="5384"/>
    <col width="14.5" customWidth="1" style="22" min="5385" max="5385"/>
    <col width="17" customWidth="1" style="22" min="5386" max="5386"/>
    <col width="9.1640625" customWidth="1" style="22" min="5387" max="5633"/>
    <col width="15.5" customWidth="1" style="22" min="5634" max="5634"/>
    <col width="23.1640625" customWidth="1" style="22" min="5635" max="5635"/>
    <col width="15.5" customWidth="1" style="22" min="5636" max="5639"/>
    <col width="13.5" customWidth="1" style="22" min="5640" max="5640"/>
    <col width="14.5" customWidth="1" style="22" min="5641" max="5641"/>
    <col width="17" customWidth="1" style="22" min="5642" max="5642"/>
    <col width="9.1640625" customWidth="1" style="22" min="5643" max="5889"/>
    <col width="15.5" customWidth="1" style="22" min="5890" max="5890"/>
    <col width="23.1640625" customWidth="1" style="22" min="5891" max="5891"/>
    <col width="15.5" customWidth="1" style="22" min="5892" max="5895"/>
    <col width="13.5" customWidth="1" style="22" min="5896" max="5896"/>
    <col width="14.5" customWidth="1" style="22" min="5897" max="5897"/>
    <col width="17" customWidth="1" style="22" min="5898" max="5898"/>
    <col width="9.1640625" customWidth="1" style="22" min="5899" max="6145"/>
    <col width="15.5" customWidth="1" style="22" min="6146" max="6146"/>
    <col width="23.1640625" customWidth="1" style="22" min="6147" max="6147"/>
    <col width="15.5" customWidth="1" style="22" min="6148" max="6151"/>
    <col width="13.5" customWidth="1" style="22" min="6152" max="6152"/>
    <col width="14.5" customWidth="1" style="22" min="6153" max="6153"/>
    <col width="17" customWidth="1" style="22" min="6154" max="6154"/>
    <col width="9.1640625" customWidth="1" style="22" min="6155" max="6401"/>
    <col width="15.5" customWidth="1" style="22" min="6402" max="6402"/>
    <col width="23.1640625" customWidth="1" style="22" min="6403" max="6403"/>
    <col width="15.5" customWidth="1" style="22" min="6404" max="6407"/>
    <col width="13.5" customWidth="1" style="22" min="6408" max="6408"/>
    <col width="14.5" customWidth="1" style="22" min="6409" max="6409"/>
    <col width="17" customWidth="1" style="22" min="6410" max="6410"/>
    <col width="9.1640625" customWidth="1" style="22" min="6411" max="6657"/>
    <col width="15.5" customWidth="1" style="22" min="6658" max="6658"/>
    <col width="23.1640625" customWidth="1" style="22" min="6659" max="6659"/>
    <col width="15.5" customWidth="1" style="22" min="6660" max="6663"/>
    <col width="13.5" customWidth="1" style="22" min="6664" max="6664"/>
    <col width="14.5" customWidth="1" style="22" min="6665" max="6665"/>
    <col width="17" customWidth="1" style="22" min="6666" max="6666"/>
    <col width="9.1640625" customWidth="1" style="22" min="6667" max="6913"/>
    <col width="15.5" customWidth="1" style="22" min="6914" max="6914"/>
    <col width="23.1640625" customWidth="1" style="22" min="6915" max="6915"/>
    <col width="15.5" customWidth="1" style="22" min="6916" max="6919"/>
    <col width="13.5" customWidth="1" style="22" min="6920" max="6920"/>
    <col width="14.5" customWidth="1" style="22" min="6921" max="6921"/>
    <col width="17" customWidth="1" style="22" min="6922" max="6922"/>
    <col width="9.1640625" customWidth="1" style="22" min="6923" max="7169"/>
    <col width="15.5" customWidth="1" style="22" min="7170" max="7170"/>
    <col width="23.1640625" customWidth="1" style="22" min="7171" max="7171"/>
    <col width="15.5" customWidth="1" style="22" min="7172" max="7175"/>
    <col width="13.5" customWidth="1" style="22" min="7176" max="7176"/>
    <col width="14.5" customWidth="1" style="22" min="7177" max="7177"/>
    <col width="17" customWidth="1" style="22" min="7178" max="7178"/>
    <col width="9.1640625" customWidth="1" style="22" min="7179" max="7425"/>
    <col width="15.5" customWidth="1" style="22" min="7426" max="7426"/>
    <col width="23.1640625" customWidth="1" style="22" min="7427" max="7427"/>
    <col width="15.5" customWidth="1" style="22" min="7428" max="7431"/>
    <col width="13.5" customWidth="1" style="22" min="7432" max="7432"/>
    <col width="14.5" customWidth="1" style="22" min="7433" max="7433"/>
    <col width="17" customWidth="1" style="22" min="7434" max="7434"/>
    <col width="9.1640625" customWidth="1" style="22" min="7435" max="7681"/>
    <col width="15.5" customWidth="1" style="22" min="7682" max="7682"/>
    <col width="23.1640625" customWidth="1" style="22" min="7683" max="7683"/>
    <col width="15.5" customWidth="1" style="22" min="7684" max="7687"/>
    <col width="13.5" customWidth="1" style="22" min="7688" max="7688"/>
    <col width="14.5" customWidth="1" style="22" min="7689" max="7689"/>
    <col width="17" customWidth="1" style="22" min="7690" max="7690"/>
    <col width="9.1640625" customWidth="1" style="22" min="7691" max="7937"/>
    <col width="15.5" customWidth="1" style="22" min="7938" max="7938"/>
    <col width="23.1640625" customWidth="1" style="22" min="7939" max="7939"/>
    <col width="15.5" customWidth="1" style="22" min="7940" max="7943"/>
    <col width="13.5" customWidth="1" style="22" min="7944" max="7944"/>
    <col width="14.5" customWidth="1" style="22" min="7945" max="7945"/>
    <col width="17" customWidth="1" style="22" min="7946" max="7946"/>
    <col width="9.1640625" customWidth="1" style="22" min="7947" max="8193"/>
    <col width="15.5" customWidth="1" style="22" min="8194" max="8194"/>
    <col width="23.1640625" customWidth="1" style="22" min="8195" max="8195"/>
    <col width="15.5" customWidth="1" style="22" min="8196" max="8199"/>
    <col width="13.5" customWidth="1" style="22" min="8200" max="8200"/>
    <col width="14.5" customWidth="1" style="22" min="8201" max="8201"/>
    <col width="17" customWidth="1" style="22" min="8202" max="8202"/>
    <col width="9.1640625" customWidth="1" style="22" min="8203" max="8449"/>
    <col width="15.5" customWidth="1" style="22" min="8450" max="8450"/>
    <col width="23.1640625" customWidth="1" style="22" min="8451" max="8451"/>
    <col width="15.5" customWidth="1" style="22" min="8452" max="8455"/>
    <col width="13.5" customWidth="1" style="22" min="8456" max="8456"/>
    <col width="14.5" customWidth="1" style="22" min="8457" max="8457"/>
    <col width="17" customWidth="1" style="22" min="8458" max="8458"/>
    <col width="9.1640625" customWidth="1" style="22" min="8459" max="8705"/>
    <col width="15.5" customWidth="1" style="22" min="8706" max="8706"/>
    <col width="23.1640625" customWidth="1" style="22" min="8707" max="8707"/>
    <col width="15.5" customWidth="1" style="22" min="8708" max="8711"/>
    <col width="13.5" customWidth="1" style="22" min="8712" max="8712"/>
    <col width="14.5" customWidth="1" style="22" min="8713" max="8713"/>
    <col width="17" customWidth="1" style="22" min="8714" max="8714"/>
    <col width="9.1640625" customWidth="1" style="22" min="8715" max="8961"/>
    <col width="15.5" customWidth="1" style="22" min="8962" max="8962"/>
    <col width="23.1640625" customWidth="1" style="22" min="8963" max="8963"/>
    <col width="15.5" customWidth="1" style="22" min="8964" max="8967"/>
    <col width="13.5" customWidth="1" style="22" min="8968" max="8968"/>
    <col width="14.5" customWidth="1" style="22" min="8969" max="8969"/>
    <col width="17" customWidth="1" style="22" min="8970" max="8970"/>
    <col width="9.1640625" customWidth="1" style="22" min="8971" max="9217"/>
    <col width="15.5" customWidth="1" style="22" min="9218" max="9218"/>
    <col width="23.1640625" customWidth="1" style="22" min="9219" max="9219"/>
    <col width="15.5" customWidth="1" style="22" min="9220" max="9223"/>
    <col width="13.5" customWidth="1" style="22" min="9224" max="9224"/>
    <col width="14.5" customWidth="1" style="22" min="9225" max="9225"/>
    <col width="17" customWidth="1" style="22" min="9226" max="9226"/>
    <col width="9.1640625" customWidth="1" style="22" min="9227" max="9473"/>
    <col width="15.5" customWidth="1" style="22" min="9474" max="9474"/>
    <col width="23.1640625" customWidth="1" style="22" min="9475" max="9475"/>
    <col width="15.5" customWidth="1" style="22" min="9476" max="9479"/>
    <col width="13.5" customWidth="1" style="22" min="9480" max="9480"/>
    <col width="14.5" customWidth="1" style="22" min="9481" max="9481"/>
    <col width="17" customWidth="1" style="22" min="9482" max="9482"/>
    <col width="9.1640625" customWidth="1" style="22" min="9483" max="9729"/>
    <col width="15.5" customWidth="1" style="22" min="9730" max="9730"/>
    <col width="23.1640625" customWidth="1" style="22" min="9731" max="9731"/>
    <col width="15.5" customWidth="1" style="22" min="9732" max="9735"/>
    <col width="13.5" customWidth="1" style="22" min="9736" max="9736"/>
    <col width="14.5" customWidth="1" style="22" min="9737" max="9737"/>
    <col width="17" customWidth="1" style="22" min="9738" max="9738"/>
    <col width="9.1640625" customWidth="1" style="22" min="9739" max="9985"/>
    <col width="15.5" customWidth="1" style="22" min="9986" max="9986"/>
    <col width="23.1640625" customWidth="1" style="22" min="9987" max="9987"/>
    <col width="15.5" customWidth="1" style="22" min="9988" max="9991"/>
    <col width="13.5" customWidth="1" style="22" min="9992" max="9992"/>
    <col width="14.5" customWidth="1" style="22" min="9993" max="9993"/>
    <col width="17" customWidth="1" style="22" min="9994" max="9994"/>
    <col width="9.1640625" customWidth="1" style="22" min="9995" max="10241"/>
    <col width="15.5" customWidth="1" style="22" min="10242" max="10242"/>
    <col width="23.1640625" customWidth="1" style="22" min="10243" max="10243"/>
    <col width="15.5" customWidth="1" style="22" min="10244" max="10247"/>
    <col width="13.5" customWidth="1" style="22" min="10248" max="10248"/>
    <col width="14.5" customWidth="1" style="22" min="10249" max="10249"/>
    <col width="17" customWidth="1" style="22" min="10250" max="10250"/>
    <col width="9.1640625" customWidth="1" style="22" min="10251" max="10497"/>
    <col width="15.5" customWidth="1" style="22" min="10498" max="10498"/>
    <col width="23.1640625" customWidth="1" style="22" min="10499" max="10499"/>
    <col width="15.5" customWidth="1" style="22" min="10500" max="10503"/>
    <col width="13.5" customWidth="1" style="22" min="10504" max="10504"/>
    <col width="14.5" customWidth="1" style="22" min="10505" max="10505"/>
    <col width="17" customWidth="1" style="22" min="10506" max="10506"/>
    <col width="9.1640625" customWidth="1" style="22" min="10507" max="10753"/>
    <col width="15.5" customWidth="1" style="22" min="10754" max="10754"/>
    <col width="23.1640625" customWidth="1" style="22" min="10755" max="10755"/>
    <col width="15.5" customWidth="1" style="22" min="10756" max="10759"/>
    <col width="13.5" customWidth="1" style="22" min="10760" max="10760"/>
    <col width="14.5" customWidth="1" style="22" min="10761" max="10761"/>
    <col width="17" customWidth="1" style="22" min="10762" max="10762"/>
    <col width="9.1640625" customWidth="1" style="22" min="10763" max="11009"/>
    <col width="15.5" customWidth="1" style="22" min="11010" max="11010"/>
    <col width="23.1640625" customWidth="1" style="22" min="11011" max="11011"/>
    <col width="15.5" customWidth="1" style="22" min="11012" max="11015"/>
    <col width="13.5" customWidth="1" style="22" min="11016" max="11016"/>
    <col width="14.5" customWidth="1" style="22" min="11017" max="11017"/>
    <col width="17" customWidth="1" style="22" min="11018" max="11018"/>
    <col width="9.1640625" customWidth="1" style="22" min="11019" max="11265"/>
    <col width="15.5" customWidth="1" style="22" min="11266" max="11266"/>
    <col width="23.1640625" customWidth="1" style="22" min="11267" max="11267"/>
    <col width="15.5" customWidth="1" style="22" min="11268" max="11271"/>
    <col width="13.5" customWidth="1" style="22" min="11272" max="11272"/>
    <col width="14.5" customWidth="1" style="22" min="11273" max="11273"/>
    <col width="17" customWidth="1" style="22" min="11274" max="11274"/>
    <col width="9.1640625" customWidth="1" style="22" min="11275" max="11521"/>
    <col width="15.5" customWidth="1" style="22" min="11522" max="11522"/>
    <col width="23.1640625" customWidth="1" style="22" min="11523" max="11523"/>
    <col width="15.5" customWidth="1" style="22" min="11524" max="11527"/>
    <col width="13.5" customWidth="1" style="22" min="11528" max="11528"/>
    <col width="14.5" customWidth="1" style="22" min="11529" max="11529"/>
    <col width="17" customWidth="1" style="22" min="11530" max="11530"/>
    <col width="9.1640625" customWidth="1" style="22" min="11531" max="11777"/>
    <col width="15.5" customWidth="1" style="22" min="11778" max="11778"/>
    <col width="23.1640625" customWidth="1" style="22" min="11779" max="11779"/>
    <col width="15.5" customWidth="1" style="22" min="11780" max="11783"/>
    <col width="13.5" customWidth="1" style="22" min="11784" max="11784"/>
    <col width="14.5" customWidth="1" style="22" min="11785" max="11785"/>
    <col width="17" customWidth="1" style="22" min="11786" max="11786"/>
    <col width="9.1640625" customWidth="1" style="22" min="11787" max="12033"/>
    <col width="15.5" customWidth="1" style="22" min="12034" max="12034"/>
    <col width="23.1640625" customWidth="1" style="22" min="12035" max="12035"/>
    <col width="15.5" customWidth="1" style="22" min="12036" max="12039"/>
    <col width="13.5" customWidth="1" style="22" min="12040" max="12040"/>
    <col width="14.5" customWidth="1" style="22" min="12041" max="12041"/>
    <col width="17" customWidth="1" style="22" min="12042" max="12042"/>
    <col width="9.1640625" customWidth="1" style="22" min="12043" max="12289"/>
    <col width="15.5" customWidth="1" style="22" min="12290" max="12290"/>
    <col width="23.1640625" customWidth="1" style="22" min="12291" max="12291"/>
    <col width="15.5" customWidth="1" style="22" min="12292" max="12295"/>
    <col width="13.5" customWidth="1" style="22" min="12296" max="12296"/>
    <col width="14.5" customWidth="1" style="22" min="12297" max="12297"/>
    <col width="17" customWidth="1" style="22" min="12298" max="12298"/>
    <col width="9.1640625" customWidth="1" style="22" min="12299" max="12545"/>
    <col width="15.5" customWidth="1" style="22" min="12546" max="12546"/>
    <col width="23.1640625" customWidth="1" style="22" min="12547" max="12547"/>
    <col width="15.5" customWidth="1" style="22" min="12548" max="12551"/>
    <col width="13.5" customWidth="1" style="22" min="12552" max="12552"/>
    <col width="14.5" customWidth="1" style="22" min="12553" max="12553"/>
    <col width="17" customWidth="1" style="22" min="12554" max="12554"/>
    <col width="9.1640625" customWidth="1" style="22" min="12555" max="12801"/>
    <col width="15.5" customWidth="1" style="22" min="12802" max="12802"/>
    <col width="23.1640625" customWidth="1" style="22" min="12803" max="12803"/>
    <col width="15.5" customWidth="1" style="22" min="12804" max="12807"/>
    <col width="13.5" customWidth="1" style="22" min="12808" max="12808"/>
    <col width="14.5" customWidth="1" style="22" min="12809" max="12809"/>
    <col width="17" customWidth="1" style="22" min="12810" max="12810"/>
    <col width="9.1640625" customWidth="1" style="22" min="12811" max="13057"/>
    <col width="15.5" customWidth="1" style="22" min="13058" max="13058"/>
    <col width="23.1640625" customWidth="1" style="22" min="13059" max="13059"/>
    <col width="15.5" customWidth="1" style="22" min="13060" max="13063"/>
    <col width="13.5" customWidth="1" style="22" min="13064" max="13064"/>
    <col width="14.5" customWidth="1" style="22" min="13065" max="13065"/>
    <col width="17" customWidth="1" style="22" min="13066" max="13066"/>
    <col width="9.1640625" customWidth="1" style="22" min="13067" max="13313"/>
    <col width="15.5" customWidth="1" style="22" min="13314" max="13314"/>
    <col width="23.1640625" customWidth="1" style="22" min="13315" max="13315"/>
    <col width="15.5" customWidth="1" style="22" min="13316" max="13319"/>
    <col width="13.5" customWidth="1" style="22" min="13320" max="13320"/>
    <col width="14.5" customWidth="1" style="22" min="13321" max="13321"/>
    <col width="17" customWidth="1" style="22" min="13322" max="13322"/>
    <col width="9.1640625" customWidth="1" style="22" min="13323" max="13569"/>
    <col width="15.5" customWidth="1" style="22" min="13570" max="13570"/>
    <col width="23.1640625" customWidth="1" style="22" min="13571" max="13571"/>
    <col width="15.5" customWidth="1" style="22" min="13572" max="13575"/>
    <col width="13.5" customWidth="1" style="22" min="13576" max="13576"/>
    <col width="14.5" customWidth="1" style="22" min="13577" max="13577"/>
    <col width="17" customWidth="1" style="22" min="13578" max="13578"/>
    <col width="9.1640625" customWidth="1" style="22" min="13579" max="13825"/>
    <col width="15.5" customWidth="1" style="22" min="13826" max="13826"/>
    <col width="23.1640625" customWidth="1" style="22" min="13827" max="13827"/>
    <col width="15.5" customWidth="1" style="22" min="13828" max="13831"/>
    <col width="13.5" customWidth="1" style="22" min="13832" max="13832"/>
    <col width="14.5" customWidth="1" style="22" min="13833" max="13833"/>
    <col width="17" customWidth="1" style="22" min="13834" max="13834"/>
    <col width="9.1640625" customWidth="1" style="22" min="13835" max="14081"/>
    <col width="15.5" customWidth="1" style="22" min="14082" max="14082"/>
    <col width="23.1640625" customWidth="1" style="22" min="14083" max="14083"/>
    <col width="15.5" customWidth="1" style="22" min="14084" max="14087"/>
    <col width="13.5" customWidth="1" style="22" min="14088" max="14088"/>
    <col width="14.5" customWidth="1" style="22" min="14089" max="14089"/>
    <col width="17" customWidth="1" style="22" min="14090" max="14090"/>
    <col width="9.1640625" customWidth="1" style="22" min="14091" max="14337"/>
    <col width="15.5" customWidth="1" style="22" min="14338" max="14338"/>
    <col width="23.1640625" customWidth="1" style="22" min="14339" max="14339"/>
    <col width="15.5" customWidth="1" style="22" min="14340" max="14343"/>
    <col width="13.5" customWidth="1" style="22" min="14344" max="14344"/>
    <col width="14.5" customWidth="1" style="22" min="14345" max="14345"/>
    <col width="17" customWidth="1" style="22" min="14346" max="14346"/>
    <col width="9.1640625" customWidth="1" style="22" min="14347" max="14593"/>
    <col width="15.5" customWidth="1" style="22" min="14594" max="14594"/>
    <col width="23.1640625" customWidth="1" style="22" min="14595" max="14595"/>
    <col width="15.5" customWidth="1" style="22" min="14596" max="14599"/>
    <col width="13.5" customWidth="1" style="22" min="14600" max="14600"/>
    <col width="14.5" customWidth="1" style="22" min="14601" max="14601"/>
    <col width="17" customWidth="1" style="22" min="14602" max="14602"/>
    <col width="9.1640625" customWidth="1" style="22" min="14603" max="14849"/>
    <col width="15.5" customWidth="1" style="22" min="14850" max="14850"/>
    <col width="23.1640625" customWidth="1" style="22" min="14851" max="14851"/>
    <col width="15.5" customWidth="1" style="22" min="14852" max="14855"/>
    <col width="13.5" customWidth="1" style="22" min="14856" max="14856"/>
    <col width="14.5" customWidth="1" style="22" min="14857" max="14857"/>
    <col width="17" customWidth="1" style="22" min="14858" max="14858"/>
    <col width="9.1640625" customWidth="1" style="22" min="14859" max="15105"/>
    <col width="15.5" customWidth="1" style="22" min="15106" max="15106"/>
    <col width="23.1640625" customWidth="1" style="22" min="15107" max="15107"/>
    <col width="15.5" customWidth="1" style="22" min="15108" max="15111"/>
    <col width="13.5" customWidth="1" style="22" min="15112" max="15112"/>
    <col width="14.5" customWidth="1" style="22" min="15113" max="15113"/>
    <col width="17" customWidth="1" style="22" min="15114" max="15114"/>
    <col width="9.1640625" customWidth="1" style="22" min="15115" max="15361"/>
    <col width="15.5" customWidth="1" style="22" min="15362" max="15362"/>
    <col width="23.1640625" customWidth="1" style="22" min="15363" max="15363"/>
    <col width="15.5" customWidth="1" style="22" min="15364" max="15367"/>
    <col width="13.5" customWidth="1" style="22" min="15368" max="15368"/>
    <col width="14.5" customWidth="1" style="22" min="15369" max="15369"/>
    <col width="17" customWidth="1" style="22" min="15370" max="15370"/>
    <col width="9.1640625" customWidth="1" style="22" min="15371" max="15617"/>
    <col width="15.5" customWidth="1" style="22" min="15618" max="15618"/>
    <col width="23.1640625" customWidth="1" style="22" min="15619" max="15619"/>
    <col width="15.5" customWidth="1" style="22" min="15620" max="15623"/>
    <col width="13.5" customWidth="1" style="22" min="15624" max="15624"/>
    <col width="14.5" customWidth="1" style="22" min="15625" max="15625"/>
    <col width="17" customWidth="1" style="22" min="15626" max="15626"/>
    <col width="9.1640625" customWidth="1" style="22" min="15627" max="15873"/>
    <col width="15.5" customWidth="1" style="22" min="15874" max="15874"/>
    <col width="23.1640625" customWidth="1" style="22" min="15875" max="15875"/>
    <col width="15.5" customWidth="1" style="22" min="15876" max="15879"/>
    <col width="13.5" customWidth="1" style="22" min="15880" max="15880"/>
    <col width="14.5" customWidth="1" style="22" min="15881" max="15881"/>
    <col width="17" customWidth="1" style="22" min="15882" max="15882"/>
    <col width="9.1640625" customWidth="1" style="22" min="15883" max="16129"/>
    <col width="15.5" customWidth="1" style="22" min="16130" max="16130"/>
    <col width="23.1640625" customWidth="1" style="22" min="16131" max="16131"/>
    <col width="15.5" customWidth="1" style="22" min="16132" max="16135"/>
    <col width="13.5" customWidth="1" style="22" min="16136" max="16136"/>
    <col width="14.5" customWidth="1" style="22" min="16137" max="16137"/>
    <col width="17" customWidth="1" style="22" min="16138" max="16138"/>
    <col width="9.1640625" customWidth="1" style="22" min="16139" max="16384"/>
  </cols>
  <sheetData>
    <row r="1" ht="15" customHeight="1">
      <c r="A1" s="35" t="n"/>
      <c r="B1" s="35" t="n"/>
      <c r="C1" s="35" t="n"/>
      <c r="D1" s="35" t="n"/>
      <c r="E1" s="35" t="n"/>
      <c r="F1" s="35" t="n"/>
      <c r="G1" s="35" t="n"/>
      <c r="H1" s="35" t="n"/>
      <c r="I1" s="35" t="n"/>
      <c r="J1" s="35" t="n"/>
      <c r="K1" s="35" t="n"/>
      <c r="L1" s="35" t="n"/>
      <c r="M1" s="35" t="n"/>
    </row>
    <row r="2">
      <c r="A2" s="10" t="inlineStr">
        <is>
          <t>EXPENSE DETAIL</t>
        </is>
      </c>
      <c r="B2" s="39" t="n"/>
      <c r="C2" s="39" t="n"/>
      <c r="D2" s="39" t="n"/>
    </row>
    <row r="3">
      <c r="A3" s="40" t="n"/>
      <c r="B3" s="41" t="inlineStr">
        <is>
          <t>New</t>
        </is>
      </c>
      <c r="C3" s="41" t="inlineStr">
        <is>
          <t>Used</t>
        </is>
      </c>
      <c r="D3" s="41" t="inlineStr">
        <is>
          <t>*Total Sales Dept.</t>
        </is>
      </c>
      <c r="E3" s="41" t="inlineStr">
        <is>
          <t>Parts Dept.</t>
        </is>
      </c>
      <c r="F3" s="42" t="inlineStr">
        <is>
          <t>Service Dept.</t>
        </is>
      </c>
      <c r="G3" s="41" t="inlineStr">
        <is>
          <t>Short Term Rental</t>
        </is>
      </c>
      <c r="H3" s="41" t="inlineStr">
        <is>
          <t>Long Term Rental</t>
        </is>
      </c>
      <c r="I3" s="41" t="inlineStr">
        <is>
          <t>Trucking</t>
        </is>
      </c>
      <c r="J3" s="42" t="inlineStr">
        <is>
          <t>G&amp;A Dept.</t>
        </is>
      </c>
      <c r="K3" s="41" t="inlineStr">
        <is>
          <t>Total</t>
        </is>
      </c>
    </row>
    <row r="4">
      <c r="A4" s="43" t="inlineStr">
        <is>
          <t>Personnel**</t>
        </is>
      </c>
      <c r="B4" s="381" t="n">
        <v>0</v>
      </c>
      <c r="C4" s="381" t="n">
        <v>0</v>
      </c>
      <c r="D4" s="481">
        <f>B4+C4</f>
        <v/>
      </c>
      <c r="E4" s="381" t="n">
        <v>0</v>
      </c>
      <c r="F4" s="381" t="n">
        <v>0</v>
      </c>
      <c r="G4" s="381" t="n">
        <v>0</v>
      </c>
      <c r="H4" s="258" t="n"/>
      <c r="I4" s="381" t="n">
        <v>0</v>
      </c>
      <c r="J4" s="381" t="n">
        <v>0</v>
      </c>
      <c r="K4" s="482">
        <f>SUM(D4:J4)</f>
        <v/>
      </c>
      <c r="L4" s="460" t="n"/>
    </row>
    <row r="5">
      <c r="A5" s="43" t="inlineStr">
        <is>
          <t>Operating</t>
        </is>
      </c>
      <c r="B5" s="381" t="n">
        <v>0</v>
      </c>
      <c r="C5" s="381" t="n">
        <v>0</v>
      </c>
      <c r="D5" s="481">
        <f>B5+C5</f>
        <v/>
      </c>
      <c r="E5" s="381" t="n">
        <v>0</v>
      </c>
      <c r="F5" s="381" t="n">
        <v>0</v>
      </c>
      <c r="G5" s="381" t="n">
        <v>0</v>
      </c>
      <c r="H5" s="258" t="n"/>
      <c r="I5" s="381" t="n">
        <v>0</v>
      </c>
      <c r="J5" s="381" t="n">
        <v>0</v>
      </c>
      <c r="K5" s="482">
        <f>SUM(D5:J5)</f>
        <v/>
      </c>
      <c r="L5" s="483" t="n"/>
    </row>
    <row r="6">
      <c r="A6" s="43" t="inlineStr">
        <is>
          <t>Occupancy</t>
        </is>
      </c>
      <c r="B6" s="381" t="n">
        <v>0</v>
      </c>
      <c r="C6" s="381" t="n">
        <v>0</v>
      </c>
      <c r="D6" s="481">
        <f>B6+C6</f>
        <v/>
      </c>
      <c r="E6" s="381" t="n">
        <v>0</v>
      </c>
      <c r="F6" s="381" t="n">
        <v>0</v>
      </c>
      <c r="G6" s="381" t="n">
        <v>0</v>
      </c>
      <c r="H6" s="258" t="n"/>
      <c r="I6" s="369" t="n">
        <v>0</v>
      </c>
      <c r="J6" s="381" t="n">
        <v>0</v>
      </c>
      <c r="K6" s="482">
        <f>SUM(D6:J6)</f>
        <v/>
      </c>
      <c r="L6" s="460" t="n"/>
    </row>
    <row r="7">
      <c r="A7" s="46" t="inlineStr">
        <is>
          <t>Total</t>
        </is>
      </c>
      <c r="B7" s="481">
        <f>SUM(B4:B6)</f>
        <v/>
      </c>
      <c r="C7" s="481">
        <f>SUM(C4:C6)</f>
        <v/>
      </c>
      <c r="D7" s="481">
        <f>B7+C7</f>
        <v/>
      </c>
      <c r="E7" s="481">
        <f>SUM(E4:E6)</f>
        <v/>
      </c>
      <c r="F7" s="484">
        <f>SUM(F4:F6)</f>
        <v/>
      </c>
      <c r="G7" s="481">
        <f>SUM(G4:G6)</f>
        <v/>
      </c>
      <c r="H7" s="485">
        <f>SUM(H4:H6)</f>
        <v/>
      </c>
      <c r="I7" s="481">
        <f>SUM(I4:I6)</f>
        <v/>
      </c>
      <c r="J7" s="484">
        <f>SUM(J4:J6)</f>
        <v/>
      </c>
      <c r="K7" s="486">
        <f>SUM(K4:K6)</f>
        <v/>
      </c>
      <c r="L7" s="487" t="n"/>
    </row>
    <row r="8">
      <c r="A8" s="434" t="n"/>
      <c r="B8" s="22" t="inlineStr">
        <is>
          <t>*if you are unable to break out New and Used Expenses, please enter all amounts in the New Column</t>
        </is>
      </c>
      <c r="L8" s="471" t="n"/>
    </row>
    <row r="9">
      <c r="A9" s="10" t="inlineStr">
        <is>
          <t>Personnel Count:</t>
        </is>
      </c>
      <c r="B9" s="39" t="n"/>
      <c r="C9" s="39" t="n"/>
      <c r="D9" s="39" t="n"/>
    </row>
    <row r="10">
      <c r="A10" s="40" t="n"/>
      <c r="B10" s="41" t="inlineStr">
        <is>
          <t>New</t>
        </is>
      </c>
      <c r="C10" s="41" t="inlineStr">
        <is>
          <t>Used</t>
        </is>
      </c>
      <c r="D10" s="41" t="inlineStr">
        <is>
          <t>Systems</t>
        </is>
      </c>
      <c r="E10" s="41" t="inlineStr">
        <is>
          <t xml:space="preserve">*Total Sales Dept. </t>
        </is>
      </c>
      <c r="F10" s="41" t="inlineStr">
        <is>
          <t>Parts Dept.</t>
        </is>
      </c>
      <c r="G10" s="42" t="inlineStr">
        <is>
          <t>Service Dept.</t>
        </is>
      </c>
      <c r="H10" s="41" t="inlineStr">
        <is>
          <t>Short Term Rental</t>
        </is>
      </c>
      <c r="I10" s="41" t="inlineStr">
        <is>
          <t>Long Term Rental</t>
        </is>
      </c>
      <c r="J10" s="41" t="inlineStr">
        <is>
          <t>Trucking</t>
        </is>
      </c>
      <c r="K10" s="42" t="inlineStr">
        <is>
          <t>G&amp;A Dept.</t>
        </is>
      </c>
      <c r="L10" s="41" t="inlineStr">
        <is>
          <t>Total</t>
        </is>
      </c>
    </row>
    <row r="11">
      <c r="A11" s="43" t="inlineStr">
        <is>
          <t>Managers</t>
        </is>
      </c>
      <c r="B11" s="488" t="n">
        <v>1</v>
      </c>
      <c r="C11" s="488" t="n"/>
      <c r="D11" s="489" t="n"/>
      <c r="E11" s="490">
        <f>B11+C11+D11</f>
        <v/>
      </c>
      <c r="F11" s="488" t="n">
        <v>0.5</v>
      </c>
      <c r="G11" s="488" t="n">
        <v>1.5</v>
      </c>
      <c r="H11" s="488" t="n">
        <v>1</v>
      </c>
      <c r="I11" s="488" t="n"/>
      <c r="J11" s="488" t="n"/>
      <c r="K11" s="488" t="n"/>
      <c r="L11" s="491">
        <f>SUM(E11:K11)</f>
        <v/>
      </c>
    </row>
    <row r="12">
      <c r="A12" s="43" t="inlineStr">
        <is>
          <t>Sales People</t>
        </is>
      </c>
      <c r="B12" s="488" t="n">
        <v>3.5</v>
      </c>
      <c r="C12" s="488" t="n">
        <v>0.5</v>
      </c>
      <c r="D12" s="489" t="n"/>
      <c r="E12" s="490">
        <f>B12+C12+D12</f>
        <v/>
      </c>
      <c r="F12" s="488" t="n"/>
      <c r="G12" s="488" t="n"/>
      <c r="H12" s="488" t="n"/>
      <c r="I12" s="488" t="n"/>
      <c r="J12" s="488" t="n"/>
      <c r="K12" s="492" t="n"/>
      <c r="L12" s="491">
        <f>SUM(E12:K12)</f>
        <v/>
      </c>
    </row>
    <row r="13">
      <c r="A13" s="418" t="inlineStr">
        <is>
          <t>Technicians / Drivers</t>
        </is>
      </c>
      <c r="B13" s="493" t="n"/>
      <c r="C13" s="494" t="n"/>
      <c r="D13" s="494" t="n"/>
      <c r="E13" s="490" t="n"/>
      <c r="F13" s="488" t="n">
        <v>2</v>
      </c>
      <c r="G13" s="488" t="n">
        <v>20</v>
      </c>
      <c r="H13" s="488" t="n"/>
      <c r="I13" s="488" t="n"/>
      <c r="J13" s="488" t="n"/>
      <c r="K13" s="495" t="n"/>
      <c r="L13" s="491">
        <f>SUM(E13:K13)</f>
        <v/>
      </c>
    </row>
    <row r="14">
      <c r="A14" s="418" t="inlineStr">
        <is>
          <t>Project Engineers</t>
        </is>
      </c>
      <c r="B14" s="488" t="n"/>
      <c r="C14" s="494" t="n"/>
      <c r="D14" s="494" t="n"/>
      <c r="E14" s="490">
        <f>B14</f>
        <v/>
      </c>
      <c r="F14" s="496" t="n"/>
      <c r="G14" s="496" t="n"/>
      <c r="H14" s="496" t="n"/>
      <c r="I14" s="496" t="n"/>
      <c r="J14" s="496" t="n"/>
      <c r="K14" s="495" t="n"/>
      <c r="L14" s="491">
        <f>SUM(E14:K14)</f>
        <v/>
      </c>
    </row>
    <row r="15">
      <c r="A15" s="43" t="inlineStr">
        <is>
          <t>Other</t>
        </is>
      </c>
      <c r="B15" s="488" t="n"/>
      <c r="C15" s="488" t="n"/>
      <c r="D15" s="489" t="n"/>
      <c r="E15" s="490">
        <f>B15+C15+D15</f>
        <v/>
      </c>
      <c r="F15" s="488" t="n"/>
      <c r="G15" s="488" t="n"/>
      <c r="H15" s="488" t="n"/>
      <c r="I15" s="488" t="n"/>
      <c r="J15" s="488" t="n"/>
      <c r="K15" s="488" t="n">
        <v>1.5</v>
      </c>
      <c r="L15" s="497">
        <f>SUM(E15:K15)</f>
        <v/>
      </c>
    </row>
    <row r="16">
      <c r="A16" s="46" t="inlineStr">
        <is>
          <t>Total</t>
        </is>
      </c>
      <c r="B16" s="498">
        <f>SUM(B11:B15)</f>
        <v/>
      </c>
      <c r="C16" s="498">
        <f>SUM(C11:C15)</f>
        <v/>
      </c>
      <c r="D16" s="498">
        <f>SUM(D11:D15)</f>
        <v/>
      </c>
      <c r="E16" s="498">
        <f>B16+C16+D16</f>
        <v/>
      </c>
      <c r="F16" s="498">
        <f>SUM(F11:F15)</f>
        <v/>
      </c>
      <c r="G16" s="498">
        <f>SUM(G11:G15)</f>
        <v/>
      </c>
      <c r="H16" s="498">
        <f>SUM(H11:H15)</f>
        <v/>
      </c>
      <c r="I16" s="498">
        <f>SUM(I11:I15)</f>
        <v/>
      </c>
      <c r="J16" s="498">
        <f>SUM(J11:J15)</f>
        <v/>
      </c>
      <c r="K16" s="498">
        <f>SUM(K11:K15)</f>
        <v/>
      </c>
      <c r="L16" s="499">
        <f>SUM(L11:L15)</f>
        <v/>
      </c>
      <c r="M16" s="500" t="n"/>
    </row>
    <row r="17">
      <c r="A17" s="435" t="n"/>
      <c r="B17" s="22" t="inlineStr">
        <is>
          <t>*if you are unable to break out New, Used and Systems Personnel Counts, please enter all amounts in the New Column</t>
        </is>
      </c>
      <c r="C17" s="435" t="n"/>
      <c r="D17" s="435" t="n"/>
      <c r="E17" s="435" t="n"/>
      <c r="F17" s="435" t="n"/>
      <c r="G17" s="435" t="n"/>
      <c r="H17" s="435" t="n"/>
    </row>
    <row r="18">
      <c r="A18" s="435" t="n"/>
      <c r="C18" s="435" t="n"/>
      <c r="D18" s="435" t="n"/>
      <c r="E18" s="435" t="n"/>
      <c r="F18" s="435" t="n"/>
      <c r="G18" s="435" t="n"/>
      <c r="H18" s="435" t="n"/>
    </row>
    <row r="19" ht="18" customHeight="1">
      <c r="A19" s="436" t="inlineStr">
        <is>
          <t>Miscellaneous Information</t>
        </is>
      </c>
      <c r="B19" s="1" t="n"/>
      <c r="C19" s="1" t="n"/>
      <c r="D19" s="1" t="n"/>
      <c r="E19" s="1" t="n"/>
      <c r="F19" s="1" t="n"/>
      <c r="G19" s="1" t="n"/>
      <c r="H19" s="1" t="n"/>
      <c r="I19" s="1" t="n"/>
    </row>
    <row r="20" ht="6" customHeight="1">
      <c r="A20" s="102" t="n"/>
      <c r="B20" s="102" t="n"/>
      <c r="C20" s="102" t="n"/>
      <c r="D20" s="102" t="n"/>
      <c r="E20" s="102" t="n"/>
      <c r="F20" s="102" t="n"/>
      <c r="G20" s="102" t="n"/>
      <c r="H20" s="102" t="n"/>
      <c r="I20" s="102" t="n"/>
      <c r="J20" s="102" t="n"/>
      <c r="K20" s="102" t="n"/>
      <c r="L20" s="102" t="n"/>
      <c r="M20" s="102" t="n"/>
    </row>
    <row r="21">
      <c r="A21" s="416" t="inlineStr">
        <is>
          <t xml:space="preserve">Accounts Receivable Aging </t>
        </is>
      </c>
      <c r="B21" s="65" t="n"/>
      <c r="D21" s="416" t="inlineStr">
        <is>
          <t>Parts Department</t>
        </is>
      </c>
      <c r="E21" s="65" t="n"/>
      <c r="F21" s="36" t="n"/>
      <c r="G21" s="416" t="inlineStr">
        <is>
          <t>Technician Productivity:</t>
        </is>
      </c>
      <c r="H21" s="501" t="n"/>
      <c r="I21" s="65" t="n"/>
      <c r="K21" s="416" t="inlineStr">
        <is>
          <t>Inventory Aging (% over 12 months)</t>
        </is>
      </c>
      <c r="L21" s="65" t="n"/>
    </row>
    <row r="22">
      <c r="A22" s="418" t="inlineStr">
        <is>
          <t>Current</t>
        </is>
      </c>
      <c r="B22" s="502" t="n">
        <v>1590245.83</v>
      </c>
      <c r="D22" s="418" t="inlineStr">
        <is>
          <t>Stock Fill Rate %</t>
        </is>
      </c>
      <c r="E22" s="261" t="n">
        <v>0.73</v>
      </c>
      <c r="F22" s="36" t="n"/>
      <c r="G22" s="43" t="inlineStr">
        <is>
          <t># of units under full maintenance contract</t>
        </is>
      </c>
      <c r="H22" s="503" t="n"/>
      <c r="I22" s="266" t="n"/>
      <c r="K22" s="418" t="inlineStr">
        <is>
          <t>New Inventory Aging</t>
        </is>
      </c>
      <c r="L22" s="268" t="n"/>
    </row>
    <row r="23">
      <c r="A23" s="418" t="inlineStr">
        <is>
          <t>31-60 days</t>
        </is>
      </c>
      <c r="B23" s="502" t="n">
        <v>300263.16</v>
      </c>
      <c r="D23" s="418" t="inlineStr">
        <is>
          <t>Stock v. NonStock</t>
        </is>
      </c>
      <c r="E23" s="261" t="n"/>
      <c r="F23" s="36" t="n"/>
      <c r="G23" s="43" t="inlineStr">
        <is>
          <t>Customer Labor Rate</t>
        </is>
      </c>
      <c r="H23" s="503" t="n"/>
      <c r="I23" s="504" t="n"/>
      <c r="K23" s="420" t="inlineStr">
        <is>
          <t>Used Inventory Aging</t>
        </is>
      </c>
      <c r="L23" s="268" t="n"/>
    </row>
    <row r="24">
      <c r="A24" s="418" t="inlineStr">
        <is>
          <t>61-90 days</t>
        </is>
      </c>
      <c r="B24" s="502" t="n">
        <v>196052.85</v>
      </c>
      <c r="D24" s="43" t="inlineStr">
        <is>
          <t>Parts Inventory Aging</t>
        </is>
      </c>
      <c r="E24" s="261" t="n"/>
      <c r="F24" s="36" t="n"/>
      <c r="G24" s="43" t="inlineStr">
        <is>
          <t>Avg. Hourly Tech Pay Rate</t>
        </is>
      </c>
      <c r="H24" s="503" t="n"/>
      <c r="I24" s="504" t="n"/>
    </row>
    <row r="25">
      <c r="A25" s="418" t="inlineStr">
        <is>
          <t>91 + days</t>
        </is>
      </c>
      <c r="B25" s="502">
        <f>54746.94+99356.37+71829.99</f>
        <v/>
      </c>
      <c r="D25" s="43" t="inlineStr">
        <is>
          <t>Parts Freight Income</t>
        </is>
      </c>
      <c r="E25" s="381" t="n">
        <v>0</v>
      </c>
      <c r="F25" s="36" t="n"/>
      <c r="G25" s="418" t="inlineStr">
        <is>
          <t>Total Hours Billed</t>
        </is>
      </c>
      <c r="H25" s="419" t="n"/>
      <c r="I25" s="266" t="n"/>
    </row>
    <row r="26">
      <c r="A26" s="437" t="inlineStr">
        <is>
          <t>Total Receivables</t>
        </is>
      </c>
      <c r="B26" s="505">
        <f>SUM(B22:B25)</f>
        <v/>
      </c>
      <c r="D26" s="227" t="inlineStr">
        <is>
          <t>Parts Freight Expense</t>
        </is>
      </c>
      <c r="E26" s="381" t="n">
        <v>0</v>
      </c>
      <c r="F26" s="36" t="n"/>
      <c r="G26" s="418" t="inlineStr">
        <is>
          <t>Productive Hours</t>
        </is>
      </c>
      <c r="H26" s="419" t="n"/>
      <c r="I26" s="266" t="n"/>
    </row>
    <row r="27">
      <c r="F27" s="36" t="n"/>
      <c r="G27" s="43" t="inlineStr">
        <is>
          <t>Non-Productive Hours</t>
        </is>
      </c>
      <c r="H27" s="503" t="n"/>
      <c r="I27" s="266" t="n"/>
      <c r="K27" s="416" t="inlineStr">
        <is>
          <t>Additional Technician Productivity:</t>
        </is>
      </c>
      <c r="L27" s="501" t="n"/>
      <c r="M27" s="65" t="n"/>
    </row>
    <row r="28">
      <c r="D28" s="416" t="inlineStr">
        <is>
          <t>Marketshare Information</t>
        </is>
      </c>
      <c r="E28" s="151" t="n"/>
      <c r="F28" s="36" t="n"/>
      <c r="G28" s="437" t="inlineStr">
        <is>
          <t>Total Hours Paid</t>
        </is>
      </c>
      <c r="H28" s="506" t="n"/>
      <c r="I28" s="345">
        <f>SUM(I26:I27)</f>
        <v/>
      </c>
      <c r="K28" s="43" t="inlineStr">
        <is>
          <t>PM Completion Rate</t>
        </is>
      </c>
      <c r="L28" s="503" t="n"/>
      <c r="M28" s="269" t="n"/>
    </row>
    <row r="29">
      <c r="A29" s="66" t="n"/>
      <c r="B29" s="434" t="n"/>
      <c r="C29" s="434" t="n"/>
      <c r="D29" s="67" t="inlineStr">
        <is>
          <t>Sold Units</t>
        </is>
      </c>
      <c r="E29" s="262" t="n"/>
      <c r="F29" s="36" t="n"/>
      <c r="K29" s="43" t="inlineStr">
        <is>
          <t>First Call Completion Rate</t>
        </is>
      </c>
      <c r="L29" s="503" t="n"/>
      <c r="M29" s="269" t="n"/>
    </row>
    <row r="30">
      <c r="A30" s="434" t="n"/>
      <c r="B30" s="434" t="n"/>
      <c r="C30" s="434" t="n"/>
      <c r="D30" s="67" t="inlineStr">
        <is>
          <t>Lost Units</t>
        </is>
      </c>
      <c r="E30" s="262" t="n"/>
      <c r="F30" s="36" t="n"/>
      <c r="K30" s="227" t="inlineStr">
        <is>
          <t>Average Response Time (# of hours)</t>
        </is>
      </c>
      <c r="L30" s="507" t="n"/>
      <c r="M30" s="257" t="n"/>
    </row>
    <row r="31">
      <c r="D31" s="172" t="inlineStr">
        <is>
          <t>Size of Market</t>
        </is>
      </c>
      <c r="E31" s="262" t="n"/>
      <c r="G31" s="434" t="n"/>
      <c r="H31" s="1" t="n"/>
    </row>
    <row r="32" ht="17" customHeight="1" thickBot="1"/>
    <row r="33">
      <c r="A33" s="422" t="inlineStr">
        <is>
          <t>Trucking Department COGS</t>
        </is>
      </c>
      <c r="B33" s="508" t="n"/>
      <c r="C33" s="153" t="n"/>
      <c r="D33" s="422" t="inlineStr">
        <is>
          <t>Short Term Rental COGS</t>
        </is>
      </c>
      <c r="E33" s="508" t="n"/>
      <c r="F33" s="118" t="n"/>
      <c r="G33" s="423" t="inlineStr">
        <is>
          <t>Long Term Rental COGS</t>
        </is>
      </c>
      <c r="H33" s="508" t="n"/>
      <c r="I33" s="118" t="n"/>
      <c r="K33" s="416" t="inlineStr">
        <is>
          <t>Marketing</t>
        </is>
      </c>
      <c r="L33" s="65" t="n"/>
    </row>
    <row r="34" ht="15" customHeight="1">
      <c r="A34" s="509" t="inlineStr">
        <is>
          <t>Maintenance</t>
        </is>
      </c>
      <c r="B34" s="503" t="n"/>
      <c r="C34" s="510" t="n"/>
      <c r="D34" s="509" t="inlineStr">
        <is>
          <t>Depreciation</t>
        </is>
      </c>
      <c r="E34" s="503" t="n"/>
      <c r="F34" s="391" t="n">
        <v>0</v>
      </c>
      <c r="G34" s="425" t="inlineStr">
        <is>
          <t>Depreciation</t>
        </is>
      </c>
      <c r="H34" s="503" t="n"/>
      <c r="I34" s="511" t="n"/>
      <c r="K34" s="227" t="inlineStr">
        <is>
          <t>Marketing Expense</t>
        </is>
      </c>
      <c r="L34" s="512" t="n">
        <v>0</v>
      </c>
    </row>
    <row r="35" ht="15" customHeight="1">
      <c r="A35" s="509" t="inlineStr">
        <is>
          <t>Driver's Salaries</t>
        </is>
      </c>
      <c r="B35" s="503" t="n"/>
      <c r="C35" s="513" t="n"/>
      <c r="D35" s="514" t="inlineStr">
        <is>
          <t>Interest</t>
        </is>
      </c>
      <c r="E35" s="503" t="n"/>
      <c r="F35" s="391" t="n">
        <v>0</v>
      </c>
      <c r="G35" s="419" t="inlineStr">
        <is>
          <t>Interest</t>
        </is>
      </c>
      <c r="H35" s="503" t="n"/>
      <c r="I35" s="515" t="n"/>
    </row>
    <row r="36">
      <c r="A36" s="514" t="inlineStr">
        <is>
          <t>Fuel</t>
        </is>
      </c>
      <c r="B36" s="503" t="n"/>
      <c r="C36" s="510" t="n"/>
      <c r="D36" s="514" t="inlineStr">
        <is>
          <t>Maintenance</t>
        </is>
      </c>
      <c r="E36" s="503" t="n"/>
      <c r="F36" s="391" t="n">
        <v>0</v>
      </c>
      <c r="G36" s="419" t="inlineStr">
        <is>
          <t>Maintenance</t>
        </is>
      </c>
      <c r="H36" s="503" t="n"/>
      <c r="I36" s="516" t="n"/>
      <c r="K36" s="416" t="inlineStr">
        <is>
          <t>Service Department</t>
        </is>
      </c>
      <c r="L36" s="65" t="n"/>
    </row>
    <row r="37">
      <c r="A37" s="514" t="inlineStr">
        <is>
          <t>Other costs (See Instructions)</t>
        </is>
      </c>
      <c r="B37" s="503" t="n"/>
      <c r="C37" s="393" t="n">
        <v>0</v>
      </c>
      <c r="D37" s="440" t="inlineStr">
        <is>
          <t>Total COGS Rental</t>
        </is>
      </c>
      <c r="E37" s="1" t="n"/>
      <c r="F37" s="517">
        <f>SUM(F34:F36)</f>
        <v/>
      </c>
      <c r="G37" s="435" t="inlineStr">
        <is>
          <t>Total COGS Rental</t>
        </is>
      </c>
      <c r="H37" s="1" t="n"/>
      <c r="I37" s="517">
        <f>SUM(I34:I36)</f>
        <v/>
      </c>
      <c r="K37" s="227" t="inlineStr">
        <is>
          <t>Service Calls per day</t>
        </is>
      </c>
      <c r="L37" s="371" t="n"/>
    </row>
    <row r="38" ht="15.75" customHeight="1" thickBot="1">
      <c r="A38" s="427" t="inlineStr">
        <is>
          <t>Total COGS Trucking</t>
        </is>
      </c>
      <c r="B38" s="518" t="n"/>
      <c r="C38" s="519">
        <f>SUM(C34:C37)</f>
        <v/>
      </c>
      <c r="D38" s="439" t="inlineStr">
        <is>
          <t># of Units in ST Rental Fleet</t>
        </is>
      </c>
      <c r="E38" s="1" t="n"/>
      <c r="F38" s="263" t="n">
        <v>440</v>
      </c>
      <c r="G38" s="430" t="inlineStr">
        <is>
          <t># of Units in LT Rental Fleet</t>
        </is>
      </c>
      <c r="H38" s="503" t="n"/>
      <c r="I38" s="123" t="n"/>
    </row>
    <row r="39" ht="16.5" customHeight="1" thickBot="1">
      <c r="D39" s="439" t="inlineStr">
        <is>
          <t>Acquisition Cost of ST Fleet</t>
        </is>
      </c>
      <c r="E39" s="1" t="n"/>
      <c r="F39" s="520" t="n"/>
      <c r="G39" s="432" t="inlineStr">
        <is>
          <t>Acquisition Cost of LT Fleet</t>
        </is>
      </c>
      <c r="H39" s="521" t="n"/>
      <c r="I39" s="522" t="n"/>
    </row>
    <row r="40" ht="17" customHeight="1" thickBot="1">
      <c r="D40" s="156" t="inlineStr">
        <is>
          <t># of units out on rental (end of month)</t>
        </is>
      </c>
      <c r="E40" s="157" t="n"/>
      <c r="F40" s="265">
        <f>F38*0.8</f>
        <v/>
      </c>
    </row>
  </sheetData>
  <mergeCells count="32">
    <mergeCell ref="G21:H21"/>
    <mergeCell ref="K30:L30"/>
    <mergeCell ref="D34:E34"/>
    <mergeCell ref="G27:H27"/>
    <mergeCell ref="A36:B36"/>
    <mergeCell ref="G36:H36"/>
    <mergeCell ref="G23:H23"/>
    <mergeCell ref="D36:E36"/>
    <mergeCell ref="G39:H39"/>
    <mergeCell ref="K29:L29"/>
    <mergeCell ref="G38:H38"/>
    <mergeCell ref="D35:E35"/>
    <mergeCell ref="A37:B37"/>
    <mergeCell ref="G37:H37"/>
    <mergeCell ref="G28:H28"/>
    <mergeCell ref="G34:H34"/>
    <mergeCell ref="A19:I19"/>
    <mergeCell ref="G24:H24"/>
    <mergeCell ref="A33:B33"/>
    <mergeCell ref="G33:H33"/>
    <mergeCell ref="D37:E37"/>
    <mergeCell ref="K27:L27"/>
    <mergeCell ref="D39:E39"/>
    <mergeCell ref="G35:H35"/>
    <mergeCell ref="A35:B35"/>
    <mergeCell ref="A38:B38"/>
    <mergeCell ref="D33:E33"/>
    <mergeCell ref="K28:L28"/>
    <mergeCell ref="D38:E38"/>
    <mergeCell ref="G31:H31"/>
    <mergeCell ref="G22:H22"/>
    <mergeCell ref="A34:B34"/>
  </mergeCells>
  <printOptions horizontalCentered="1" verticalCentered="1"/>
  <pageMargins left="0.7" right="0.7" top="0.75" bottom="0.75" header="0.3" footer="0.3"/>
  <pageSetup orientation="landscape" scale="47"/>
  <headerFooter>
    <oddHeader>&amp;C&amp;"Times New Roman,Regular"&amp;12 Currie Financial Composite Input Template_x000a_Material Handling Equipment&amp;R&amp;G</oddHeader>
    <oddFooter>&amp;C&amp;"BergamoSmCaps,Bold"&amp;9 &amp;K002060_x000a_www.curriemanagement.com</oddFooter>
    <evenHeader/>
    <evenFooter/>
    <firstHeader/>
    <firstFooter/>
  </headerFooter>
</worksheet>
</file>

<file path=xl/worksheets/sheet5.xml><?xml version="1.0" encoding="utf-8"?>
<worksheet xmlns="http://schemas.openxmlformats.org/spreadsheetml/2006/main">
  <sheetPr>
    <tabColor theme="8" tint="0.5999938962981048"/>
    <outlinePr summaryBelow="1" summaryRight="1"/>
    <pageSetUpPr fitToPage="1"/>
  </sheetPr>
  <dimension ref="A1:H31"/>
  <sheetViews>
    <sheetView view="pageBreakPreview" zoomScaleNormal="100" zoomScaleSheetLayoutView="100" workbookViewId="0">
      <selection activeCell="D25" sqref="D25"/>
    </sheetView>
  </sheetViews>
  <sheetFormatPr baseColWidth="10" defaultColWidth="9.1640625" defaultRowHeight="16"/>
  <cols>
    <col width="33.5" customWidth="1" style="22" min="1" max="1"/>
    <col width="15.1640625" customWidth="1" style="471" min="2" max="2"/>
    <col width="9.1640625" customWidth="1" style="22" min="3" max="3"/>
    <col width="33.83203125" customWidth="1" style="22" min="4" max="4"/>
    <col width="16.5" customWidth="1" style="471" min="5" max="5"/>
    <col width="13.5" customWidth="1" style="22" min="6" max="6"/>
    <col width="9.1640625" customWidth="1" style="22" min="7" max="7"/>
    <col width="13.33203125" bestFit="1" customWidth="1" style="22" min="8" max="8"/>
    <col width="9.1640625" customWidth="1" style="22" min="9" max="16384"/>
  </cols>
  <sheetData>
    <row r="1">
      <c r="A1" s="35" t="n"/>
      <c r="B1" s="523" t="n"/>
      <c r="C1" s="35" t="n"/>
      <c r="D1" s="35" t="n"/>
      <c r="E1" s="523" t="n"/>
    </row>
    <row r="2">
      <c r="A2" s="441" t="inlineStr">
        <is>
          <t>Balance Sheet</t>
        </is>
      </c>
      <c r="B2" s="1" t="n"/>
      <c r="C2" s="1" t="n"/>
      <c r="D2" s="1" t="n"/>
      <c r="E2" s="1" t="n"/>
    </row>
    <row r="3">
      <c r="A3" s="434" t="n"/>
      <c r="B3" s="524" t="n"/>
      <c r="C3" s="8" t="n"/>
      <c r="D3" s="434" t="n"/>
      <c r="E3" s="524" t="n"/>
    </row>
    <row r="4">
      <c r="A4" s="9" t="inlineStr">
        <is>
          <t>ASSETS</t>
        </is>
      </c>
      <c r="B4" s="525" t="n"/>
      <c r="C4" s="36" t="n"/>
      <c r="D4" s="9" t="inlineStr">
        <is>
          <t>LIABILITIES</t>
        </is>
      </c>
      <c r="E4" s="525" t="n"/>
    </row>
    <row r="5">
      <c r="A5" s="10" t="inlineStr">
        <is>
          <t>Current Assets</t>
        </is>
      </c>
      <c r="B5" s="526" t="n"/>
      <c r="C5" s="9" t="n"/>
      <c r="D5" s="10" t="inlineStr">
        <is>
          <t>Current Liabilities</t>
        </is>
      </c>
      <c r="E5" s="526" t="n"/>
    </row>
    <row r="6">
      <c r="A6" s="434" t="inlineStr">
        <is>
          <t xml:space="preserve">  Cash</t>
        </is>
      </c>
      <c r="B6" s="527" t="n">
        <v>919273</v>
      </c>
      <c r="C6" s="434" t="n"/>
      <c r="D6" s="10" t="n"/>
      <c r="E6" s="526" t="n"/>
    </row>
    <row r="7">
      <c r="A7" s="434" t="inlineStr">
        <is>
          <t xml:space="preserve">  Trade Accounts Receivable</t>
        </is>
      </c>
      <c r="B7" s="527" t="n">
        <v>1850797</v>
      </c>
      <c r="C7" s="434" t="n"/>
      <c r="D7" s="434" t="inlineStr">
        <is>
          <t>A/P Primary Brand</t>
        </is>
      </c>
      <c r="E7" s="527" t="n">
        <v>417887</v>
      </c>
    </row>
    <row r="8">
      <c r="A8" s="434" t="inlineStr">
        <is>
          <t xml:space="preserve">  All Other Accounts Receivable</t>
        </is>
      </c>
      <c r="B8" s="527">
        <f>8321-16280</f>
        <v/>
      </c>
      <c r="C8" s="434" t="n"/>
      <c r="D8" s="434" t="inlineStr">
        <is>
          <t>A/P Other</t>
        </is>
      </c>
      <c r="E8" s="527" t="n"/>
    </row>
    <row r="9">
      <c r="A9" s="434" t="n"/>
      <c r="B9" s="528" t="n"/>
      <c r="C9" s="434" t="n"/>
      <c r="D9" s="434" t="inlineStr">
        <is>
          <t>Notes Payable - due within 1 year</t>
        </is>
      </c>
      <c r="E9" s="527" t="n">
        <v>127123</v>
      </c>
    </row>
    <row r="10">
      <c r="A10" s="37" t="inlineStr">
        <is>
          <t>Inventory</t>
        </is>
      </c>
      <c r="B10" s="528" t="n"/>
      <c r="C10" s="434" t="n"/>
      <c r="D10" s="434" t="inlineStr">
        <is>
          <t>Short Term Rental Finance</t>
        </is>
      </c>
      <c r="E10" s="527" t="n"/>
    </row>
    <row r="11">
      <c r="A11" s="271" t="inlineStr">
        <is>
          <t>New Equipment, primary brand</t>
        </is>
      </c>
      <c r="B11" s="527" t="n">
        <v>862817.87</v>
      </c>
      <c r="C11" s="434" t="n"/>
      <c r="D11" s="434" t="inlineStr">
        <is>
          <t>Used Equipment Financing</t>
        </is>
      </c>
      <c r="E11" s="527" t="n"/>
      <c r="H11" s="471" t="n"/>
    </row>
    <row r="12">
      <c r="A12" s="271" t="inlineStr">
        <is>
          <t>New Equipment, other brand</t>
        </is>
      </c>
      <c r="B12" s="527" t="n"/>
      <c r="C12" s="434" t="n"/>
      <c r="D12" s="434" t="inlineStr">
        <is>
          <t>Other Current Liabilities</t>
        </is>
      </c>
      <c r="E12" s="527">
        <f>716262+19652+48403+21816</f>
        <v/>
      </c>
    </row>
    <row r="13">
      <c r="A13" s="271" t="inlineStr">
        <is>
          <t>New Allied Inventory</t>
        </is>
      </c>
      <c r="B13" s="527" t="n">
        <v>6869.49</v>
      </c>
      <c r="C13" s="434" t="n"/>
      <c r="D13" s="37" t="inlineStr">
        <is>
          <t xml:space="preserve">       Total Current Liabilities</t>
        </is>
      </c>
      <c r="E13" s="528">
        <f>SUM(E7:E12)</f>
        <v/>
      </c>
    </row>
    <row r="14">
      <c r="A14" s="271" t="inlineStr">
        <is>
          <t>Other New Equipment</t>
        </is>
      </c>
      <c r="B14" s="527" t="n"/>
      <c r="C14" s="434" t="n"/>
      <c r="D14" s="37" t="n"/>
      <c r="E14" s="528" t="n"/>
    </row>
    <row r="15">
      <c r="A15" s="271" t="inlineStr">
        <is>
          <t>Used Equipment Inventory</t>
        </is>
      </c>
      <c r="B15" s="527" t="n">
        <v>179137.27</v>
      </c>
      <c r="C15" s="434" t="n"/>
      <c r="D15" s="434" t="inlineStr">
        <is>
          <t>Long Term notes Payable</t>
        </is>
      </c>
      <c r="E15" s="527" t="n">
        <v>6709519</v>
      </c>
    </row>
    <row r="16" customFormat="1" s="38">
      <c r="A16" s="271" t="inlineStr">
        <is>
          <t>Parts Inventory</t>
        </is>
      </c>
      <c r="B16" s="527" t="n">
        <v>829308.9</v>
      </c>
      <c r="C16" s="434" t="n"/>
      <c r="D16" s="434" t="inlineStr">
        <is>
          <t>Loans from Stockholders</t>
        </is>
      </c>
      <c r="E16" s="527" t="n"/>
    </row>
    <row r="17">
      <c r="A17" s="271" t="inlineStr">
        <is>
          <t>Battery Inventory</t>
        </is>
      </c>
      <c r="B17" s="527" t="n">
        <v>104791.49</v>
      </c>
      <c r="C17" s="434" t="n"/>
      <c r="D17" s="434" t="inlineStr">
        <is>
          <t>LT Rental Fleet Financing</t>
        </is>
      </c>
      <c r="E17" s="527" t="n"/>
    </row>
    <row r="18">
      <c r="A18" s="271" t="inlineStr">
        <is>
          <t>Other Inventory</t>
        </is>
      </c>
      <c r="B18" s="527">
        <f>-4000-7613.6-61378.77</f>
        <v/>
      </c>
      <c r="C18" s="434" t="n"/>
      <c r="D18" s="434" t="inlineStr">
        <is>
          <t>Other Long Term Debt</t>
        </is>
      </c>
      <c r="E18" s="527" t="n"/>
    </row>
    <row r="19">
      <c r="A19" s="21" t="inlineStr">
        <is>
          <t xml:space="preserve">    Total Inventories</t>
        </is>
      </c>
      <c r="B19" s="528">
        <f>SUM(B11:B18)</f>
        <v/>
      </c>
      <c r="C19" s="434" t="n"/>
      <c r="D19" s="37" t="inlineStr">
        <is>
          <t xml:space="preserve">       Total LT Liabilities</t>
        </is>
      </c>
      <c r="E19" s="528">
        <f>SUM(E15:E18)</f>
        <v/>
      </c>
    </row>
    <row r="20">
      <c r="A20" s="21" t="n"/>
      <c r="B20" s="528" t="n"/>
      <c r="C20" s="434" t="n"/>
      <c r="D20" s="37" t="n"/>
      <c r="E20" s="528" t="n"/>
    </row>
    <row r="21">
      <c r="A21" s="434" t="inlineStr">
        <is>
          <t>WIP</t>
        </is>
      </c>
      <c r="B21" s="529" t="n">
        <v>154585</v>
      </c>
      <c r="C21" s="434" t="n"/>
      <c r="D21" s="37" t="n"/>
      <c r="E21" s="528" t="n"/>
    </row>
    <row r="22" ht="15.75" customHeight="1">
      <c r="A22" s="21" t="n"/>
      <c r="B22" s="528" t="n"/>
      <c r="C22" s="434" t="n"/>
      <c r="D22" s="37" t="n"/>
      <c r="E22" s="528" t="n"/>
    </row>
    <row r="23">
      <c r="A23" s="434" t="inlineStr">
        <is>
          <t>Other Current Assets</t>
        </is>
      </c>
      <c r="B23" s="527">
        <f>48886.08+86948+3671.45+20100</f>
        <v/>
      </c>
      <c r="C23" s="434" t="n"/>
      <c r="D23" s="434" t="inlineStr">
        <is>
          <t>Other Liabilities</t>
        </is>
      </c>
      <c r="E23" s="527">
        <f>-159450+60853</f>
        <v/>
      </c>
    </row>
    <row r="24">
      <c r="A24" s="37" t="inlineStr">
        <is>
          <t xml:space="preserve">          Total Current Assets</t>
        </is>
      </c>
      <c r="B24" s="528">
        <f>B6+B7+B8+B19+B23+B21</f>
        <v/>
      </c>
      <c r="D24" s="434" t="inlineStr">
        <is>
          <t>Total Liabilities</t>
        </is>
      </c>
      <c r="E24" s="524">
        <f>E13+E19+E23</f>
        <v/>
      </c>
    </row>
    <row r="25">
      <c r="A25" s="434" t="n"/>
      <c r="B25" s="524" t="n"/>
      <c r="D25" s="37" t="n"/>
      <c r="E25" s="528" t="n"/>
      <c r="F25" s="97" t="n"/>
      <c r="H25" s="471" t="n"/>
    </row>
    <row r="26">
      <c r="A26" s="37" t="inlineStr">
        <is>
          <t xml:space="preserve">  Fixed Assets</t>
        </is>
      </c>
      <c r="B26" s="524" t="n"/>
      <c r="D26" s="37" t="inlineStr">
        <is>
          <t>Net Worth/Owner Equity</t>
        </is>
      </c>
      <c r="E26" s="528" t="n"/>
    </row>
    <row r="27">
      <c r="A27" s="271" t="inlineStr">
        <is>
          <t xml:space="preserve">  Rental Fleet</t>
        </is>
      </c>
      <c r="B27" s="527" t="n">
        <v>4439391</v>
      </c>
      <c r="D27" s="10" t="inlineStr">
        <is>
          <t>Capital Stock</t>
        </is>
      </c>
      <c r="E27" s="527">
        <f>-#REF!-#REF!-#REF!</f>
        <v/>
      </c>
    </row>
    <row r="28">
      <c r="A28" s="271" t="inlineStr">
        <is>
          <t xml:space="preserve">  Other Long Term or Fixed Assets</t>
        </is>
      </c>
      <c r="B28" s="527">
        <f>5551769-4439391</f>
        <v/>
      </c>
      <c r="D28" s="10" t="inlineStr">
        <is>
          <t>Retained Earnings</t>
        </is>
      </c>
      <c r="E28" s="527" t="n">
        <v>4233644</v>
      </c>
    </row>
    <row r="29">
      <c r="A29" s="37" t="inlineStr">
        <is>
          <t>Other Assets</t>
        </is>
      </c>
      <c r="B29" s="527" t="n">
        <v>1691206</v>
      </c>
      <c r="D29" s="104" t="inlineStr">
        <is>
          <t>Total Net Worth</t>
        </is>
      </c>
      <c r="E29" s="524">
        <f>SUM(E27:E28)</f>
        <v/>
      </c>
      <c r="F29" s="97" t="n"/>
    </row>
    <row r="30" ht="17" customHeight="1" thickBot="1">
      <c r="A30" s="10" t="inlineStr">
        <is>
          <t>Total Assets</t>
        </is>
      </c>
      <c r="B30" s="530">
        <f>B24+B27+B28+B29</f>
        <v/>
      </c>
      <c r="D30" s="10" t="inlineStr">
        <is>
          <t>Total Liabilities &amp; Net Worth</t>
        </is>
      </c>
      <c r="E30" s="530">
        <f>E24+E29</f>
        <v/>
      </c>
    </row>
    <row r="31" ht="17" customHeight="1" thickTop="1">
      <c r="B31" s="528" t="n"/>
      <c r="D31" s="434" t="n"/>
      <c r="E31" s="531">
        <f>IF(E30=B30,"","Not Balanced")</f>
        <v/>
      </c>
    </row>
  </sheetData>
  <mergeCells count="1">
    <mergeCell ref="A2:E2"/>
  </mergeCells>
  <printOptions horizontalCentered="1" verticalCentered="1"/>
  <pageMargins left="0.7" right="0.7" top="0.75" bottom="0.75" header="0.3" footer="0.3"/>
  <pageSetup orientation="landscape"/>
  <headerFooter>
    <oddHeader>&amp;C&amp;"-,Regular"&amp;11 Currie Financial Composite Input Template_x000a_Material Handling Equipment&amp;R&amp;G</oddHeader>
    <oddFooter>&amp;C&amp;"BergamoSmCaps,Bold"&amp;9 &amp;K002060www.curriemanagement.com</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52"/>
  <sheetViews>
    <sheetView topLeftCell="A9" zoomScale="75" zoomScaleNormal="75" workbookViewId="0">
      <selection activeCell="H30" sqref="H30"/>
    </sheetView>
  </sheetViews>
  <sheetFormatPr baseColWidth="10" defaultColWidth="8.83203125" defaultRowHeight="15"/>
  <cols>
    <col width="16.1640625" customWidth="1" style="3" min="1" max="1"/>
    <col width="12.83203125" customWidth="1" style="532" min="2" max="2"/>
    <col width="8.6640625" bestFit="1" customWidth="1" style="533" min="3" max="3"/>
    <col width="13.33203125" customWidth="1" style="532" min="4" max="4"/>
    <col width="8.6640625" bestFit="1" customWidth="1" style="533" min="5" max="5"/>
    <col width="11.83203125" customWidth="1" style="532" min="6" max="6"/>
    <col width="8.83203125" bestFit="1" customWidth="1" style="533" min="7" max="7"/>
    <col width="12.83203125" customWidth="1" style="532" min="8" max="8"/>
    <col width="8.83203125" bestFit="1" customWidth="1" style="533" min="9" max="9"/>
    <col width="12.83203125" customWidth="1" style="532" min="10" max="10"/>
    <col width="8.83203125" bestFit="1" customWidth="1" style="533" min="11" max="11"/>
    <col width="12.83203125" customWidth="1" style="532" min="12" max="12"/>
    <col width="8.83203125" bestFit="1" customWidth="1" style="533" min="13" max="13"/>
    <col width="12.6640625" bestFit="1" customWidth="1" style="532" min="14" max="14"/>
    <col width="9" bestFit="1" customWidth="1" style="533" min="15" max="15"/>
    <col width="16.33203125" customWidth="1" style="532" min="16" max="16"/>
    <col width="9" bestFit="1" customWidth="1" style="533" min="17" max="17"/>
    <col width="9.1640625" customWidth="1" style="1" min="18" max="18"/>
    <col width="11.5" bestFit="1" customWidth="1" style="1" min="19" max="19"/>
    <col width="9.1640625" customWidth="1" style="1" min="20" max="260"/>
    <col width="16.1640625" customWidth="1" style="1" min="261" max="261"/>
    <col width="12.83203125" customWidth="1" style="1" min="262" max="262"/>
    <col width="8.6640625" bestFit="1" customWidth="1" style="1" min="263" max="263"/>
    <col width="13.33203125" customWidth="1" style="1" min="264" max="264"/>
    <col width="8.6640625" bestFit="1" customWidth="1" style="1" min="265" max="265"/>
    <col width="11.83203125" customWidth="1" style="1" min="266" max="266"/>
    <col width="8.83203125" bestFit="1" customWidth="1" style="1" min="267" max="267"/>
    <col width="12.83203125" customWidth="1" style="1" min="268" max="268"/>
    <col width="8.83203125" bestFit="1" customWidth="1" style="1" min="269" max="269"/>
    <col width="12.6640625" bestFit="1" customWidth="1" style="1" min="270" max="270"/>
    <col width="9" bestFit="1" customWidth="1" style="1" min="271" max="271"/>
    <col width="13" customWidth="1" style="1" min="272" max="272"/>
    <col width="9" bestFit="1" customWidth="1" style="1" min="273" max="273"/>
    <col width="9.1640625" customWidth="1" style="1" min="274" max="516"/>
    <col width="16.1640625" customWidth="1" style="1" min="517" max="517"/>
    <col width="12.83203125" customWidth="1" style="1" min="518" max="518"/>
    <col width="8.6640625" bestFit="1" customWidth="1" style="1" min="519" max="519"/>
    <col width="13.33203125" customWidth="1" style="1" min="520" max="520"/>
    <col width="8.6640625" bestFit="1" customWidth="1" style="1" min="521" max="521"/>
    <col width="11.83203125" customWidth="1" style="1" min="522" max="522"/>
    <col width="8.83203125" bestFit="1" customWidth="1" style="1" min="523" max="523"/>
    <col width="12.83203125" customWidth="1" style="1" min="524" max="524"/>
    <col width="8.83203125" bestFit="1" customWidth="1" style="1" min="525" max="525"/>
    <col width="12.6640625" bestFit="1" customWidth="1" style="1" min="526" max="526"/>
    <col width="9" bestFit="1" customWidth="1" style="1" min="527" max="527"/>
    <col width="13" customWidth="1" style="1" min="528" max="528"/>
    <col width="9" bestFit="1" customWidth="1" style="1" min="529" max="529"/>
    <col width="9.1640625" customWidth="1" style="1" min="530" max="772"/>
    <col width="16.1640625" customWidth="1" style="1" min="773" max="773"/>
    <col width="12.83203125" customWidth="1" style="1" min="774" max="774"/>
    <col width="8.6640625" bestFit="1" customWidth="1" style="1" min="775" max="775"/>
    <col width="13.33203125" customWidth="1" style="1" min="776" max="776"/>
    <col width="8.6640625" bestFit="1" customWidth="1" style="1" min="777" max="777"/>
    <col width="11.83203125" customWidth="1" style="1" min="778" max="778"/>
    <col width="8.83203125" bestFit="1" customWidth="1" style="1" min="779" max="779"/>
    <col width="12.83203125" customWidth="1" style="1" min="780" max="780"/>
    <col width="8.83203125" bestFit="1" customWidth="1" style="1" min="781" max="781"/>
    <col width="12.6640625" bestFit="1" customWidth="1" style="1" min="782" max="782"/>
    <col width="9" bestFit="1" customWidth="1" style="1" min="783" max="783"/>
    <col width="13" customWidth="1" style="1" min="784" max="784"/>
    <col width="9" bestFit="1" customWidth="1" style="1" min="785" max="785"/>
    <col width="9.1640625" customWidth="1" style="1" min="786" max="1028"/>
    <col width="16.1640625" customWidth="1" style="1" min="1029" max="1029"/>
    <col width="12.83203125" customWidth="1" style="1" min="1030" max="1030"/>
    <col width="8.6640625" bestFit="1" customWidth="1" style="1" min="1031" max="1031"/>
    <col width="13.33203125" customWidth="1" style="1" min="1032" max="1032"/>
    <col width="8.6640625" bestFit="1" customWidth="1" style="1" min="1033" max="1033"/>
    <col width="11.83203125" customWidth="1" style="1" min="1034" max="1034"/>
    <col width="8.83203125" bestFit="1" customWidth="1" style="1" min="1035" max="1035"/>
    <col width="12.83203125" customWidth="1" style="1" min="1036" max="1036"/>
    <col width="8.83203125" bestFit="1" customWidth="1" style="1" min="1037" max="1037"/>
    <col width="12.6640625" bestFit="1" customWidth="1" style="1" min="1038" max="1038"/>
    <col width="9" bestFit="1" customWidth="1" style="1" min="1039" max="1039"/>
    <col width="13" customWidth="1" style="1" min="1040" max="1040"/>
    <col width="9" bestFit="1" customWidth="1" style="1" min="1041" max="1041"/>
    <col width="9.1640625" customWidth="1" style="1" min="1042" max="1284"/>
    <col width="16.1640625" customWidth="1" style="1" min="1285" max="1285"/>
    <col width="12.83203125" customWidth="1" style="1" min="1286" max="1286"/>
    <col width="8.6640625" bestFit="1" customWidth="1" style="1" min="1287" max="1287"/>
    <col width="13.33203125" customWidth="1" style="1" min="1288" max="1288"/>
    <col width="8.6640625" bestFit="1" customWidth="1" style="1" min="1289" max="1289"/>
    <col width="11.83203125" customWidth="1" style="1" min="1290" max="1290"/>
    <col width="8.83203125" bestFit="1" customWidth="1" style="1" min="1291" max="1291"/>
    <col width="12.83203125" customWidth="1" style="1" min="1292" max="1292"/>
    <col width="8.83203125" bestFit="1" customWidth="1" style="1" min="1293" max="1293"/>
    <col width="12.6640625" bestFit="1" customWidth="1" style="1" min="1294" max="1294"/>
    <col width="9" bestFit="1" customWidth="1" style="1" min="1295" max="1295"/>
    <col width="13" customWidth="1" style="1" min="1296" max="1296"/>
    <col width="9" bestFit="1" customWidth="1" style="1" min="1297" max="1297"/>
    <col width="9.1640625" customWidth="1" style="1" min="1298" max="1540"/>
    <col width="16.1640625" customWidth="1" style="1" min="1541" max="1541"/>
    <col width="12.83203125" customWidth="1" style="1" min="1542" max="1542"/>
    <col width="8.6640625" bestFit="1" customWidth="1" style="1" min="1543" max="1543"/>
    <col width="13.33203125" customWidth="1" style="1" min="1544" max="1544"/>
    <col width="8.6640625" bestFit="1" customWidth="1" style="1" min="1545" max="1545"/>
    <col width="11.83203125" customWidth="1" style="1" min="1546" max="1546"/>
    <col width="8.83203125" bestFit="1" customWidth="1" style="1" min="1547" max="1547"/>
    <col width="12.83203125" customWidth="1" style="1" min="1548" max="1548"/>
    <col width="8.83203125" bestFit="1" customWidth="1" style="1" min="1549" max="1549"/>
    <col width="12.6640625" bestFit="1" customWidth="1" style="1" min="1550" max="1550"/>
    <col width="9" bestFit="1" customWidth="1" style="1" min="1551" max="1551"/>
    <col width="13" customWidth="1" style="1" min="1552" max="1552"/>
    <col width="9" bestFit="1" customWidth="1" style="1" min="1553" max="1553"/>
    <col width="9.1640625" customWidth="1" style="1" min="1554" max="1796"/>
    <col width="16.1640625" customWidth="1" style="1" min="1797" max="1797"/>
    <col width="12.83203125" customWidth="1" style="1" min="1798" max="1798"/>
    <col width="8.6640625" bestFit="1" customWidth="1" style="1" min="1799" max="1799"/>
    <col width="13.33203125" customWidth="1" style="1" min="1800" max="1800"/>
    <col width="8.6640625" bestFit="1" customWidth="1" style="1" min="1801" max="1801"/>
    <col width="11.83203125" customWidth="1" style="1" min="1802" max="1802"/>
    <col width="8.83203125" bestFit="1" customWidth="1" style="1" min="1803" max="1803"/>
    <col width="12.83203125" customWidth="1" style="1" min="1804" max="1804"/>
    <col width="8.83203125" bestFit="1" customWidth="1" style="1" min="1805" max="1805"/>
    <col width="12.6640625" bestFit="1" customWidth="1" style="1" min="1806" max="1806"/>
    <col width="9" bestFit="1" customWidth="1" style="1" min="1807" max="1807"/>
    <col width="13" customWidth="1" style="1" min="1808" max="1808"/>
    <col width="9" bestFit="1" customWidth="1" style="1" min="1809" max="1809"/>
    <col width="9.1640625" customWidth="1" style="1" min="1810" max="2052"/>
    <col width="16.1640625" customWidth="1" style="1" min="2053" max="2053"/>
    <col width="12.83203125" customWidth="1" style="1" min="2054" max="2054"/>
    <col width="8.6640625" bestFit="1" customWidth="1" style="1" min="2055" max="2055"/>
    <col width="13.33203125" customWidth="1" style="1" min="2056" max="2056"/>
    <col width="8.6640625" bestFit="1" customWidth="1" style="1" min="2057" max="2057"/>
    <col width="11.83203125" customWidth="1" style="1" min="2058" max="2058"/>
    <col width="8.83203125" bestFit="1" customWidth="1" style="1" min="2059" max="2059"/>
    <col width="12.83203125" customWidth="1" style="1" min="2060" max="2060"/>
    <col width="8.83203125" bestFit="1" customWidth="1" style="1" min="2061" max="2061"/>
    <col width="12.6640625" bestFit="1" customWidth="1" style="1" min="2062" max="2062"/>
    <col width="9" bestFit="1" customWidth="1" style="1" min="2063" max="2063"/>
    <col width="13" customWidth="1" style="1" min="2064" max="2064"/>
    <col width="9" bestFit="1" customWidth="1" style="1" min="2065" max="2065"/>
    <col width="9.1640625" customWidth="1" style="1" min="2066" max="2308"/>
    <col width="16.1640625" customWidth="1" style="1" min="2309" max="2309"/>
    <col width="12.83203125" customWidth="1" style="1" min="2310" max="2310"/>
    <col width="8.6640625" bestFit="1" customWidth="1" style="1" min="2311" max="2311"/>
    <col width="13.33203125" customWidth="1" style="1" min="2312" max="2312"/>
    <col width="8.6640625" bestFit="1" customWidth="1" style="1" min="2313" max="2313"/>
    <col width="11.83203125" customWidth="1" style="1" min="2314" max="2314"/>
    <col width="8.83203125" bestFit="1" customWidth="1" style="1" min="2315" max="2315"/>
    <col width="12.83203125" customWidth="1" style="1" min="2316" max="2316"/>
    <col width="8.83203125" bestFit="1" customWidth="1" style="1" min="2317" max="2317"/>
    <col width="12.6640625" bestFit="1" customWidth="1" style="1" min="2318" max="2318"/>
    <col width="9" bestFit="1" customWidth="1" style="1" min="2319" max="2319"/>
    <col width="13" customWidth="1" style="1" min="2320" max="2320"/>
    <col width="9" bestFit="1" customWidth="1" style="1" min="2321" max="2321"/>
    <col width="9.1640625" customWidth="1" style="1" min="2322" max="2564"/>
    <col width="16.1640625" customWidth="1" style="1" min="2565" max="2565"/>
    <col width="12.83203125" customWidth="1" style="1" min="2566" max="2566"/>
    <col width="8.6640625" bestFit="1" customWidth="1" style="1" min="2567" max="2567"/>
    <col width="13.33203125" customWidth="1" style="1" min="2568" max="2568"/>
    <col width="8.6640625" bestFit="1" customWidth="1" style="1" min="2569" max="2569"/>
    <col width="11.83203125" customWidth="1" style="1" min="2570" max="2570"/>
    <col width="8.83203125" bestFit="1" customWidth="1" style="1" min="2571" max="2571"/>
    <col width="12.83203125" customWidth="1" style="1" min="2572" max="2572"/>
    <col width="8.83203125" bestFit="1" customWidth="1" style="1" min="2573" max="2573"/>
    <col width="12.6640625" bestFit="1" customWidth="1" style="1" min="2574" max="2574"/>
    <col width="9" bestFit="1" customWidth="1" style="1" min="2575" max="2575"/>
    <col width="13" customWidth="1" style="1" min="2576" max="2576"/>
    <col width="9" bestFit="1" customWidth="1" style="1" min="2577" max="2577"/>
    <col width="9.1640625" customWidth="1" style="1" min="2578" max="2820"/>
    <col width="16.1640625" customWidth="1" style="1" min="2821" max="2821"/>
    <col width="12.83203125" customWidth="1" style="1" min="2822" max="2822"/>
    <col width="8.6640625" bestFit="1" customWidth="1" style="1" min="2823" max="2823"/>
    <col width="13.33203125" customWidth="1" style="1" min="2824" max="2824"/>
    <col width="8.6640625" bestFit="1" customWidth="1" style="1" min="2825" max="2825"/>
    <col width="11.83203125" customWidth="1" style="1" min="2826" max="2826"/>
    <col width="8.83203125" bestFit="1" customWidth="1" style="1" min="2827" max="2827"/>
    <col width="12.83203125" customWidth="1" style="1" min="2828" max="2828"/>
    <col width="8.83203125" bestFit="1" customWidth="1" style="1" min="2829" max="2829"/>
    <col width="12.6640625" bestFit="1" customWidth="1" style="1" min="2830" max="2830"/>
    <col width="9" bestFit="1" customWidth="1" style="1" min="2831" max="2831"/>
    <col width="13" customWidth="1" style="1" min="2832" max="2832"/>
    <col width="9" bestFit="1" customWidth="1" style="1" min="2833" max="2833"/>
    <col width="9.1640625" customWidth="1" style="1" min="2834" max="3076"/>
    <col width="16.1640625" customWidth="1" style="1" min="3077" max="3077"/>
    <col width="12.83203125" customWidth="1" style="1" min="3078" max="3078"/>
    <col width="8.6640625" bestFit="1" customWidth="1" style="1" min="3079" max="3079"/>
    <col width="13.33203125" customWidth="1" style="1" min="3080" max="3080"/>
    <col width="8.6640625" bestFit="1" customWidth="1" style="1" min="3081" max="3081"/>
    <col width="11.83203125" customWidth="1" style="1" min="3082" max="3082"/>
    <col width="8.83203125" bestFit="1" customWidth="1" style="1" min="3083" max="3083"/>
    <col width="12.83203125" customWidth="1" style="1" min="3084" max="3084"/>
    <col width="8.83203125" bestFit="1" customWidth="1" style="1" min="3085" max="3085"/>
    <col width="12.6640625" bestFit="1" customWidth="1" style="1" min="3086" max="3086"/>
    <col width="9" bestFit="1" customWidth="1" style="1" min="3087" max="3087"/>
    <col width="13" customWidth="1" style="1" min="3088" max="3088"/>
    <col width="9" bestFit="1" customWidth="1" style="1" min="3089" max="3089"/>
    <col width="9.1640625" customWidth="1" style="1" min="3090" max="3332"/>
    <col width="16.1640625" customWidth="1" style="1" min="3333" max="3333"/>
    <col width="12.83203125" customWidth="1" style="1" min="3334" max="3334"/>
    <col width="8.6640625" bestFit="1" customWidth="1" style="1" min="3335" max="3335"/>
    <col width="13.33203125" customWidth="1" style="1" min="3336" max="3336"/>
    <col width="8.6640625" bestFit="1" customWidth="1" style="1" min="3337" max="3337"/>
    <col width="11.83203125" customWidth="1" style="1" min="3338" max="3338"/>
    <col width="8.83203125" bestFit="1" customWidth="1" style="1" min="3339" max="3339"/>
    <col width="12.83203125" customWidth="1" style="1" min="3340" max="3340"/>
    <col width="8.83203125" bestFit="1" customWidth="1" style="1" min="3341" max="3341"/>
    <col width="12.6640625" bestFit="1" customWidth="1" style="1" min="3342" max="3342"/>
    <col width="9" bestFit="1" customWidth="1" style="1" min="3343" max="3343"/>
    <col width="13" customWidth="1" style="1" min="3344" max="3344"/>
    <col width="9" bestFit="1" customWidth="1" style="1" min="3345" max="3345"/>
    <col width="9.1640625" customWidth="1" style="1" min="3346" max="3588"/>
    <col width="16.1640625" customWidth="1" style="1" min="3589" max="3589"/>
    <col width="12.83203125" customWidth="1" style="1" min="3590" max="3590"/>
    <col width="8.6640625" bestFit="1" customWidth="1" style="1" min="3591" max="3591"/>
    <col width="13.33203125" customWidth="1" style="1" min="3592" max="3592"/>
    <col width="8.6640625" bestFit="1" customWidth="1" style="1" min="3593" max="3593"/>
    <col width="11.83203125" customWidth="1" style="1" min="3594" max="3594"/>
    <col width="8.83203125" bestFit="1" customWidth="1" style="1" min="3595" max="3595"/>
    <col width="12.83203125" customWidth="1" style="1" min="3596" max="3596"/>
    <col width="8.83203125" bestFit="1" customWidth="1" style="1" min="3597" max="3597"/>
    <col width="12.6640625" bestFit="1" customWidth="1" style="1" min="3598" max="3598"/>
    <col width="9" bestFit="1" customWidth="1" style="1" min="3599" max="3599"/>
    <col width="13" customWidth="1" style="1" min="3600" max="3600"/>
    <col width="9" bestFit="1" customWidth="1" style="1" min="3601" max="3601"/>
    <col width="9.1640625" customWidth="1" style="1" min="3602" max="3844"/>
    <col width="16.1640625" customWidth="1" style="1" min="3845" max="3845"/>
    <col width="12.83203125" customWidth="1" style="1" min="3846" max="3846"/>
    <col width="8.6640625" bestFit="1" customWidth="1" style="1" min="3847" max="3847"/>
    <col width="13.33203125" customWidth="1" style="1" min="3848" max="3848"/>
    <col width="8.6640625" bestFit="1" customWidth="1" style="1" min="3849" max="3849"/>
    <col width="11.83203125" customWidth="1" style="1" min="3850" max="3850"/>
    <col width="8.83203125" bestFit="1" customWidth="1" style="1" min="3851" max="3851"/>
    <col width="12.83203125" customWidth="1" style="1" min="3852" max="3852"/>
    <col width="8.83203125" bestFit="1" customWidth="1" style="1" min="3853" max="3853"/>
    <col width="12.6640625" bestFit="1" customWidth="1" style="1" min="3854" max="3854"/>
    <col width="9" bestFit="1" customWidth="1" style="1" min="3855" max="3855"/>
    <col width="13" customWidth="1" style="1" min="3856" max="3856"/>
    <col width="9" bestFit="1" customWidth="1" style="1" min="3857" max="3857"/>
    <col width="9.1640625" customWidth="1" style="1" min="3858" max="4100"/>
    <col width="16.1640625" customWidth="1" style="1" min="4101" max="4101"/>
    <col width="12.83203125" customWidth="1" style="1" min="4102" max="4102"/>
    <col width="8.6640625" bestFit="1" customWidth="1" style="1" min="4103" max="4103"/>
    <col width="13.33203125" customWidth="1" style="1" min="4104" max="4104"/>
    <col width="8.6640625" bestFit="1" customWidth="1" style="1" min="4105" max="4105"/>
    <col width="11.83203125" customWidth="1" style="1" min="4106" max="4106"/>
    <col width="8.83203125" bestFit="1" customWidth="1" style="1" min="4107" max="4107"/>
    <col width="12.83203125" customWidth="1" style="1" min="4108" max="4108"/>
    <col width="8.83203125" bestFit="1" customWidth="1" style="1" min="4109" max="4109"/>
    <col width="12.6640625" bestFit="1" customWidth="1" style="1" min="4110" max="4110"/>
    <col width="9" bestFit="1" customWidth="1" style="1" min="4111" max="4111"/>
    <col width="13" customWidth="1" style="1" min="4112" max="4112"/>
    <col width="9" bestFit="1" customWidth="1" style="1" min="4113" max="4113"/>
    <col width="9.1640625" customWidth="1" style="1" min="4114" max="4356"/>
    <col width="16.1640625" customWidth="1" style="1" min="4357" max="4357"/>
    <col width="12.83203125" customWidth="1" style="1" min="4358" max="4358"/>
    <col width="8.6640625" bestFit="1" customWidth="1" style="1" min="4359" max="4359"/>
    <col width="13.33203125" customWidth="1" style="1" min="4360" max="4360"/>
    <col width="8.6640625" bestFit="1" customWidth="1" style="1" min="4361" max="4361"/>
    <col width="11.83203125" customWidth="1" style="1" min="4362" max="4362"/>
    <col width="8.83203125" bestFit="1" customWidth="1" style="1" min="4363" max="4363"/>
    <col width="12.83203125" customWidth="1" style="1" min="4364" max="4364"/>
    <col width="8.83203125" bestFit="1" customWidth="1" style="1" min="4365" max="4365"/>
    <col width="12.6640625" bestFit="1" customWidth="1" style="1" min="4366" max="4366"/>
    <col width="9" bestFit="1" customWidth="1" style="1" min="4367" max="4367"/>
    <col width="13" customWidth="1" style="1" min="4368" max="4368"/>
    <col width="9" bestFit="1" customWidth="1" style="1" min="4369" max="4369"/>
    <col width="9.1640625" customWidth="1" style="1" min="4370" max="4612"/>
    <col width="16.1640625" customWidth="1" style="1" min="4613" max="4613"/>
    <col width="12.83203125" customWidth="1" style="1" min="4614" max="4614"/>
    <col width="8.6640625" bestFit="1" customWidth="1" style="1" min="4615" max="4615"/>
    <col width="13.33203125" customWidth="1" style="1" min="4616" max="4616"/>
    <col width="8.6640625" bestFit="1" customWidth="1" style="1" min="4617" max="4617"/>
    <col width="11.83203125" customWidth="1" style="1" min="4618" max="4618"/>
    <col width="8.83203125" bestFit="1" customWidth="1" style="1" min="4619" max="4619"/>
    <col width="12.83203125" customWidth="1" style="1" min="4620" max="4620"/>
    <col width="8.83203125" bestFit="1" customWidth="1" style="1" min="4621" max="4621"/>
    <col width="12.6640625" bestFit="1" customWidth="1" style="1" min="4622" max="4622"/>
    <col width="9" bestFit="1" customWidth="1" style="1" min="4623" max="4623"/>
    <col width="13" customWidth="1" style="1" min="4624" max="4624"/>
    <col width="9" bestFit="1" customWidth="1" style="1" min="4625" max="4625"/>
    <col width="9.1640625" customWidth="1" style="1" min="4626" max="4868"/>
    <col width="16.1640625" customWidth="1" style="1" min="4869" max="4869"/>
    <col width="12.83203125" customWidth="1" style="1" min="4870" max="4870"/>
    <col width="8.6640625" bestFit="1" customWidth="1" style="1" min="4871" max="4871"/>
    <col width="13.33203125" customWidth="1" style="1" min="4872" max="4872"/>
    <col width="8.6640625" bestFit="1" customWidth="1" style="1" min="4873" max="4873"/>
    <col width="11.83203125" customWidth="1" style="1" min="4874" max="4874"/>
    <col width="8.83203125" bestFit="1" customWidth="1" style="1" min="4875" max="4875"/>
    <col width="12.83203125" customWidth="1" style="1" min="4876" max="4876"/>
    <col width="8.83203125" bestFit="1" customWidth="1" style="1" min="4877" max="4877"/>
    <col width="12.6640625" bestFit="1" customWidth="1" style="1" min="4878" max="4878"/>
    <col width="9" bestFit="1" customWidth="1" style="1" min="4879" max="4879"/>
    <col width="13" customWidth="1" style="1" min="4880" max="4880"/>
    <col width="9" bestFit="1" customWidth="1" style="1" min="4881" max="4881"/>
    <col width="9.1640625" customWidth="1" style="1" min="4882" max="5124"/>
    <col width="16.1640625" customWidth="1" style="1" min="5125" max="5125"/>
    <col width="12.83203125" customWidth="1" style="1" min="5126" max="5126"/>
    <col width="8.6640625" bestFit="1" customWidth="1" style="1" min="5127" max="5127"/>
    <col width="13.33203125" customWidth="1" style="1" min="5128" max="5128"/>
    <col width="8.6640625" bestFit="1" customWidth="1" style="1" min="5129" max="5129"/>
    <col width="11.83203125" customWidth="1" style="1" min="5130" max="5130"/>
    <col width="8.83203125" bestFit="1" customWidth="1" style="1" min="5131" max="5131"/>
    <col width="12.83203125" customWidth="1" style="1" min="5132" max="5132"/>
    <col width="8.83203125" bestFit="1" customWidth="1" style="1" min="5133" max="5133"/>
    <col width="12.6640625" bestFit="1" customWidth="1" style="1" min="5134" max="5134"/>
    <col width="9" bestFit="1" customWidth="1" style="1" min="5135" max="5135"/>
    <col width="13" customWidth="1" style="1" min="5136" max="5136"/>
    <col width="9" bestFit="1" customWidth="1" style="1" min="5137" max="5137"/>
    <col width="9.1640625" customWidth="1" style="1" min="5138" max="5380"/>
    <col width="16.1640625" customWidth="1" style="1" min="5381" max="5381"/>
    <col width="12.83203125" customWidth="1" style="1" min="5382" max="5382"/>
    <col width="8.6640625" bestFit="1" customWidth="1" style="1" min="5383" max="5383"/>
    <col width="13.33203125" customWidth="1" style="1" min="5384" max="5384"/>
    <col width="8.6640625" bestFit="1" customWidth="1" style="1" min="5385" max="5385"/>
    <col width="11.83203125" customWidth="1" style="1" min="5386" max="5386"/>
    <col width="8.83203125" bestFit="1" customWidth="1" style="1" min="5387" max="5387"/>
    <col width="12.83203125" customWidth="1" style="1" min="5388" max="5388"/>
    <col width="8.83203125" bestFit="1" customWidth="1" style="1" min="5389" max="5389"/>
    <col width="12.6640625" bestFit="1" customWidth="1" style="1" min="5390" max="5390"/>
    <col width="9" bestFit="1" customWidth="1" style="1" min="5391" max="5391"/>
    <col width="13" customWidth="1" style="1" min="5392" max="5392"/>
    <col width="9" bestFit="1" customWidth="1" style="1" min="5393" max="5393"/>
    <col width="9.1640625" customWidth="1" style="1" min="5394" max="5636"/>
    <col width="16.1640625" customWidth="1" style="1" min="5637" max="5637"/>
    <col width="12.83203125" customWidth="1" style="1" min="5638" max="5638"/>
    <col width="8.6640625" bestFit="1" customWidth="1" style="1" min="5639" max="5639"/>
    <col width="13.33203125" customWidth="1" style="1" min="5640" max="5640"/>
    <col width="8.6640625" bestFit="1" customWidth="1" style="1" min="5641" max="5641"/>
    <col width="11.83203125" customWidth="1" style="1" min="5642" max="5642"/>
    <col width="8.83203125" bestFit="1" customWidth="1" style="1" min="5643" max="5643"/>
    <col width="12.83203125" customWidth="1" style="1" min="5644" max="5644"/>
    <col width="8.83203125" bestFit="1" customWidth="1" style="1" min="5645" max="5645"/>
    <col width="12.6640625" bestFit="1" customWidth="1" style="1" min="5646" max="5646"/>
    <col width="9" bestFit="1" customWidth="1" style="1" min="5647" max="5647"/>
    <col width="13" customWidth="1" style="1" min="5648" max="5648"/>
    <col width="9" bestFit="1" customWidth="1" style="1" min="5649" max="5649"/>
    <col width="9.1640625" customWidth="1" style="1" min="5650" max="5892"/>
    <col width="16.1640625" customWidth="1" style="1" min="5893" max="5893"/>
    <col width="12.83203125" customWidth="1" style="1" min="5894" max="5894"/>
    <col width="8.6640625" bestFit="1" customWidth="1" style="1" min="5895" max="5895"/>
    <col width="13.33203125" customWidth="1" style="1" min="5896" max="5896"/>
    <col width="8.6640625" bestFit="1" customWidth="1" style="1" min="5897" max="5897"/>
    <col width="11.83203125" customWidth="1" style="1" min="5898" max="5898"/>
    <col width="8.83203125" bestFit="1" customWidth="1" style="1" min="5899" max="5899"/>
    <col width="12.83203125" customWidth="1" style="1" min="5900" max="5900"/>
    <col width="8.83203125" bestFit="1" customWidth="1" style="1" min="5901" max="5901"/>
    <col width="12.6640625" bestFit="1" customWidth="1" style="1" min="5902" max="5902"/>
    <col width="9" bestFit="1" customWidth="1" style="1" min="5903" max="5903"/>
    <col width="13" customWidth="1" style="1" min="5904" max="5904"/>
    <col width="9" bestFit="1" customWidth="1" style="1" min="5905" max="5905"/>
    <col width="9.1640625" customWidth="1" style="1" min="5906" max="6148"/>
    <col width="16.1640625" customWidth="1" style="1" min="6149" max="6149"/>
    <col width="12.83203125" customWidth="1" style="1" min="6150" max="6150"/>
    <col width="8.6640625" bestFit="1" customWidth="1" style="1" min="6151" max="6151"/>
    <col width="13.33203125" customWidth="1" style="1" min="6152" max="6152"/>
    <col width="8.6640625" bestFit="1" customWidth="1" style="1" min="6153" max="6153"/>
    <col width="11.83203125" customWidth="1" style="1" min="6154" max="6154"/>
    <col width="8.83203125" bestFit="1" customWidth="1" style="1" min="6155" max="6155"/>
    <col width="12.83203125" customWidth="1" style="1" min="6156" max="6156"/>
    <col width="8.83203125" bestFit="1" customWidth="1" style="1" min="6157" max="6157"/>
    <col width="12.6640625" bestFit="1" customWidth="1" style="1" min="6158" max="6158"/>
    <col width="9" bestFit="1" customWidth="1" style="1" min="6159" max="6159"/>
    <col width="13" customWidth="1" style="1" min="6160" max="6160"/>
    <col width="9" bestFit="1" customWidth="1" style="1" min="6161" max="6161"/>
    <col width="9.1640625" customWidth="1" style="1" min="6162" max="6404"/>
    <col width="16.1640625" customWidth="1" style="1" min="6405" max="6405"/>
    <col width="12.83203125" customWidth="1" style="1" min="6406" max="6406"/>
    <col width="8.6640625" bestFit="1" customWidth="1" style="1" min="6407" max="6407"/>
    <col width="13.33203125" customWidth="1" style="1" min="6408" max="6408"/>
    <col width="8.6640625" bestFit="1" customWidth="1" style="1" min="6409" max="6409"/>
    <col width="11.83203125" customWidth="1" style="1" min="6410" max="6410"/>
    <col width="8.83203125" bestFit="1" customWidth="1" style="1" min="6411" max="6411"/>
    <col width="12.83203125" customWidth="1" style="1" min="6412" max="6412"/>
    <col width="8.83203125" bestFit="1" customWidth="1" style="1" min="6413" max="6413"/>
    <col width="12.6640625" bestFit="1" customWidth="1" style="1" min="6414" max="6414"/>
    <col width="9" bestFit="1" customWidth="1" style="1" min="6415" max="6415"/>
    <col width="13" customWidth="1" style="1" min="6416" max="6416"/>
    <col width="9" bestFit="1" customWidth="1" style="1" min="6417" max="6417"/>
    <col width="9.1640625" customWidth="1" style="1" min="6418" max="6660"/>
    <col width="16.1640625" customWidth="1" style="1" min="6661" max="6661"/>
    <col width="12.83203125" customWidth="1" style="1" min="6662" max="6662"/>
    <col width="8.6640625" bestFit="1" customWidth="1" style="1" min="6663" max="6663"/>
    <col width="13.33203125" customWidth="1" style="1" min="6664" max="6664"/>
    <col width="8.6640625" bestFit="1" customWidth="1" style="1" min="6665" max="6665"/>
    <col width="11.83203125" customWidth="1" style="1" min="6666" max="6666"/>
    <col width="8.83203125" bestFit="1" customWidth="1" style="1" min="6667" max="6667"/>
    <col width="12.83203125" customWidth="1" style="1" min="6668" max="6668"/>
    <col width="8.83203125" bestFit="1" customWidth="1" style="1" min="6669" max="6669"/>
    <col width="12.6640625" bestFit="1" customWidth="1" style="1" min="6670" max="6670"/>
    <col width="9" bestFit="1" customWidth="1" style="1" min="6671" max="6671"/>
    <col width="13" customWidth="1" style="1" min="6672" max="6672"/>
    <col width="9" bestFit="1" customWidth="1" style="1" min="6673" max="6673"/>
    <col width="9.1640625" customWidth="1" style="1" min="6674" max="6916"/>
    <col width="16.1640625" customWidth="1" style="1" min="6917" max="6917"/>
    <col width="12.83203125" customWidth="1" style="1" min="6918" max="6918"/>
    <col width="8.6640625" bestFit="1" customWidth="1" style="1" min="6919" max="6919"/>
    <col width="13.33203125" customWidth="1" style="1" min="6920" max="6920"/>
    <col width="8.6640625" bestFit="1" customWidth="1" style="1" min="6921" max="6921"/>
    <col width="11.83203125" customWidth="1" style="1" min="6922" max="6922"/>
    <col width="8.83203125" bestFit="1" customWidth="1" style="1" min="6923" max="6923"/>
    <col width="12.83203125" customWidth="1" style="1" min="6924" max="6924"/>
    <col width="8.83203125" bestFit="1" customWidth="1" style="1" min="6925" max="6925"/>
    <col width="12.6640625" bestFit="1" customWidth="1" style="1" min="6926" max="6926"/>
    <col width="9" bestFit="1" customWidth="1" style="1" min="6927" max="6927"/>
    <col width="13" customWidth="1" style="1" min="6928" max="6928"/>
    <col width="9" bestFit="1" customWidth="1" style="1" min="6929" max="6929"/>
    <col width="9.1640625" customWidth="1" style="1" min="6930" max="7172"/>
    <col width="16.1640625" customWidth="1" style="1" min="7173" max="7173"/>
    <col width="12.83203125" customWidth="1" style="1" min="7174" max="7174"/>
    <col width="8.6640625" bestFit="1" customWidth="1" style="1" min="7175" max="7175"/>
    <col width="13.33203125" customWidth="1" style="1" min="7176" max="7176"/>
    <col width="8.6640625" bestFit="1" customWidth="1" style="1" min="7177" max="7177"/>
    <col width="11.83203125" customWidth="1" style="1" min="7178" max="7178"/>
    <col width="8.83203125" bestFit="1" customWidth="1" style="1" min="7179" max="7179"/>
    <col width="12.83203125" customWidth="1" style="1" min="7180" max="7180"/>
    <col width="8.83203125" bestFit="1" customWidth="1" style="1" min="7181" max="7181"/>
    <col width="12.6640625" bestFit="1" customWidth="1" style="1" min="7182" max="7182"/>
    <col width="9" bestFit="1" customWidth="1" style="1" min="7183" max="7183"/>
    <col width="13" customWidth="1" style="1" min="7184" max="7184"/>
    <col width="9" bestFit="1" customWidth="1" style="1" min="7185" max="7185"/>
    <col width="9.1640625" customWidth="1" style="1" min="7186" max="7428"/>
    <col width="16.1640625" customWidth="1" style="1" min="7429" max="7429"/>
    <col width="12.83203125" customWidth="1" style="1" min="7430" max="7430"/>
    <col width="8.6640625" bestFit="1" customWidth="1" style="1" min="7431" max="7431"/>
    <col width="13.33203125" customWidth="1" style="1" min="7432" max="7432"/>
    <col width="8.6640625" bestFit="1" customWidth="1" style="1" min="7433" max="7433"/>
    <col width="11.83203125" customWidth="1" style="1" min="7434" max="7434"/>
    <col width="8.83203125" bestFit="1" customWidth="1" style="1" min="7435" max="7435"/>
    <col width="12.83203125" customWidth="1" style="1" min="7436" max="7436"/>
    <col width="8.83203125" bestFit="1" customWidth="1" style="1" min="7437" max="7437"/>
    <col width="12.6640625" bestFit="1" customWidth="1" style="1" min="7438" max="7438"/>
    <col width="9" bestFit="1" customWidth="1" style="1" min="7439" max="7439"/>
    <col width="13" customWidth="1" style="1" min="7440" max="7440"/>
    <col width="9" bestFit="1" customWidth="1" style="1" min="7441" max="7441"/>
    <col width="9.1640625" customWidth="1" style="1" min="7442" max="7684"/>
    <col width="16.1640625" customWidth="1" style="1" min="7685" max="7685"/>
    <col width="12.83203125" customWidth="1" style="1" min="7686" max="7686"/>
    <col width="8.6640625" bestFit="1" customWidth="1" style="1" min="7687" max="7687"/>
    <col width="13.33203125" customWidth="1" style="1" min="7688" max="7688"/>
    <col width="8.6640625" bestFit="1" customWidth="1" style="1" min="7689" max="7689"/>
    <col width="11.83203125" customWidth="1" style="1" min="7690" max="7690"/>
    <col width="8.83203125" bestFit="1" customWidth="1" style="1" min="7691" max="7691"/>
    <col width="12.83203125" customWidth="1" style="1" min="7692" max="7692"/>
    <col width="8.83203125" bestFit="1" customWidth="1" style="1" min="7693" max="7693"/>
    <col width="12.6640625" bestFit="1" customWidth="1" style="1" min="7694" max="7694"/>
    <col width="9" bestFit="1" customWidth="1" style="1" min="7695" max="7695"/>
    <col width="13" customWidth="1" style="1" min="7696" max="7696"/>
    <col width="9" bestFit="1" customWidth="1" style="1" min="7697" max="7697"/>
    <col width="9.1640625" customWidth="1" style="1" min="7698" max="7940"/>
    <col width="16.1640625" customWidth="1" style="1" min="7941" max="7941"/>
    <col width="12.83203125" customWidth="1" style="1" min="7942" max="7942"/>
    <col width="8.6640625" bestFit="1" customWidth="1" style="1" min="7943" max="7943"/>
    <col width="13.33203125" customWidth="1" style="1" min="7944" max="7944"/>
    <col width="8.6640625" bestFit="1" customWidth="1" style="1" min="7945" max="7945"/>
    <col width="11.83203125" customWidth="1" style="1" min="7946" max="7946"/>
    <col width="8.83203125" bestFit="1" customWidth="1" style="1" min="7947" max="7947"/>
    <col width="12.83203125" customWidth="1" style="1" min="7948" max="7948"/>
    <col width="8.83203125" bestFit="1" customWidth="1" style="1" min="7949" max="7949"/>
    <col width="12.6640625" bestFit="1" customWidth="1" style="1" min="7950" max="7950"/>
    <col width="9" bestFit="1" customWidth="1" style="1" min="7951" max="7951"/>
    <col width="13" customWidth="1" style="1" min="7952" max="7952"/>
    <col width="9" bestFit="1" customWidth="1" style="1" min="7953" max="7953"/>
    <col width="9.1640625" customWidth="1" style="1" min="7954" max="8196"/>
    <col width="16.1640625" customWidth="1" style="1" min="8197" max="8197"/>
    <col width="12.83203125" customWidth="1" style="1" min="8198" max="8198"/>
    <col width="8.6640625" bestFit="1" customWidth="1" style="1" min="8199" max="8199"/>
    <col width="13.33203125" customWidth="1" style="1" min="8200" max="8200"/>
    <col width="8.6640625" bestFit="1" customWidth="1" style="1" min="8201" max="8201"/>
    <col width="11.83203125" customWidth="1" style="1" min="8202" max="8202"/>
    <col width="8.83203125" bestFit="1" customWidth="1" style="1" min="8203" max="8203"/>
    <col width="12.83203125" customWidth="1" style="1" min="8204" max="8204"/>
    <col width="8.83203125" bestFit="1" customWidth="1" style="1" min="8205" max="8205"/>
    <col width="12.6640625" bestFit="1" customWidth="1" style="1" min="8206" max="8206"/>
    <col width="9" bestFit="1" customWidth="1" style="1" min="8207" max="8207"/>
    <col width="13" customWidth="1" style="1" min="8208" max="8208"/>
    <col width="9" bestFit="1" customWidth="1" style="1" min="8209" max="8209"/>
    <col width="9.1640625" customWidth="1" style="1" min="8210" max="8452"/>
    <col width="16.1640625" customWidth="1" style="1" min="8453" max="8453"/>
    <col width="12.83203125" customWidth="1" style="1" min="8454" max="8454"/>
    <col width="8.6640625" bestFit="1" customWidth="1" style="1" min="8455" max="8455"/>
    <col width="13.33203125" customWidth="1" style="1" min="8456" max="8456"/>
    <col width="8.6640625" bestFit="1" customWidth="1" style="1" min="8457" max="8457"/>
    <col width="11.83203125" customWidth="1" style="1" min="8458" max="8458"/>
    <col width="8.83203125" bestFit="1" customWidth="1" style="1" min="8459" max="8459"/>
    <col width="12.83203125" customWidth="1" style="1" min="8460" max="8460"/>
    <col width="8.83203125" bestFit="1" customWidth="1" style="1" min="8461" max="8461"/>
    <col width="12.6640625" bestFit="1" customWidth="1" style="1" min="8462" max="8462"/>
    <col width="9" bestFit="1" customWidth="1" style="1" min="8463" max="8463"/>
    <col width="13" customWidth="1" style="1" min="8464" max="8464"/>
    <col width="9" bestFit="1" customWidth="1" style="1" min="8465" max="8465"/>
    <col width="9.1640625" customWidth="1" style="1" min="8466" max="8708"/>
    <col width="16.1640625" customWidth="1" style="1" min="8709" max="8709"/>
    <col width="12.83203125" customWidth="1" style="1" min="8710" max="8710"/>
    <col width="8.6640625" bestFit="1" customWidth="1" style="1" min="8711" max="8711"/>
    <col width="13.33203125" customWidth="1" style="1" min="8712" max="8712"/>
    <col width="8.6640625" bestFit="1" customWidth="1" style="1" min="8713" max="8713"/>
    <col width="11.83203125" customWidth="1" style="1" min="8714" max="8714"/>
    <col width="8.83203125" bestFit="1" customWidth="1" style="1" min="8715" max="8715"/>
    <col width="12.83203125" customWidth="1" style="1" min="8716" max="8716"/>
    <col width="8.83203125" bestFit="1" customWidth="1" style="1" min="8717" max="8717"/>
    <col width="12.6640625" bestFit="1" customWidth="1" style="1" min="8718" max="8718"/>
    <col width="9" bestFit="1" customWidth="1" style="1" min="8719" max="8719"/>
    <col width="13" customWidth="1" style="1" min="8720" max="8720"/>
    <col width="9" bestFit="1" customWidth="1" style="1" min="8721" max="8721"/>
    <col width="9.1640625" customWidth="1" style="1" min="8722" max="8964"/>
    <col width="16.1640625" customWidth="1" style="1" min="8965" max="8965"/>
    <col width="12.83203125" customWidth="1" style="1" min="8966" max="8966"/>
    <col width="8.6640625" bestFit="1" customWidth="1" style="1" min="8967" max="8967"/>
    <col width="13.33203125" customWidth="1" style="1" min="8968" max="8968"/>
    <col width="8.6640625" bestFit="1" customWidth="1" style="1" min="8969" max="8969"/>
    <col width="11.83203125" customWidth="1" style="1" min="8970" max="8970"/>
    <col width="8.83203125" bestFit="1" customWidth="1" style="1" min="8971" max="8971"/>
    <col width="12.83203125" customWidth="1" style="1" min="8972" max="8972"/>
    <col width="8.83203125" bestFit="1" customWidth="1" style="1" min="8973" max="8973"/>
    <col width="12.6640625" bestFit="1" customWidth="1" style="1" min="8974" max="8974"/>
    <col width="9" bestFit="1" customWidth="1" style="1" min="8975" max="8975"/>
    <col width="13" customWidth="1" style="1" min="8976" max="8976"/>
    <col width="9" bestFit="1" customWidth="1" style="1" min="8977" max="8977"/>
    <col width="9.1640625" customWidth="1" style="1" min="8978" max="9220"/>
    <col width="16.1640625" customWidth="1" style="1" min="9221" max="9221"/>
    <col width="12.83203125" customWidth="1" style="1" min="9222" max="9222"/>
    <col width="8.6640625" bestFit="1" customWidth="1" style="1" min="9223" max="9223"/>
    <col width="13.33203125" customWidth="1" style="1" min="9224" max="9224"/>
    <col width="8.6640625" bestFit="1" customWidth="1" style="1" min="9225" max="9225"/>
    <col width="11.83203125" customWidth="1" style="1" min="9226" max="9226"/>
    <col width="8.83203125" bestFit="1" customWidth="1" style="1" min="9227" max="9227"/>
    <col width="12.83203125" customWidth="1" style="1" min="9228" max="9228"/>
    <col width="8.83203125" bestFit="1" customWidth="1" style="1" min="9229" max="9229"/>
    <col width="12.6640625" bestFit="1" customWidth="1" style="1" min="9230" max="9230"/>
    <col width="9" bestFit="1" customWidth="1" style="1" min="9231" max="9231"/>
    <col width="13" customWidth="1" style="1" min="9232" max="9232"/>
    <col width="9" bestFit="1" customWidth="1" style="1" min="9233" max="9233"/>
    <col width="9.1640625" customWidth="1" style="1" min="9234" max="9476"/>
    <col width="16.1640625" customWidth="1" style="1" min="9477" max="9477"/>
    <col width="12.83203125" customWidth="1" style="1" min="9478" max="9478"/>
    <col width="8.6640625" bestFit="1" customWidth="1" style="1" min="9479" max="9479"/>
    <col width="13.33203125" customWidth="1" style="1" min="9480" max="9480"/>
    <col width="8.6640625" bestFit="1" customWidth="1" style="1" min="9481" max="9481"/>
    <col width="11.83203125" customWidth="1" style="1" min="9482" max="9482"/>
    <col width="8.83203125" bestFit="1" customWidth="1" style="1" min="9483" max="9483"/>
    <col width="12.83203125" customWidth="1" style="1" min="9484" max="9484"/>
    <col width="8.83203125" bestFit="1" customWidth="1" style="1" min="9485" max="9485"/>
    <col width="12.6640625" bestFit="1" customWidth="1" style="1" min="9486" max="9486"/>
    <col width="9" bestFit="1" customWidth="1" style="1" min="9487" max="9487"/>
    <col width="13" customWidth="1" style="1" min="9488" max="9488"/>
    <col width="9" bestFit="1" customWidth="1" style="1" min="9489" max="9489"/>
    <col width="9.1640625" customWidth="1" style="1" min="9490" max="9732"/>
    <col width="16.1640625" customWidth="1" style="1" min="9733" max="9733"/>
    <col width="12.83203125" customWidth="1" style="1" min="9734" max="9734"/>
    <col width="8.6640625" bestFit="1" customWidth="1" style="1" min="9735" max="9735"/>
    <col width="13.33203125" customWidth="1" style="1" min="9736" max="9736"/>
    <col width="8.6640625" bestFit="1" customWidth="1" style="1" min="9737" max="9737"/>
    <col width="11.83203125" customWidth="1" style="1" min="9738" max="9738"/>
    <col width="8.83203125" bestFit="1" customWidth="1" style="1" min="9739" max="9739"/>
    <col width="12.83203125" customWidth="1" style="1" min="9740" max="9740"/>
    <col width="8.83203125" bestFit="1" customWidth="1" style="1" min="9741" max="9741"/>
    <col width="12.6640625" bestFit="1" customWidth="1" style="1" min="9742" max="9742"/>
    <col width="9" bestFit="1" customWidth="1" style="1" min="9743" max="9743"/>
    <col width="13" customWidth="1" style="1" min="9744" max="9744"/>
    <col width="9" bestFit="1" customWidth="1" style="1" min="9745" max="9745"/>
    <col width="9.1640625" customWidth="1" style="1" min="9746" max="9988"/>
    <col width="16.1640625" customWidth="1" style="1" min="9989" max="9989"/>
    <col width="12.83203125" customWidth="1" style="1" min="9990" max="9990"/>
    <col width="8.6640625" bestFit="1" customWidth="1" style="1" min="9991" max="9991"/>
    <col width="13.33203125" customWidth="1" style="1" min="9992" max="9992"/>
    <col width="8.6640625" bestFit="1" customWidth="1" style="1" min="9993" max="9993"/>
    <col width="11.83203125" customWidth="1" style="1" min="9994" max="9994"/>
    <col width="8.83203125" bestFit="1" customWidth="1" style="1" min="9995" max="9995"/>
    <col width="12.83203125" customWidth="1" style="1" min="9996" max="9996"/>
    <col width="8.83203125" bestFit="1" customWidth="1" style="1" min="9997" max="9997"/>
    <col width="12.6640625" bestFit="1" customWidth="1" style="1" min="9998" max="9998"/>
    <col width="9" bestFit="1" customWidth="1" style="1" min="9999" max="9999"/>
    <col width="13" customWidth="1" style="1" min="10000" max="10000"/>
    <col width="9" bestFit="1" customWidth="1" style="1" min="10001" max="10001"/>
    <col width="9.1640625" customWidth="1" style="1" min="10002" max="10244"/>
    <col width="16.1640625" customWidth="1" style="1" min="10245" max="10245"/>
    <col width="12.83203125" customWidth="1" style="1" min="10246" max="10246"/>
    <col width="8.6640625" bestFit="1" customWidth="1" style="1" min="10247" max="10247"/>
    <col width="13.33203125" customWidth="1" style="1" min="10248" max="10248"/>
    <col width="8.6640625" bestFit="1" customWidth="1" style="1" min="10249" max="10249"/>
    <col width="11.83203125" customWidth="1" style="1" min="10250" max="10250"/>
    <col width="8.83203125" bestFit="1" customWidth="1" style="1" min="10251" max="10251"/>
    <col width="12.83203125" customWidth="1" style="1" min="10252" max="10252"/>
    <col width="8.83203125" bestFit="1" customWidth="1" style="1" min="10253" max="10253"/>
    <col width="12.6640625" bestFit="1" customWidth="1" style="1" min="10254" max="10254"/>
    <col width="9" bestFit="1" customWidth="1" style="1" min="10255" max="10255"/>
    <col width="13" customWidth="1" style="1" min="10256" max="10256"/>
    <col width="9" bestFit="1" customWidth="1" style="1" min="10257" max="10257"/>
    <col width="9.1640625" customWidth="1" style="1" min="10258" max="10500"/>
    <col width="16.1640625" customWidth="1" style="1" min="10501" max="10501"/>
    <col width="12.83203125" customWidth="1" style="1" min="10502" max="10502"/>
    <col width="8.6640625" bestFit="1" customWidth="1" style="1" min="10503" max="10503"/>
    <col width="13.33203125" customWidth="1" style="1" min="10504" max="10504"/>
    <col width="8.6640625" bestFit="1" customWidth="1" style="1" min="10505" max="10505"/>
    <col width="11.83203125" customWidth="1" style="1" min="10506" max="10506"/>
    <col width="8.83203125" bestFit="1" customWidth="1" style="1" min="10507" max="10507"/>
    <col width="12.83203125" customWidth="1" style="1" min="10508" max="10508"/>
    <col width="8.83203125" bestFit="1" customWidth="1" style="1" min="10509" max="10509"/>
    <col width="12.6640625" bestFit="1" customWidth="1" style="1" min="10510" max="10510"/>
    <col width="9" bestFit="1" customWidth="1" style="1" min="10511" max="10511"/>
    <col width="13" customWidth="1" style="1" min="10512" max="10512"/>
    <col width="9" bestFit="1" customWidth="1" style="1" min="10513" max="10513"/>
    <col width="9.1640625" customWidth="1" style="1" min="10514" max="10756"/>
    <col width="16.1640625" customWidth="1" style="1" min="10757" max="10757"/>
    <col width="12.83203125" customWidth="1" style="1" min="10758" max="10758"/>
    <col width="8.6640625" bestFit="1" customWidth="1" style="1" min="10759" max="10759"/>
    <col width="13.33203125" customWidth="1" style="1" min="10760" max="10760"/>
    <col width="8.6640625" bestFit="1" customWidth="1" style="1" min="10761" max="10761"/>
    <col width="11.83203125" customWidth="1" style="1" min="10762" max="10762"/>
    <col width="8.83203125" bestFit="1" customWidth="1" style="1" min="10763" max="10763"/>
    <col width="12.83203125" customWidth="1" style="1" min="10764" max="10764"/>
    <col width="8.83203125" bestFit="1" customWidth="1" style="1" min="10765" max="10765"/>
    <col width="12.6640625" bestFit="1" customWidth="1" style="1" min="10766" max="10766"/>
    <col width="9" bestFit="1" customWidth="1" style="1" min="10767" max="10767"/>
    <col width="13" customWidth="1" style="1" min="10768" max="10768"/>
    <col width="9" bestFit="1" customWidth="1" style="1" min="10769" max="10769"/>
    <col width="9.1640625" customWidth="1" style="1" min="10770" max="11012"/>
    <col width="16.1640625" customWidth="1" style="1" min="11013" max="11013"/>
    <col width="12.83203125" customWidth="1" style="1" min="11014" max="11014"/>
    <col width="8.6640625" bestFit="1" customWidth="1" style="1" min="11015" max="11015"/>
    <col width="13.33203125" customWidth="1" style="1" min="11016" max="11016"/>
    <col width="8.6640625" bestFit="1" customWidth="1" style="1" min="11017" max="11017"/>
    <col width="11.83203125" customWidth="1" style="1" min="11018" max="11018"/>
    <col width="8.83203125" bestFit="1" customWidth="1" style="1" min="11019" max="11019"/>
    <col width="12.83203125" customWidth="1" style="1" min="11020" max="11020"/>
    <col width="8.83203125" bestFit="1" customWidth="1" style="1" min="11021" max="11021"/>
    <col width="12.6640625" bestFit="1" customWidth="1" style="1" min="11022" max="11022"/>
    <col width="9" bestFit="1" customWidth="1" style="1" min="11023" max="11023"/>
    <col width="13" customWidth="1" style="1" min="11024" max="11024"/>
    <col width="9" bestFit="1" customWidth="1" style="1" min="11025" max="11025"/>
    <col width="9.1640625" customWidth="1" style="1" min="11026" max="11268"/>
    <col width="16.1640625" customWidth="1" style="1" min="11269" max="11269"/>
    <col width="12.83203125" customWidth="1" style="1" min="11270" max="11270"/>
    <col width="8.6640625" bestFit="1" customWidth="1" style="1" min="11271" max="11271"/>
    <col width="13.33203125" customWidth="1" style="1" min="11272" max="11272"/>
    <col width="8.6640625" bestFit="1" customWidth="1" style="1" min="11273" max="11273"/>
    <col width="11.83203125" customWidth="1" style="1" min="11274" max="11274"/>
    <col width="8.83203125" bestFit="1" customWidth="1" style="1" min="11275" max="11275"/>
    <col width="12.83203125" customWidth="1" style="1" min="11276" max="11276"/>
    <col width="8.83203125" bestFit="1" customWidth="1" style="1" min="11277" max="11277"/>
    <col width="12.6640625" bestFit="1" customWidth="1" style="1" min="11278" max="11278"/>
    <col width="9" bestFit="1" customWidth="1" style="1" min="11279" max="11279"/>
    <col width="13" customWidth="1" style="1" min="11280" max="11280"/>
    <col width="9" bestFit="1" customWidth="1" style="1" min="11281" max="11281"/>
    <col width="9.1640625" customWidth="1" style="1" min="11282" max="11524"/>
    <col width="16.1640625" customWidth="1" style="1" min="11525" max="11525"/>
    <col width="12.83203125" customWidth="1" style="1" min="11526" max="11526"/>
    <col width="8.6640625" bestFit="1" customWidth="1" style="1" min="11527" max="11527"/>
    <col width="13.33203125" customWidth="1" style="1" min="11528" max="11528"/>
    <col width="8.6640625" bestFit="1" customWidth="1" style="1" min="11529" max="11529"/>
    <col width="11.83203125" customWidth="1" style="1" min="11530" max="11530"/>
    <col width="8.83203125" bestFit="1" customWidth="1" style="1" min="11531" max="11531"/>
    <col width="12.83203125" customWidth="1" style="1" min="11532" max="11532"/>
    <col width="8.83203125" bestFit="1" customWidth="1" style="1" min="11533" max="11533"/>
    <col width="12.6640625" bestFit="1" customWidth="1" style="1" min="11534" max="11534"/>
    <col width="9" bestFit="1" customWidth="1" style="1" min="11535" max="11535"/>
    <col width="13" customWidth="1" style="1" min="11536" max="11536"/>
    <col width="9" bestFit="1" customWidth="1" style="1" min="11537" max="11537"/>
    <col width="9.1640625" customWidth="1" style="1" min="11538" max="11780"/>
    <col width="16.1640625" customWidth="1" style="1" min="11781" max="11781"/>
    <col width="12.83203125" customWidth="1" style="1" min="11782" max="11782"/>
    <col width="8.6640625" bestFit="1" customWidth="1" style="1" min="11783" max="11783"/>
    <col width="13.33203125" customWidth="1" style="1" min="11784" max="11784"/>
    <col width="8.6640625" bestFit="1" customWidth="1" style="1" min="11785" max="11785"/>
    <col width="11.83203125" customWidth="1" style="1" min="11786" max="11786"/>
    <col width="8.83203125" bestFit="1" customWidth="1" style="1" min="11787" max="11787"/>
    <col width="12.83203125" customWidth="1" style="1" min="11788" max="11788"/>
    <col width="8.83203125" bestFit="1" customWidth="1" style="1" min="11789" max="11789"/>
    <col width="12.6640625" bestFit="1" customWidth="1" style="1" min="11790" max="11790"/>
    <col width="9" bestFit="1" customWidth="1" style="1" min="11791" max="11791"/>
    <col width="13" customWidth="1" style="1" min="11792" max="11792"/>
    <col width="9" bestFit="1" customWidth="1" style="1" min="11793" max="11793"/>
    <col width="9.1640625" customWidth="1" style="1" min="11794" max="12036"/>
    <col width="16.1640625" customWidth="1" style="1" min="12037" max="12037"/>
    <col width="12.83203125" customWidth="1" style="1" min="12038" max="12038"/>
    <col width="8.6640625" bestFit="1" customWidth="1" style="1" min="12039" max="12039"/>
    <col width="13.33203125" customWidth="1" style="1" min="12040" max="12040"/>
    <col width="8.6640625" bestFit="1" customWidth="1" style="1" min="12041" max="12041"/>
    <col width="11.83203125" customWidth="1" style="1" min="12042" max="12042"/>
    <col width="8.83203125" bestFit="1" customWidth="1" style="1" min="12043" max="12043"/>
    <col width="12.83203125" customWidth="1" style="1" min="12044" max="12044"/>
    <col width="8.83203125" bestFit="1" customWidth="1" style="1" min="12045" max="12045"/>
    <col width="12.6640625" bestFit="1" customWidth="1" style="1" min="12046" max="12046"/>
    <col width="9" bestFit="1" customWidth="1" style="1" min="12047" max="12047"/>
    <col width="13" customWidth="1" style="1" min="12048" max="12048"/>
    <col width="9" bestFit="1" customWidth="1" style="1" min="12049" max="12049"/>
    <col width="9.1640625" customWidth="1" style="1" min="12050" max="12292"/>
    <col width="16.1640625" customWidth="1" style="1" min="12293" max="12293"/>
    <col width="12.83203125" customWidth="1" style="1" min="12294" max="12294"/>
    <col width="8.6640625" bestFit="1" customWidth="1" style="1" min="12295" max="12295"/>
    <col width="13.33203125" customWidth="1" style="1" min="12296" max="12296"/>
    <col width="8.6640625" bestFit="1" customWidth="1" style="1" min="12297" max="12297"/>
    <col width="11.83203125" customWidth="1" style="1" min="12298" max="12298"/>
    <col width="8.83203125" bestFit="1" customWidth="1" style="1" min="12299" max="12299"/>
    <col width="12.83203125" customWidth="1" style="1" min="12300" max="12300"/>
    <col width="8.83203125" bestFit="1" customWidth="1" style="1" min="12301" max="12301"/>
    <col width="12.6640625" bestFit="1" customWidth="1" style="1" min="12302" max="12302"/>
    <col width="9" bestFit="1" customWidth="1" style="1" min="12303" max="12303"/>
    <col width="13" customWidth="1" style="1" min="12304" max="12304"/>
    <col width="9" bestFit="1" customWidth="1" style="1" min="12305" max="12305"/>
    <col width="9.1640625" customWidth="1" style="1" min="12306" max="12548"/>
    <col width="16.1640625" customWidth="1" style="1" min="12549" max="12549"/>
    <col width="12.83203125" customWidth="1" style="1" min="12550" max="12550"/>
    <col width="8.6640625" bestFit="1" customWidth="1" style="1" min="12551" max="12551"/>
    <col width="13.33203125" customWidth="1" style="1" min="12552" max="12552"/>
    <col width="8.6640625" bestFit="1" customWidth="1" style="1" min="12553" max="12553"/>
    <col width="11.83203125" customWidth="1" style="1" min="12554" max="12554"/>
    <col width="8.83203125" bestFit="1" customWidth="1" style="1" min="12555" max="12555"/>
    <col width="12.83203125" customWidth="1" style="1" min="12556" max="12556"/>
    <col width="8.83203125" bestFit="1" customWidth="1" style="1" min="12557" max="12557"/>
    <col width="12.6640625" bestFit="1" customWidth="1" style="1" min="12558" max="12558"/>
    <col width="9" bestFit="1" customWidth="1" style="1" min="12559" max="12559"/>
    <col width="13" customWidth="1" style="1" min="12560" max="12560"/>
    <col width="9" bestFit="1" customWidth="1" style="1" min="12561" max="12561"/>
    <col width="9.1640625" customWidth="1" style="1" min="12562" max="12804"/>
    <col width="16.1640625" customWidth="1" style="1" min="12805" max="12805"/>
    <col width="12.83203125" customWidth="1" style="1" min="12806" max="12806"/>
    <col width="8.6640625" bestFit="1" customWidth="1" style="1" min="12807" max="12807"/>
    <col width="13.33203125" customWidth="1" style="1" min="12808" max="12808"/>
    <col width="8.6640625" bestFit="1" customWidth="1" style="1" min="12809" max="12809"/>
    <col width="11.83203125" customWidth="1" style="1" min="12810" max="12810"/>
    <col width="8.83203125" bestFit="1" customWidth="1" style="1" min="12811" max="12811"/>
    <col width="12.83203125" customWidth="1" style="1" min="12812" max="12812"/>
    <col width="8.83203125" bestFit="1" customWidth="1" style="1" min="12813" max="12813"/>
    <col width="12.6640625" bestFit="1" customWidth="1" style="1" min="12814" max="12814"/>
    <col width="9" bestFit="1" customWidth="1" style="1" min="12815" max="12815"/>
    <col width="13" customWidth="1" style="1" min="12816" max="12816"/>
    <col width="9" bestFit="1" customWidth="1" style="1" min="12817" max="12817"/>
    <col width="9.1640625" customWidth="1" style="1" min="12818" max="13060"/>
    <col width="16.1640625" customWidth="1" style="1" min="13061" max="13061"/>
    <col width="12.83203125" customWidth="1" style="1" min="13062" max="13062"/>
    <col width="8.6640625" bestFit="1" customWidth="1" style="1" min="13063" max="13063"/>
    <col width="13.33203125" customWidth="1" style="1" min="13064" max="13064"/>
    <col width="8.6640625" bestFit="1" customWidth="1" style="1" min="13065" max="13065"/>
    <col width="11.83203125" customWidth="1" style="1" min="13066" max="13066"/>
    <col width="8.83203125" bestFit="1" customWidth="1" style="1" min="13067" max="13067"/>
    <col width="12.83203125" customWidth="1" style="1" min="13068" max="13068"/>
    <col width="8.83203125" bestFit="1" customWidth="1" style="1" min="13069" max="13069"/>
    <col width="12.6640625" bestFit="1" customWidth="1" style="1" min="13070" max="13070"/>
    <col width="9" bestFit="1" customWidth="1" style="1" min="13071" max="13071"/>
    <col width="13" customWidth="1" style="1" min="13072" max="13072"/>
    <col width="9" bestFit="1" customWidth="1" style="1" min="13073" max="13073"/>
    <col width="9.1640625" customWidth="1" style="1" min="13074" max="13316"/>
    <col width="16.1640625" customWidth="1" style="1" min="13317" max="13317"/>
    <col width="12.83203125" customWidth="1" style="1" min="13318" max="13318"/>
    <col width="8.6640625" bestFit="1" customWidth="1" style="1" min="13319" max="13319"/>
    <col width="13.33203125" customWidth="1" style="1" min="13320" max="13320"/>
    <col width="8.6640625" bestFit="1" customWidth="1" style="1" min="13321" max="13321"/>
    <col width="11.83203125" customWidth="1" style="1" min="13322" max="13322"/>
    <col width="8.83203125" bestFit="1" customWidth="1" style="1" min="13323" max="13323"/>
    <col width="12.83203125" customWidth="1" style="1" min="13324" max="13324"/>
    <col width="8.83203125" bestFit="1" customWidth="1" style="1" min="13325" max="13325"/>
    <col width="12.6640625" bestFit="1" customWidth="1" style="1" min="13326" max="13326"/>
    <col width="9" bestFit="1" customWidth="1" style="1" min="13327" max="13327"/>
    <col width="13" customWidth="1" style="1" min="13328" max="13328"/>
    <col width="9" bestFit="1" customWidth="1" style="1" min="13329" max="13329"/>
    <col width="9.1640625" customWidth="1" style="1" min="13330" max="13572"/>
    <col width="16.1640625" customWidth="1" style="1" min="13573" max="13573"/>
    <col width="12.83203125" customWidth="1" style="1" min="13574" max="13574"/>
    <col width="8.6640625" bestFit="1" customWidth="1" style="1" min="13575" max="13575"/>
    <col width="13.33203125" customWidth="1" style="1" min="13576" max="13576"/>
    <col width="8.6640625" bestFit="1" customWidth="1" style="1" min="13577" max="13577"/>
    <col width="11.83203125" customWidth="1" style="1" min="13578" max="13578"/>
    <col width="8.83203125" bestFit="1" customWidth="1" style="1" min="13579" max="13579"/>
    <col width="12.83203125" customWidth="1" style="1" min="13580" max="13580"/>
    <col width="8.83203125" bestFit="1" customWidth="1" style="1" min="13581" max="13581"/>
    <col width="12.6640625" bestFit="1" customWidth="1" style="1" min="13582" max="13582"/>
    <col width="9" bestFit="1" customWidth="1" style="1" min="13583" max="13583"/>
    <col width="13" customWidth="1" style="1" min="13584" max="13584"/>
    <col width="9" bestFit="1" customWidth="1" style="1" min="13585" max="13585"/>
    <col width="9.1640625" customWidth="1" style="1" min="13586" max="13828"/>
    <col width="16.1640625" customWidth="1" style="1" min="13829" max="13829"/>
    <col width="12.83203125" customWidth="1" style="1" min="13830" max="13830"/>
    <col width="8.6640625" bestFit="1" customWidth="1" style="1" min="13831" max="13831"/>
    <col width="13.33203125" customWidth="1" style="1" min="13832" max="13832"/>
    <col width="8.6640625" bestFit="1" customWidth="1" style="1" min="13833" max="13833"/>
    <col width="11.83203125" customWidth="1" style="1" min="13834" max="13834"/>
    <col width="8.83203125" bestFit="1" customWidth="1" style="1" min="13835" max="13835"/>
    <col width="12.83203125" customWidth="1" style="1" min="13836" max="13836"/>
    <col width="8.83203125" bestFit="1" customWidth="1" style="1" min="13837" max="13837"/>
    <col width="12.6640625" bestFit="1" customWidth="1" style="1" min="13838" max="13838"/>
    <col width="9" bestFit="1" customWidth="1" style="1" min="13839" max="13839"/>
    <col width="13" customWidth="1" style="1" min="13840" max="13840"/>
    <col width="9" bestFit="1" customWidth="1" style="1" min="13841" max="13841"/>
    <col width="9.1640625" customWidth="1" style="1" min="13842" max="14084"/>
    <col width="16.1640625" customWidth="1" style="1" min="14085" max="14085"/>
    <col width="12.83203125" customWidth="1" style="1" min="14086" max="14086"/>
    <col width="8.6640625" bestFit="1" customWidth="1" style="1" min="14087" max="14087"/>
    <col width="13.33203125" customWidth="1" style="1" min="14088" max="14088"/>
    <col width="8.6640625" bestFit="1" customWidth="1" style="1" min="14089" max="14089"/>
    <col width="11.83203125" customWidth="1" style="1" min="14090" max="14090"/>
    <col width="8.83203125" bestFit="1" customWidth="1" style="1" min="14091" max="14091"/>
    <col width="12.83203125" customWidth="1" style="1" min="14092" max="14092"/>
    <col width="8.83203125" bestFit="1" customWidth="1" style="1" min="14093" max="14093"/>
    <col width="12.6640625" bestFit="1" customWidth="1" style="1" min="14094" max="14094"/>
    <col width="9" bestFit="1" customWidth="1" style="1" min="14095" max="14095"/>
    <col width="13" customWidth="1" style="1" min="14096" max="14096"/>
    <col width="9" bestFit="1" customWidth="1" style="1" min="14097" max="14097"/>
    <col width="9.1640625" customWidth="1" style="1" min="14098" max="14340"/>
    <col width="16.1640625" customWidth="1" style="1" min="14341" max="14341"/>
    <col width="12.83203125" customWidth="1" style="1" min="14342" max="14342"/>
    <col width="8.6640625" bestFit="1" customWidth="1" style="1" min="14343" max="14343"/>
    <col width="13.33203125" customWidth="1" style="1" min="14344" max="14344"/>
    <col width="8.6640625" bestFit="1" customWidth="1" style="1" min="14345" max="14345"/>
    <col width="11.83203125" customWidth="1" style="1" min="14346" max="14346"/>
    <col width="8.83203125" bestFit="1" customWidth="1" style="1" min="14347" max="14347"/>
    <col width="12.83203125" customWidth="1" style="1" min="14348" max="14348"/>
    <col width="8.83203125" bestFit="1" customWidth="1" style="1" min="14349" max="14349"/>
    <col width="12.6640625" bestFit="1" customWidth="1" style="1" min="14350" max="14350"/>
    <col width="9" bestFit="1" customWidth="1" style="1" min="14351" max="14351"/>
    <col width="13" customWidth="1" style="1" min="14352" max="14352"/>
    <col width="9" bestFit="1" customWidth="1" style="1" min="14353" max="14353"/>
    <col width="9.1640625" customWidth="1" style="1" min="14354" max="14596"/>
    <col width="16.1640625" customWidth="1" style="1" min="14597" max="14597"/>
    <col width="12.83203125" customWidth="1" style="1" min="14598" max="14598"/>
    <col width="8.6640625" bestFit="1" customWidth="1" style="1" min="14599" max="14599"/>
    <col width="13.33203125" customWidth="1" style="1" min="14600" max="14600"/>
    <col width="8.6640625" bestFit="1" customWidth="1" style="1" min="14601" max="14601"/>
    <col width="11.83203125" customWidth="1" style="1" min="14602" max="14602"/>
    <col width="8.83203125" bestFit="1" customWidth="1" style="1" min="14603" max="14603"/>
    <col width="12.83203125" customWidth="1" style="1" min="14604" max="14604"/>
    <col width="8.83203125" bestFit="1" customWidth="1" style="1" min="14605" max="14605"/>
    <col width="12.6640625" bestFit="1" customWidth="1" style="1" min="14606" max="14606"/>
    <col width="9" bestFit="1" customWidth="1" style="1" min="14607" max="14607"/>
    <col width="13" customWidth="1" style="1" min="14608" max="14608"/>
    <col width="9" bestFit="1" customWidth="1" style="1" min="14609" max="14609"/>
    <col width="9.1640625" customWidth="1" style="1" min="14610" max="14852"/>
    <col width="16.1640625" customWidth="1" style="1" min="14853" max="14853"/>
    <col width="12.83203125" customWidth="1" style="1" min="14854" max="14854"/>
    <col width="8.6640625" bestFit="1" customWidth="1" style="1" min="14855" max="14855"/>
    <col width="13.33203125" customWidth="1" style="1" min="14856" max="14856"/>
    <col width="8.6640625" bestFit="1" customWidth="1" style="1" min="14857" max="14857"/>
    <col width="11.83203125" customWidth="1" style="1" min="14858" max="14858"/>
    <col width="8.83203125" bestFit="1" customWidth="1" style="1" min="14859" max="14859"/>
    <col width="12.83203125" customWidth="1" style="1" min="14860" max="14860"/>
    <col width="8.83203125" bestFit="1" customWidth="1" style="1" min="14861" max="14861"/>
    <col width="12.6640625" bestFit="1" customWidth="1" style="1" min="14862" max="14862"/>
    <col width="9" bestFit="1" customWidth="1" style="1" min="14863" max="14863"/>
    <col width="13" customWidth="1" style="1" min="14864" max="14864"/>
    <col width="9" bestFit="1" customWidth="1" style="1" min="14865" max="14865"/>
    <col width="9.1640625" customWidth="1" style="1" min="14866" max="15108"/>
    <col width="16.1640625" customWidth="1" style="1" min="15109" max="15109"/>
    <col width="12.83203125" customWidth="1" style="1" min="15110" max="15110"/>
    <col width="8.6640625" bestFit="1" customWidth="1" style="1" min="15111" max="15111"/>
    <col width="13.33203125" customWidth="1" style="1" min="15112" max="15112"/>
    <col width="8.6640625" bestFit="1" customWidth="1" style="1" min="15113" max="15113"/>
    <col width="11.83203125" customWidth="1" style="1" min="15114" max="15114"/>
    <col width="8.83203125" bestFit="1" customWidth="1" style="1" min="15115" max="15115"/>
    <col width="12.83203125" customWidth="1" style="1" min="15116" max="15116"/>
    <col width="8.83203125" bestFit="1" customWidth="1" style="1" min="15117" max="15117"/>
    <col width="12.6640625" bestFit="1" customWidth="1" style="1" min="15118" max="15118"/>
    <col width="9" bestFit="1" customWidth="1" style="1" min="15119" max="15119"/>
    <col width="13" customWidth="1" style="1" min="15120" max="15120"/>
    <col width="9" bestFit="1" customWidth="1" style="1" min="15121" max="15121"/>
    <col width="9.1640625" customWidth="1" style="1" min="15122" max="15364"/>
    <col width="16.1640625" customWidth="1" style="1" min="15365" max="15365"/>
    <col width="12.83203125" customWidth="1" style="1" min="15366" max="15366"/>
    <col width="8.6640625" bestFit="1" customWidth="1" style="1" min="15367" max="15367"/>
    <col width="13.33203125" customWidth="1" style="1" min="15368" max="15368"/>
    <col width="8.6640625" bestFit="1" customWidth="1" style="1" min="15369" max="15369"/>
    <col width="11.83203125" customWidth="1" style="1" min="15370" max="15370"/>
    <col width="8.83203125" bestFit="1" customWidth="1" style="1" min="15371" max="15371"/>
    <col width="12.83203125" customWidth="1" style="1" min="15372" max="15372"/>
    <col width="8.83203125" bestFit="1" customWidth="1" style="1" min="15373" max="15373"/>
    <col width="12.6640625" bestFit="1" customWidth="1" style="1" min="15374" max="15374"/>
    <col width="9" bestFit="1" customWidth="1" style="1" min="15375" max="15375"/>
    <col width="13" customWidth="1" style="1" min="15376" max="15376"/>
    <col width="9" bestFit="1" customWidth="1" style="1" min="15377" max="15377"/>
    <col width="9.1640625" customWidth="1" style="1" min="15378" max="15620"/>
    <col width="16.1640625" customWidth="1" style="1" min="15621" max="15621"/>
    <col width="12.83203125" customWidth="1" style="1" min="15622" max="15622"/>
    <col width="8.6640625" bestFit="1" customWidth="1" style="1" min="15623" max="15623"/>
    <col width="13.33203125" customWidth="1" style="1" min="15624" max="15624"/>
    <col width="8.6640625" bestFit="1" customWidth="1" style="1" min="15625" max="15625"/>
    <col width="11.83203125" customWidth="1" style="1" min="15626" max="15626"/>
    <col width="8.83203125" bestFit="1" customWidth="1" style="1" min="15627" max="15627"/>
    <col width="12.83203125" customWidth="1" style="1" min="15628" max="15628"/>
    <col width="8.83203125" bestFit="1" customWidth="1" style="1" min="15629" max="15629"/>
    <col width="12.6640625" bestFit="1" customWidth="1" style="1" min="15630" max="15630"/>
    <col width="9" bestFit="1" customWidth="1" style="1" min="15631" max="15631"/>
    <col width="13" customWidth="1" style="1" min="15632" max="15632"/>
    <col width="9" bestFit="1" customWidth="1" style="1" min="15633" max="15633"/>
    <col width="9.1640625" customWidth="1" style="1" min="15634" max="15876"/>
    <col width="16.1640625" customWidth="1" style="1" min="15877" max="15877"/>
    <col width="12.83203125" customWidth="1" style="1" min="15878" max="15878"/>
    <col width="8.6640625" bestFit="1" customWidth="1" style="1" min="15879" max="15879"/>
    <col width="13.33203125" customWidth="1" style="1" min="15880" max="15880"/>
    <col width="8.6640625" bestFit="1" customWidth="1" style="1" min="15881" max="15881"/>
    <col width="11.83203125" customWidth="1" style="1" min="15882" max="15882"/>
    <col width="8.83203125" bestFit="1" customWidth="1" style="1" min="15883" max="15883"/>
    <col width="12.83203125" customWidth="1" style="1" min="15884" max="15884"/>
    <col width="8.83203125" bestFit="1" customWidth="1" style="1" min="15885" max="15885"/>
    <col width="12.6640625" bestFit="1" customWidth="1" style="1" min="15886" max="15886"/>
    <col width="9" bestFit="1" customWidth="1" style="1" min="15887" max="15887"/>
    <col width="13" customWidth="1" style="1" min="15888" max="15888"/>
    <col width="9" bestFit="1" customWidth="1" style="1" min="15889" max="15889"/>
    <col width="9.1640625" customWidth="1" style="1" min="15890" max="16132"/>
    <col width="16.1640625" customWidth="1" style="1" min="16133" max="16133"/>
    <col width="12.83203125" customWidth="1" style="1" min="16134" max="16134"/>
    <col width="8.6640625" bestFit="1" customWidth="1" style="1" min="16135" max="16135"/>
    <col width="13.33203125" customWidth="1" style="1" min="16136" max="16136"/>
    <col width="8.6640625" bestFit="1" customWidth="1" style="1" min="16137" max="16137"/>
    <col width="11.83203125" customWidth="1" style="1" min="16138" max="16138"/>
    <col width="8.83203125" bestFit="1" customWidth="1" style="1" min="16139" max="16139"/>
    <col width="12.83203125" customWidth="1" style="1" min="16140" max="16140"/>
    <col width="8.83203125" bestFit="1" customWidth="1" style="1" min="16141" max="16141"/>
    <col width="12.6640625" bestFit="1" customWidth="1" style="1" min="16142" max="16142"/>
    <col width="9" bestFit="1" customWidth="1" style="1" min="16143" max="16143"/>
    <col width="13" customWidth="1" style="1" min="16144" max="16144"/>
    <col width="9" bestFit="1" customWidth="1" style="1" min="16145" max="16145"/>
    <col width="9.1640625" customWidth="1" style="1" min="16146" max="16384"/>
  </cols>
  <sheetData>
    <row r="1" ht="18" customHeight="1">
      <c r="A1" s="442">
        <f>'Sales, COGS, GP'!B3</f>
        <v/>
      </c>
      <c r="B1" s="534" t="n"/>
      <c r="C1" s="534" t="n"/>
      <c r="D1" s="534" t="n"/>
      <c r="E1" s="534" t="n"/>
      <c r="F1" s="534" t="n"/>
      <c r="G1" s="534" t="n"/>
      <c r="H1" s="534" t="n"/>
      <c r="I1" s="534" t="n"/>
      <c r="J1" s="534" t="n"/>
      <c r="K1" s="534" t="n"/>
      <c r="L1" s="534" t="n"/>
      <c r="M1" s="534" t="n"/>
      <c r="N1" s="534" t="n"/>
      <c r="O1" s="534" t="n"/>
      <c r="P1" s="534" t="n"/>
      <c r="Q1" s="534" t="n"/>
    </row>
    <row r="2" ht="16" customHeight="1">
      <c r="A2" s="444" t="inlineStr">
        <is>
          <t>Model Income Statement - Target Results</t>
        </is>
      </c>
      <c r="B2" s="534" t="n"/>
      <c r="C2" s="534" t="n"/>
      <c r="D2" s="534" t="n"/>
      <c r="E2" s="534" t="n"/>
      <c r="F2" s="534" t="n"/>
      <c r="G2" s="534" t="n"/>
      <c r="H2" s="534" t="n"/>
      <c r="I2" s="534" t="n"/>
      <c r="J2" s="534" t="n"/>
      <c r="K2" s="534" t="n"/>
      <c r="L2" s="534" t="n"/>
      <c r="M2" s="534" t="n"/>
      <c r="N2" s="534" t="n"/>
      <c r="O2" s="534" t="n"/>
      <c r="P2" s="534" t="n"/>
      <c r="Q2" s="534" t="n"/>
    </row>
    <row r="3">
      <c r="A3" s="273" t="n"/>
      <c r="B3" s="535" t="n"/>
      <c r="C3" s="536" t="n"/>
      <c r="D3" s="535" t="n"/>
      <c r="E3" s="536" t="n"/>
      <c r="F3" s="535" t="n"/>
      <c r="G3" s="536" t="n"/>
      <c r="H3" s="535" t="n"/>
      <c r="I3" s="536" t="n"/>
      <c r="J3" s="535" t="n"/>
      <c r="K3" s="536" t="n"/>
      <c r="L3" s="535" t="n"/>
      <c r="M3" s="536" t="n"/>
      <c r="N3" s="535" t="n"/>
      <c r="O3" s="536" t="n"/>
      <c r="P3" s="535" t="n"/>
      <c r="Q3" s="536" t="n"/>
    </row>
    <row r="4" ht="16" customHeight="1" thickBot="1">
      <c r="A4" s="276" t="inlineStr">
        <is>
          <t>Sales Mix</t>
        </is>
      </c>
      <c r="B4" s="537" t="inlineStr">
        <is>
          <t>Sales Dept.</t>
        </is>
      </c>
      <c r="C4" s="538">
        <f>IFERROR(B6/P6,"")</f>
        <v/>
      </c>
      <c r="D4" s="537" t="inlineStr">
        <is>
          <t>Parts</t>
        </is>
      </c>
      <c r="E4" s="538">
        <f>IFERROR(D6/P6,"")</f>
        <v/>
      </c>
      <c r="F4" s="537" t="inlineStr">
        <is>
          <t>Service</t>
        </is>
      </c>
      <c r="G4" s="538">
        <f>IFERROR(F6/P6,"")</f>
        <v/>
      </c>
      <c r="H4" s="537" t="inlineStr">
        <is>
          <t>Rental</t>
        </is>
      </c>
      <c r="I4" s="538">
        <f>IFERROR(H6/P6,"")</f>
        <v/>
      </c>
      <c r="J4" s="537" t="inlineStr">
        <is>
          <t>Rental</t>
        </is>
      </c>
      <c r="K4" s="538">
        <f>IFERROR(J6/P6,"")</f>
        <v/>
      </c>
      <c r="L4" s="537" t="inlineStr">
        <is>
          <t>Trucking</t>
        </is>
      </c>
      <c r="M4" s="538">
        <f>IFERROR(L6/P6,"")</f>
        <v/>
      </c>
      <c r="N4" s="537" t="n"/>
      <c r="O4" s="538" t="n"/>
      <c r="P4" s="537" t="inlineStr">
        <is>
          <t>Model Absorption</t>
        </is>
      </c>
      <c r="Q4" s="539">
        <f>IFERROR((D8+F8+H8)/P14,"")</f>
        <v/>
      </c>
    </row>
    <row r="5" ht="16" customHeight="1" thickBot="1">
      <c r="A5" s="280" t="n"/>
      <c r="B5" s="280" t="inlineStr">
        <is>
          <t>Sales Dept.</t>
        </is>
      </c>
      <c r="C5" s="540" t="n"/>
      <c r="D5" s="280" t="inlineStr">
        <is>
          <t>Parts</t>
        </is>
      </c>
      <c r="E5" s="540" t="n"/>
      <c r="F5" s="280" t="inlineStr">
        <is>
          <t>Service</t>
        </is>
      </c>
      <c r="G5" s="540" t="n"/>
      <c r="H5" s="280" t="inlineStr">
        <is>
          <t>Short Term Rental</t>
        </is>
      </c>
      <c r="I5" s="540" t="n"/>
      <c r="J5" s="280" t="inlineStr">
        <is>
          <t>Long Term Rental</t>
        </is>
      </c>
      <c r="K5" s="540" t="n"/>
      <c r="L5" s="280" t="inlineStr">
        <is>
          <t>Trucking</t>
        </is>
      </c>
      <c r="M5" s="540" t="n"/>
      <c r="N5" s="280" t="inlineStr">
        <is>
          <t>G&amp;A</t>
        </is>
      </c>
      <c r="O5" s="540" t="n"/>
      <c r="P5" s="280" t="inlineStr">
        <is>
          <t>Total</t>
        </is>
      </c>
      <c r="Q5" s="540" t="n"/>
    </row>
    <row r="6" ht="12.75" customHeight="1">
      <c r="A6" s="281" t="inlineStr">
        <is>
          <t>Sales</t>
        </is>
      </c>
      <c r="B6" s="541">
        <f>B23</f>
        <v/>
      </c>
      <c r="C6" s="542" t="n"/>
      <c r="D6" s="541">
        <f>+D23</f>
        <v/>
      </c>
      <c r="E6" s="543" t="n">
        <v>1</v>
      </c>
      <c r="F6" s="541">
        <f>+F23</f>
        <v/>
      </c>
      <c r="G6" s="543" t="n">
        <v>1</v>
      </c>
      <c r="H6" s="541">
        <f>+H23</f>
        <v/>
      </c>
      <c r="I6" s="543" t="n">
        <v>1</v>
      </c>
      <c r="J6" s="541">
        <f>+J23</f>
        <v/>
      </c>
      <c r="K6" s="543" t="n">
        <v>1</v>
      </c>
      <c r="L6" s="541">
        <f>+L23</f>
        <v/>
      </c>
      <c r="M6" s="543" t="n">
        <v>1</v>
      </c>
      <c r="N6" s="544" t="inlineStr">
        <is>
          <t>(% of Rental, Service &amp; Parts Revenue)</t>
        </is>
      </c>
      <c r="O6" s="545" t="n"/>
      <c r="P6" s="541">
        <f>P23</f>
        <v/>
      </c>
      <c r="Q6" s="543" t="n">
        <v>1</v>
      </c>
    </row>
    <row r="7">
      <c r="A7" s="281" t="n"/>
      <c r="B7" s="546" t="n"/>
      <c r="C7" s="542" t="n"/>
      <c r="D7" s="546" t="n"/>
      <c r="E7" s="542" t="n"/>
      <c r="F7" s="546" t="n"/>
      <c r="G7" s="542" t="n"/>
      <c r="H7" s="546" t="n"/>
      <c r="I7" s="542" t="n"/>
      <c r="J7" s="546" t="n"/>
      <c r="K7" s="542" t="n"/>
      <c r="L7" s="546" t="n"/>
      <c r="M7" s="542" t="n"/>
      <c r="N7" s="547" t="n"/>
      <c r="O7" s="548" t="n"/>
      <c r="P7" s="546" t="n"/>
      <c r="Q7" s="543" t="n"/>
    </row>
    <row r="8">
      <c r="A8" s="281" t="inlineStr">
        <is>
          <t>Gross Profit</t>
        </is>
      </c>
      <c r="B8" s="546">
        <f>+B25</f>
        <v/>
      </c>
      <c r="C8" s="549">
        <f>+C25</f>
        <v/>
      </c>
      <c r="D8" s="546">
        <f>E8*D6</f>
        <v/>
      </c>
      <c r="E8" s="550">
        <f>MODELS!$C$4</f>
        <v/>
      </c>
      <c r="F8" s="546">
        <f>G8*F6</f>
        <v/>
      </c>
      <c r="G8" s="550">
        <f>MODELS!$D$4</f>
        <v/>
      </c>
      <c r="H8" s="546">
        <f>I8*H6</f>
        <v/>
      </c>
      <c r="I8" s="550">
        <f>MODELS!E4</f>
        <v/>
      </c>
      <c r="J8" s="546">
        <f>K8*J6</f>
        <v/>
      </c>
      <c r="K8" s="550">
        <f>MODELS!F4</f>
        <v/>
      </c>
      <c r="L8" s="546">
        <f>M8*L6</f>
        <v/>
      </c>
      <c r="M8" s="550">
        <f>MODELS!$G$4</f>
        <v/>
      </c>
      <c r="N8" s="547" t="n"/>
      <c r="O8" s="548" t="n"/>
      <c r="P8" s="546">
        <f>B8+D8+F8+H8+J8+L8+('Expenses, Miscellaneous'!E25-'Expenses, Miscellaneous'!E26)</f>
        <v/>
      </c>
      <c r="Q8" s="543">
        <f>P8/P6</f>
        <v/>
      </c>
    </row>
    <row r="9">
      <c r="A9" s="281" t="n"/>
      <c r="B9" s="546" t="n"/>
      <c r="C9" s="549" t="n">
        <v>1</v>
      </c>
      <c r="D9" s="546" t="n"/>
      <c r="E9" s="542" t="n"/>
      <c r="F9" s="546" t="n"/>
      <c r="G9" s="542" t="n"/>
      <c r="H9" s="546" t="n"/>
      <c r="I9" s="542" t="n"/>
      <c r="J9" s="546" t="n"/>
      <c r="K9" s="542" t="n"/>
      <c r="L9" s="546" t="n"/>
      <c r="M9" s="542" t="n"/>
      <c r="N9" s="547" t="n"/>
      <c r="O9" s="548" t="n"/>
      <c r="P9" s="546" t="n"/>
      <c r="Q9" s="543" t="n"/>
    </row>
    <row r="10">
      <c r="A10" s="288" t="inlineStr">
        <is>
          <t>Expenses</t>
        </is>
      </c>
      <c r="B10" s="546" t="n"/>
      <c r="C10" s="542" t="n"/>
      <c r="D10" s="546" t="n"/>
      <c r="E10" s="542" t="n"/>
      <c r="F10" s="546" t="n"/>
      <c r="G10" s="542" t="n"/>
      <c r="H10" s="546" t="n"/>
      <c r="I10" s="542" t="n"/>
      <c r="J10" s="546" t="n"/>
      <c r="K10" s="542" t="n"/>
      <c r="L10" s="546" t="n"/>
      <c r="M10" s="542" t="n"/>
      <c r="N10" s="551" t="n"/>
      <c r="O10" s="542" t="n"/>
      <c r="P10" s="546" t="n"/>
      <c r="Q10" s="543" t="n"/>
    </row>
    <row r="11">
      <c r="A11" s="281" t="inlineStr">
        <is>
          <t xml:space="preserve">  Personnel</t>
        </is>
      </c>
      <c r="B11" s="546">
        <f>C11*B$8</f>
        <v/>
      </c>
      <c r="C11" s="550">
        <f>MODELS!B7</f>
        <v/>
      </c>
      <c r="D11" s="546">
        <f>E11*D6</f>
        <v/>
      </c>
      <c r="E11" s="550">
        <f>MODELS!C7</f>
        <v/>
      </c>
      <c r="F11" s="546">
        <f>G11*F6</f>
        <v/>
      </c>
      <c r="G11" s="550">
        <f>MODELS!D7</f>
        <v/>
      </c>
      <c r="H11" s="546">
        <f>I11*H6</f>
        <v/>
      </c>
      <c r="I11" s="550">
        <f>MODELS!E7</f>
        <v/>
      </c>
      <c r="J11" s="546">
        <f>K11*J6</f>
        <v/>
      </c>
      <c r="K11" s="550">
        <f>MODELS!F7</f>
        <v/>
      </c>
      <c r="L11" s="546">
        <f>M11*L6</f>
        <v/>
      </c>
      <c r="M11" s="550" t="n"/>
      <c r="N11" s="546">
        <f>O11*N17</f>
        <v/>
      </c>
      <c r="O11" s="550">
        <f>MODELS!H7</f>
        <v/>
      </c>
      <c r="P11" s="546">
        <f>B11+D11+F11+H11+J11+L11+N11</f>
        <v/>
      </c>
      <c r="Q11" s="543">
        <f>P11/P6</f>
        <v/>
      </c>
    </row>
    <row r="12">
      <c r="A12" s="281" t="inlineStr">
        <is>
          <t xml:space="preserve">  Operating</t>
        </is>
      </c>
      <c r="B12" s="546">
        <f>C12*B$8</f>
        <v/>
      </c>
      <c r="C12" s="550">
        <f>MODELS!B8</f>
        <v/>
      </c>
      <c r="D12" s="546">
        <f>E12*D6</f>
        <v/>
      </c>
      <c r="E12" s="550">
        <f>MODELS!C8</f>
        <v/>
      </c>
      <c r="F12" s="546">
        <f>G12*F6</f>
        <v/>
      </c>
      <c r="G12" s="550">
        <f>MODELS!D8</f>
        <v/>
      </c>
      <c r="H12" s="546">
        <f>I12*H6</f>
        <v/>
      </c>
      <c r="I12" s="550">
        <f>MODELS!E8</f>
        <v/>
      </c>
      <c r="J12" s="546">
        <f>K12*J6</f>
        <v/>
      </c>
      <c r="K12" s="550">
        <f>MODELS!F8</f>
        <v/>
      </c>
      <c r="L12" s="546">
        <f>M12*L6</f>
        <v/>
      </c>
      <c r="M12" s="550" t="n"/>
      <c r="N12" s="546">
        <f>O12*N17</f>
        <v/>
      </c>
      <c r="O12" s="550">
        <f>MODELS!H8</f>
        <v/>
      </c>
      <c r="P12" s="546">
        <f>B12+D12+F12+H12+J12+L12+N12</f>
        <v/>
      </c>
      <c r="Q12" s="543">
        <f>P12/P6</f>
        <v/>
      </c>
    </row>
    <row r="13">
      <c r="A13" s="290" t="inlineStr">
        <is>
          <t xml:space="preserve">  Occupancy</t>
        </is>
      </c>
      <c r="B13" s="552">
        <f>C13*B$8</f>
        <v/>
      </c>
      <c r="C13" s="553">
        <f>MODELS!B9</f>
        <v/>
      </c>
      <c r="D13" s="552">
        <f>E13*D6</f>
        <v/>
      </c>
      <c r="E13" s="553">
        <f>MODELS!C9</f>
        <v/>
      </c>
      <c r="F13" s="552">
        <f>G13*F6</f>
        <v/>
      </c>
      <c r="G13" s="553">
        <f>MODELS!D9</f>
        <v/>
      </c>
      <c r="H13" s="552">
        <f>I13*H6</f>
        <v/>
      </c>
      <c r="I13" s="553">
        <f>MODELS!E9</f>
        <v/>
      </c>
      <c r="J13" s="552">
        <f>K13*J6</f>
        <v/>
      </c>
      <c r="K13" s="553">
        <f>MODELS!F9</f>
        <v/>
      </c>
      <c r="L13" s="552">
        <f>M13*L6</f>
        <v/>
      </c>
      <c r="M13" s="553" t="n"/>
      <c r="N13" s="552">
        <f>O13*N17</f>
        <v/>
      </c>
      <c r="O13" s="553">
        <f>MODELS!H9</f>
        <v/>
      </c>
      <c r="P13" s="552">
        <f>B13+D13+F13+H13+J13+L13+N13</f>
        <v/>
      </c>
      <c r="Q13" s="554">
        <f>P13/P6</f>
        <v/>
      </c>
    </row>
    <row r="14">
      <c r="A14" s="281" t="inlineStr">
        <is>
          <t>Total Expenses</t>
        </is>
      </c>
      <c r="B14" s="546">
        <f>C14*B$8</f>
        <v/>
      </c>
      <c r="C14" s="542">
        <f>MODELS!B10</f>
        <v/>
      </c>
      <c r="D14" s="546">
        <f>SUM(D11:D13)</f>
        <v/>
      </c>
      <c r="E14" s="542">
        <f>MODELS!C10</f>
        <v/>
      </c>
      <c r="F14" s="546">
        <f>SUM(F11:F13)</f>
        <v/>
      </c>
      <c r="G14" s="542">
        <f>MODELS!D10</f>
        <v/>
      </c>
      <c r="H14" s="546">
        <f>SUM(H11:H13)</f>
        <v/>
      </c>
      <c r="I14" s="542">
        <f>MODELS!E10</f>
        <v/>
      </c>
      <c r="J14" s="546">
        <f>SUM(J11:J13)</f>
        <v/>
      </c>
      <c r="K14" s="542">
        <f>MODELS!F10</f>
        <v/>
      </c>
      <c r="L14" s="546">
        <f>SUM(L11:L13)</f>
        <v/>
      </c>
      <c r="M14" s="542" t="n"/>
      <c r="N14" s="546">
        <f>SUM(N11:N13)</f>
        <v/>
      </c>
      <c r="O14" s="542">
        <f>MODELS!H10</f>
        <v/>
      </c>
      <c r="P14" s="546">
        <f>SUM(P11:P13)</f>
        <v/>
      </c>
      <c r="Q14" s="555">
        <f>P14/P6</f>
        <v/>
      </c>
    </row>
    <row r="15">
      <c r="A15" s="281" t="n"/>
      <c r="B15" s="546" t="n"/>
      <c r="C15" s="542" t="n"/>
      <c r="D15" s="546" t="n"/>
      <c r="E15" s="542" t="n"/>
      <c r="F15" s="546" t="n"/>
      <c r="G15" s="542" t="n"/>
      <c r="H15" s="546" t="n"/>
      <c r="I15" s="542" t="n"/>
      <c r="J15" s="546" t="n"/>
      <c r="K15" s="542" t="n"/>
      <c r="L15" s="546" t="n"/>
      <c r="M15" s="542" t="n"/>
      <c r="N15" s="546" t="n"/>
      <c r="O15" s="542" t="n"/>
      <c r="P15" s="546" t="n"/>
      <c r="Q15" s="555" t="n"/>
    </row>
    <row r="16" ht="16" customHeight="1" thickBot="1">
      <c r="A16" s="556" t="inlineStr">
        <is>
          <t>Operating Profit</t>
        </is>
      </c>
      <c r="B16" s="557">
        <f>B8-B14</f>
        <v/>
      </c>
      <c r="C16" s="558">
        <f>MODELS!B12</f>
        <v/>
      </c>
      <c r="D16" s="557">
        <f>D8-D14</f>
        <v/>
      </c>
      <c r="E16" s="558">
        <f>MODELS!C12</f>
        <v/>
      </c>
      <c r="F16" s="557">
        <f>F8-F14</f>
        <v/>
      </c>
      <c r="G16" s="558">
        <f>MODELS!D12</f>
        <v/>
      </c>
      <c r="H16" s="557">
        <f>H8-H14</f>
        <v/>
      </c>
      <c r="I16" s="558">
        <f>MODELS!E12</f>
        <v/>
      </c>
      <c r="J16" s="557">
        <f>J8-J14</f>
        <v/>
      </c>
      <c r="K16" s="558">
        <f>MODELS!F12</f>
        <v/>
      </c>
      <c r="L16" s="557">
        <f>L8-L14</f>
        <v/>
      </c>
      <c r="M16" s="558" t="n"/>
      <c r="N16" s="557">
        <f>N14*-1</f>
        <v/>
      </c>
      <c r="O16" s="558">
        <f>MODELS!H12</f>
        <v/>
      </c>
      <c r="P16" s="557">
        <f>B16+D16+F16+H16+J16+L16+N16</f>
        <v/>
      </c>
      <c r="Q16" s="559">
        <f>P16/P6</f>
        <v/>
      </c>
      <c r="S16" s="152" t="n"/>
    </row>
    <row r="17" ht="23.25" customHeight="1">
      <c r="A17" s="560" t="n"/>
      <c r="B17" s="561" t="n"/>
      <c r="C17" s="536" t="n"/>
      <c r="D17" s="561" t="n"/>
      <c r="E17" s="536" t="n"/>
      <c r="F17" s="561" t="n"/>
      <c r="G17" s="536" t="n"/>
      <c r="H17" s="561" t="n"/>
      <c r="I17" s="536" t="n"/>
      <c r="J17" s="561" t="n"/>
      <c r="K17" s="536" t="n"/>
      <c r="L17" s="561" t="n"/>
      <c r="M17" s="536" t="n"/>
      <c r="N17" s="562">
        <f>D6+F6+H6</f>
        <v/>
      </c>
      <c r="O17" s="536" t="n"/>
      <c r="P17" s="561" t="n"/>
      <c r="Q17" s="563" t="n"/>
    </row>
    <row r="18" ht="30.75" customHeight="1">
      <c r="A18" s="443">
        <f>A1</f>
        <v/>
      </c>
      <c r="B18" s="534" t="n"/>
      <c r="C18" s="534" t="n"/>
      <c r="D18" s="534" t="n"/>
      <c r="E18" s="534" t="n"/>
      <c r="F18" s="534" t="n"/>
      <c r="G18" s="534" t="n"/>
      <c r="H18" s="534" t="n"/>
      <c r="I18" s="534" t="n"/>
      <c r="J18" s="534" t="n"/>
      <c r="K18" s="534" t="n"/>
      <c r="L18" s="534" t="n"/>
      <c r="M18" s="534" t="n"/>
      <c r="N18" s="534" t="n"/>
      <c r="O18" s="534" t="n"/>
      <c r="P18" s="534" t="n"/>
      <c r="Q18" s="534" t="n"/>
    </row>
    <row r="19" ht="16" customHeight="1">
      <c r="A19" s="444" t="inlineStr">
        <is>
          <t>Actual Income Statement -- Current Reporting Period</t>
        </is>
      </c>
      <c r="B19" s="534" t="n"/>
      <c r="C19" s="534" t="n"/>
      <c r="D19" s="534" t="n"/>
      <c r="E19" s="534" t="n"/>
      <c r="F19" s="534" t="n"/>
      <c r="G19" s="534" t="n"/>
      <c r="H19" s="534" t="n"/>
      <c r="I19" s="534" t="n"/>
      <c r="J19" s="534" t="n"/>
      <c r="K19" s="534" t="n"/>
      <c r="L19" s="534" t="n"/>
      <c r="M19" s="534" t="n"/>
      <c r="N19" s="534" t="n"/>
      <c r="O19" s="534" t="n"/>
      <c r="P19" s="534" t="n"/>
      <c r="Q19" s="534" t="n"/>
    </row>
    <row r="20">
      <c r="A20" s="273" t="n"/>
      <c r="B20" s="535" t="n"/>
      <c r="C20" s="536" t="n"/>
      <c r="D20" s="535" t="n"/>
      <c r="E20" s="536" t="n"/>
      <c r="F20" s="535" t="n"/>
      <c r="G20" s="536" t="n"/>
      <c r="H20" s="535" t="n"/>
      <c r="I20" s="536" t="n"/>
      <c r="J20" s="535" t="n"/>
      <c r="K20" s="536" t="n"/>
      <c r="L20" s="535" t="n"/>
      <c r="M20" s="536" t="n"/>
      <c r="N20" s="535" t="n"/>
      <c r="O20" s="536" t="n"/>
      <c r="P20" s="535" t="n"/>
      <c r="Q20" s="536" t="n"/>
    </row>
    <row r="21" ht="16" customHeight="1" thickBot="1">
      <c r="A21" s="276" t="inlineStr">
        <is>
          <t>Sales Mix</t>
        </is>
      </c>
      <c r="B21" s="537" t="inlineStr">
        <is>
          <t>Sales Dept.</t>
        </is>
      </c>
      <c r="C21" s="538">
        <f>IFERROR('Sales, COGS, GP'!B20/'Sales, COGS, GP'!B41,"")</f>
        <v/>
      </c>
      <c r="D21" s="537" t="inlineStr">
        <is>
          <t>Parts</t>
        </is>
      </c>
      <c r="E21" s="538">
        <f>IFERROR('Sales, COGS, GP'!B37/'Sales, COGS, GP'!B41,"")</f>
        <v/>
      </c>
      <c r="F21" s="537" t="inlineStr">
        <is>
          <t>Service</t>
        </is>
      </c>
      <c r="G21" s="538">
        <f>IFERROR('Sales, COGS, GP'!B29/'Sales, COGS, GP'!B41,"")</f>
        <v/>
      </c>
      <c r="H21" s="537" t="inlineStr">
        <is>
          <t>Rental</t>
        </is>
      </c>
      <c r="I21" s="301">
        <f>IFERROR(('Sales, COGS, GP'!B21+'Sales, COGS, GP'!B23)/'Sales, COGS, GP'!B41,"")</f>
        <v/>
      </c>
      <c r="J21" s="537" t="inlineStr">
        <is>
          <t>Rental</t>
        </is>
      </c>
      <c r="K21" s="301">
        <f>IFERROR(('Sales, COGS, GP'!B22)/'Sales, COGS, GP'!D41,"")</f>
        <v/>
      </c>
      <c r="L21" s="537" t="inlineStr">
        <is>
          <t>Trucking</t>
        </is>
      </c>
      <c r="M21" s="301">
        <f>IFERROR(('Sales, COGS, GP'!B38)/'Sales, COGS, GP'!F41,"")</f>
        <v/>
      </c>
      <c r="N21" s="537" t="n"/>
      <c r="O21" s="538" t="n"/>
      <c r="P21" s="537" t="inlineStr">
        <is>
          <t>Actual Absorption</t>
        </is>
      </c>
      <c r="Q21" s="539">
        <f>IFERROR((D25+F25+H25)/P31,"")</f>
        <v/>
      </c>
    </row>
    <row r="22" ht="16" customHeight="1" thickBot="1">
      <c r="A22" s="280" t="n"/>
      <c r="B22" s="280" t="inlineStr">
        <is>
          <t>Sales Dept.</t>
        </is>
      </c>
      <c r="C22" s="540" t="n"/>
      <c r="D22" s="280" t="inlineStr">
        <is>
          <t>Parts</t>
        </is>
      </c>
      <c r="E22" s="540" t="n"/>
      <c r="F22" s="280" t="inlineStr">
        <is>
          <t>Service</t>
        </is>
      </c>
      <c r="G22" s="540" t="n"/>
      <c r="H22" s="280" t="inlineStr">
        <is>
          <t>Short Term Rental</t>
        </is>
      </c>
      <c r="I22" s="540" t="n"/>
      <c r="J22" s="280" t="inlineStr">
        <is>
          <t>Long Term Rental</t>
        </is>
      </c>
      <c r="K22" s="540" t="n"/>
      <c r="L22" s="280" t="inlineStr">
        <is>
          <t>Trucking</t>
        </is>
      </c>
      <c r="M22" s="540" t="n"/>
      <c r="N22" s="280" t="inlineStr">
        <is>
          <t>G&amp;A</t>
        </is>
      </c>
      <c r="O22" s="540" t="n"/>
      <c r="P22" s="280" t="inlineStr">
        <is>
          <t>Total</t>
        </is>
      </c>
      <c r="Q22" s="540" t="n"/>
    </row>
    <row r="23" ht="12.75" customHeight="1">
      <c r="A23" s="281" t="inlineStr">
        <is>
          <t>Sales</t>
        </is>
      </c>
      <c r="B23" s="541">
        <f>'Sales, COGS, GP'!B20</f>
        <v/>
      </c>
      <c r="C23" s="542" t="n"/>
      <c r="D23" s="541">
        <f>'Sales, COGS, GP'!B37</f>
        <v/>
      </c>
      <c r="E23" s="543" t="n">
        <v>1</v>
      </c>
      <c r="F23" s="541">
        <f>'Sales, COGS, GP'!B29</f>
        <v/>
      </c>
      <c r="G23" s="543" t="n">
        <v>1</v>
      </c>
      <c r="H23" s="541">
        <f>'Sales, COGS, GP'!B21+'Sales, COGS, GP'!B23</f>
        <v/>
      </c>
      <c r="I23" s="543" t="n">
        <v>1</v>
      </c>
      <c r="J23" s="541">
        <f>'Sales, COGS, GP'!B22</f>
        <v/>
      </c>
      <c r="K23" s="543" t="n">
        <v>1</v>
      </c>
      <c r="L23" s="541">
        <f>'Sales, COGS, GP'!B38</f>
        <v/>
      </c>
      <c r="M23" s="543" t="n">
        <v>1</v>
      </c>
      <c r="N23" s="544" t="inlineStr">
        <is>
          <t>(% of Rental, Service &amp; Parts Revenue)</t>
        </is>
      </c>
      <c r="O23" s="545" t="n"/>
      <c r="P23" s="541">
        <f>B23+D23+F23+H23+J23+L23+'Expenses, Miscellaneous'!E25</f>
        <v/>
      </c>
      <c r="Q23" s="543" t="n">
        <v>1</v>
      </c>
    </row>
    <row r="24">
      <c r="A24" s="281" t="n"/>
      <c r="B24" s="546" t="n"/>
      <c r="C24" s="542" t="n"/>
      <c r="D24" s="546" t="n"/>
      <c r="E24" s="543" t="n"/>
      <c r="F24" s="546" t="n"/>
      <c r="G24" s="543" t="n"/>
      <c r="H24" s="546" t="n"/>
      <c r="I24" s="543" t="n"/>
      <c r="J24" s="546" t="n"/>
      <c r="K24" s="543" t="n"/>
      <c r="L24" s="546" t="n"/>
      <c r="M24" s="543" t="n"/>
      <c r="N24" s="547" t="n"/>
      <c r="O24" s="548" t="n"/>
      <c r="P24" s="546" t="n"/>
      <c r="Q24" s="543" t="n"/>
    </row>
    <row r="25">
      <c r="A25" s="281" t="inlineStr">
        <is>
          <t>Gross Profit</t>
        </is>
      </c>
      <c r="B25" s="546">
        <f>'Sales, COGS, GP'!D20</f>
        <v/>
      </c>
      <c r="C25" s="555">
        <f>+B25/B23</f>
        <v/>
      </c>
      <c r="D25" s="546">
        <f>'Sales, COGS, GP'!D37</f>
        <v/>
      </c>
      <c r="E25" s="555">
        <f>+D25/D23</f>
        <v/>
      </c>
      <c r="F25" s="546">
        <f>'Sales, COGS, GP'!D29</f>
        <v/>
      </c>
      <c r="G25" s="555">
        <f>+F25/F23</f>
        <v/>
      </c>
      <c r="H25" s="546">
        <f>'Sales, COGS, GP'!D21+'Sales, COGS, GP'!D23</f>
        <v/>
      </c>
      <c r="I25" s="555">
        <f>+H25/H23</f>
        <v/>
      </c>
      <c r="J25" s="546">
        <f>'Sales, COGS, GP'!D22</f>
        <v/>
      </c>
      <c r="K25" s="555">
        <f>+J25/J23</f>
        <v/>
      </c>
      <c r="L25" s="546">
        <f>'Sales, COGS, GP'!D38</f>
        <v/>
      </c>
      <c r="M25" s="555">
        <f>+L25/L23</f>
        <v/>
      </c>
      <c r="N25" s="547" t="n"/>
      <c r="O25" s="548" t="n"/>
      <c r="P25" s="546">
        <f>B25+D25+F25+H25+J25+L25+('Expenses, Miscellaneous'!E25-'Expenses, Miscellaneous'!E26)</f>
        <v/>
      </c>
      <c r="Q25" s="543">
        <f>P25/P23</f>
        <v/>
      </c>
    </row>
    <row r="26">
      <c r="A26" s="281" t="n"/>
      <c r="B26" s="546" t="n"/>
      <c r="C26" s="555" t="n">
        <v>1</v>
      </c>
      <c r="D26" s="546" t="n"/>
      <c r="E26" s="555" t="n"/>
      <c r="F26" s="546" t="n"/>
      <c r="G26" s="555" t="n"/>
      <c r="H26" s="546" t="n"/>
      <c r="I26" s="549" t="n"/>
      <c r="J26" s="546" t="n"/>
      <c r="K26" s="549" t="n"/>
      <c r="L26" s="546" t="n"/>
      <c r="M26" s="549" t="n"/>
      <c r="N26" s="547" t="n"/>
      <c r="O26" s="548" t="n"/>
      <c r="P26" s="546" t="n"/>
      <c r="Q26" s="543" t="n"/>
    </row>
    <row r="27">
      <c r="A27" s="288" t="inlineStr">
        <is>
          <t>Expenses</t>
        </is>
      </c>
      <c r="B27" s="546" t="n"/>
      <c r="C27" s="549" t="n"/>
      <c r="D27" s="546" t="n"/>
      <c r="E27" s="549" t="n"/>
      <c r="F27" s="546" t="n"/>
      <c r="G27" s="549" t="n"/>
      <c r="H27" s="546" t="n"/>
      <c r="I27" s="549" t="n"/>
      <c r="J27" s="546" t="n"/>
      <c r="K27" s="549" t="n"/>
      <c r="L27" s="546" t="n"/>
      <c r="M27" s="549" t="n"/>
      <c r="N27" s="551" t="n"/>
      <c r="O27" s="542" t="n"/>
      <c r="P27" s="546" t="n"/>
      <c r="Q27" s="543" t="n"/>
    </row>
    <row r="28">
      <c r="A28" s="281" t="inlineStr">
        <is>
          <t xml:space="preserve">  Personnel</t>
        </is>
      </c>
      <c r="B28" s="546">
        <f>'Expenses, Miscellaneous'!D4</f>
        <v/>
      </c>
      <c r="C28" s="555">
        <f>+B28/B25</f>
        <v/>
      </c>
      <c r="D28" s="546">
        <f>'Expenses, Miscellaneous'!E4</f>
        <v/>
      </c>
      <c r="E28" s="555">
        <f>+D28/D$23</f>
        <v/>
      </c>
      <c r="F28" s="546">
        <f>'Expenses, Miscellaneous'!F4</f>
        <v/>
      </c>
      <c r="G28" s="555">
        <f>+F28/F$23</f>
        <v/>
      </c>
      <c r="H28" s="546">
        <f>'Expenses, Miscellaneous'!G4</f>
        <v/>
      </c>
      <c r="I28" s="555">
        <f>+H28/H$23</f>
        <v/>
      </c>
      <c r="J28" s="546">
        <f>'Expenses, Miscellaneous'!H4</f>
        <v/>
      </c>
      <c r="K28" s="555">
        <f>+J28/J$23</f>
        <v/>
      </c>
      <c r="L28" s="546">
        <f>'Expenses, Miscellaneous'!I4</f>
        <v/>
      </c>
      <c r="M28" s="555">
        <f>+L28/L$23</f>
        <v/>
      </c>
      <c r="N28" s="546">
        <f>'Expenses, Miscellaneous'!J4</f>
        <v/>
      </c>
      <c r="O28" s="555">
        <f>N28/SUM(D$23,F$23,H$23)</f>
        <v/>
      </c>
      <c r="P28" s="546">
        <f>B28+D28+F28+H28+J28+L28+N28</f>
        <v/>
      </c>
      <c r="Q28" s="543">
        <f>P28/P23</f>
        <v/>
      </c>
    </row>
    <row r="29">
      <c r="A29" s="281" t="inlineStr">
        <is>
          <t xml:space="preserve">  Operating</t>
        </is>
      </c>
      <c r="B29" s="546">
        <f>'Expenses, Miscellaneous'!D5</f>
        <v/>
      </c>
      <c r="C29" s="555">
        <f>+B29/B25</f>
        <v/>
      </c>
      <c r="D29" s="546">
        <f>'Expenses, Miscellaneous'!E5</f>
        <v/>
      </c>
      <c r="E29" s="555">
        <f>+D29/D$23</f>
        <v/>
      </c>
      <c r="F29" s="546">
        <f>'Expenses, Miscellaneous'!F5</f>
        <v/>
      </c>
      <c r="G29" s="555">
        <f>+F29/F$23</f>
        <v/>
      </c>
      <c r="H29" s="546">
        <f>'Expenses, Miscellaneous'!G5</f>
        <v/>
      </c>
      <c r="I29" s="555">
        <f>+H29/H$23</f>
        <v/>
      </c>
      <c r="J29" s="546">
        <f>'Expenses, Miscellaneous'!H5</f>
        <v/>
      </c>
      <c r="K29" s="555">
        <f>+J29/J$23</f>
        <v/>
      </c>
      <c r="L29" s="546">
        <f>'Expenses, Miscellaneous'!I5</f>
        <v/>
      </c>
      <c r="M29" s="555">
        <f>+L29/L$23</f>
        <v/>
      </c>
      <c r="N29" s="546">
        <f>'Expenses, Miscellaneous'!J5</f>
        <v/>
      </c>
      <c r="O29" s="555">
        <f>N29/SUM(D$23,F$23,H$23)</f>
        <v/>
      </c>
      <c r="P29" s="546">
        <f>B29+D29+F29+H29+J29+L29+N29</f>
        <v/>
      </c>
      <c r="Q29" s="543">
        <f>P29/P23</f>
        <v/>
      </c>
    </row>
    <row r="30">
      <c r="A30" s="290" t="inlineStr">
        <is>
          <t xml:space="preserve">  Occupancy</t>
        </is>
      </c>
      <c r="B30" s="552">
        <f>'Expenses, Miscellaneous'!D6</f>
        <v/>
      </c>
      <c r="C30" s="554">
        <f>+B30/B25</f>
        <v/>
      </c>
      <c r="D30" s="552">
        <f>'Expenses, Miscellaneous'!E6</f>
        <v/>
      </c>
      <c r="E30" s="554">
        <f>+D30/D$23</f>
        <v/>
      </c>
      <c r="F30" s="552">
        <f>'Expenses, Miscellaneous'!F6</f>
        <v/>
      </c>
      <c r="G30" s="554">
        <f>+F30/F$23</f>
        <v/>
      </c>
      <c r="H30" s="552">
        <f>'Expenses, Miscellaneous'!G6</f>
        <v/>
      </c>
      <c r="I30" s="554">
        <f>+H30/H$23</f>
        <v/>
      </c>
      <c r="J30" s="552">
        <f>'Expenses, Miscellaneous'!H6</f>
        <v/>
      </c>
      <c r="K30" s="554">
        <f>+J30/J$23</f>
        <v/>
      </c>
      <c r="L30" s="552">
        <f>'Expenses, Miscellaneous'!I6</f>
        <v/>
      </c>
      <c r="M30" s="554">
        <f>+L30/L$23</f>
        <v/>
      </c>
      <c r="N30" s="552">
        <f>'Expenses, Miscellaneous'!J6</f>
        <v/>
      </c>
      <c r="O30" s="554">
        <f>N30/SUM(D$23,F$23,H$23)</f>
        <v/>
      </c>
      <c r="P30" s="552">
        <f>B30+D30+F30+H30+J30+L30+N30</f>
        <v/>
      </c>
      <c r="Q30" s="554">
        <f>P30/P23</f>
        <v/>
      </c>
    </row>
    <row r="31">
      <c r="A31" s="281" t="inlineStr">
        <is>
          <t>Total Expenses</t>
        </is>
      </c>
      <c r="B31" s="546">
        <f>'Expenses, Miscellaneous'!D7</f>
        <v/>
      </c>
      <c r="C31" s="555">
        <f>+B31/B25</f>
        <v/>
      </c>
      <c r="D31" s="546">
        <f>'Expenses, Miscellaneous'!E7</f>
        <v/>
      </c>
      <c r="E31" s="555">
        <f>+D31/D$23</f>
        <v/>
      </c>
      <c r="F31" s="546">
        <f>'Expenses, Miscellaneous'!F7</f>
        <v/>
      </c>
      <c r="G31" s="555">
        <f>+F31/F$23</f>
        <v/>
      </c>
      <c r="H31" s="546">
        <f>'Expenses, Miscellaneous'!G7</f>
        <v/>
      </c>
      <c r="I31" s="555">
        <f>+H31/H$23</f>
        <v/>
      </c>
      <c r="J31" s="546">
        <f>'Expenses, Miscellaneous'!H7</f>
        <v/>
      </c>
      <c r="K31" s="555">
        <f>+J31/J$23</f>
        <v/>
      </c>
      <c r="L31" s="546">
        <f>'Expenses, Miscellaneous'!I7</f>
        <v/>
      </c>
      <c r="M31" s="555">
        <f>+L31/L$23</f>
        <v/>
      </c>
      <c r="N31" s="546">
        <f>'Expenses, Miscellaneous'!J7</f>
        <v/>
      </c>
      <c r="O31" s="555">
        <f>N31/SUM(D$23,F$23,H$23)</f>
        <v/>
      </c>
      <c r="P31" s="546">
        <f>B31+D31+F31+H31+J31+L31+N31</f>
        <v/>
      </c>
      <c r="Q31" s="555">
        <f>P31/P23</f>
        <v/>
      </c>
    </row>
    <row r="32">
      <c r="A32" s="281" t="n"/>
      <c r="B32" s="546" t="n"/>
      <c r="C32" s="555" t="n"/>
      <c r="D32" s="546" t="n"/>
      <c r="E32" s="555" t="n"/>
      <c r="F32" s="546" t="n"/>
      <c r="G32" s="555" t="n"/>
      <c r="H32" s="546" t="n"/>
      <c r="I32" s="555" t="n"/>
      <c r="J32" s="546" t="n"/>
      <c r="K32" s="555" t="n"/>
      <c r="L32" s="546" t="n"/>
      <c r="M32" s="555" t="n"/>
      <c r="N32" s="546" t="n"/>
      <c r="O32" s="555" t="n"/>
      <c r="P32" s="546" t="n"/>
      <c r="Q32" s="555" t="n"/>
    </row>
    <row r="33" ht="16" customHeight="1" thickBot="1">
      <c r="A33" s="556" t="inlineStr">
        <is>
          <t>Operating Profit</t>
        </is>
      </c>
      <c r="B33" s="557">
        <f>B25-B31</f>
        <v/>
      </c>
      <c r="C33" s="559">
        <f>+B33/B25</f>
        <v/>
      </c>
      <c r="D33" s="557">
        <f>D25-D31</f>
        <v/>
      </c>
      <c r="E33" s="559">
        <f>+D33/D$23</f>
        <v/>
      </c>
      <c r="F33" s="557">
        <f>F25-F31</f>
        <v/>
      </c>
      <c r="G33" s="559">
        <f>+F33/F$23</f>
        <v/>
      </c>
      <c r="H33" s="557">
        <f>H25-H31</f>
        <v/>
      </c>
      <c r="I33" s="559">
        <f>+H33/H$23</f>
        <v/>
      </c>
      <c r="J33" s="557">
        <f>J25-J31</f>
        <v/>
      </c>
      <c r="K33" s="559">
        <f>+J33/J$23</f>
        <v/>
      </c>
      <c r="L33" s="557">
        <f>L25-L31</f>
        <v/>
      </c>
      <c r="M33" s="559">
        <f>+L33/L$23</f>
        <v/>
      </c>
      <c r="N33" s="557">
        <f>N31*-1</f>
        <v/>
      </c>
      <c r="O33" s="564">
        <f>N33/SUM(D$23,F$23,H$23)</f>
        <v/>
      </c>
      <c r="P33" s="557">
        <f>P25-P31</f>
        <v/>
      </c>
      <c r="Q33" s="559">
        <f>P33/P23</f>
        <v/>
      </c>
    </row>
    <row r="34">
      <c r="A34" s="565" t="inlineStr">
        <is>
          <t>Other Income (Expense)</t>
        </is>
      </c>
      <c r="B34" s="566" t="n"/>
      <c r="C34" s="567" t="n"/>
      <c r="D34" s="566" t="n"/>
      <c r="E34" s="567" t="n"/>
      <c r="F34" s="566" t="n"/>
      <c r="G34" s="567" t="n"/>
      <c r="H34" s="566" t="n"/>
      <c r="I34" s="567" t="n"/>
      <c r="J34" s="566" t="n"/>
      <c r="K34" s="567" t="n"/>
      <c r="L34" s="566" t="n"/>
      <c r="M34" s="567" t="n"/>
      <c r="N34" s="566" t="n"/>
      <c r="O34" s="567" t="n"/>
      <c r="P34" s="568">
        <f>'Sales, COGS, GP'!B43</f>
        <v/>
      </c>
      <c r="Q34" s="569" t="n"/>
    </row>
    <row r="35">
      <c r="A35" s="565" t="inlineStr">
        <is>
          <t>Interest (Expense)</t>
        </is>
      </c>
      <c r="B35" s="566" t="n"/>
      <c r="C35" s="567" t="n"/>
      <c r="D35" s="566" t="n"/>
      <c r="E35" s="567" t="n"/>
      <c r="F35" s="566" t="n"/>
      <c r="G35" s="567" t="n"/>
      <c r="H35" s="566" t="n"/>
      <c r="I35" s="567" t="n"/>
      <c r="J35" s="566" t="n"/>
      <c r="K35" s="567" t="n"/>
      <c r="L35" s="566" t="n"/>
      <c r="M35" s="567" t="n"/>
      <c r="N35" s="566" t="n"/>
      <c r="O35" s="567" t="n"/>
      <c r="P35" s="568">
        <f>'Sales, COGS, GP'!B44</f>
        <v/>
      </c>
      <c r="Q35" s="569" t="n"/>
    </row>
    <row r="36">
      <c r="A36" s="565" t="inlineStr">
        <is>
          <t>F&amp;I (Income)</t>
        </is>
      </c>
      <c r="B36" s="566" t="n"/>
      <c r="C36" s="567" t="n"/>
      <c r="D36" s="566" t="n"/>
      <c r="E36" s="567" t="n"/>
      <c r="F36" s="566" t="n"/>
      <c r="G36" s="567" t="n"/>
      <c r="H36" s="566" t="n"/>
      <c r="I36" s="567" t="n"/>
      <c r="J36" s="566" t="n"/>
      <c r="K36" s="567" t="n"/>
      <c r="L36" s="566" t="n"/>
      <c r="M36" s="567" t="n"/>
      <c r="N36" s="566" t="n"/>
      <c r="O36" s="567" t="n"/>
      <c r="P36" s="568">
        <f>'Sales, COGS, GP'!B46</f>
        <v/>
      </c>
      <c r="Q36" s="569" t="n"/>
    </row>
    <row r="37">
      <c r="A37" s="565" t="inlineStr">
        <is>
          <t>Net Profit Before Tax</t>
        </is>
      </c>
      <c r="B37" s="566" t="n"/>
      <c r="C37" s="567" t="n"/>
      <c r="D37" s="566" t="n"/>
      <c r="E37" s="567" t="n"/>
      <c r="F37" s="566" t="n"/>
      <c r="G37" s="567" t="n"/>
      <c r="H37" s="566" t="n"/>
      <c r="I37" s="567" t="n"/>
      <c r="J37" s="566" t="n"/>
      <c r="K37" s="567" t="n"/>
      <c r="L37" s="566" t="n"/>
      <c r="M37" s="567" t="n"/>
      <c r="N37" s="566" t="n"/>
      <c r="O37" s="567" t="n"/>
      <c r="P37" s="568">
        <f>'Sales, COGS, GP'!B47</f>
        <v/>
      </c>
      <c r="Q37" s="569">
        <f>IFERROR(+P37/P23,"")</f>
        <v/>
      </c>
    </row>
    <row r="38">
      <c r="A38" s="560" t="n"/>
      <c r="B38" s="535" t="n"/>
      <c r="C38" s="536" t="n"/>
      <c r="D38" s="535" t="n"/>
      <c r="E38" s="536" t="n"/>
      <c r="F38" s="535" t="n"/>
      <c r="G38" s="536" t="n"/>
      <c r="H38" s="535" t="n"/>
      <c r="I38" s="536" t="n"/>
      <c r="J38" s="535" t="n"/>
      <c r="K38" s="536" t="n"/>
      <c r="L38" s="535" t="n"/>
      <c r="M38" s="536" t="n"/>
      <c r="N38" s="570">
        <f>D23+F23+H23</f>
        <v/>
      </c>
      <c r="O38" s="536" t="n"/>
      <c r="P38" s="535" t="n"/>
      <c r="Q38" s="536" t="n"/>
    </row>
    <row r="39" ht="18" customHeight="1">
      <c r="A39" s="443">
        <f>A1</f>
        <v/>
      </c>
      <c r="B39" s="534" t="n"/>
      <c r="C39" s="534" t="n"/>
      <c r="D39" s="534" t="n"/>
      <c r="E39" s="534" t="n"/>
      <c r="F39" s="534" t="n"/>
      <c r="G39" s="534" t="n"/>
      <c r="H39" s="534" t="n"/>
      <c r="I39" s="534" t="n"/>
      <c r="J39" s="534" t="n"/>
      <c r="K39" s="534" t="n"/>
      <c r="L39" s="534" t="n"/>
      <c r="M39" s="534" t="n"/>
      <c r="N39" s="534" t="n"/>
      <c r="O39" s="534" t="n"/>
      <c r="P39" s="534" t="n"/>
      <c r="Q39" s="534" t="n"/>
    </row>
    <row r="40" ht="16" customHeight="1">
      <c r="A40" s="444" t="inlineStr">
        <is>
          <t>Gap Analysis (Difference Between Target and Actual Results)</t>
        </is>
      </c>
      <c r="B40" s="534" t="n"/>
      <c r="C40" s="534" t="n"/>
      <c r="D40" s="534" t="n"/>
      <c r="E40" s="534" t="n"/>
      <c r="F40" s="534" t="n"/>
      <c r="G40" s="534" t="n"/>
      <c r="H40" s="534" t="n"/>
      <c r="I40" s="534" t="n"/>
      <c r="J40" s="534" t="n"/>
      <c r="K40" s="534" t="n"/>
      <c r="L40" s="534" t="n"/>
      <c r="M40" s="534" t="n"/>
      <c r="N40" s="534" t="n"/>
      <c r="O40" s="534" t="n"/>
      <c r="P40" s="534" t="n"/>
      <c r="Q40" s="534" t="n"/>
    </row>
    <row r="41" ht="16" customHeight="1" thickBot="1">
      <c r="A41" s="273" t="n"/>
      <c r="B41" s="535" t="n"/>
      <c r="C41" s="536" t="n"/>
      <c r="D41" s="535" t="n"/>
      <c r="E41" s="536" t="n"/>
      <c r="F41" s="535" t="n"/>
      <c r="G41" s="536" t="n"/>
      <c r="H41" s="535" t="n"/>
      <c r="I41" s="536" t="n"/>
      <c r="J41" s="535" t="n"/>
      <c r="K41" s="536" t="n"/>
      <c r="L41" s="535" t="n"/>
      <c r="M41" s="536" t="n"/>
      <c r="N41" s="535" t="n"/>
      <c r="O41" s="536" t="n"/>
      <c r="P41" s="535" t="n"/>
      <c r="Q41" s="536" t="n"/>
    </row>
    <row r="42" ht="16" customHeight="1" thickBot="1">
      <c r="A42" s="280" t="n"/>
      <c r="B42" s="280" t="inlineStr">
        <is>
          <t>Sales Dept.</t>
        </is>
      </c>
      <c r="C42" s="540" t="n"/>
      <c r="D42" s="280" t="inlineStr">
        <is>
          <t>Parts</t>
        </is>
      </c>
      <c r="E42" s="540" t="n"/>
      <c r="F42" s="280" t="inlineStr">
        <is>
          <t>Service</t>
        </is>
      </c>
      <c r="G42" s="540" t="n"/>
      <c r="H42" s="280" t="inlineStr">
        <is>
          <t>Short Term Rental</t>
        </is>
      </c>
      <c r="I42" s="540" t="n"/>
      <c r="J42" s="280" t="inlineStr">
        <is>
          <t>Long Term Rental</t>
        </is>
      </c>
      <c r="K42" s="540" t="n"/>
      <c r="L42" s="280" t="inlineStr">
        <is>
          <t>Trucking</t>
        </is>
      </c>
      <c r="M42" s="540" t="n"/>
      <c r="N42" s="280" t="inlineStr">
        <is>
          <t>G&amp;A</t>
        </is>
      </c>
      <c r="O42" s="540" t="n"/>
      <c r="P42" s="280" t="inlineStr">
        <is>
          <t>Total</t>
        </is>
      </c>
      <c r="Q42" s="540" t="n"/>
    </row>
    <row r="43">
      <c r="A43" s="309" t="n"/>
      <c r="B43" s="571" t="n"/>
      <c r="C43" s="542" t="n"/>
      <c r="D43" s="571" t="n"/>
      <c r="E43" s="542" t="n"/>
      <c r="F43" s="571" t="n"/>
      <c r="G43" s="542" t="n"/>
      <c r="H43" s="571" t="n"/>
      <c r="I43" s="542" t="n"/>
      <c r="J43" s="571" t="n"/>
      <c r="K43" s="542" t="n"/>
      <c r="L43" s="571" t="n"/>
      <c r="M43" s="542" t="n"/>
      <c r="N43" s="551" t="n"/>
      <c r="O43" s="542" t="n"/>
      <c r="P43" s="571" t="n"/>
      <c r="Q43" s="543" t="n"/>
    </row>
    <row r="44">
      <c r="A44" s="281" t="inlineStr">
        <is>
          <t>Gross Profit</t>
        </is>
      </c>
      <c r="B44" s="572" t="n"/>
      <c r="C44" s="549" t="n"/>
      <c r="D44" s="573">
        <f>D25-D8</f>
        <v/>
      </c>
      <c r="E44" s="549">
        <f>E25-E8</f>
        <v/>
      </c>
      <c r="F44" s="573">
        <f>F25-F8</f>
        <v/>
      </c>
      <c r="G44" s="549">
        <f>G25-G8</f>
        <v/>
      </c>
      <c r="H44" s="573">
        <f>H25-H8</f>
        <v/>
      </c>
      <c r="I44" s="549">
        <f>I25-I8</f>
        <v/>
      </c>
      <c r="J44" s="573">
        <f>J25-J8</f>
        <v/>
      </c>
      <c r="K44" s="549">
        <f>K25-K8</f>
        <v/>
      </c>
      <c r="L44" s="573">
        <f>L25-L8</f>
        <v/>
      </c>
      <c r="M44" s="549">
        <f>M25-M8</f>
        <v/>
      </c>
      <c r="N44" s="572" t="n"/>
      <c r="O44" s="549" t="n"/>
      <c r="P44" s="573">
        <f>P25-P8</f>
        <v/>
      </c>
      <c r="Q44" s="549">
        <f>Q25-Q8</f>
        <v/>
      </c>
    </row>
    <row r="45">
      <c r="A45" s="281" t="n"/>
      <c r="B45" s="551" t="n"/>
      <c r="C45" s="549" t="n"/>
      <c r="D45" s="573" t="n"/>
      <c r="E45" s="549" t="n"/>
      <c r="F45" s="573" t="n"/>
      <c r="G45" s="549" t="n"/>
      <c r="H45" s="573" t="n"/>
      <c r="I45" s="549" t="n"/>
      <c r="J45" s="573" t="n"/>
      <c r="K45" s="549" t="n"/>
      <c r="L45" s="573" t="n"/>
      <c r="M45" s="549" t="n"/>
      <c r="N45" s="551" t="n"/>
      <c r="O45" s="549" t="n"/>
      <c r="P45" s="573" t="n"/>
      <c r="Q45" s="549" t="n"/>
    </row>
    <row r="46">
      <c r="A46" s="288" t="inlineStr">
        <is>
          <t>Expenses</t>
        </is>
      </c>
      <c r="B46" s="551" t="n"/>
      <c r="C46" s="549" t="n"/>
      <c r="D46" s="573" t="n"/>
      <c r="E46" s="549" t="n"/>
      <c r="F46" s="573" t="n"/>
      <c r="G46" s="549" t="n"/>
      <c r="H46" s="573" t="n"/>
      <c r="I46" s="549" t="n"/>
      <c r="J46" s="573" t="n"/>
      <c r="K46" s="549" t="n"/>
      <c r="L46" s="573" t="n"/>
      <c r="M46" s="549" t="n"/>
      <c r="N46" s="551" t="n"/>
      <c r="O46" s="549" t="n"/>
      <c r="P46" s="573" t="n"/>
      <c r="Q46" s="549" t="n"/>
    </row>
    <row r="47">
      <c r="A47" s="281" t="inlineStr">
        <is>
          <t xml:space="preserve">  Personnel</t>
        </is>
      </c>
      <c r="B47" s="573">
        <f>B11-B28</f>
        <v/>
      </c>
      <c r="C47" s="549">
        <f>C11-C28</f>
        <v/>
      </c>
      <c r="D47" s="573">
        <f>D11-D28</f>
        <v/>
      </c>
      <c r="E47" s="549">
        <f>E11-E28</f>
        <v/>
      </c>
      <c r="F47" s="573">
        <f>F11-F28</f>
        <v/>
      </c>
      <c r="G47" s="549">
        <f>G11-G28</f>
        <v/>
      </c>
      <c r="H47" s="573">
        <f>H11-H28</f>
        <v/>
      </c>
      <c r="I47" s="549">
        <f>I11-I28</f>
        <v/>
      </c>
      <c r="J47" s="573">
        <f>J11-J28</f>
        <v/>
      </c>
      <c r="K47" s="549">
        <f>K11-K28</f>
        <v/>
      </c>
      <c r="L47" s="573">
        <f>L11-L28</f>
        <v/>
      </c>
      <c r="M47" s="549">
        <f>M11-M28</f>
        <v/>
      </c>
      <c r="N47" s="573">
        <f>N11-N28</f>
        <v/>
      </c>
      <c r="O47" s="549">
        <f>O11-O28</f>
        <v/>
      </c>
      <c r="P47" s="573">
        <f>P11-P28</f>
        <v/>
      </c>
      <c r="Q47" s="549">
        <f>Q11-Q28</f>
        <v/>
      </c>
    </row>
    <row r="48">
      <c r="A48" s="281" t="inlineStr">
        <is>
          <t xml:space="preserve">  Operating</t>
        </is>
      </c>
      <c r="B48" s="573">
        <f>B12-B29</f>
        <v/>
      </c>
      <c r="C48" s="549">
        <f>C12-C29</f>
        <v/>
      </c>
      <c r="D48" s="573">
        <f>D12-D29</f>
        <v/>
      </c>
      <c r="E48" s="549">
        <f>E12-E29</f>
        <v/>
      </c>
      <c r="F48" s="573">
        <f>F12-F29</f>
        <v/>
      </c>
      <c r="G48" s="549">
        <f>G12-G29</f>
        <v/>
      </c>
      <c r="H48" s="573">
        <f>H12-H29</f>
        <v/>
      </c>
      <c r="I48" s="549">
        <f>I12-I29</f>
        <v/>
      </c>
      <c r="J48" s="573">
        <f>J12-J29</f>
        <v/>
      </c>
      <c r="K48" s="549">
        <f>K12-K29</f>
        <v/>
      </c>
      <c r="L48" s="573">
        <f>L12-L29</f>
        <v/>
      </c>
      <c r="M48" s="549">
        <f>M12-M29</f>
        <v/>
      </c>
      <c r="N48" s="573">
        <f>N12-N29</f>
        <v/>
      </c>
      <c r="O48" s="549">
        <f>O12-O29</f>
        <v/>
      </c>
      <c r="P48" s="573">
        <f>P12-P29</f>
        <v/>
      </c>
      <c r="Q48" s="549">
        <f>Q12-Q29</f>
        <v/>
      </c>
    </row>
    <row r="49">
      <c r="A49" s="290" t="inlineStr">
        <is>
          <t xml:space="preserve">  Occupancy</t>
        </is>
      </c>
      <c r="B49" s="574">
        <f>B13-B30</f>
        <v/>
      </c>
      <c r="C49" s="575">
        <f>C13-C30</f>
        <v/>
      </c>
      <c r="D49" s="574">
        <f>D13-D30</f>
        <v/>
      </c>
      <c r="E49" s="575">
        <f>E13-E30</f>
        <v/>
      </c>
      <c r="F49" s="574">
        <f>F13-F30</f>
        <v/>
      </c>
      <c r="G49" s="575">
        <f>G13-G30</f>
        <v/>
      </c>
      <c r="H49" s="574">
        <f>H13-H30</f>
        <v/>
      </c>
      <c r="I49" s="575">
        <f>I13-I30</f>
        <v/>
      </c>
      <c r="J49" s="574">
        <f>J13-J30</f>
        <v/>
      </c>
      <c r="K49" s="575">
        <f>K13-K30</f>
        <v/>
      </c>
      <c r="L49" s="574">
        <f>L13-L30</f>
        <v/>
      </c>
      <c r="M49" s="575">
        <f>M13-M30</f>
        <v/>
      </c>
      <c r="N49" s="574">
        <f>N13-N30</f>
        <v/>
      </c>
      <c r="O49" s="575">
        <f>O13-O30</f>
        <v/>
      </c>
      <c r="P49" s="574">
        <f>P13-P30</f>
        <v/>
      </c>
      <c r="Q49" s="575">
        <f>Q13-Q30</f>
        <v/>
      </c>
    </row>
    <row r="50">
      <c r="A50" s="281" t="inlineStr">
        <is>
          <t>Total Expenses</t>
        </is>
      </c>
      <c r="B50" s="573">
        <f>SUM(B47:B49)</f>
        <v/>
      </c>
      <c r="C50" s="549">
        <f>SUM(C47:C49)</f>
        <v/>
      </c>
      <c r="D50" s="573">
        <f>SUM(D47:D49)</f>
        <v/>
      </c>
      <c r="E50" s="549">
        <f>SUM(E47:E49)</f>
        <v/>
      </c>
      <c r="F50" s="573">
        <f>SUM(F47:F49)</f>
        <v/>
      </c>
      <c r="G50" s="549">
        <f>SUM(G47:G49)</f>
        <v/>
      </c>
      <c r="H50" s="573">
        <f>SUM(H47:H49)</f>
        <v/>
      </c>
      <c r="I50" s="549">
        <f>SUM(I47:I49)</f>
        <v/>
      </c>
      <c r="J50" s="573">
        <f>SUM(J47:J49)</f>
        <v/>
      </c>
      <c r="K50" s="549">
        <f>SUM(K47:K49)</f>
        <v/>
      </c>
      <c r="L50" s="573">
        <f>SUM(L47:L49)</f>
        <v/>
      </c>
      <c r="M50" s="549">
        <f>SUM(M47:M49)</f>
        <v/>
      </c>
      <c r="N50" s="573">
        <f>SUM(N47:N49)</f>
        <v/>
      </c>
      <c r="O50" s="549">
        <f>SUM(O47:O49)</f>
        <v/>
      </c>
      <c r="P50" s="573">
        <f>SUM(P47:P49)</f>
        <v/>
      </c>
      <c r="Q50" s="549">
        <f>SUM(Q47:Q49)</f>
        <v/>
      </c>
    </row>
    <row r="51">
      <c r="A51" s="281" t="n"/>
      <c r="B51" s="573" t="n"/>
      <c r="C51" s="549" t="n"/>
      <c r="D51" s="573" t="n"/>
      <c r="E51" s="549" t="n"/>
      <c r="F51" s="573" t="n"/>
      <c r="G51" s="549" t="n"/>
      <c r="H51" s="573" t="n"/>
      <c r="I51" s="549" t="n"/>
      <c r="J51" s="573" t="n"/>
      <c r="K51" s="549" t="n"/>
      <c r="L51" s="573" t="n"/>
      <c r="M51" s="549" t="n"/>
      <c r="N51" s="573" t="n"/>
      <c r="O51" s="549" t="n"/>
      <c r="P51" s="573" t="n"/>
      <c r="Q51" s="549" t="n"/>
    </row>
    <row r="52" ht="16" customHeight="1" thickBot="1">
      <c r="A52" s="556" t="inlineStr">
        <is>
          <t>Operating Profit</t>
        </is>
      </c>
      <c r="B52" s="576">
        <f>B50</f>
        <v/>
      </c>
      <c r="C52" s="577">
        <f>C50</f>
        <v/>
      </c>
      <c r="D52" s="576">
        <f>D33-D16</f>
        <v/>
      </c>
      <c r="E52" s="577">
        <f>E33-E16</f>
        <v/>
      </c>
      <c r="F52" s="576">
        <f>F33-F16</f>
        <v/>
      </c>
      <c r="G52" s="577">
        <f>G33-G16</f>
        <v/>
      </c>
      <c r="H52" s="576">
        <f>H33-H16</f>
        <v/>
      </c>
      <c r="I52" s="577">
        <f>I33-I16</f>
        <v/>
      </c>
      <c r="J52" s="576">
        <f>J33-J16</f>
        <v/>
      </c>
      <c r="K52" s="577">
        <f>K33-K16</f>
        <v/>
      </c>
      <c r="L52" s="576">
        <f>L33-L16</f>
        <v/>
      </c>
      <c r="M52" s="577">
        <f>M33-M16</f>
        <v/>
      </c>
      <c r="N52" s="576">
        <f>N50</f>
        <v/>
      </c>
      <c r="O52" s="577">
        <f>O50</f>
        <v/>
      </c>
      <c r="P52" s="576">
        <f>P44+P50</f>
        <v/>
      </c>
      <c r="Q52" s="577">
        <f>Q44+Q50</f>
        <v/>
      </c>
    </row>
  </sheetData>
  <sheetProtection selectLockedCells="1" selectUnlockedCells="0" sheet="1" objects="1" insertRows="1" insertHyperlinks="1" autoFilter="1" scenarios="1" formatColumns="1" deleteColumns="1" insertColumns="1" pivotTables="1" deleteRows="1" formatCells="1" formatRows="1" sort="1"/>
  <mergeCells count="32">
    <mergeCell ref="A40:Q40"/>
    <mergeCell ref="J5:K5"/>
    <mergeCell ref="A39:Q39"/>
    <mergeCell ref="B22:C22"/>
    <mergeCell ref="N23:O26"/>
    <mergeCell ref="D22:E22"/>
    <mergeCell ref="N22:O22"/>
    <mergeCell ref="A1:Q1"/>
    <mergeCell ref="P22:Q22"/>
    <mergeCell ref="F5:G5"/>
    <mergeCell ref="L42:M42"/>
    <mergeCell ref="B42:C42"/>
    <mergeCell ref="N42:O42"/>
    <mergeCell ref="N6:O9"/>
    <mergeCell ref="F42:G42"/>
    <mergeCell ref="L5:M5"/>
    <mergeCell ref="N5:O5"/>
    <mergeCell ref="A18:Q18"/>
    <mergeCell ref="A2:Q2"/>
    <mergeCell ref="F22:G22"/>
    <mergeCell ref="H22:I22"/>
    <mergeCell ref="J22:K22"/>
    <mergeCell ref="L22:M22"/>
    <mergeCell ref="D42:E42"/>
    <mergeCell ref="B5:C5"/>
    <mergeCell ref="H42:I42"/>
    <mergeCell ref="D5:E5"/>
    <mergeCell ref="J42:K42"/>
    <mergeCell ref="P42:Q42"/>
    <mergeCell ref="H5:I5"/>
    <mergeCell ref="P5:Q5"/>
    <mergeCell ref="A19:Q19"/>
  </mergeCells>
  <conditionalFormatting sqref="B6 B8:D8 B14:D14 B16:D16 B23 B25:D25 B28:H29 C9 C26 C30 D6 E25:E26 E30 F6 F8 F14 F16 F25 G25:G26 G30 H6 H8 H14 H16 I26:I30 N14 N16 N28:P29 O11:O13 O30:O33 P6 P8 P11:P14 P16:Q16 P23:Q23 P25 P30:P31 P33:Q33 Q8:Q14 Q25:Q31">
    <cfRule type="expression" priority="23" dxfId="0" stopIfTrue="1">
      <formula>ISERROR(B6)</formula>
    </cfRule>
  </conditionalFormatting>
  <conditionalFormatting sqref="B33:K37">
    <cfRule type="expression" priority="8" dxfId="0" stopIfTrue="1">
      <formula>ISERROR(B33)</formula>
    </cfRule>
  </conditionalFormatting>
  <conditionalFormatting sqref="B43:Q52">
    <cfRule type="cellIs" priority="2" operator="lessThan" dxfId="97" stopIfTrue="1">
      <formula>0</formula>
    </cfRule>
  </conditionalFormatting>
  <conditionalFormatting sqref="B7 B9:B10 B13:D13 B15:D15 B24 B26:B27 B30 C6:C7 C10 C23:C24 C27 D7 D9:D10 D26:D27 D30 E6:E10 E13:E16 E27 F7 F9:F10 F13 F15 F26:F27 F30 G6:G10 G13:G16 G27 H7 H9:H10 H13 H15 H26:H27 H30 I6:I10 I13:I16 N13 N15 N23:O27 N30 O14:O16 P7 P9:P10 P15:Q15 P24:Q24 P26:P27 P32:Q32 Q6:Q7">
    <cfRule type="expression" priority="22" dxfId="0" stopIfTrue="1">
      <formula>"Error"</formula>
    </cfRule>
  </conditionalFormatting>
  <conditionalFormatting sqref="B51:Q51 C43:M43 C45:M46">
    <cfRule type="expression" priority="3" dxfId="0" stopIfTrue="1">
      <formula>"Error"</formula>
    </cfRule>
  </conditionalFormatting>
  <conditionalFormatting sqref="B47:M50 B52:Q52 C44:M44">
    <cfRule type="expression" priority="5" dxfId="0" stopIfTrue="1">
      <formula>ISERROR(B44)</formula>
    </cfRule>
  </conditionalFormatting>
  <conditionalFormatting sqref="J6 J8 J14 J16 J28:J29 K26:K30">
    <cfRule type="expression" priority="14" dxfId="0" stopIfTrue="1">
      <formula>ISERROR(J6)</formula>
    </cfRule>
  </conditionalFormatting>
  <conditionalFormatting sqref="J7 J9:J10 J13 J15 J26:J27 J30 K6:K10 K13:K16">
    <cfRule type="expression" priority="13" dxfId="0" stopIfTrue="1">
      <formula>"Error"</formula>
    </cfRule>
  </conditionalFormatting>
  <conditionalFormatting sqref="B11:N12 B31:N31 D23:M23 H25:M25 L6 L8 L14 L16 L28:L29 L33:N33 M26:M30">
    <cfRule type="expression" priority="7" dxfId="0" stopIfTrue="1">
      <formula>ISERROR(B6)</formula>
    </cfRule>
  </conditionalFormatting>
  <conditionalFormatting sqref="L34:O37">
    <cfRule type="expression" priority="1" dxfId="0" stopIfTrue="1">
      <formula>ISERROR(L34)</formula>
    </cfRule>
  </conditionalFormatting>
  <conditionalFormatting sqref="B32:N32 D24:M24 L7 L9:L10 L13 L15 L26:L27 L30 M6:O10 M13:M16">
    <cfRule type="expression" priority="6" dxfId="0" stopIfTrue="1">
      <formula>"Error"</formula>
    </cfRule>
  </conditionalFormatting>
  <conditionalFormatting sqref="N49 P49">
    <cfRule type="expression" priority="17" dxfId="0" stopIfTrue="1">
      <formula>ISERROR(N50)</formula>
    </cfRule>
  </conditionalFormatting>
  <conditionalFormatting sqref="B43:B46 N43:N46 O43:Q43 O45:Q46">
    <cfRule type="expression" priority="19" dxfId="0" stopIfTrue="1">
      <formula>"Error"</formula>
    </cfRule>
  </conditionalFormatting>
  <conditionalFormatting sqref="N47:Q48 N50:Q50 O44:Q44 O49 Q49">
    <cfRule type="expression" priority="21" dxfId="0" stopIfTrue="1">
      <formula>ISERROR(N44)</formula>
    </cfRule>
  </conditionalFormatting>
  <conditionalFormatting sqref="Q34:Q37">
    <cfRule type="expression" priority="15" dxfId="0" stopIfTrue="1">
      <formula>ISERROR(Q34)</formula>
    </cfRule>
  </conditionalFormatting>
  <printOptions horizontalCentered="1" verticalCentered="1"/>
  <pageMargins left="0.7" right="0.7" top="0.75" bottom="0.75" header="0.3" footer="0.3"/>
  <pageSetup orientation="landscape" scale="63"/>
  <headerFooter>
    <oddHeader>&amp;C&amp;"Times New Roman,Regular"&amp;12 Currie Financial Composite Input Template_x000a_Material Handling Equipment&amp;R&amp;G</oddHeader>
    <oddFooter>&amp;C&amp;"BergamoSmCaps,Bold"&amp;9 &amp;K002060www.curriemanagement.com</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K142"/>
  <sheetViews>
    <sheetView view="pageBreakPreview" zoomScale="80" zoomScaleNormal="100" zoomScaleSheetLayoutView="80" workbookViewId="0">
      <selection activeCell="G1" sqref="G1"/>
    </sheetView>
  </sheetViews>
  <sheetFormatPr baseColWidth="10" defaultColWidth="8.83203125" defaultRowHeight="16"/>
  <cols>
    <col width="41" customWidth="1" style="434" min="1" max="1"/>
    <col width="22.5" customWidth="1" style="2" min="2" max="3"/>
    <col width="3.6640625" customWidth="1" style="434" min="4" max="4"/>
    <col width="47.1640625" customWidth="1" style="434" min="5" max="5"/>
    <col width="22.5" customWidth="1" style="2" min="6" max="7"/>
    <col width="2.83203125" customWidth="1" style="2" min="8" max="8"/>
    <col width="47.33203125" customWidth="1" style="434" min="9" max="9"/>
    <col width="22.5" customWidth="1" style="2" min="10" max="11"/>
    <col width="9.1640625" customWidth="1" style="22" min="12" max="233"/>
    <col width="24.5" customWidth="1" style="22" min="234" max="234"/>
    <col width="15" customWidth="1" style="22" min="235" max="235"/>
    <col width="2.83203125" customWidth="1" style="22" min="236" max="236"/>
    <col width="27" customWidth="1" style="22" min="237" max="237"/>
    <col width="15" customWidth="1" style="22" min="238" max="238"/>
    <col width="2.83203125" customWidth="1" style="22" min="239" max="239"/>
    <col width="24.5" customWidth="1" style="22" min="240" max="240"/>
    <col width="15" customWidth="1" style="22" min="241" max="241"/>
    <col width="14.83203125" customWidth="1" style="22" min="242" max="242"/>
    <col width="12.5" customWidth="1" style="22" min="243" max="243"/>
    <col width="9.1640625" customWidth="1" style="22" min="244" max="253"/>
    <col width="5.1640625" customWidth="1" style="22" min="254" max="254"/>
    <col width="26.83203125" customWidth="1" style="22" min="255" max="255"/>
    <col width="15" customWidth="1" style="22" min="256" max="256"/>
    <col width="2.83203125" customWidth="1" style="22" min="257" max="257"/>
    <col width="26.6640625" customWidth="1" style="22" min="258" max="258"/>
    <col width="10.83203125" customWidth="1" style="22" min="259" max="260"/>
    <col width="9.1640625" customWidth="1" style="22" min="261" max="489"/>
    <col width="24.5" customWidth="1" style="22" min="490" max="490"/>
    <col width="15" customWidth="1" style="22" min="491" max="491"/>
    <col width="2.83203125" customWidth="1" style="22" min="492" max="492"/>
    <col width="27" customWidth="1" style="22" min="493" max="493"/>
    <col width="15" customWidth="1" style="22" min="494" max="494"/>
    <col width="2.83203125" customWidth="1" style="22" min="495" max="495"/>
    <col width="24.5" customWidth="1" style="22" min="496" max="496"/>
    <col width="15" customWidth="1" style="22" min="497" max="497"/>
    <col width="14.83203125" customWidth="1" style="22" min="498" max="498"/>
    <col width="12.5" customWidth="1" style="22" min="499" max="499"/>
    <col width="9.1640625" customWidth="1" style="22" min="500" max="509"/>
    <col width="5.1640625" customWidth="1" style="22" min="510" max="510"/>
    <col width="26.83203125" customWidth="1" style="22" min="511" max="511"/>
    <col width="15" customWidth="1" style="22" min="512" max="512"/>
    <col width="2.83203125" customWidth="1" style="22" min="513" max="513"/>
    <col width="26.6640625" customWidth="1" style="22" min="514" max="514"/>
    <col width="10.83203125" customWidth="1" style="22" min="515" max="516"/>
    <col width="9.1640625" customWidth="1" style="22" min="517" max="745"/>
    <col width="24.5" customWidth="1" style="22" min="746" max="746"/>
    <col width="15" customWidth="1" style="22" min="747" max="747"/>
    <col width="2.83203125" customWidth="1" style="22" min="748" max="748"/>
    <col width="27" customWidth="1" style="22" min="749" max="749"/>
    <col width="15" customWidth="1" style="22" min="750" max="750"/>
    <col width="2.83203125" customWidth="1" style="22" min="751" max="751"/>
    <col width="24.5" customWidth="1" style="22" min="752" max="752"/>
    <col width="15" customWidth="1" style="22" min="753" max="753"/>
    <col width="14.83203125" customWidth="1" style="22" min="754" max="754"/>
    <col width="12.5" customWidth="1" style="22" min="755" max="755"/>
    <col width="9.1640625" customWidth="1" style="22" min="756" max="765"/>
    <col width="5.1640625" customWidth="1" style="22" min="766" max="766"/>
    <col width="26.83203125" customWidth="1" style="22" min="767" max="767"/>
    <col width="15" customWidth="1" style="22" min="768" max="768"/>
    <col width="2.83203125" customWidth="1" style="22" min="769" max="769"/>
    <col width="26.6640625" customWidth="1" style="22" min="770" max="770"/>
    <col width="10.83203125" customWidth="1" style="22" min="771" max="772"/>
    <col width="9.1640625" customWidth="1" style="22" min="773" max="1001"/>
    <col width="24.5" customWidth="1" style="22" min="1002" max="1002"/>
    <col width="15" customWidth="1" style="22" min="1003" max="1003"/>
    <col width="2.83203125" customWidth="1" style="22" min="1004" max="1004"/>
    <col width="27" customWidth="1" style="22" min="1005" max="1005"/>
    <col width="15" customWidth="1" style="22" min="1006" max="1006"/>
    <col width="2.83203125" customWidth="1" style="22" min="1007" max="1007"/>
    <col width="24.5" customWidth="1" style="22" min="1008" max="1008"/>
    <col width="15" customWidth="1" style="22" min="1009" max="1009"/>
    <col width="14.83203125" customWidth="1" style="22" min="1010" max="1010"/>
    <col width="12.5" customWidth="1" style="22" min="1011" max="1011"/>
    <col width="9.1640625" customWidth="1" style="22" min="1012" max="1021"/>
    <col width="5.1640625" customWidth="1" style="22" min="1022" max="1022"/>
    <col width="26.83203125" customWidth="1" style="22" min="1023" max="1023"/>
    <col width="15" customWidth="1" style="22" min="1024" max="1024"/>
    <col width="2.83203125" customWidth="1" style="22" min="1025" max="1025"/>
    <col width="26.6640625" customWidth="1" style="22" min="1026" max="1026"/>
    <col width="10.83203125" customWidth="1" style="22" min="1027" max="1028"/>
    <col width="9.1640625" customWidth="1" style="22" min="1029" max="1257"/>
    <col width="24.5" customWidth="1" style="22" min="1258" max="1258"/>
    <col width="15" customWidth="1" style="22" min="1259" max="1259"/>
    <col width="2.83203125" customWidth="1" style="22" min="1260" max="1260"/>
    <col width="27" customWidth="1" style="22" min="1261" max="1261"/>
    <col width="15" customWidth="1" style="22" min="1262" max="1262"/>
    <col width="2.83203125" customWidth="1" style="22" min="1263" max="1263"/>
    <col width="24.5" customWidth="1" style="22" min="1264" max="1264"/>
    <col width="15" customWidth="1" style="22" min="1265" max="1265"/>
    <col width="14.83203125" customWidth="1" style="22" min="1266" max="1266"/>
    <col width="12.5" customWidth="1" style="22" min="1267" max="1267"/>
    <col width="9.1640625" customWidth="1" style="22" min="1268" max="1277"/>
    <col width="5.1640625" customWidth="1" style="22" min="1278" max="1278"/>
    <col width="26.83203125" customWidth="1" style="22" min="1279" max="1279"/>
    <col width="15" customWidth="1" style="22" min="1280" max="1280"/>
    <col width="2.83203125" customWidth="1" style="22" min="1281" max="1281"/>
    <col width="26.6640625" customWidth="1" style="22" min="1282" max="1282"/>
    <col width="10.83203125" customWidth="1" style="22" min="1283" max="1284"/>
    <col width="9.1640625" customWidth="1" style="22" min="1285" max="1513"/>
    <col width="24.5" customWidth="1" style="22" min="1514" max="1514"/>
    <col width="15" customWidth="1" style="22" min="1515" max="1515"/>
    <col width="2.83203125" customWidth="1" style="22" min="1516" max="1516"/>
    <col width="27" customWidth="1" style="22" min="1517" max="1517"/>
    <col width="15" customWidth="1" style="22" min="1518" max="1518"/>
    <col width="2.83203125" customWidth="1" style="22" min="1519" max="1519"/>
    <col width="24.5" customWidth="1" style="22" min="1520" max="1520"/>
    <col width="15" customWidth="1" style="22" min="1521" max="1521"/>
    <col width="14.83203125" customWidth="1" style="22" min="1522" max="1522"/>
    <col width="12.5" customWidth="1" style="22" min="1523" max="1523"/>
    <col width="9.1640625" customWidth="1" style="22" min="1524" max="1533"/>
    <col width="5.1640625" customWidth="1" style="22" min="1534" max="1534"/>
    <col width="26.83203125" customWidth="1" style="22" min="1535" max="1535"/>
    <col width="15" customWidth="1" style="22" min="1536" max="1536"/>
    <col width="2.83203125" customWidth="1" style="22" min="1537" max="1537"/>
    <col width="26.6640625" customWidth="1" style="22" min="1538" max="1538"/>
    <col width="10.83203125" customWidth="1" style="22" min="1539" max="1540"/>
    <col width="9.1640625" customWidth="1" style="22" min="1541" max="1769"/>
    <col width="24.5" customWidth="1" style="22" min="1770" max="1770"/>
    <col width="15" customWidth="1" style="22" min="1771" max="1771"/>
    <col width="2.83203125" customWidth="1" style="22" min="1772" max="1772"/>
    <col width="27" customWidth="1" style="22" min="1773" max="1773"/>
    <col width="15" customWidth="1" style="22" min="1774" max="1774"/>
    <col width="2.83203125" customWidth="1" style="22" min="1775" max="1775"/>
    <col width="24.5" customWidth="1" style="22" min="1776" max="1776"/>
    <col width="15" customWidth="1" style="22" min="1777" max="1777"/>
    <col width="14.83203125" customWidth="1" style="22" min="1778" max="1778"/>
    <col width="12.5" customWidth="1" style="22" min="1779" max="1779"/>
    <col width="9.1640625" customWidth="1" style="22" min="1780" max="1789"/>
    <col width="5.1640625" customWidth="1" style="22" min="1790" max="1790"/>
    <col width="26.83203125" customWidth="1" style="22" min="1791" max="1791"/>
    <col width="15" customWidth="1" style="22" min="1792" max="1792"/>
    <col width="2.83203125" customWidth="1" style="22" min="1793" max="1793"/>
    <col width="26.6640625" customWidth="1" style="22" min="1794" max="1794"/>
    <col width="10.83203125" customWidth="1" style="22" min="1795" max="1796"/>
    <col width="9.1640625" customWidth="1" style="22" min="1797" max="2025"/>
    <col width="24.5" customWidth="1" style="22" min="2026" max="2026"/>
    <col width="15" customWidth="1" style="22" min="2027" max="2027"/>
    <col width="2.83203125" customWidth="1" style="22" min="2028" max="2028"/>
    <col width="27" customWidth="1" style="22" min="2029" max="2029"/>
    <col width="15" customWidth="1" style="22" min="2030" max="2030"/>
    <col width="2.83203125" customWidth="1" style="22" min="2031" max="2031"/>
    <col width="24.5" customWidth="1" style="22" min="2032" max="2032"/>
    <col width="15" customWidth="1" style="22" min="2033" max="2033"/>
    <col width="14.83203125" customWidth="1" style="22" min="2034" max="2034"/>
    <col width="12.5" customWidth="1" style="22" min="2035" max="2035"/>
    <col width="9.1640625" customWidth="1" style="22" min="2036" max="2045"/>
    <col width="5.1640625" customWidth="1" style="22" min="2046" max="2046"/>
    <col width="26.83203125" customWidth="1" style="22" min="2047" max="2047"/>
    <col width="15" customWidth="1" style="22" min="2048" max="2048"/>
    <col width="2.83203125" customWidth="1" style="22" min="2049" max="2049"/>
    <col width="26.6640625" customWidth="1" style="22" min="2050" max="2050"/>
    <col width="10.83203125" customWidth="1" style="22" min="2051" max="2052"/>
    <col width="9.1640625" customWidth="1" style="22" min="2053" max="2281"/>
    <col width="24.5" customWidth="1" style="22" min="2282" max="2282"/>
    <col width="15" customWidth="1" style="22" min="2283" max="2283"/>
    <col width="2.83203125" customWidth="1" style="22" min="2284" max="2284"/>
    <col width="27" customWidth="1" style="22" min="2285" max="2285"/>
    <col width="15" customWidth="1" style="22" min="2286" max="2286"/>
    <col width="2.83203125" customWidth="1" style="22" min="2287" max="2287"/>
    <col width="24.5" customWidth="1" style="22" min="2288" max="2288"/>
    <col width="15" customWidth="1" style="22" min="2289" max="2289"/>
    <col width="14.83203125" customWidth="1" style="22" min="2290" max="2290"/>
    <col width="12.5" customWidth="1" style="22" min="2291" max="2291"/>
    <col width="9.1640625" customWidth="1" style="22" min="2292" max="2301"/>
    <col width="5.1640625" customWidth="1" style="22" min="2302" max="2302"/>
    <col width="26.83203125" customWidth="1" style="22" min="2303" max="2303"/>
    <col width="15" customWidth="1" style="22" min="2304" max="2304"/>
    <col width="2.83203125" customWidth="1" style="22" min="2305" max="2305"/>
    <col width="26.6640625" customWidth="1" style="22" min="2306" max="2306"/>
    <col width="10.83203125" customWidth="1" style="22" min="2307" max="2308"/>
    <col width="9.1640625" customWidth="1" style="22" min="2309" max="2537"/>
    <col width="24.5" customWidth="1" style="22" min="2538" max="2538"/>
    <col width="15" customWidth="1" style="22" min="2539" max="2539"/>
    <col width="2.83203125" customWidth="1" style="22" min="2540" max="2540"/>
    <col width="27" customWidth="1" style="22" min="2541" max="2541"/>
    <col width="15" customWidth="1" style="22" min="2542" max="2542"/>
    <col width="2.83203125" customWidth="1" style="22" min="2543" max="2543"/>
    <col width="24.5" customWidth="1" style="22" min="2544" max="2544"/>
    <col width="15" customWidth="1" style="22" min="2545" max="2545"/>
    <col width="14.83203125" customWidth="1" style="22" min="2546" max="2546"/>
    <col width="12.5" customWidth="1" style="22" min="2547" max="2547"/>
    <col width="9.1640625" customWidth="1" style="22" min="2548" max="2557"/>
    <col width="5.1640625" customWidth="1" style="22" min="2558" max="2558"/>
    <col width="26.83203125" customWidth="1" style="22" min="2559" max="2559"/>
    <col width="15" customWidth="1" style="22" min="2560" max="2560"/>
    <col width="2.83203125" customWidth="1" style="22" min="2561" max="2561"/>
    <col width="26.6640625" customWidth="1" style="22" min="2562" max="2562"/>
    <col width="10.83203125" customWidth="1" style="22" min="2563" max="2564"/>
    <col width="9.1640625" customWidth="1" style="22" min="2565" max="2793"/>
    <col width="24.5" customWidth="1" style="22" min="2794" max="2794"/>
    <col width="15" customWidth="1" style="22" min="2795" max="2795"/>
    <col width="2.83203125" customWidth="1" style="22" min="2796" max="2796"/>
    <col width="27" customWidth="1" style="22" min="2797" max="2797"/>
    <col width="15" customWidth="1" style="22" min="2798" max="2798"/>
    <col width="2.83203125" customWidth="1" style="22" min="2799" max="2799"/>
    <col width="24.5" customWidth="1" style="22" min="2800" max="2800"/>
    <col width="15" customWidth="1" style="22" min="2801" max="2801"/>
    <col width="14.83203125" customWidth="1" style="22" min="2802" max="2802"/>
    <col width="12.5" customWidth="1" style="22" min="2803" max="2803"/>
    <col width="9.1640625" customWidth="1" style="22" min="2804" max="2813"/>
    <col width="5.1640625" customWidth="1" style="22" min="2814" max="2814"/>
    <col width="26.83203125" customWidth="1" style="22" min="2815" max="2815"/>
    <col width="15" customWidth="1" style="22" min="2816" max="2816"/>
    <col width="2.83203125" customWidth="1" style="22" min="2817" max="2817"/>
    <col width="26.6640625" customWidth="1" style="22" min="2818" max="2818"/>
    <col width="10.83203125" customWidth="1" style="22" min="2819" max="2820"/>
    <col width="9.1640625" customWidth="1" style="22" min="2821" max="3049"/>
    <col width="24.5" customWidth="1" style="22" min="3050" max="3050"/>
    <col width="15" customWidth="1" style="22" min="3051" max="3051"/>
    <col width="2.83203125" customWidth="1" style="22" min="3052" max="3052"/>
    <col width="27" customWidth="1" style="22" min="3053" max="3053"/>
    <col width="15" customWidth="1" style="22" min="3054" max="3054"/>
    <col width="2.83203125" customWidth="1" style="22" min="3055" max="3055"/>
    <col width="24.5" customWidth="1" style="22" min="3056" max="3056"/>
    <col width="15" customWidth="1" style="22" min="3057" max="3057"/>
    <col width="14.83203125" customWidth="1" style="22" min="3058" max="3058"/>
    <col width="12.5" customWidth="1" style="22" min="3059" max="3059"/>
    <col width="9.1640625" customWidth="1" style="22" min="3060" max="3069"/>
    <col width="5.1640625" customWidth="1" style="22" min="3070" max="3070"/>
    <col width="26.83203125" customWidth="1" style="22" min="3071" max="3071"/>
    <col width="15" customWidth="1" style="22" min="3072" max="3072"/>
    <col width="2.83203125" customWidth="1" style="22" min="3073" max="3073"/>
    <col width="26.6640625" customWidth="1" style="22" min="3074" max="3074"/>
    <col width="10.83203125" customWidth="1" style="22" min="3075" max="3076"/>
    <col width="9.1640625" customWidth="1" style="22" min="3077" max="3305"/>
    <col width="24.5" customWidth="1" style="22" min="3306" max="3306"/>
    <col width="15" customWidth="1" style="22" min="3307" max="3307"/>
    <col width="2.83203125" customWidth="1" style="22" min="3308" max="3308"/>
    <col width="27" customWidth="1" style="22" min="3309" max="3309"/>
    <col width="15" customWidth="1" style="22" min="3310" max="3310"/>
    <col width="2.83203125" customWidth="1" style="22" min="3311" max="3311"/>
    <col width="24.5" customWidth="1" style="22" min="3312" max="3312"/>
    <col width="15" customWidth="1" style="22" min="3313" max="3313"/>
    <col width="14.83203125" customWidth="1" style="22" min="3314" max="3314"/>
    <col width="12.5" customWidth="1" style="22" min="3315" max="3315"/>
    <col width="9.1640625" customWidth="1" style="22" min="3316" max="3325"/>
    <col width="5.1640625" customWidth="1" style="22" min="3326" max="3326"/>
    <col width="26.83203125" customWidth="1" style="22" min="3327" max="3327"/>
    <col width="15" customWidth="1" style="22" min="3328" max="3328"/>
    <col width="2.83203125" customWidth="1" style="22" min="3329" max="3329"/>
    <col width="26.6640625" customWidth="1" style="22" min="3330" max="3330"/>
    <col width="10.83203125" customWidth="1" style="22" min="3331" max="3332"/>
    <col width="9.1640625" customWidth="1" style="22" min="3333" max="3561"/>
    <col width="24.5" customWidth="1" style="22" min="3562" max="3562"/>
    <col width="15" customWidth="1" style="22" min="3563" max="3563"/>
    <col width="2.83203125" customWidth="1" style="22" min="3564" max="3564"/>
    <col width="27" customWidth="1" style="22" min="3565" max="3565"/>
    <col width="15" customWidth="1" style="22" min="3566" max="3566"/>
    <col width="2.83203125" customWidth="1" style="22" min="3567" max="3567"/>
    <col width="24.5" customWidth="1" style="22" min="3568" max="3568"/>
    <col width="15" customWidth="1" style="22" min="3569" max="3569"/>
    <col width="14.83203125" customWidth="1" style="22" min="3570" max="3570"/>
    <col width="12.5" customWidth="1" style="22" min="3571" max="3571"/>
    <col width="9.1640625" customWidth="1" style="22" min="3572" max="3581"/>
    <col width="5.1640625" customWidth="1" style="22" min="3582" max="3582"/>
    <col width="26.83203125" customWidth="1" style="22" min="3583" max="3583"/>
    <col width="15" customWidth="1" style="22" min="3584" max="3584"/>
    <col width="2.83203125" customWidth="1" style="22" min="3585" max="3585"/>
    <col width="26.6640625" customWidth="1" style="22" min="3586" max="3586"/>
    <col width="10.83203125" customWidth="1" style="22" min="3587" max="3588"/>
    <col width="9.1640625" customWidth="1" style="22" min="3589" max="3817"/>
    <col width="24.5" customWidth="1" style="22" min="3818" max="3818"/>
    <col width="15" customWidth="1" style="22" min="3819" max="3819"/>
    <col width="2.83203125" customWidth="1" style="22" min="3820" max="3820"/>
    <col width="27" customWidth="1" style="22" min="3821" max="3821"/>
    <col width="15" customWidth="1" style="22" min="3822" max="3822"/>
    <col width="2.83203125" customWidth="1" style="22" min="3823" max="3823"/>
    <col width="24.5" customWidth="1" style="22" min="3824" max="3824"/>
    <col width="15" customWidth="1" style="22" min="3825" max="3825"/>
    <col width="14.83203125" customWidth="1" style="22" min="3826" max="3826"/>
    <col width="12.5" customWidth="1" style="22" min="3827" max="3827"/>
    <col width="9.1640625" customWidth="1" style="22" min="3828" max="3837"/>
    <col width="5.1640625" customWidth="1" style="22" min="3838" max="3838"/>
    <col width="26.83203125" customWidth="1" style="22" min="3839" max="3839"/>
    <col width="15" customWidth="1" style="22" min="3840" max="3840"/>
    <col width="2.83203125" customWidth="1" style="22" min="3841" max="3841"/>
    <col width="26.6640625" customWidth="1" style="22" min="3842" max="3842"/>
    <col width="10.83203125" customWidth="1" style="22" min="3843" max="3844"/>
    <col width="9.1640625" customWidth="1" style="22" min="3845" max="4073"/>
    <col width="24.5" customWidth="1" style="22" min="4074" max="4074"/>
    <col width="15" customWidth="1" style="22" min="4075" max="4075"/>
    <col width="2.83203125" customWidth="1" style="22" min="4076" max="4076"/>
    <col width="27" customWidth="1" style="22" min="4077" max="4077"/>
    <col width="15" customWidth="1" style="22" min="4078" max="4078"/>
    <col width="2.83203125" customWidth="1" style="22" min="4079" max="4079"/>
    <col width="24.5" customWidth="1" style="22" min="4080" max="4080"/>
    <col width="15" customWidth="1" style="22" min="4081" max="4081"/>
    <col width="14.83203125" customWidth="1" style="22" min="4082" max="4082"/>
    <col width="12.5" customWidth="1" style="22" min="4083" max="4083"/>
    <col width="9.1640625" customWidth="1" style="22" min="4084" max="4093"/>
    <col width="5.1640625" customWidth="1" style="22" min="4094" max="4094"/>
    <col width="26.83203125" customWidth="1" style="22" min="4095" max="4095"/>
    <col width="15" customWidth="1" style="22" min="4096" max="4096"/>
    <col width="2.83203125" customWidth="1" style="22" min="4097" max="4097"/>
    <col width="26.6640625" customWidth="1" style="22" min="4098" max="4098"/>
    <col width="10.83203125" customWidth="1" style="22" min="4099" max="4100"/>
    <col width="9.1640625" customWidth="1" style="22" min="4101" max="4329"/>
    <col width="24.5" customWidth="1" style="22" min="4330" max="4330"/>
    <col width="15" customWidth="1" style="22" min="4331" max="4331"/>
    <col width="2.83203125" customWidth="1" style="22" min="4332" max="4332"/>
    <col width="27" customWidth="1" style="22" min="4333" max="4333"/>
    <col width="15" customWidth="1" style="22" min="4334" max="4334"/>
    <col width="2.83203125" customWidth="1" style="22" min="4335" max="4335"/>
    <col width="24.5" customWidth="1" style="22" min="4336" max="4336"/>
    <col width="15" customWidth="1" style="22" min="4337" max="4337"/>
    <col width="14.83203125" customWidth="1" style="22" min="4338" max="4338"/>
    <col width="12.5" customWidth="1" style="22" min="4339" max="4339"/>
    <col width="9.1640625" customWidth="1" style="22" min="4340" max="4349"/>
    <col width="5.1640625" customWidth="1" style="22" min="4350" max="4350"/>
    <col width="26.83203125" customWidth="1" style="22" min="4351" max="4351"/>
    <col width="15" customWidth="1" style="22" min="4352" max="4352"/>
    <col width="2.83203125" customWidth="1" style="22" min="4353" max="4353"/>
    <col width="26.6640625" customWidth="1" style="22" min="4354" max="4354"/>
    <col width="10.83203125" customWidth="1" style="22" min="4355" max="4356"/>
    <col width="9.1640625" customWidth="1" style="22" min="4357" max="4585"/>
    <col width="24.5" customWidth="1" style="22" min="4586" max="4586"/>
    <col width="15" customWidth="1" style="22" min="4587" max="4587"/>
    <col width="2.83203125" customWidth="1" style="22" min="4588" max="4588"/>
    <col width="27" customWidth="1" style="22" min="4589" max="4589"/>
    <col width="15" customWidth="1" style="22" min="4590" max="4590"/>
    <col width="2.83203125" customWidth="1" style="22" min="4591" max="4591"/>
    <col width="24.5" customWidth="1" style="22" min="4592" max="4592"/>
    <col width="15" customWidth="1" style="22" min="4593" max="4593"/>
    <col width="14.83203125" customWidth="1" style="22" min="4594" max="4594"/>
    <col width="12.5" customWidth="1" style="22" min="4595" max="4595"/>
    <col width="9.1640625" customWidth="1" style="22" min="4596" max="4605"/>
    <col width="5.1640625" customWidth="1" style="22" min="4606" max="4606"/>
    <col width="26.83203125" customWidth="1" style="22" min="4607" max="4607"/>
    <col width="15" customWidth="1" style="22" min="4608" max="4608"/>
    <col width="2.83203125" customWidth="1" style="22" min="4609" max="4609"/>
    <col width="26.6640625" customWidth="1" style="22" min="4610" max="4610"/>
    <col width="10.83203125" customWidth="1" style="22" min="4611" max="4612"/>
    <col width="9.1640625" customWidth="1" style="22" min="4613" max="4841"/>
    <col width="24.5" customWidth="1" style="22" min="4842" max="4842"/>
    <col width="15" customWidth="1" style="22" min="4843" max="4843"/>
    <col width="2.83203125" customWidth="1" style="22" min="4844" max="4844"/>
    <col width="27" customWidth="1" style="22" min="4845" max="4845"/>
    <col width="15" customWidth="1" style="22" min="4846" max="4846"/>
    <col width="2.83203125" customWidth="1" style="22" min="4847" max="4847"/>
    <col width="24.5" customWidth="1" style="22" min="4848" max="4848"/>
    <col width="15" customWidth="1" style="22" min="4849" max="4849"/>
    <col width="14.83203125" customWidth="1" style="22" min="4850" max="4850"/>
    <col width="12.5" customWidth="1" style="22" min="4851" max="4851"/>
    <col width="9.1640625" customWidth="1" style="22" min="4852" max="4861"/>
    <col width="5.1640625" customWidth="1" style="22" min="4862" max="4862"/>
    <col width="26.83203125" customWidth="1" style="22" min="4863" max="4863"/>
    <col width="15" customWidth="1" style="22" min="4864" max="4864"/>
    <col width="2.83203125" customWidth="1" style="22" min="4865" max="4865"/>
    <col width="26.6640625" customWidth="1" style="22" min="4866" max="4866"/>
    <col width="10.83203125" customWidth="1" style="22" min="4867" max="4868"/>
    <col width="9.1640625" customWidth="1" style="22" min="4869" max="5097"/>
    <col width="24.5" customWidth="1" style="22" min="5098" max="5098"/>
    <col width="15" customWidth="1" style="22" min="5099" max="5099"/>
    <col width="2.83203125" customWidth="1" style="22" min="5100" max="5100"/>
    <col width="27" customWidth="1" style="22" min="5101" max="5101"/>
    <col width="15" customWidth="1" style="22" min="5102" max="5102"/>
    <col width="2.83203125" customWidth="1" style="22" min="5103" max="5103"/>
    <col width="24.5" customWidth="1" style="22" min="5104" max="5104"/>
    <col width="15" customWidth="1" style="22" min="5105" max="5105"/>
    <col width="14.83203125" customWidth="1" style="22" min="5106" max="5106"/>
    <col width="12.5" customWidth="1" style="22" min="5107" max="5107"/>
    <col width="9.1640625" customWidth="1" style="22" min="5108" max="5117"/>
    <col width="5.1640625" customWidth="1" style="22" min="5118" max="5118"/>
    <col width="26.83203125" customWidth="1" style="22" min="5119" max="5119"/>
    <col width="15" customWidth="1" style="22" min="5120" max="5120"/>
    <col width="2.83203125" customWidth="1" style="22" min="5121" max="5121"/>
    <col width="26.6640625" customWidth="1" style="22" min="5122" max="5122"/>
    <col width="10.83203125" customWidth="1" style="22" min="5123" max="5124"/>
    <col width="9.1640625" customWidth="1" style="22" min="5125" max="5353"/>
    <col width="24.5" customWidth="1" style="22" min="5354" max="5354"/>
    <col width="15" customWidth="1" style="22" min="5355" max="5355"/>
    <col width="2.83203125" customWidth="1" style="22" min="5356" max="5356"/>
    <col width="27" customWidth="1" style="22" min="5357" max="5357"/>
    <col width="15" customWidth="1" style="22" min="5358" max="5358"/>
    <col width="2.83203125" customWidth="1" style="22" min="5359" max="5359"/>
    <col width="24.5" customWidth="1" style="22" min="5360" max="5360"/>
    <col width="15" customWidth="1" style="22" min="5361" max="5361"/>
    <col width="14.83203125" customWidth="1" style="22" min="5362" max="5362"/>
    <col width="12.5" customWidth="1" style="22" min="5363" max="5363"/>
    <col width="9.1640625" customWidth="1" style="22" min="5364" max="5373"/>
    <col width="5.1640625" customWidth="1" style="22" min="5374" max="5374"/>
    <col width="26.83203125" customWidth="1" style="22" min="5375" max="5375"/>
    <col width="15" customWidth="1" style="22" min="5376" max="5376"/>
    <col width="2.83203125" customWidth="1" style="22" min="5377" max="5377"/>
    <col width="26.6640625" customWidth="1" style="22" min="5378" max="5378"/>
    <col width="10.83203125" customWidth="1" style="22" min="5379" max="5380"/>
    <col width="9.1640625" customWidth="1" style="22" min="5381" max="5609"/>
    <col width="24.5" customWidth="1" style="22" min="5610" max="5610"/>
    <col width="15" customWidth="1" style="22" min="5611" max="5611"/>
    <col width="2.83203125" customWidth="1" style="22" min="5612" max="5612"/>
    <col width="27" customWidth="1" style="22" min="5613" max="5613"/>
    <col width="15" customWidth="1" style="22" min="5614" max="5614"/>
    <col width="2.83203125" customWidth="1" style="22" min="5615" max="5615"/>
    <col width="24.5" customWidth="1" style="22" min="5616" max="5616"/>
    <col width="15" customWidth="1" style="22" min="5617" max="5617"/>
    <col width="14.83203125" customWidth="1" style="22" min="5618" max="5618"/>
    <col width="12.5" customWidth="1" style="22" min="5619" max="5619"/>
    <col width="9.1640625" customWidth="1" style="22" min="5620" max="5629"/>
    <col width="5.1640625" customWidth="1" style="22" min="5630" max="5630"/>
    <col width="26.83203125" customWidth="1" style="22" min="5631" max="5631"/>
    <col width="15" customWidth="1" style="22" min="5632" max="5632"/>
    <col width="2.83203125" customWidth="1" style="22" min="5633" max="5633"/>
    <col width="26.6640625" customWidth="1" style="22" min="5634" max="5634"/>
    <col width="10.83203125" customWidth="1" style="22" min="5635" max="5636"/>
    <col width="9.1640625" customWidth="1" style="22" min="5637" max="5865"/>
    <col width="24.5" customWidth="1" style="22" min="5866" max="5866"/>
    <col width="15" customWidth="1" style="22" min="5867" max="5867"/>
    <col width="2.83203125" customWidth="1" style="22" min="5868" max="5868"/>
    <col width="27" customWidth="1" style="22" min="5869" max="5869"/>
    <col width="15" customWidth="1" style="22" min="5870" max="5870"/>
    <col width="2.83203125" customWidth="1" style="22" min="5871" max="5871"/>
    <col width="24.5" customWidth="1" style="22" min="5872" max="5872"/>
    <col width="15" customWidth="1" style="22" min="5873" max="5873"/>
    <col width="14.83203125" customWidth="1" style="22" min="5874" max="5874"/>
    <col width="12.5" customWidth="1" style="22" min="5875" max="5875"/>
    <col width="9.1640625" customWidth="1" style="22" min="5876" max="5885"/>
    <col width="5.1640625" customWidth="1" style="22" min="5886" max="5886"/>
    <col width="26.83203125" customWidth="1" style="22" min="5887" max="5887"/>
    <col width="15" customWidth="1" style="22" min="5888" max="5888"/>
    <col width="2.83203125" customWidth="1" style="22" min="5889" max="5889"/>
    <col width="26.6640625" customWidth="1" style="22" min="5890" max="5890"/>
    <col width="10.83203125" customWidth="1" style="22" min="5891" max="5892"/>
    <col width="9.1640625" customWidth="1" style="22" min="5893" max="6121"/>
    <col width="24.5" customWidth="1" style="22" min="6122" max="6122"/>
    <col width="15" customWidth="1" style="22" min="6123" max="6123"/>
    <col width="2.83203125" customWidth="1" style="22" min="6124" max="6124"/>
    <col width="27" customWidth="1" style="22" min="6125" max="6125"/>
    <col width="15" customWidth="1" style="22" min="6126" max="6126"/>
    <col width="2.83203125" customWidth="1" style="22" min="6127" max="6127"/>
    <col width="24.5" customWidth="1" style="22" min="6128" max="6128"/>
    <col width="15" customWidth="1" style="22" min="6129" max="6129"/>
    <col width="14.83203125" customWidth="1" style="22" min="6130" max="6130"/>
    <col width="12.5" customWidth="1" style="22" min="6131" max="6131"/>
    <col width="9.1640625" customWidth="1" style="22" min="6132" max="6141"/>
    <col width="5.1640625" customWidth="1" style="22" min="6142" max="6142"/>
    <col width="26.83203125" customWidth="1" style="22" min="6143" max="6143"/>
    <col width="15" customWidth="1" style="22" min="6144" max="6144"/>
    <col width="2.83203125" customWidth="1" style="22" min="6145" max="6145"/>
    <col width="26.6640625" customWidth="1" style="22" min="6146" max="6146"/>
    <col width="10.83203125" customWidth="1" style="22" min="6147" max="6148"/>
    <col width="9.1640625" customWidth="1" style="22" min="6149" max="6377"/>
    <col width="24.5" customWidth="1" style="22" min="6378" max="6378"/>
    <col width="15" customWidth="1" style="22" min="6379" max="6379"/>
    <col width="2.83203125" customWidth="1" style="22" min="6380" max="6380"/>
    <col width="27" customWidth="1" style="22" min="6381" max="6381"/>
    <col width="15" customWidth="1" style="22" min="6382" max="6382"/>
    <col width="2.83203125" customWidth="1" style="22" min="6383" max="6383"/>
    <col width="24.5" customWidth="1" style="22" min="6384" max="6384"/>
    <col width="15" customWidth="1" style="22" min="6385" max="6385"/>
    <col width="14.83203125" customWidth="1" style="22" min="6386" max="6386"/>
    <col width="12.5" customWidth="1" style="22" min="6387" max="6387"/>
    <col width="9.1640625" customWidth="1" style="22" min="6388" max="6397"/>
    <col width="5.1640625" customWidth="1" style="22" min="6398" max="6398"/>
    <col width="26.83203125" customWidth="1" style="22" min="6399" max="6399"/>
    <col width="15" customWidth="1" style="22" min="6400" max="6400"/>
    <col width="2.83203125" customWidth="1" style="22" min="6401" max="6401"/>
    <col width="26.6640625" customWidth="1" style="22" min="6402" max="6402"/>
    <col width="10.83203125" customWidth="1" style="22" min="6403" max="6404"/>
    <col width="9.1640625" customWidth="1" style="22" min="6405" max="6633"/>
    <col width="24.5" customWidth="1" style="22" min="6634" max="6634"/>
    <col width="15" customWidth="1" style="22" min="6635" max="6635"/>
    <col width="2.83203125" customWidth="1" style="22" min="6636" max="6636"/>
    <col width="27" customWidth="1" style="22" min="6637" max="6637"/>
    <col width="15" customWidth="1" style="22" min="6638" max="6638"/>
    <col width="2.83203125" customWidth="1" style="22" min="6639" max="6639"/>
    <col width="24.5" customWidth="1" style="22" min="6640" max="6640"/>
    <col width="15" customWidth="1" style="22" min="6641" max="6641"/>
    <col width="14.83203125" customWidth="1" style="22" min="6642" max="6642"/>
    <col width="12.5" customWidth="1" style="22" min="6643" max="6643"/>
    <col width="9.1640625" customWidth="1" style="22" min="6644" max="6653"/>
    <col width="5.1640625" customWidth="1" style="22" min="6654" max="6654"/>
    <col width="26.83203125" customWidth="1" style="22" min="6655" max="6655"/>
    <col width="15" customWidth="1" style="22" min="6656" max="6656"/>
    <col width="2.83203125" customWidth="1" style="22" min="6657" max="6657"/>
    <col width="26.6640625" customWidth="1" style="22" min="6658" max="6658"/>
    <col width="10.83203125" customWidth="1" style="22" min="6659" max="6660"/>
    <col width="9.1640625" customWidth="1" style="22" min="6661" max="6889"/>
    <col width="24.5" customWidth="1" style="22" min="6890" max="6890"/>
    <col width="15" customWidth="1" style="22" min="6891" max="6891"/>
    <col width="2.83203125" customWidth="1" style="22" min="6892" max="6892"/>
    <col width="27" customWidth="1" style="22" min="6893" max="6893"/>
    <col width="15" customWidth="1" style="22" min="6894" max="6894"/>
    <col width="2.83203125" customWidth="1" style="22" min="6895" max="6895"/>
    <col width="24.5" customWidth="1" style="22" min="6896" max="6896"/>
    <col width="15" customWidth="1" style="22" min="6897" max="6897"/>
    <col width="14.83203125" customWidth="1" style="22" min="6898" max="6898"/>
    <col width="12.5" customWidth="1" style="22" min="6899" max="6899"/>
    <col width="9.1640625" customWidth="1" style="22" min="6900" max="6909"/>
    <col width="5.1640625" customWidth="1" style="22" min="6910" max="6910"/>
    <col width="26.83203125" customWidth="1" style="22" min="6911" max="6911"/>
    <col width="15" customWidth="1" style="22" min="6912" max="6912"/>
    <col width="2.83203125" customWidth="1" style="22" min="6913" max="6913"/>
    <col width="26.6640625" customWidth="1" style="22" min="6914" max="6914"/>
    <col width="10.83203125" customWidth="1" style="22" min="6915" max="6916"/>
    <col width="9.1640625" customWidth="1" style="22" min="6917" max="7145"/>
    <col width="24.5" customWidth="1" style="22" min="7146" max="7146"/>
    <col width="15" customWidth="1" style="22" min="7147" max="7147"/>
    <col width="2.83203125" customWidth="1" style="22" min="7148" max="7148"/>
    <col width="27" customWidth="1" style="22" min="7149" max="7149"/>
    <col width="15" customWidth="1" style="22" min="7150" max="7150"/>
    <col width="2.83203125" customWidth="1" style="22" min="7151" max="7151"/>
    <col width="24.5" customWidth="1" style="22" min="7152" max="7152"/>
    <col width="15" customWidth="1" style="22" min="7153" max="7153"/>
    <col width="14.83203125" customWidth="1" style="22" min="7154" max="7154"/>
    <col width="12.5" customWidth="1" style="22" min="7155" max="7155"/>
    <col width="9.1640625" customWidth="1" style="22" min="7156" max="7165"/>
    <col width="5.1640625" customWidth="1" style="22" min="7166" max="7166"/>
    <col width="26.83203125" customWidth="1" style="22" min="7167" max="7167"/>
    <col width="15" customWidth="1" style="22" min="7168" max="7168"/>
    <col width="2.83203125" customWidth="1" style="22" min="7169" max="7169"/>
    <col width="26.6640625" customWidth="1" style="22" min="7170" max="7170"/>
    <col width="10.83203125" customWidth="1" style="22" min="7171" max="7172"/>
    <col width="9.1640625" customWidth="1" style="22" min="7173" max="7401"/>
    <col width="24.5" customWidth="1" style="22" min="7402" max="7402"/>
    <col width="15" customWidth="1" style="22" min="7403" max="7403"/>
    <col width="2.83203125" customWidth="1" style="22" min="7404" max="7404"/>
    <col width="27" customWidth="1" style="22" min="7405" max="7405"/>
    <col width="15" customWidth="1" style="22" min="7406" max="7406"/>
    <col width="2.83203125" customWidth="1" style="22" min="7407" max="7407"/>
    <col width="24.5" customWidth="1" style="22" min="7408" max="7408"/>
    <col width="15" customWidth="1" style="22" min="7409" max="7409"/>
    <col width="14.83203125" customWidth="1" style="22" min="7410" max="7410"/>
    <col width="12.5" customWidth="1" style="22" min="7411" max="7411"/>
    <col width="9.1640625" customWidth="1" style="22" min="7412" max="7421"/>
    <col width="5.1640625" customWidth="1" style="22" min="7422" max="7422"/>
    <col width="26.83203125" customWidth="1" style="22" min="7423" max="7423"/>
    <col width="15" customWidth="1" style="22" min="7424" max="7424"/>
    <col width="2.83203125" customWidth="1" style="22" min="7425" max="7425"/>
    <col width="26.6640625" customWidth="1" style="22" min="7426" max="7426"/>
    <col width="10.83203125" customWidth="1" style="22" min="7427" max="7428"/>
    <col width="9.1640625" customWidth="1" style="22" min="7429" max="7657"/>
    <col width="24.5" customWidth="1" style="22" min="7658" max="7658"/>
    <col width="15" customWidth="1" style="22" min="7659" max="7659"/>
    <col width="2.83203125" customWidth="1" style="22" min="7660" max="7660"/>
    <col width="27" customWidth="1" style="22" min="7661" max="7661"/>
    <col width="15" customWidth="1" style="22" min="7662" max="7662"/>
    <col width="2.83203125" customWidth="1" style="22" min="7663" max="7663"/>
    <col width="24.5" customWidth="1" style="22" min="7664" max="7664"/>
    <col width="15" customWidth="1" style="22" min="7665" max="7665"/>
    <col width="14.83203125" customWidth="1" style="22" min="7666" max="7666"/>
    <col width="12.5" customWidth="1" style="22" min="7667" max="7667"/>
    <col width="9.1640625" customWidth="1" style="22" min="7668" max="7677"/>
    <col width="5.1640625" customWidth="1" style="22" min="7678" max="7678"/>
    <col width="26.83203125" customWidth="1" style="22" min="7679" max="7679"/>
    <col width="15" customWidth="1" style="22" min="7680" max="7680"/>
    <col width="2.83203125" customWidth="1" style="22" min="7681" max="7681"/>
    <col width="26.6640625" customWidth="1" style="22" min="7682" max="7682"/>
    <col width="10.83203125" customWidth="1" style="22" min="7683" max="7684"/>
    <col width="9.1640625" customWidth="1" style="22" min="7685" max="7913"/>
    <col width="24.5" customWidth="1" style="22" min="7914" max="7914"/>
    <col width="15" customWidth="1" style="22" min="7915" max="7915"/>
    <col width="2.83203125" customWidth="1" style="22" min="7916" max="7916"/>
    <col width="27" customWidth="1" style="22" min="7917" max="7917"/>
    <col width="15" customWidth="1" style="22" min="7918" max="7918"/>
    <col width="2.83203125" customWidth="1" style="22" min="7919" max="7919"/>
    <col width="24.5" customWidth="1" style="22" min="7920" max="7920"/>
    <col width="15" customWidth="1" style="22" min="7921" max="7921"/>
    <col width="14.83203125" customWidth="1" style="22" min="7922" max="7922"/>
    <col width="12.5" customWidth="1" style="22" min="7923" max="7923"/>
    <col width="9.1640625" customWidth="1" style="22" min="7924" max="7933"/>
    <col width="5.1640625" customWidth="1" style="22" min="7934" max="7934"/>
    <col width="26.83203125" customWidth="1" style="22" min="7935" max="7935"/>
    <col width="15" customWidth="1" style="22" min="7936" max="7936"/>
    <col width="2.83203125" customWidth="1" style="22" min="7937" max="7937"/>
    <col width="26.6640625" customWidth="1" style="22" min="7938" max="7938"/>
    <col width="10.83203125" customWidth="1" style="22" min="7939" max="7940"/>
    <col width="9.1640625" customWidth="1" style="22" min="7941" max="8169"/>
    <col width="24.5" customWidth="1" style="22" min="8170" max="8170"/>
    <col width="15" customWidth="1" style="22" min="8171" max="8171"/>
    <col width="2.83203125" customWidth="1" style="22" min="8172" max="8172"/>
    <col width="27" customWidth="1" style="22" min="8173" max="8173"/>
    <col width="15" customWidth="1" style="22" min="8174" max="8174"/>
    <col width="2.83203125" customWidth="1" style="22" min="8175" max="8175"/>
    <col width="24.5" customWidth="1" style="22" min="8176" max="8176"/>
    <col width="15" customWidth="1" style="22" min="8177" max="8177"/>
    <col width="14.83203125" customWidth="1" style="22" min="8178" max="8178"/>
    <col width="12.5" customWidth="1" style="22" min="8179" max="8179"/>
    <col width="9.1640625" customWidth="1" style="22" min="8180" max="8189"/>
    <col width="5.1640625" customWidth="1" style="22" min="8190" max="8190"/>
    <col width="26.83203125" customWidth="1" style="22" min="8191" max="8191"/>
    <col width="15" customWidth="1" style="22" min="8192" max="8192"/>
    <col width="2.83203125" customWidth="1" style="22" min="8193" max="8193"/>
    <col width="26.6640625" customWidth="1" style="22" min="8194" max="8194"/>
    <col width="10.83203125" customWidth="1" style="22" min="8195" max="8196"/>
    <col width="9.1640625" customWidth="1" style="22" min="8197" max="8425"/>
    <col width="24.5" customWidth="1" style="22" min="8426" max="8426"/>
    <col width="15" customWidth="1" style="22" min="8427" max="8427"/>
    <col width="2.83203125" customWidth="1" style="22" min="8428" max="8428"/>
    <col width="27" customWidth="1" style="22" min="8429" max="8429"/>
    <col width="15" customWidth="1" style="22" min="8430" max="8430"/>
    <col width="2.83203125" customWidth="1" style="22" min="8431" max="8431"/>
    <col width="24.5" customWidth="1" style="22" min="8432" max="8432"/>
    <col width="15" customWidth="1" style="22" min="8433" max="8433"/>
    <col width="14.83203125" customWidth="1" style="22" min="8434" max="8434"/>
    <col width="12.5" customWidth="1" style="22" min="8435" max="8435"/>
    <col width="9.1640625" customWidth="1" style="22" min="8436" max="8445"/>
    <col width="5.1640625" customWidth="1" style="22" min="8446" max="8446"/>
    <col width="26.83203125" customWidth="1" style="22" min="8447" max="8447"/>
    <col width="15" customWidth="1" style="22" min="8448" max="8448"/>
    <col width="2.83203125" customWidth="1" style="22" min="8449" max="8449"/>
    <col width="26.6640625" customWidth="1" style="22" min="8450" max="8450"/>
    <col width="10.83203125" customWidth="1" style="22" min="8451" max="8452"/>
    <col width="9.1640625" customWidth="1" style="22" min="8453" max="8681"/>
    <col width="24.5" customWidth="1" style="22" min="8682" max="8682"/>
    <col width="15" customWidth="1" style="22" min="8683" max="8683"/>
    <col width="2.83203125" customWidth="1" style="22" min="8684" max="8684"/>
    <col width="27" customWidth="1" style="22" min="8685" max="8685"/>
    <col width="15" customWidth="1" style="22" min="8686" max="8686"/>
    <col width="2.83203125" customWidth="1" style="22" min="8687" max="8687"/>
    <col width="24.5" customWidth="1" style="22" min="8688" max="8688"/>
    <col width="15" customWidth="1" style="22" min="8689" max="8689"/>
    <col width="14.83203125" customWidth="1" style="22" min="8690" max="8690"/>
    <col width="12.5" customWidth="1" style="22" min="8691" max="8691"/>
    <col width="9.1640625" customWidth="1" style="22" min="8692" max="8701"/>
    <col width="5.1640625" customWidth="1" style="22" min="8702" max="8702"/>
    <col width="26.83203125" customWidth="1" style="22" min="8703" max="8703"/>
    <col width="15" customWidth="1" style="22" min="8704" max="8704"/>
    <col width="2.83203125" customWidth="1" style="22" min="8705" max="8705"/>
    <col width="26.6640625" customWidth="1" style="22" min="8706" max="8706"/>
    <col width="10.83203125" customWidth="1" style="22" min="8707" max="8708"/>
    <col width="9.1640625" customWidth="1" style="22" min="8709" max="8937"/>
    <col width="24.5" customWidth="1" style="22" min="8938" max="8938"/>
    <col width="15" customWidth="1" style="22" min="8939" max="8939"/>
    <col width="2.83203125" customWidth="1" style="22" min="8940" max="8940"/>
    <col width="27" customWidth="1" style="22" min="8941" max="8941"/>
    <col width="15" customWidth="1" style="22" min="8942" max="8942"/>
    <col width="2.83203125" customWidth="1" style="22" min="8943" max="8943"/>
    <col width="24.5" customWidth="1" style="22" min="8944" max="8944"/>
    <col width="15" customWidth="1" style="22" min="8945" max="8945"/>
    <col width="14.83203125" customWidth="1" style="22" min="8946" max="8946"/>
    <col width="12.5" customWidth="1" style="22" min="8947" max="8947"/>
    <col width="9.1640625" customWidth="1" style="22" min="8948" max="8957"/>
    <col width="5.1640625" customWidth="1" style="22" min="8958" max="8958"/>
    <col width="26.83203125" customWidth="1" style="22" min="8959" max="8959"/>
    <col width="15" customWidth="1" style="22" min="8960" max="8960"/>
    <col width="2.83203125" customWidth="1" style="22" min="8961" max="8961"/>
    <col width="26.6640625" customWidth="1" style="22" min="8962" max="8962"/>
    <col width="10.83203125" customWidth="1" style="22" min="8963" max="8964"/>
    <col width="9.1640625" customWidth="1" style="22" min="8965" max="9193"/>
    <col width="24.5" customWidth="1" style="22" min="9194" max="9194"/>
    <col width="15" customWidth="1" style="22" min="9195" max="9195"/>
    <col width="2.83203125" customWidth="1" style="22" min="9196" max="9196"/>
    <col width="27" customWidth="1" style="22" min="9197" max="9197"/>
    <col width="15" customWidth="1" style="22" min="9198" max="9198"/>
    <col width="2.83203125" customWidth="1" style="22" min="9199" max="9199"/>
    <col width="24.5" customWidth="1" style="22" min="9200" max="9200"/>
    <col width="15" customWidth="1" style="22" min="9201" max="9201"/>
    <col width="14.83203125" customWidth="1" style="22" min="9202" max="9202"/>
    <col width="12.5" customWidth="1" style="22" min="9203" max="9203"/>
    <col width="9.1640625" customWidth="1" style="22" min="9204" max="9213"/>
    <col width="5.1640625" customWidth="1" style="22" min="9214" max="9214"/>
    <col width="26.83203125" customWidth="1" style="22" min="9215" max="9215"/>
    <col width="15" customWidth="1" style="22" min="9216" max="9216"/>
    <col width="2.83203125" customWidth="1" style="22" min="9217" max="9217"/>
    <col width="26.6640625" customWidth="1" style="22" min="9218" max="9218"/>
    <col width="10.83203125" customWidth="1" style="22" min="9219" max="9220"/>
    <col width="9.1640625" customWidth="1" style="22" min="9221" max="9449"/>
    <col width="24.5" customWidth="1" style="22" min="9450" max="9450"/>
    <col width="15" customWidth="1" style="22" min="9451" max="9451"/>
    <col width="2.83203125" customWidth="1" style="22" min="9452" max="9452"/>
    <col width="27" customWidth="1" style="22" min="9453" max="9453"/>
    <col width="15" customWidth="1" style="22" min="9454" max="9454"/>
    <col width="2.83203125" customWidth="1" style="22" min="9455" max="9455"/>
    <col width="24.5" customWidth="1" style="22" min="9456" max="9456"/>
    <col width="15" customWidth="1" style="22" min="9457" max="9457"/>
    <col width="14.83203125" customWidth="1" style="22" min="9458" max="9458"/>
    <col width="12.5" customWidth="1" style="22" min="9459" max="9459"/>
    <col width="9.1640625" customWidth="1" style="22" min="9460" max="9469"/>
    <col width="5.1640625" customWidth="1" style="22" min="9470" max="9470"/>
    <col width="26.83203125" customWidth="1" style="22" min="9471" max="9471"/>
    <col width="15" customWidth="1" style="22" min="9472" max="9472"/>
    <col width="2.83203125" customWidth="1" style="22" min="9473" max="9473"/>
    <col width="26.6640625" customWidth="1" style="22" min="9474" max="9474"/>
    <col width="10.83203125" customWidth="1" style="22" min="9475" max="9476"/>
    <col width="9.1640625" customWidth="1" style="22" min="9477" max="9705"/>
    <col width="24.5" customWidth="1" style="22" min="9706" max="9706"/>
    <col width="15" customWidth="1" style="22" min="9707" max="9707"/>
    <col width="2.83203125" customWidth="1" style="22" min="9708" max="9708"/>
    <col width="27" customWidth="1" style="22" min="9709" max="9709"/>
    <col width="15" customWidth="1" style="22" min="9710" max="9710"/>
    <col width="2.83203125" customWidth="1" style="22" min="9711" max="9711"/>
    <col width="24.5" customWidth="1" style="22" min="9712" max="9712"/>
    <col width="15" customWidth="1" style="22" min="9713" max="9713"/>
    <col width="14.83203125" customWidth="1" style="22" min="9714" max="9714"/>
    <col width="12.5" customWidth="1" style="22" min="9715" max="9715"/>
    <col width="9.1640625" customWidth="1" style="22" min="9716" max="9725"/>
    <col width="5.1640625" customWidth="1" style="22" min="9726" max="9726"/>
    <col width="26.83203125" customWidth="1" style="22" min="9727" max="9727"/>
    <col width="15" customWidth="1" style="22" min="9728" max="9728"/>
    <col width="2.83203125" customWidth="1" style="22" min="9729" max="9729"/>
    <col width="26.6640625" customWidth="1" style="22" min="9730" max="9730"/>
    <col width="10.83203125" customWidth="1" style="22" min="9731" max="9732"/>
    <col width="9.1640625" customWidth="1" style="22" min="9733" max="9961"/>
    <col width="24.5" customWidth="1" style="22" min="9962" max="9962"/>
    <col width="15" customWidth="1" style="22" min="9963" max="9963"/>
    <col width="2.83203125" customWidth="1" style="22" min="9964" max="9964"/>
    <col width="27" customWidth="1" style="22" min="9965" max="9965"/>
    <col width="15" customWidth="1" style="22" min="9966" max="9966"/>
    <col width="2.83203125" customWidth="1" style="22" min="9967" max="9967"/>
    <col width="24.5" customWidth="1" style="22" min="9968" max="9968"/>
    <col width="15" customWidth="1" style="22" min="9969" max="9969"/>
    <col width="14.83203125" customWidth="1" style="22" min="9970" max="9970"/>
    <col width="12.5" customWidth="1" style="22" min="9971" max="9971"/>
    <col width="9.1640625" customWidth="1" style="22" min="9972" max="9981"/>
    <col width="5.1640625" customWidth="1" style="22" min="9982" max="9982"/>
    <col width="26.83203125" customWidth="1" style="22" min="9983" max="9983"/>
    <col width="15" customWidth="1" style="22" min="9984" max="9984"/>
    <col width="2.83203125" customWidth="1" style="22" min="9985" max="9985"/>
    <col width="26.6640625" customWidth="1" style="22" min="9986" max="9986"/>
    <col width="10.83203125" customWidth="1" style="22" min="9987" max="9988"/>
    <col width="9.1640625" customWidth="1" style="22" min="9989" max="10217"/>
    <col width="24.5" customWidth="1" style="22" min="10218" max="10218"/>
    <col width="15" customWidth="1" style="22" min="10219" max="10219"/>
    <col width="2.83203125" customWidth="1" style="22" min="10220" max="10220"/>
    <col width="27" customWidth="1" style="22" min="10221" max="10221"/>
    <col width="15" customWidth="1" style="22" min="10222" max="10222"/>
    <col width="2.83203125" customWidth="1" style="22" min="10223" max="10223"/>
    <col width="24.5" customWidth="1" style="22" min="10224" max="10224"/>
    <col width="15" customWidth="1" style="22" min="10225" max="10225"/>
    <col width="14.83203125" customWidth="1" style="22" min="10226" max="10226"/>
    <col width="12.5" customWidth="1" style="22" min="10227" max="10227"/>
    <col width="9.1640625" customWidth="1" style="22" min="10228" max="10237"/>
    <col width="5.1640625" customWidth="1" style="22" min="10238" max="10238"/>
    <col width="26.83203125" customWidth="1" style="22" min="10239" max="10239"/>
    <col width="15" customWidth="1" style="22" min="10240" max="10240"/>
    <col width="2.83203125" customWidth="1" style="22" min="10241" max="10241"/>
    <col width="26.6640625" customWidth="1" style="22" min="10242" max="10242"/>
    <col width="10.83203125" customWidth="1" style="22" min="10243" max="10244"/>
    <col width="9.1640625" customWidth="1" style="22" min="10245" max="10473"/>
    <col width="24.5" customWidth="1" style="22" min="10474" max="10474"/>
    <col width="15" customWidth="1" style="22" min="10475" max="10475"/>
    <col width="2.83203125" customWidth="1" style="22" min="10476" max="10476"/>
    <col width="27" customWidth="1" style="22" min="10477" max="10477"/>
    <col width="15" customWidth="1" style="22" min="10478" max="10478"/>
    <col width="2.83203125" customWidth="1" style="22" min="10479" max="10479"/>
    <col width="24.5" customWidth="1" style="22" min="10480" max="10480"/>
    <col width="15" customWidth="1" style="22" min="10481" max="10481"/>
    <col width="14.83203125" customWidth="1" style="22" min="10482" max="10482"/>
    <col width="12.5" customWidth="1" style="22" min="10483" max="10483"/>
    <col width="9.1640625" customWidth="1" style="22" min="10484" max="10493"/>
    <col width="5.1640625" customWidth="1" style="22" min="10494" max="10494"/>
    <col width="26.83203125" customWidth="1" style="22" min="10495" max="10495"/>
    <col width="15" customWidth="1" style="22" min="10496" max="10496"/>
    <col width="2.83203125" customWidth="1" style="22" min="10497" max="10497"/>
    <col width="26.6640625" customWidth="1" style="22" min="10498" max="10498"/>
    <col width="10.83203125" customWidth="1" style="22" min="10499" max="10500"/>
    <col width="9.1640625" customWidth="1" style="22" min="10501" max="10729"/>
    <col width="24.5" customWidth="1" style="22" min="10730" max="10730"/>
    <col width="15" customWidth="1" style="22" min="10731" max="10731"/>
    <col width="2.83203125" customWidth="1" style="22" min="10732" max="10732"/>
    <col width="27" customWidth="1" style="22" min="10733" max="10733"/>
    <col width="15" customWidth="1" style="22" min="10734" max="10734"/>
    <col width="2.83203125" customWidth="1" style="22" min="10735" max="10735"/>
    <col width="24.5" customWidth="1" style="22" min="10736" max="10736"/>
    <col width="15" customWidth="1" style="22" min="10737" max="10737"/>
    <col width="14.83203125" customWidth="1" style="22" min="10738" max="10738"/>
    <col width="12.5" customWidth="1" style="22" min="10739" max="10739"/>
    <col width="9.1640625" customWidth="1" style="22" min="10740" max="10749"/>
    <col width="5.1640625" customWidth="1" style="22" min="10750" max="10750"/>
    <col width="26.83203125" customWidth="1" style="22" min="10751" max="10751"/>
    <col width="15" customWidth="1" style="22" min="10752" max="10752"/>
    <col width="2.83203125" customWidth="1" style="22" min="10753" max="10753"/>
    <col width="26.6640625" customWidth="1" style="22" min="10754" max="10754"/>
    <col width="10.83203125" customWidth="1" style="22" min="10755" max="10756"/>
    <col width="9.1640625" customWidth="1" style="22" min="10757" max="10985"/>
    <col width="24.5" customWidth="1" style="22" min="10986" max="10986"/>
    <col width="15" customWidth="1" style="22" min="10987" max="10987"/>
    <col width="2.83203125" customWidth="1" style="22" min="10988" max="10988"/>
    <col width="27" customWidth="1" style="22" min="10989" max="10989"/>
    <col width="15" customWidth="1" style="22" min="10990" max="10990"/>
    <col width="2.83203125" customWidth="1" style="22" min="10991" max="10991"/>
    <col width="24.5" customWidth="1" style="22" min="10992" max="10992"/>
    <col width="15" customWidth="1" style="22" min="10993" max="10993"/>
    <col width="14.83203125" customWidth="1" style="22" min="10994" max="10994"/>
    <col width="12.5" customWidth="1" style="22" min="10995" max="10995"/>
    <col width="9.1640625" customWidth="1" style="22" min="10996" max="11005"/>
    <col width="5.1640625" customWidth="1" style="22" min="11006" max="11006"/>
    <col width="26.83203125" customWidth="1" style="22" min="11007" max="11007"/>
    <col width="15" customWidth="1" style="22" min="11008" max="11008"/>
    <col width="2.83203125" customWidth="1" style="22" min="11009" max="11009"/>
    <col width="26.6640625" customWidth="1" style="22" min="11010" max="11010"/>
    <col width="10.83203125" customWidth="1" style="22" min="11011" max="11012"/>
    <col width="9.1640625" customWidth="1" style="22" min="11013" max="11241"/>
    <col width="24.5" customWidth="1" style="22" min="11242" max="11242"/>
    <col width="15" customWidth="1" style="22" min="11243" max="11243"/>
    <col width="2.83203125" customWidth="1" style="22" min="11244" max="11244"/>
    <col width="27" customWidth="1" style="22" min="11245" max="11245"/>
    <col width="15" customWidth="1" style="22" min="11246" max="11246"/>
    <col width="2.83203125" customWidth="1" style="22" min="11247" max="11247"/>
    <col width="24.5" customWidth="1" style="22" min="11248" max="11248"/>
    <col width="15" customWidth="1" style="22" min="11249" max="11249"/>
    <col width="14.83203125" customWidth="1" style="22" min="11250" max="11250"/>
    <col width="12.5" customWidth="1" style="22" min="11251" max="11251"/>
    <col width="9.1640625" customWidth="1" style="22" min="11252" max="11261"/>
    <col width="5.1640625" customWidth="1" style="22" min="11262" max="11262"/>
    <col width="26.83203125" customWidth="1" style="22" min="11263" max="11263"/>
    <col width="15" customWidth="1" style="22" min="11264" max="11264"/>
    <col width="2.83203125" customWidth="1" style="22" min="11265" max="11265"/>
    <col width="26.6640625" customWidth="1" style="22" min="11266" max="11266"/>
    <col width="10.83203125" customWidth="1" style="22" min="11267" max="11268"/>
    <col width="9.1640625" customWidth="1" style="22" min="11269" max="11497"/>
    <col width="24.5" customWidth="1" style="22" min="11498" max="11498"/>
    <col width="15" customWidth="1" style="22" min="11499" max="11499"/>
    <col width="2.83203125" customWidth="1" style="22" min="11500" max="11500"/>
    <col width="27" customWidth="1" style="22" min="11501" max="11501"/>
    <col width="15" customWidth="1" style="22" min="11502" max="11502"/>
    <col width="2.83203125" customWidth="1" style="22" min="11503" max="11503"/>
    <col width="24.5" customWidth="1" style="22" min="11504" max="11504"/>
    <col width="15" customWidth="1" style="22" min="11505" max="11505"/>
    <col width="14.83203125" customWidth="1" style="22" min="11506" max="11506"/>
    <col width="12.5" customWidth="1" style="22" min="11507" max="11507"/>
    <col width="9.1640625" customWidth="1" style="22" min="11508" max="11517"/>
    <col width="5.1640625" customWidth="1" style="22" min="11518" max="11518"/>
    <col width="26.83203125" customWidth="1" style="22" min="11519" max="11519"/>
    <col width="15" customWidth="1" style="22" min="11520" max="11520"/>
    <col width="2.83203125" customWidth="1" style="22" min="11521" max="11521"/>
    <col width="26.6640625" customWidth="1" style="22" min="11522" max="11522"/>
    <col width="10.83203125" customWidth="1" style="22" min="11523" max="11524"/>
    <col width="9.1640625" customWidth="1" style="22" min="11525" max="11753"/>
    <col width="24.5" customWidth="1" style="22" min="11754" max="11754"/>
    <col width="15" customWidth="1" style="22" min="11755" max="11755"/>
    <col width="2.83203125" customWidth="1" style="22" min="11756" max="11756"/>
    <col width="27" customWidth="1" style="22" min="11757" max="11757"/>
    <col width="15" customWidth="1" style="22" min="11758" max="11758"/>
    <col width="2.83203125" customWidth="1" style="22" min="11759" max="11759"/>
    <col width="24.5" customWidth="1" style="22" min="11760" max="11760"/>
    <col width="15" customWidth="1" style="22" min="11761" max="11761"/>
    <col width="14.83203125" customWidth="1" style="22" min="11762" max="11762"/>
    <col width="12.5" customWidth="1" style="22" min="11763" max="11763"/>
    <col width="9.1640625" customWidth="1" style="22" min="11764" max="11773"/>
    <col width="5.1640625" customWidth="1" style="22" min="11774" max="11774"/>
    <col width="26.83203125" customWidth="1" style="22" min="11775" max="11775"/>
    <col width="15" customWidth="1" style="22" min="11776" max="11776"/>
    <col width="2.83203125" customWidth="1" style="22" min="11777" max="11777"/>
    <col width="26.6640625" customWidth="1" style="22" min="11778" max="11778"/>
    <col width="10.83203125" customWidth="1" style="22" min="11779" max="11780"/>
    <col width="9.1640625" customWidth="1" style="22" min="11781" max="12009"/>
    <col width="24.5" customWidth="1" style="22" min="12010" max="12010"/>
    <col width="15" customWidth="1" style="22" min="12011" max="12011"/>
    <col width="2.83203125" customWidth="1" style="22" min="12012" max="12012"/>
    <col width="27" customWidth="1" style="22" min="12013" max="12013"/>
    <col width="15" customWidth="1" style="22" min="12014" max="12014"/>
    <col width="2.83203125" customWidth="1" style="22" min="12015" max="12015"/>
    <col width="24.5" customWidth="1" style="22" min="12016" max="12016"/>
    <col width="15" customWidth="1" style="22" min="12017" max="12017"/>
    <col width="14.83203125" customWidth="1" style="22" min="12018" max="12018"/>
    <col width="12.5" customWidth="1" style="22" min="12019" max="12019"/>
    <col width="9.1640625" customWidth="1" style="22" min="12020" max="12029"/>
    <col width="5.1640625" customWidth="1" style="22" min="12030" max="12030"/>
    <col width="26.83203125" customWidth="1" style="22" min="12031" max="12031"/>
    <col width="15" customWidth="1" style="22" min="12032" max="12032"/>
    <col width="2.83203125" customWidth="1" style="22" min="12033" max="12033"/>
    <col width="26.6640625" customWidth="1" style="22" min="12034" max="12034"/>
    <col width="10.83203125" customWidth="1" style="22" min="12035" max="12036"/>
    <col width="9.1640625" customWidth="1" style="22" min="12037" max="12265"/>
    <col width="24.5" customWidth="1" style="22" min="12266" max="12266"/>
    <col width="15" customWidth="1" style="22" min="12267" max="12267"/>
    <col width="2.83203125" customWidth="1" style="22" min="12268" max="12268"/>
    <col width="27" customWidth="1" style="22" min="12269" max="12269"/>
    <col width="15" customWidth="1" style="22" min="12270" max="12270"/>
    <col width="2.83203125" customWidth="1" style="22" min="12271" max="12271"/>
    <col width="24.5" customWidth="1" style="22" min="12272" max="12272"/>
    <col width="15" customWidth="1" style="22" min="12273" max="12273"/>
    <col width="14.83203125" customWidth="1" style="22" min="12274" max="12274"/>
    <col width="12.5" customWidth="1" style="22" min="12275" max="12275"/>
    <col width="9.1640625" customWidth="1" style="22" min="12276" max="12285"/>
    <col width="5.1640625" customWidth="1" style="22" min="12286" max="12286"/>
    <col width="26.83203125" customWidth="1" style="22" min="12287" max="12287"/>
    <col width="15" customWidth="1" style="22" min="12288" max="12288"/>
    <col width="2.83203125" customWidth="1" style="22" min="12289" max="12289"/>
    <col width="26.6640625" customWidth="1" style="22" min="12290" max="12290"/>
    <col width="10.83203125" customWidth="1" style="22" min="12291" max="12292"/>
    <col width="9.1640625" customWidth="1" style="22" min="12293" max="12521"/>
    <col width="24.5" customWidth="1" style="22" min="12522" max="12522"/>
    <col width="15" customWidth="1" style="22" min="12523" max="12523"/>
    <col width="2.83203125" customWidth="1" style="22" min="12524" max="12524"/>
    <col width="27" customWidth="1" style="22" min="12525" max="12525"/>
    <col width="15" customWidth="1" style="22" min="12526" max="12526"/>
    <col width="2.83203125" customWidth="1" style="22" min="12527" max="12527"/>
    <col width="24.5" customWidth="1" style="22" min="12528" max="12528"/>
    <col width="15" customWidth="1" style="22" min="12529" max="12529"/>
    <col width="14.83203125" customWidth="1" style="22" min="12530" max="12530"/>
    <col width="12.5" customWidth="1" style="22" min="12531" max="12531"/>
    <col width="9.1640625" customWidth="1" style="22" min="12532" max="12541"/>
    <col width="5.1640625" customWidth="1" style="22" min="12542" max="12542"/>
    <col width="26.83203125" customWidth="1" style="22" min="12543" max="12543"/>
    <col width="15" customWidth="1" style="22" min="12544" max="12544"/>
    <col width="2.83203125" customWidth="1" style="22" min="12545" max="12545"/>
    <col width="26.6640625" customWidth="1" style="22" min="12546" max="12546"/>
    <col width="10.83203125" customWidth="1" style="22" min="12547" max="12548"/>
    <col width="9.1640625" customWidth="1" style="22" min="12549" max="12777"/>
    <col width="24.5" customWidth="1" style="22" min="12778" max="12778"/>
    <col width="15" customWidth="1" style="22" min="12779" max="12779"/>
    <col width="2.83203125" customWidth="1" style="22" min="12780" max="12780"/>
    <col width="27" customWidth="1" style="22" min="12781" max="12781"/>
    <col width="15" customWidth="1" style="22" min="12782" max="12782"/>
    <col width="2.83203125" customWidth="1" style="22" min="12783" max="12783"/>
    <col width="24.5" customWidth="1" style="22" min="12784" max="12784"/>
    <col width="15" customWidth="1" style="22" min="12785" max="12785"/>
    <col width="14.83203125" customWidth="1" style="22" min="12786" max="12786"/>
    <col width="12.5" customWidth="1" style="22" min="12787" max="12787"/>
    <col width="9.1640625" customWidth="1" style="22" min="12788" max="12797"/>
    <col width="5.1640625" customWidth="1" style="22" min="12798" max="12798"/>
    <col width="26.83203125" customWidth="1" style="22" min="12799" max="12799"/>
    <col width="15" customWidth="1" style="22" min="12800" max="12800"/>
    <col width="2.83203125" customWidth="1" style="22" min="12801" max="12801"/>
    <col width="26.6640625" customWidth="1" style="22" min="12802" max="12802"/>
    <col width="10.83203125" customWidth="1" style="22" min="12803" max="12804"/>
    <col width="9.1640625" customWidth="1" style="22" min="12805" max="13033"/>
    <col width="24.5" customWidth="1" style="22" min="13034" max="13034"/>
    <col width="15" customWidth="1" style="22" min="13035" max="13035"/>
    <col width="2.83203125" customWidth="1" style="22" min="13036" max="13036"/>
    <col width="27" customWidth="1" style="22" min="13037" max="13037"/>
    <col width="15" customWidth="1" style="22" min="13038" max="13038"/>
    <col width="2.83203125" customWidth="1" style="22" min="13039" max="13039"/>
    <col width="24.5" customWidth="1" style="22" min="13040" max="13040"/>
    <col width="15" customWidth="1" style="22" min="13041" max="13041"/>
    <col width="14.83203125" customWidth="1" style="22" min="13042" max="13042"/>
    <col width="12.5" customWidth="1" style="22" min="13043" max="13043"/>
    <col width="9.1640625" customWidth="1" style="22" min="13044" max="13053"/>
    <col width="5.1640625" customWidth="1" style="22" min="13054" max="13054"/>
    <col width="26.83203125" customWidth="1" style="22" min="13055" max="13055"/>
    <col width="15" customWidth="1" style="22" min="13056" max="13056"/>
    <col width="2.83203125" customWidth="1" style="22" min="13057" max="13057"/>
    <col width="26.6640625" customWidth="1" style="22" min="13058" max="13058"/>
    <col width="10.83203125" customWidth="1" style="22" min="13059" max="13060"/>
    <col width="9.1640625" customWidth="1" style="22" min="13061" max="13289"/>
    <col width="24.5" customWidth="1" style="22" min="13290" max="13290"/>
    <col width="15" customWidth="1" style="22" min="13291" max="13291"/>
    <col width="2.83203125" customWidth="1" style="22" min="13292" max="13292"/>
    <col width="27" customWidth="1" style="22" min="13293" max="13293"/>
    <col width="15" customWidth="1" style="22" min="13294" max="13294"/>
    <col width="2.83203125" customWidth="1" style="22" min="13295" max="13295"/>
    <col width="24.5" customWidth="1" style="22" min="13296" max="13296"/>
    <col width="15" customWidth="1" style="22" min="13297" max="13297"/>
    <col width="14.83203125" customWidth="1" style="22" min="13298" max="13298"/>
    <col width="12.5" customWidth="1" style="22" min="13299" max="13299"/>
    <col width="9.1640625" customWidth="1" style="22" min="13300" max="13309"/>
    <col width="5.1640625" customWidth="1" style="22" min="13310" max="13310"/>
    <col width="26.83203125" customWidth="1" style="22" min="13311" max="13311"/>
    <col width="15" customWidth="1" style="22" min="13312" max="13312"/>
    <col width="2.83203125" customWidth="1" style="22" min="13313" max="13313"/>
    <col width="26.6640625" customWidth="1" style="22" min="13314" max="13314"/>
    <col width="10.83203125" customWidth="1" style="22" min="13315" max="13316"/>
    <col width="9.1640625" customWidth="1" style="22" min="13317" max="13545"/>
    <col width="24.5" customWidth="1" style="22" min="13546" max="13546"/>
    <col width="15" customWidth="1" style="22" min="13547" max="13547"/>
    <col width="2.83203125" customWidth="1" style="22" min="13548" max="13548"/>
    <col width="27" customWidth="1" style="22" min="13549" max="13549"/>
    <col width="15" customWidth="1" style="22" min="13550" max="13550"/>
    <col width="2.83203125" customWidth="1" style="22" min="13551" max="13551"/>
    <col width="24.5" customWidth="1" style="22" min="13552" max="13552"/>
    <col width="15" customWidth="1" style="22" min="13553" max="13553"/>
    <col width="14.83203125" customWidth="1" style="22" min="13554" max="13554"/>
    <col width="12.5" customWidth="1" style="22" min="13555" max="13555"/>
    <col width="9.1640625" customWidth="1" style="22" min="13556" max="13565"/>
    <col width="5.1640625" customWidth="1" style="22" min="13566" max="13566"/>
    <col width="26.83203125" customWidth="1" style="22" min="13567" max="13567"/>
    <col width="15" customWidth="1" style="22" min="13568" max="13568"/>
    <col width="2.83203125" customWidth="1" style="22" min="13569" max="13569"/>
    <col width="26.6640625" customWidth="1" style="22" min="13570" max="13570"/>
    <col width="10.83203125" customWidth="1" style="22" min="13571" max="13572"/>
    <col width="9.1640625" customWidth="1" style="22" min="13573" max="13801"/>
    <col width="24.5" customWidth="1" style="22" min="13802" max="13802"/>
    <col width="15" customWidth="1" style="22" min="13803" max="13803"/>
    <col width="2.83203125" customWidth="1" style="22" min="13804" max="13804"/>
    <col width="27" customWidth="1" style="22" min="13805" max="13805"/>
    <col width="15" customWidth="1" style="22" min="13806" max="13806"/>
    <col width="2.83203125" customWidth="1" style="22" min="13807" max="13807"/>
    <col width="24.5" customWidth="1" style="22" min="13808" max="13808"/>
    <col width="15" customWidth="1" style="22" min="13809" max="13809"/>
    <col width="14.83203125" customWidth="1" style="22" min="13810" max="13810"/>
    <col width="12.5" customWidth="1" style="22" min="13811" max="13811"/>
    <col width="9.1640625" customWidth="1" style="22" min="13812" max="13821"/>
    <col width="5.1640625" customWidth="1" style="22" min="13822" max="13822"/>
    <col width="26.83203125" customWidth="1" style="22" min="13823" max="13823"/>
    <col width="15" customWidth="1" style="22" min="13824" max="13824"/>
    <col width="2.83203125" customWidth="1" style="22" min="13825" max="13825"/>
    <col width="26.6640625" customWidth="1" style="22" min="13826" max="13826"/>
    <col width="10.83203125" customWidth="1" style="22" min="13827" max="13828"/>
    <col width="9.1640625" customWidth="1" style="22" min="13829" max="14057"/>
    <col width="24.5" customWidth="1" style="22" min="14058" max="14058"/>
    <col width="15" customWidth="1" style="22" min="14059" max="14059"/>
    <col width="2.83203125" customWidth="1" style="22" min="14060" max="14060"/>
    <col width="27" customWidth="1" style="22" min="14061" max="14061"/>
    <col width="15" customWidth="1" style="22" min="14062" max="14062"/>
    <col width="2.83203125" customWidth="1" style="22" min="14063" max="14063"/>
    <col width="24.5" customWidth="1" style="22" min="14064" max="14064"/>
    <col width="15" customWidth="1" style="22" min="14065" max="14065"/>
    <col width="14.83203125" customWidth="1" style="22" min="14066" max="14066"/>
    <col width="12.5" customWidth="1" style="22" min="14067" max="14067"/>
    <col width="9.1640625" customWidth="1" style="22" min="14068" max="14077"/>
    <col width="5.1640625" customWidth="1" style="22" min="14078" max="14078"/>
    <col width="26.83203125" customWidth="1" style="22" min="14079" max="14079"/>
    <col width="15" customWidth="1" style="22" min="14080" max="14080"/>
    <col width="2.83203125" customWidth="1" style="22" min="14081" max="14081"/>
    <col width="26.6640625" customWidth="1" style="22" min="14082" max="14082"/>
    <col width="10.83203125" customWidth="1" style="22" min="14083" max="14084"/>
    <col width="9.1640625" customWidth="1" style="22" min="14085" max="14313"/>
    <col width="24.5" customWidth="1" style="22" min="14314" max="14314"/>
    <col width="15" customWidth="1" style="22" min="14315" max="14315"/>
    <col width="2.83203125" customWidth="1" style="22" min="14316" max="14316"/>
    <col width="27" customWidth="1" style="22" min="14317" max="14317"/>
    <col width="15" customWidth="1" style="22" min="14318" max="14318"/>
    <col width="2.83203125" customWidth="1" style="22" min="14319" max="14319"/>
    <col width="24.5" customWidth="1" style="22" min="14320" max="14320"/>
    <col width="15" customWidth="1" style="22" min="14321" max="14321"/>
    <col width="14.83203125" customWidth="1" style="22" min="14322" max="14322"/>
    <col width="12.5" customWidth="1" style="22" min="14323" max="14323"/>
    <col width="9.1640625" customWidth="1" style="22" min="14324" max="14333"/>
    <col width="5.1640625" customWidth="1" style="22" min="14334" max="14334"/>
    <col width="26.83203125" customWidth="1" style="22" min="14335" max="14335"/>
    <col width="15" customWidth="1" style="22" min="14336" max="14336"/>
    <col width="2.83203125" customWidth="1" style="22" min="14337" max="14337"/>
    <col width="26.6640625" customWidth="1" style="22" min="14338" max="14338"/>
    <col width="10.83203125" customWidth="1" style="22" min="14339" max="14340"/>
    <col width="9.1640625" customWidth="1" style="22" min="14341" max="14569"/>
    <col width="24.5" customWidth="1" style="22" min="14570" max="14570"/>
    <col width="15" customWidth="1" style="22" min="14571" max="14571"/>
    <col width="2.83203125" customWidth="1" style="22" min="14572" max="14572"/>
    <col width="27" customWidth="1" style="22" min="14573" max="14573"/>
    <col width="15" customWidth="1" style="22" min="14574" max="14574"/>
    <col width="2.83203125" customWidth="1" style="22" min="14575" max="14575"/>
    <col width="24.5" customWidth="1" style="22" min="14576" max="14576"/>
    <col width="15" customWidth="1" style="22" min="14577" max="14577"/>
    <col width="14.83203125" customWidth="1" style="22" min="14578" max="14578"/>
    <col width="12.5" customWidth="1" style="22" min="14579" max="14579"/>
    <col width="9.1640625" customWidth="1" style="22" min="14580" max="14589"/>
    <col width="5.1640625" customWidth="1" style="22" min="14590" max="14590"/>
    <col width="26.83203125" customWidth="1" style="22" min="14591" max="14591"/>
    <col width="15" customWidth="1" style="22" min="14592" max="14592"/>
    <col width="2.83203125" customWidth="1" style="22" min="14593" max="14593"/>
    <col width="26.6640625" customWidth="1" style="22" min="14594" max="14594"/>
    <col width="10.83203125" customWidth="1" style="22" min="14595" max="14596"/>
    <col width="9.1640625" customWidth="1" style="22" min="14597" max="14825"/>
    <col width="24.5" customWidth="1" style="22" min="14826" max="14826"/>
    <col width="15" customWidth="1" style="22" min="14827" max="14827"/>
    <col width="2.83203125" customWidth="1" style="22" min="14828" max="14828"/>
    <col width="27" customWidth="1" style="22" min="14829" max="14829"/>
    <col width="15" customWidth="1" style="22" min="14830" max="14830"/>
    <col width="2.83203125" customWidth="1" style="22" min="14831" max="14831"/>
    <col width="24.5" customWidth="1" style="22" min="14832" max="14832"/>
    <col width="15" customWidth="1" style="22" min="14833" max="14833"/>
    <col width="14.83203125" customWidth="1" style="22" min="14834" max="14834"/>
    <col width="12.5" customWidth="1" style="22" min="14835" max="14835"/>
    <col width="9.1640625" customWidth="1" style="22" min="14836" max="14845"/>
    <col width="5.1640625" customWidth="1" style="22" min="14846" max="14846"/>
    <col width="26.83203125" customWidth="1" style="22" min="14847" max="14847"/>
    <col width="15" customWidth="1" style="22" min="14848" max="14848"/>
    <col width="2.83203125" customWidth="1" style="22" min="14849" max="14849"/>
    <col width="26.6640625" customWidth="1" style="22" min="14850" max="14850"/>
    <col width="10.83203125" customWidth="1" style="22" min="14851" max="14852"/>
    <col width="9.1640625" customWidth="1" style="22" min="14853" max="15081"/>
    <col width="24.5" customWidth="1" style="22" min="15082" max="15082"/>
    <col width="15" customWidth="1" style="22" min="15083" max="15083"/>
    <col width="2.83203125" customWidth="1" style="22" min="15084" max="15084"/>
    <col width="27" customWidth="1" style="22" min="15085" max="15085"/>
    <col width="15" customWidth="1" style="22" min="15086" max="15086"/>
    <col width="2.83203125" customWidth="1" style="22" min="15087" max="15087"/>
    <col width="24.5" customWidth="1" style="22" min="15088" max="15088"/>
    <col width="15" customWidth="1" style="22" min="15089" max="15089"/>
    <col width="14.83203125" customWidth="1" style="22" min="15090" max="15090"/>
    <col width="12.5" customWidth="1" style="22" min="15091" max="15091"/>
    <col width="9.1640625" customWidth="1" style="22" min="15092" max="15101"/>
    <col width="5.1640625" customWidth="1" style="22" min="15102" max="15102"/>
    <col width="26.83203125" customWidth="1" style="22" min="15103" max="15103"/>
    <col width="15" customWidth="1" style="22" min="15104" max="15104"/>
    <col width="2.83203125" customWidth="1" style="22" min="15105" max="15105"/>
    <col width="26.6640625" customWidth="1" style="22" min="15106" max="15106"/>
    <col width="10.83203125" customWidth="1" style="22" min="15107" max="15108"/>
    <col width="9.1640625" customWidth="1" style="22" min="15109" max="15337"/>
    <col width="24.5" customWidth="1" style="22" min="15338" max="15338"/>
    <col width="15" customWidth="1" style="22" min="15339" max="15339"/>
    <col width="2.83203125" customWidth="1" style="22" min="15340" max="15340"/>
    <col width="27" customWidth="1" style="22" min="15341" max="15341"/>
    <col width="15" customWidth="1" style="22" min="15342" max="15342"/>
    <col width="2.83203125" customWidth="1" style="22" min="15343" max="15343"/>
    <col width="24.5" customWidth="1" style="22" min="15344" max="15344"/>
    <col width="15" customWidth="1" style="22" min="15345" max="15345"/>
    <col width="14.83203125" customWidth="1" style="22" min="15346" max="15346"/>
    <col width="12.5" customWidth="1" style="22" min="15347" max="15347"/>
    <col width="9.1640625" customWidth="1" style="22" min="15348" max="15357"/>
    <col width="5.1640625" customWidth="1" style="22" min="15358" max="15358"/>
    <col width="26.83203125" customWidth="1" style="22" min="15359" max="15359"/>
    <col width="15" customWidth="1" style="22" min="15360" max="15360"/>
    <col width="2.83203125" customWidth="1" style="22" min="15361" max="15361"/>
    <col width="26.6640625" customWidth="1" style="22" min="15362" max="15362"/>
    <col width="10.83203125" customWidth="1" style="22" min="15363" max="15364"/>
    <col width="9.1640625" customWidth="1" style="22" min="15365" max="15593"/>
    <col width="24.5" customWidth="1" style="22" min="15594" max="15594"/>
    <col width="15" customWidth="1" style="22" min="15595" max="15595"/>
    <col width="2.83203125" customWidth="1" style="22" min="15596" max="15596"/>
    <col width="27" customWidth="1" style="22" min="15597" max="15597"/>
    <col width="15" customWidth="1" style="22" min="15598" max="15598"/>
    <col width="2.83203125" customWidth="1" style="22" min="15599" max="15599"/>
    <col width="24.5" customWidth="1" style="22" min="15600" max="15600"/>
    <col width="15" customWidth="1" style="22" min="15601" max="15601"/>
    <col width="14.83203125" customWidth="1" style="22" min="15602" max="15602"/>
    <col width="12.5" customWidth="1" style="22" min="15603" max="15603"/>
    <col width="9.1640625" customWidth="1" style="22" min="15604" max="15613"/>
    <col width="5.1640625" customWidth="1" style="22" min="15614" max="15614"/>
    <col width="26.83203125" customWidth="1" style="22" min="15615" max="15615"/>
    <col width="15" customWidth="1" style="22" min="15616" max="15616"/>
    <col width="2.83203125" customWidth="1" style="22" min="15617" max="15617"/>
    <col width="26.6640625" customWidth="1" style="22" min="15618" max="15618"/>
    <col width="10.83203125" customWidth="1" style="22" min="15619" max="15620"/>
    <col width="9.1640625" customWidth="1" style="22" min="15621" max="15849"/>
    <col width="24.5" customWidth="1" style="22" min="15850" max="15850"/>
    <col width="15" customWidth="1" style="22" min="15851" max="15851"/>
    <col width="2.83203125" customWidth="1" style="22" min="15852" max="15852"/>
    <col width="27" customWidth="1" style="22" min="15853" max="15853"/>
    <col width="15" customWidth="1" style="22" min="15854" max="15854"/>
    <col width="2.83203125" customWidth="1" style="22" min="15855" max="15855"/>
    <col width="24.5" customWidth="1" style="22" min="15856" max="15856"/>
    <col width="15" customWidth="1" style="22" min="15857" max="15857"/>
    <col width="14.83203125" customWidth="1" style="22" min="15858" max="15858"/>
    <col width="12.5" customWidth="1" style="22" min="15859" max="15859"/>
    <col width="9.1640625" customWidth="1" style="22" min="15860" max="15869"/>
    <col width="5.1640625" customWidth="1" style="22" min="15870" max="15870"/>
    <col width="26.83203125" customWidth="1" style="22" min="15871" max="15871"/>
    <col width="15" customWidth="1" style="22" min="15872" max="15872"/>
    <col width="2.83203125" customWidth="1" style="22" min="15873" max="15873"/>
    <col width="26.6640625" customWidth="1" style="22" min="15874" max="15874"/>
    <col width="10.83203125" customWidth="1" style="22" min="15875" max="15876"/>
    <col width="9.1640625" customWidth="1" style="22" min="15877" max="16105"/>
    <col width="24.5" customWidth="1" style="22" min="16106" max="16106"/>
    <col width="15" customWidth="1" style="22" min="16107" max="16107"/>
    <col width="2.83203125" customWidth="1" style="22" min="16108" max="16108"/>
    <col width="27" customWidth="1" style="22" min="16109" max="16109"/>
    <col width="15" customWidth="1" style="22" min="16110" max="16110"/>
    <col width="2.83203125" customWidth="1" style="22" min="16111" max="16111"/>
    <col width="24.5" customWidth="1" style="22" min="16112" max="16112"/>
    <col width="15" customWidth="1" style="22" min="16113" max="16113"/>
    <col width="14.83203125" customWidth="1" style="22" min="16114" max="16114"/>
    <col width="12.5" customWidth="1" style="22" min="16115" max="16115"/>
    <col width="9.1640625" customWidth="1" style="22" min="16116" max="16125"/>
    <col width="5.1640625" customWidth="1" style="22" min="16126" max="16126"/>
    <col width="26.83203125" customWidth="1" style="22" min="16127" max="16127"/>
    <col width="15" customWidth="1" style="22" min="16128" max="16128"/>
    <col width="2.83203125" customWidth="1" style="22" min="16129" max="16129"/>
    <col width="26.6640625" customWidth="1" style="22" min="16130" max="16130"/>
    <col width="10.83203125" customWidth="1" style="22" min="16131" max="16132"/>
    <col width="9.1640625" customWidth="1" style="22" min="16133" max="16384"/>
  </cols>
  <sheetData>
    <row r="1" ht="17" customHeight="1" thickBot="1">
      <c r="A1" s="434" t="inlineStr">
        <is>
          <t>Data Submitted on</t>
        </is>
      </c>
      <c r="B1" s="132">
        <f>'Sales, COGS, GP'!B5</f>
        <v/>
      </c>
      <c r="C1" s="132" t="n"/>
      <c r="D1" s="434" t="inlineStr">
        <is>
          <t>by</t>
        </is>
      </c>
      <c r="E1" s="92" t="n"/>
      <c r="F1" s="2" t="inlineStr">
        <is>
          <t>Reviewed by:</t>
        </is>
      </c>
      <c r="G1" s="134" t="n"/>
      <c r="K1" s="434" t="n"/>
    </row>
    <row r="2" ht="36" customHeight="1" thickBot="1">
      <c r="A2" s="137" t="inlineStr">
        <is>
          <t>Total Operation Recap</t>
        </is>
      </c>
      <c r="B2" s="75" t="n"/>
      <c r="C2" s="86" t="n"/>
      <c r="E2" s="137" t="inlineStr">
        <is>
          <t>Sales Department</t>
        </is>
      </c>
      <c r="F2" s="82" t="n"/>
      <c r="G2" s="86" t="n"/>
      <c r="H2" s="86" t="n"/>
      <c r="I2" s="137" t="inlineStr">
        <is>
          <t>Sales Department Mix &amp; Productivity</t>
        </is>
      </c>
      <c r="J2" s="82" t="n"/>
      <c r="K2" s="86" t="n"/>
    </row>
    <row r="3" ht="17.25" customHeight="1" thickTop="1">
      <c r="A3" s="183">
        <f>'Sales, COGS, GP'!A3</f>
        <v/>
      </c>
      <c r="B3" s="185">
        <f>'Sales, COGS, GP'!B3</f>
        <v/>
      </c>
      <c r="C3" s="112" t="n"/>
      <c r="E3" s="74" t="inlineStr">
        <is>
          <t>Dealership Name</t>
        </is>
      </c>
      <c r="F3" s="185">
        <f>B3</f>
        <v/>
      </c>
      <c r="G3" s="186" t="n"/>
      <c r="H3" s="176" t="n"/>
      <c r="I3" s="183" t="inlineStr">
        <is>
          <t>Dealership Name</t>
        </is>
      </c>
      <c r="J3" s="185">
        <f>B3</f>
        <v/>
      </c>
      <c r="K3" s="192" t="n"/>
    </row>
    <row r="4" ht="17.25" customHeight="1">
      <c r="A4" s="362">
        <f>'Sales, COGS, GP'!A7</f>
        <v/>
      </c>
      <c r="B4" s="363">
        <f>'Sales, COGS, GP'!B7</f>
        <v/>
      </c>
      <c r="C4" s="107" t="n"/>
      <c r="E4" s="362" t="inlineStr">
        <is>
          <t>Number of Months Included</t>
        </is>
      </c>
      <c r="F4" s="363">
        <f>B4</f>
        <v/>
      </c>
      <c r="G4" s="364" t="inlineStr">
        <is>
          <t>Model</t>
        </is>
      </c>
      <c r="H4" s="107" t="n"/>
      <c r="I4" s="362" t="inlineStr">
        <is>
          <t>Number of Months Included</t>
        </is>
      </c>
      <c r="J4" s="363">
        <f>B4</f>
        <v/>
      </c>
      <c r="K4" s="364" t="inlineStr">
        <is>
          <t>Model</t>
        </is>
      </c>
    </row>
    <row r="5" ht="15" customHeight="1">
      <c r="A5" s="43" t="n"/>
      <c r="B5" s="77" t="n"/>
      <c r="C5" s="86" t="n"/>
      <c r="E5" s="43" t="n"/>
      <c r="F5" s="77" t="n"/>
      <c r="G5" s="187" t="n"/>
      <c r="H5" s="86" t="n"/>
      <c r="I5" s="43" t="n"/>
      <c r="J5" s="77" t="n"/>
      <c r="K5" s="187" t="n"/>
    </row>
    <row r="6" ht="15" customHeight="1">
      <c r="A6" s="43" t="inlineStr">
        <is>
          <t>Average Monthly Sales</t>
        </is>
      </c>
      <c r="B6" s="578">
        <f>'Sales, COGS, GP'!B9</f>
        <v/>
      </c>
      <c r="C6" s="579" t="n"/>
      <c r="E6" s="43" t="inlineStr">
        <is>
          <t>Average Monthly Sales</t>
        </is>
      </c>
      <c r="F6" s="580">
        <f>IFERROR('Sales, COGS, GP'!B20/'Sales, COGS, GP'!B7,"")</f>
        <v/>
      </c>
      <c r="G6" s="581" t="n"/>
      <c r="H6" s="86" t="n"/>
      <c r="I6" s="71" t="inlineStr">
        <is>
          <t>Sales Mix</t>
        </is>
      </c>
      <c r="J6" s="77" t="n"/>
      <c r="K6" s="187" t="n"/>
    </row>
    <row r="7" ht="15" customHeight="1">
      <c r="A7" s="43" t="n"/>
      <c r="B7" s="79" t="n"/>
      <c r="E7" s="43" t="n"/>
      <c r="F7" s="77" t="n"/>
      <c r="G7" s="187" t="n"/>
      <c r="H7" s="582" t="n"/>
      <c r="I7" s="43" t="inlineStr">
        <is>
          <t>New Primary Brand Equipment</t>
        </is>
      </c>
      <c r="J7" s="583">
        <f>IFERROR('Sales, COGS, GP'!B10/'Sales, COGS, GP'!B$20,"")</f>
        <v/>
      </c>
      <c r="K7" s="584" t="n"/>
    </row>
    <row r="8" ht="15" customHeight="1">
      <c r="A8" s="43" t="inlineStr">
        <is>
          <t xml:space="preserve">Model Gross Profit </t>
        </is>
      </c>
      <c r="B8" s="583">
        <f>IFERROR(('Sales, COGS, GP'!D20+(('Sales, COGS, GP'!B21+'Sales, COGS, GP'!B23)*'Gap Analysis'!I8)+('Sales, COGS, GP'!B22*'Gap Analysis'!K8)+('Sales, COGS, GP'!B29*'Gap Analysis'!G8)+('Sales, COGS, GP'!B37*'Gap Analysis'!E8)+('Sales, COGS, GP'!B38*'Gap Analysis'!M8)+('Expenses, Miscellaneous'!E25-'Expenses, Miscellaneous'!E26))/'Sales, COGS, GP'!B41,"")</f>
        <v/>
      </c>
      <c r="C8" s="582" t="n"/>
      <c r="E8" s="43" t="inlineStr">
        <is>
          <t>Gross Profit</t>
        </is>
      </c>
      <c r="F8" s="583">
        <f>IFERROR('Sales, COGS, GP'!D20/'Sales, COGS, GP'!B20,"")</f>
        <v/>
      </c>
      <c r="G8" s="584" t="n"/>
      <c r="H8" s="582" t="n"/>
      <c r="I8" s="43" t="inlineStr">
        <is>
          <t>New Other Brand Equipment</t>
        </is>
      </c>
      <c r="J8" s="583">
        <f>IFERROR('Sales, COGS, GP'!B11/'Sales, COGS, GP'!B$20,"")</f>
        <v/>
      </c>
      <c r="K8" s="584" t="n"/>
    </row>
    <row r="9" ht="15" customHeight="1">
      <c r="A9" s="43" t="inlineStr">
        <is>
          <t>Actual Gross Profit</t>
        </is>
      </c>
      <c r="B9" s="583">
        <f>IFERROR('Sales, COGS, GP'!D41/'Sales, COGS, GP'!B41,"")</f>
        <v/>
      </c>
      <c r="C9" s="582" t="n"/>
      <c r="E9" s="43" t="inlineStr">
        <is>
          <t xml:space="preserve"> </t>
        </is>
      </c>
      <c r="F9" s="585" t="n"/>
      <c r="G9" s="586" t="n"/>
      <c r="H9" s="582" t="n"/>
      <c r="I9" s="43" t="inlineStr">
        <is>
          <t>New Allied Equipment</t>
        </is>
      </c>
      <c r="J9" s="583">
        <f>IFERROR('Sales, COGS, GP'!B12/'Sales, COGS, GP'!B$20,"")</f>
        <v/>
      </c>
      <c r="K9" s="584" t="n"/>
    </row>
    <row r="10" ht="15" customHeight="1">
      <c r="A10" s="43" t="inlineStr">
        <is>
          <t xml:space="preserve"> </t>
        </is>
      </c>
      <c r="B10" s="77" t="n"/>
      <c r="C10" s="86" t="n"/>
      <c r="E10" s="72" t="inlineStr">
        <is>
          <t>Expenses (% Of G.P.)</t>
        </is>
      </c>
      <c r="F10" s="585" t="n"/>
      <c r="G10" s="586" t="n"/>
      <c r="H10" s="582" t="n"/>
      <c r="I10" s="43" t="inlineStr">
        <is>
          <t>Other New Equipment</t>
        </is>
      </c>
      <c r="J10" s="583">
        <f>IFERROR('Sales, COGS, GP'!B13/'Sales, COGS, GP'!B$20,"")</f>
        <v/>
      </c>
      <c r="K10" s="584" t="n"/>
    </row>
    <row r="11" ht="15" customHeight="1">
      <c r="A11" s="72" t="inlineStr">
        <is>
          <t>Expenses (% Of Sales)</t>
        </is>
      </c>
      <c r="B11" s="77" t="n"/>
      <c r="C11" s="86" t="n"/>
      <c r="E11" s="43" t="inlineStr">
        <is>
          <t xml:space="preserve">Personnel </t>
        </is>
      </c>
      <c r="F11" s="583">
        <f>IFERROR('Expenses, Miscellaneous'!D4/'Sales, COGS, GP'!D$20,"")</f>
        <v/>
      </c>
      <c r="G11" s="584">
        <f>MODELS!B7</f>
        <v/>
      </c>
      <c r="H11" s="109" t="n"/>
      <c r="I11" s="43" t="inlineStr">
        <is>
          <t>Operator Training</t>
        </is>
      </c>
      <c r="J11" s="583">
        <f>IFERROR('Sales, COGS, GP'!B15/'Sales, COGS, GP'!B$20,"")</f>
        <v/>
      </c>
      <c r="K11" s="584" t="n"/>
    </row>
    <row r="12" ht="15" customHeight="1">
      <c r="A12" s="43" t="inlineStr">
        <is>
          <t xml:space="preserve">Model Personnel </t>
        </is>
      </c>
      <c r="B12" s="583">
        <f>IFERROR((('Sales, COGS, GP'!D20*'Gap Analysis'!C11)+(('Sales, COGS, GP'!B21+'Sales, COGS, GP'!B23)*'Gap Analysis'!I11)+('Sales, COGS, GP'!B22*'Gap Analysis'!K11)+('Sales, COGS, GP'!B29*'Gap Analysis'!G11)+('Sales, COGS, GP'!B37*'Gap Analysis'!E11)+('Sales, COGS, GP'!B40*'Gap Analysis'!O11))/'Sales, COGS, GP'!B41,"")</f>
        <v/>
      </c>
      <c r="C12" s="582" t="n"/>
      <c r="E12" s="43" t="inlineStr">
        <is>
          <t xml:space="preserve">Operating </t>
        </is>
      </c>
      <c r="F12" s="583">
        <f>IFERROR('Expenses, Miscellaneous'!D5/'Sales, COGS, GP'!D$20,"")</f>
        <v/>
      </c>
      <c r="G12" s="584">
        <f>MODELS!B8</f>
        <v/>
      </c>
      <c r="H12" s="587" t="n"/>
      <c r="I12" s="43" t="inlineStr">
        <is>
          <t>Used Equipment</t>
        </is>
      </c>
      <c r="J12" s="583">
        <f>IFERROR('Sales, COGS, GP'!B16/'Sales, COGS, GP'!B$20,"")</f>
        <v/>
      </c>
      <c r="K12" s="584" t="n"/>
    </row>
    <row r="13" ht="15" customHeight="1">
      <c r="A13" s="43" t="inlineStr">
        <is>
          <t xml:space="preserve">Actual Personnel </t>
        </is>
      </c>
      <c r="B13" s="583">
        <f>IFERROR('Expenses, Miscellaneous'!K4/'Sales, COGS, GP'!B41,"")</f>
        <v/>
      </c>
      <c r="C13" s="582" t="n"/>
      <c r="E13" s="420" t="inlineStr">
        <is>
          <t xml:space="preserve">Occupancy </t>
        </is>
      </c>
      <c r="F13" s="588">
        <f>IFERROR('Expenses, Miscellaneous'!D6/'Sales, COGS, GP'!D$20,"")</f>
        <v/>
      </c>
      <c r="G13" s="589">
        <f>MODELS!B9</f>
        <v/>
      </c>
      <c r="H13" s="587" t="n"/>
      <c r="I13" s="227" t="inlineStr">
        <is>
          <t>E Commerce</t>
        </is>
      </c>
      <c r="J13" s="588">
        <f>IFERROR('Sales, COGS, GP'!B17/'Sales, COGS, GP'!B$20,"")</f>
        <v/>
      </c>
      <c r="K13" s="589" t="n"/>
    </row>
    <row r="14" ht="15" customHeight="1">
      <c r="A14" s="43" t="inlineStr">
        <is>
          <t xml:space="preserve"> </t>
        </is>
      </c>
      <c r="B14" s="79" t="n"/>
      <c r="E14" s="43" t="inlineStr">
        <is>
          <t xml:space="preserve">Total Expenses </t>
        </is>
      </c>
      <c r="F14" s="583">
        <f>IFERROR('Expenses, Miscellaneous'!D7/'Sales, COGS, GP'!D$20,"")</f>
        <v/>
      </c>
      <c r="G14" s="584">
        <f>MODELS!B10</f>
        <v/>
      </c>
      <c r="H14" s="582" t="n"/>
      <c r="I14" s="43" t="inlineStr">
        <is>
          <t>Systems</t>
        </is>
      </c>
      <c r="J14" s="583">
        <f>IFERROR('Sales, COGS, GP'!B18/'Sales, COGS, GP'!B$20,"")</f>
        <v/>
      </c>
      <c r="K14" s="584" t="n"/>
    </row>
    <row r="15" ht="15" customHeight="1">
      <c r="A15" s="43" t="inlineStr">
        <is>
          <t xml:space="preserve">Model Operating </t>
        </is>
      </c>
      <c r="B15" s="583">
        <f>IFERROR((('Sales, COGS, GP'!D20*'Gap Analysis'!C12)+(('Sales, COGS, GP'!B21+'Sales, COGS, GP'!B23)*'Gap Analysis'!I12)+('Sales, COGS, GP'!B22*'Gap Analysis'!K12)+('Sales, COGS, GP'!B29*'Gap Analysis'!G12)+('Sales, COGS, GP'!B37*'Gap Analysis'!E12)+('Sales, COGS, GP'!B40*'Gap Analysis'!O12))/'Sales, COGS, GP'!B41,"")</f>
        <v/>
      </c>
      <c r="C15" s="582" t="n"/>
      <c r="E15" s="43" t="inlineStr">
        <is>
          <t xml:space="preserve"> </t>
        </is>
      </c>
      <c r="F15" s="583" t="n"/>
      <c r="G15" s="584" t="n"/>
      <c r="H15" s="582" t="n"/>
      <c r="I15" s="43" t="inlineStr">
        <is>
          <t>Batteries</t>
        </is>
      </c>
      <c r="J15" s="583">
        <f>IFERROR('Sales, COGS, GP'!B19/'Sales, COGS, GP'!B$20,"")</f>
        <v/>
      </c>
      <c r="K15" s="584" t="n"/>
    </row>
    <row r="16" ht="15" customHeight="1">
      <c r="A16" s="43" t="inlineStr">
        <is>
          <t xml:space="preserve">Actual Operating </t>
        </is>
      </c>
      <c r="B16" s="583">
        <f>IFERROR('Expenses, Miscellaneous'!K5/'Sales, COGS, GP'!B41,"")</f>
        <v/>
      </c>
      <c r="C16" s="582" t="n"/>
      <c r="E16" s="43" t="inlineStr">
        <is>
          <t>Department Profit</t>
        </is>
      </c>
      <c r="F16" s="583">
        <f>IFERROR(('Sales, COGS, GP'!D20-'Expenses, Miscellaneous'!D7)/'Sales, COGS, GP'!D20,"")</f>
        <v/>
      </c>
      <c r="G16" s="584">
        <f>MODELS!B12</f>
        <v/>
      </c>
      <c r="H16" s="582" t="n"/>
      <c r="I16" s="208" t="inlineStr">
        <is>
          <t xml:space="preserve">Total Sales </t>
        </is>
      </c>
      <c r="J16" s="583">
        <f>SUM(J7:J15)</f>
        <v/>
      </c>
      <c r="K16" s="584" t="n"/>
    </row>
    <row r="17" ht="15" customHeight="1">
      <c r="A17" s="43" t="inlineStr">
        <is>
          <t xml:space="preserve"> </t>
        </is>
      </c>
      <c r="B17" s="79" t="n"/>
      <c r="E17" s="144" t="inlineStr">
        <is>
          <t>Department Profit $ *</t>
        </is>
      </c>
      <c r="F17" s="590">
        <f>'Sales, COGS, GP'!D20-'Expenses, Miscellaneous'!D7</f>
        <v/>
      </c>
      <c r="G17" s="591">
        <f>'Gap Analysis'!C16*'Sales, COGS, GP'!D20</f>
        <v/>
      </c>
      <c r="H17" s="582" t="n"/>
      <c r="I17" s="43" t="n"/>
      <c r="J17" s="89" t="n"/>
      <c r="K17" s="193" t="n"/>
    </row>
    <row r="18" ht="15" customHeight="1">
      <c r="A18" s="43" t="inlineStr">
        <is>
          <t xml:space="preserve">Model Occupancy </t>
        </is>
      </c>
      <c r="B18" s="583">
        <f>IFERROR((('Sales, COGS, GP'!D20*'Gap Analysis'!C13)+(('Sales, COGS, GP'!B21+'Sales, COGS, GP'!B23)*'Gap Analysis'!I13)+('Sales, COGS, GP'!B22*'Gap Analysis'!K13)+('Sales, COGS, GP'!B29*'Gap Analysis'!G13)+('Sales, COGS, GP'!B37*'Gap Analysis'!E13)+('Sales, COGS, GP'!B40*'Gap Analysis'!O13))/'Sales, COGS, GP'!B41,"")</f>
        <v/>
      </c>
      <c r="C18" s="582" t="n"/>
      <c r="E18" s="43" t="n"/>
      <c r="F18" s="592" t="n"/>
      <c r="G18" s="235" t="n"/>
      <c r="H18" s="582" t="n"/>
      <c r="I18" s="72" t="inlineStr">
        <is>
          <t>Gross Profit</t>
        </is>
      </c>
      <c r="J18" s="585" t="n"/>
      <c r="K18" s="586" t="n"/>
    </row>
    <row r="19" ht="15" customHeight="1">
      <c r="A19" s="43" t="inlineStr">
        <is>
          <t xml:space="preserve">Actual Occupancy </t>
        </is>
      </c>
      <c r="B19" s="583">
        <f>IFERROR('Expenses, Miscellaneous'!K6/'Sales, COGS, GP'!B41,"")</f>
        <v/>
      </c>
      <c r="C19" s="582" t="n"/>
      <c r="E19" s="72" t="inlineStr">
        <is>
          <t>Inventory Turns</t>
        </is>
      </c>
      <c r="F19" s="234" t="n"/>
      <c r="G19" s="235" t="n"/>
      <c r="H19" s="86" t="n"/>
      <c r="I19" s="43" t="inlineStr">
        <is>
          <t>New Primary Brand Equipment</t>
        </is>
      </c>
      <c r="J19" s="583">
        <f>IFERROR('Sales, COGS, GP'!D10/'Sales, COGS, GP'!B10,"")</f>
        <v/>
      </c>
      <c r="K19" s="584" t="n"/>
    </row>
    <row r="20" ht="15" customHeight="1">
      <c r="A20" s="43" t="inlineStr">
        <is>
          <t xml:space="preserve"> </t>
        </is>
      </c>
      <c r="B20" s="79" t="n"/>
      <c r="E20" s="43" t="inlineStr">
        <is>
          <t>New Primary Brand Equipment</t>
        </is>
      </c>
      <c r="F20" s="593">
        <f>IFERROR((('Sales, COGS, GP'!C10/'Sales, COGS, GP'!B7)*12)/'Balance Sheet'!B11,"")</f>
        <v/>
      </c>
      <c r="G20" s="594" t="n">
        <v>12</v>
      </c>
      <c r="H20" s="595" t="n"/>
      <c r="I20" s="43" t="inlineStr">
        <is>
          <t>New Other Brand Equipment</t>
        </is>
      </c>
      <c r="J20" s="583">
        <f>IFERROR('Sales, COGS, GP'!D11/'Sales, COGS, GP'!B11,"")</f>
        <v/>
      </c>
      <c r="K20" s="584" t="n"/>
    </row>
    <row r="21" ht="15" customHeight="1">
      <c r="A21" s="43" t="inlineStr">
        <is>
          <t xml:space="preserve">Model Total Expense </t>
        </is>
      </c>
      <c r="B21" s="583">
        <f>IFERROR((('Sales, COGS, GP'!D20*'Gap Analysis'!C14)+(('Sales, COGS, GP'!B21+'Sales, COGS, GP'!B23)*'Gap Analysis'!I14)+('Sales, COGS, GP'!B22*'Gap Analysis'!K14)+('Sales, COGS, GP'!B29*'Gap Analysis'!G14)+('Sales, COGS, GP'!B37*'Gap Analysis'!E14)+('Sales, COGS, GP'!B40*'Gap Analysis'!O14))/'Sales, COGS, GP'!B41,"")</f>
        <v/>
      </c>
      <c r="C21" s="582" t="n"/>
      <c r="E21" s="43" t="inlineStr">
        <is>
          <t>New Other Brand Equipment</t>
        </is>
      </c>
      <c r="F21" s="593">
        <f>IFERROR((('Sales, COGS, GP'!C11/'Sales, COGS, GP'!B7)*12)/'Balance Sheet'!B12,"")</f>
        <v/>
      </c>
      <c r="G21" s="594" t="n">
        <v>12</v>
      </c>
      <c r="H21" s="595" t="n"/>
      <c r="I21" s="43" t="inlineStr">
        <is>
          <t>New Allied Equipment</t>
        </is>
      </c>
      <c r="J21" s="583">
        <f>IFERROR('Sales, COGS, GP'!D12/'Sales, COGS, GP'!B12,"")</f>
        <v/>
      </c>
      <c r="K21" s="584" t="n"/>
    </row>
    <row r="22" ht="15" customHeight="1">
      <c r="A22" s="227" t="inlineStr">
        <is>
          <t xml:space="preserve">Actual Total Expense </t>
        </is>
      </c>
      <c r="B22" s="588">
        <f>IFERROR('Expenses, Miscellaneous'!K7/'Sales, COGS, GP'!B41,"")</f>
        <v/>
      </c>
      <c r="C22" s="582" t="n"/>
      <c r="E22" s="43" t="inlineStr">
        <is>
          <t>New Allied Equipment</t>
        </is>
      </c>
      <c r="F22" s="593">
        <f>IFERROR((('Sales, COGS, GP'!C12/'Sales, COGS, GP'!B7)*12)/'Balance Sheet'!B13,"")</f>
        <v/>
      </c>
      <c r="G22" s="594" t="n"/>
      <c r="H22" s="595" t="n"/>
      <c r="I22" s="43" t="inlineStr">
        <is>
          <t>Other New Equipment</t>
        </is>
      </c>
      <c r="J22" s="583">
        <f>IFERROR('Sales, COGS, GP'!D13/'Sales, COGS, GP'!B13,"")</f>
        <v/>
      </c>
      <c r="K22" s="584" t="n"/>
    </row>
    <row r="23" ht="15" customHeight="1">
      <c r="A23" s="43" t="inlineStr">
        <is>
          <t xml:space="preserve"> </t>
        </is>
      </c>
      <c r="B23" s="79" t="n"/>
      <c r="E23" s="43" t="inlineStr">
        <is>
          <t>Used Equipment</t>
        </is>
      </c>
      <c r="F23" s="593">
        <f>IFERROR((('Sales, COGS, GP'!C16/'Sales, COGS, GP'!B7)*12)/'Balance Sheet'!B15,"")</f>
        <v/>
      </c>
      <c r="G23" s="594" t="n">
        <v>6</v>
      </c>
      <c r="H23" s="86" t="n"/>
      <c r="I23" s="43" t="inlineStr">
        <is>
          <t>Operator Training</t>
        </is>
      </c>
      <c r="J23" s="583">
        <f>IFERROR('Sales, COGS, GP'!D15/'Sales, COGS, GP'!B15,"")</f>
        <v/>
      </c>
      <c r="K23" s="584" t="n"/>
    </row>
    <row r="24">
      <c r="A24" s="43" t="inlineStr">
        <is>
          <t>Model Department Profit</t>
        </is>
      </c>
      <c r="B24" s="583">
        <f>IFERROR((('Sales, COGS, GP'!D20*'Gap Analysis'!C16)+(('Sales, COGS, GP'!B21+'Sales, COGS, GP'!B23)*'Gap Analysis'!I16)+('Sales, COGS, GP'!B22*'Gap Analysis'!K16)+('Sales, COGS, GP'!B29*'Gap Analysis'!G16)+('Sales, COGS, GP'!B37*'Gap Analysis'!E16)+('Sales, COGS, GP'!B40*'Gap Analysis'!O16)+('Expenses, Miscellaneous'!E25-'Expenses, Miscellaneous'!E26))/'Sales, COGS, GP'!B41,"")</f>
        <v/>
      </c>
      <c r="C24" s="582" t="n"/>
      <c r="E24" s="25" t="n"/>
      <c r="F24" s="241" t="n"/>
      <c r="G24" s="242" t="n"/>
      <c r="H24" s="595" t="n"/>
      <c r="I24" s="43" t="inlineStr">
        <is>
          <t>Used Equipment</t>
        </is>
      </c>
      <c r="J24" s="583">
        <f>IFERROR('Sales, COGS, GP'!D16/'Sales, COGS, GP'!B16,"")</f>
        <v/>
      </c>
      <c r="K24" s="584" t="n"/>
    </row>
    <row r="25" ht="15" customHeight="1">
      <c r="A25" s="43" t="inlineStr">
        <is>
          <t>Actual Department Profit</t>
        </is>
      </c>
      <c r="B25" s="583">
        <f>IFERROR((('Sales, COGS, GP'!D41-'Sales, COGS, GP'!B42)/'Sales, COGS, GP'!B41),"")</f>
        <v/>
      </c>
      <c r="C25" s="582" t="n"/>
      <c r="E25" s="72" t="inlineStr">
        <is>
          <t>Inventory Aging</t>
        </is>
      </c>
      <c r="F25" s="243" t="n"/>
      <c r="G25" s="244" t="n"/>
      <c r="H25" s="579" t="n"/>
      <c r="I25" s="227" t="inlineStr">
        <is>
          <t>E Commerce</t>
        </is>
      </c>
      <c r="J25" s="596">
        <f>IFERROR('Sales, COGS, GP'!D17/'Sales, COGS, GP'!B17,"")</f>
        <v/>
      </c>
      <c r="K25" s="597" t="n"/>
    </row>
    <row r="26" ht="15" customHeight="1">
      <c r="A26" s="43" t="inlineStr">
        <is>
          <t xml:space="preserve"> </t>
        </is>
      </c>
      <c r="B26" s="583" t="n"/>
      <c r="C26" s="582" t="n"/>
      <c r="E26" s="43" t="inlineStr">
        <is>
          <t>New Inventory Aging</t>
        </is>
      </c>
      <c r="F26" s="598">
        <f>'Expenses, Miscellaneous'!L12</f>
        <v/>
      </c>
      <c r="G26" s="599" t="n"/>
      <c r="H26" s="579" t="n"/>
      <c r="I26" s="43" t="inlineStr">
        <is>
          <t>Systems</t>
        </is>
      </c>
      <c r="J26" s="583">
        <f>IFERROR('Sales, COGS, GP'!D18/'Sales, COGS, GP'!B18,"")</f>
        <v/>
      </c>
      <c r="K26" s="584" t="n"/>
    </row>
    <row r="27" ht="15" customHeight="1">
      <c r="A27" s="43" t="inlineStr">
        <is>
          <t xml:space="preserve">Other Income/Expenses </t>
        </is>
      </c>
      <c r="B27" s="583">
        <f>IFERROR('Sales, COGS, GP'!B43/'Sales, COGS, GP'!B41,"")</f>
        <v/>
      </c>
      <c r="C27" s="582" t="n"/>
      <c r="E27" s="418" t="inlineStr">
        <is>
          <t>Used Inventory Aging</t>
        </is>
      </c>
      <c r="F27" s="600">
        <f>'Expenses, Miscellaneous'!L13</f>
        <v/>
      </c>
      <c r="G27" s="599" t="n"/>
      <c r="H27" s="86" t="n"/>
      <c r="I27" s="43" t="inlineStr">
        <is>
          <t>Batteries</t>
        </is>
      </c>
      <c r="J27" s="583">
        <f>IFERROR('Sales, COGS, GP'!D19/'Sales, COGS, GP'!B19,"")</f>
        <v/>
      </c>
      <c r="K27" s="584" t="n"/>
    </row>
    <row r="28" ht="15" customHeight="1">
      <c r="A28" s="43" t="inlineStr">
        <is>
          <t>Interest Expense</t>
        </is>
      </c>
      <c r="B28" s="583">
        <f>IFERROR('Sales, COGS, GP'!B44/'Sales, COGS, GP'!B41,"")</f>
        <v/>
      </c>
      <c r="C28" s="582" t="n"/>
      <c r="E28" s="43" t="inlineStr">
        <is>
          <t xml:space="preserve"> </t>
        </is>
      </c>
      <c r="F28" s="238" t="n"/>
      <c r="G28" s="239" t="n"/>
      <c r="H28" s="112" t="n"/>
      <c r="I28" s="208" t="inlineStr">
        <is>
          <t xml:space="preserve">Total Gross Profit </t>
        </is>
      </c>
      <c r="J28" s="583">
        <f>IFERROR('Sales, COGS, GP'!D20/'Sales, COGS, GP'!B20,"")</f>
        <v/>
      </c>
      <c r="K28" s="584" t="n"/>
    </row>
    <row r="29" ht="15" customHeight="1">
      <c r="A29" s="43" t="inlineStr">
        <is>
          <t xml:space="preserve">Actual Net Before Tax </t>
        </is>
      </c>
      <c r="B29" s="583">
        <f>IFERROR('Sales, COGS, GP'!B47/'Sales, COGS, GP'!B41,"")</f>
        <v/>
      </c>
      <c r="C29" s="582" t="n"/>
      <c r="E29" s="72" t="inlineStr">
        <is>
          <t>Marketshare Info</t>
        </is>
      </c>
      <c r="F29" s="77" t="n"/>
      <c r="G29" s="187" t="n"/>
      <c r="H29" s="107" t="n"/>
      <c r="I29" s="43" t="n"/>
      <c r="J29" s="77" t="n"/>
      <c r="K29" s="187" t="n"/>
    </row>
    <row r="30" ht="15" customHeight="1">
      <c r="A30" s="43" t="inlineStr">
        <is>
          <t xml:space="preserve"> </t>
        </is>
      </c>
      <c r="B30" s="77" t="n"/>
      <c r="C30" s="582" t="n"/>
      <c r="E30" s="43" t="inlineStr">
        <is>
          <t>Participation</t>
        </is>
      </c>
      <c r="F30" s="583">
        <f>IFERROR(('Expenses, Miscellaneous'!E29+'Expenses, Miscellaneous'!E30)/'Expenses, Miscellaneous'!E31,"")</f>
        <v/>
      </c>
      <c r="G30" s="584" t="n">
        <v>0.66</v>
      </c>
      <c r="H30" s="113" t="n"/>
      <c r="I30" s="43" t="inlineStr">
        <is>
          <t>Total Sales Dept. Employees</t>
        </is>
      </c>
      <c r="J30" s="86">
        <f>'Expenses, Miscellaneous'!E16</f>
        <v/>
      </c>
      <c r="K30" s="601" t="n"/>
    </row>
    <row r="31" ht="15" customHeight="1">
      <c r="A31" s="43" t="inlineStr">
        <is>
          <t>Avg. Mo. Sales $ Per Emp.</t>
        </is>
      </c>
      <c r="B31" s="578">
        <f>IFERROR('Sales, COGS, GP'!B9/'Expenses, Miscellaneous'!L16,"")</f>
        <v/>
      </c>
      <c r="C31" s="86" t="n"/>
      <c r="E31" s="43" t="inlineStr">
        <is>
          <t>Close Rate</t>
        </is>
      </c>
      <c r="F31" s="583">
        <f>IFERROR('Expenses, Miscellaneous'!E29/('Expenses, Miscellaneous'!E29+'Expenses, Miscellaneous'!E30),"")</f>
        <v/>
      </c>
      <c r="G31" s="584" t="n">
        <v>0.5</v>
      </c>
      <c r="H31" s="602" t="n"/>
      <c r="I31" s="43" t="inlineStr">
        <is>
          <t>Mo. Sls $ / Dept. Emp.</t>
        </is>
      </c>
      <c r="J31" s="592">
        <f>IFERROR(('Sales, COGS, GP'!B20/'Sales, COGS, GP'!B7)/'Expenses, Miscellaneous'!E16,"")</f>
        <v/>
      </c>
      <c r="K31" s="601" t="n"/>
    </row>
    <row r="32" ht="15" customHeight="1">
      <c r="A32" s="227" t="inlineStr">
        <is>
          <t>Avg. Mo. GP $ Per Emp.</t>
        </is>
      </c>
      <c r="B32" s="603">
        <f>IFERROR('Sales, COGS, GP'!D9/'Expenses, Miscellaneous'!L16,"")</f>
        <v/>
      </c>
      <c r="C32" s="579" t="n"/>
      <c r="E32" s="227" t="inlineStr">
        <is>
          <t>Marketshare</t>
        </is>
      </c>
      <c r="F32" s="588">
        <f>IFERROR('Expenses, Miscellaneous'!E29/'Expenses, Miscellaneous'!E31,"")</f>
        <v/>
      </c>
      <c r="G32" s="589" t="n">
        <v>0.33</v>
      </c>
      <c r="H32" s="602" t="n"/>
      <c r="I32" s="43" t="inlineStr">
        <is>
          <t>Mo. GP $ / Dept. Emp.</t>
        </is>
      </c>
      <c r="J32" s="592">
        <f>IFERROR(('Sales, COGS, GP'!D20/'Sales, COGS, GP'!B7)/'Expenses, Miscellaneous'!E16,"")</f>
        <v/>
      </c>
      <c r="K32" s="601" t="n"/>
    </row>
    <row r="33" ht="15" customHeight="1">
      <c r="C33" s="579" t="n"/>
      <c r="E33" s="174" t="inlineStr">
        <is>
          <t>*Shaded areas will not appear on the final composite</t>
        </is>
      </c>
      <c r="F33" s="224" t="n"/>
      <c r="G33" s="223" t="n"/>
      <c r="H33" s="602" t="n"/>
      <c r="I33" s="43" t="inlineStr">
        <is>
          <t xml:space="preserve"> </t>
        </is>
      </c>
      <c r="J33" s="77" t="n"/>
      <c r="K33" s="187" t="n"/>
    </row>
    <row r="34" ht="15" customHeight="1">
      <c r="B34" s="579" t="n"/>
      <c r="C34" s="579" t="n"/>
      <c r="D34" s="70" t="n"/>
      <c r="H34" s="587" t="n"/>
      <c r="I34" s="43" t="inlineStr">
        <is>
          <t>Sales Rep to Support Ratio</t>
        </is>
      </c>
      <c r="J34" s="77">
        <f>IFERROR('Expenses, Miscellaneous'!E12/('Expenses, Miscellaneous'!E11+'Expenses, Miscellaneous'!E14+'Expenses, Miscellaneous'!E15), "")</f>
        <v/>
      </c>
      <c r="K34" s="604" t="n">
        <v>3</v>
      </c>
    </row>
    <row r="35" ht="15" customHeight="1">
      <c r="H35" s="587" t="n"/>
      <c r="I35" s="43" t="inlineStr">
        <is>
          <t>Total Sales People</t>
        </is>
      </c>
      <c r="J35" s="77">
        <f>'Expenses, Miscellaneous'!E12</f>
        <v/>
      </c>
      <c r="K35" s="187" t="n"/>
    </row>
    <row r="36" ht="18" customHeight="1">
      <c r="A36" s="22" t="n"/>
      <c r="E36" s="178" t="n"/>
      <c r="F36" s="248" t="n"/>
      <c r="G36" s="248" t="n"/>
      <c r="H36" s="86" t="n"/>
      <c r="I36" s="43" t="inlineStr">
        <is>
          <t xml:space="preserve"> </t>
        </is>
      </c>
      <c r="J36" s="77" t="n"/>
      <c r="K36" s="187" t="n"/>
    </row>
    <row r="37" ht="18" customHeight="1">
      <c r="A37" s="92" t="n"/>
      <c r="E37" s="178" t="n"/>
      <c r="F37" s="248" t="n"/>
      <c r="G37" s="248" t="n"/>
      <c r="H37" s="86" t="n"/>
      <c r="I37" s="43" t="inlineStr">
        <is>
          <t>Mo. Sls $/Salesperson</t>
        </is>
      </c>
      <c r="J37" s="592">
        <f>IFERROR(('Sales, COGS, GP'!B20/'Sales, COGS, GP'!B7)/'Expenses, Miscellaneous'!E12,"")</f>
        <v/>
      </c>
      <c r="K37" s="601" t="n"/>
    </row>
    <row r="38" ht="18" customHeight="1">
      <c r="A38" s="434" t="inlineStr">
        <is>
          <t>Financial Composite Preview prepared by Currie Management Consultants, Inc. for</t>
        </is>
      </c>
      <c r="E38" s="178" t="n"/>
      <c r="F38" s="248" t="n"/>
      <c r="G38" s="248" t="n"/>
      <c r="H38" s="86" t="n"/>
      <c r="I38" s="227" t="inlineStr">
        <is>
          <t>Mo. GP $/Salesperson</t>
        </is>
      </c>
      <c r="J38" s="603">
        <f>IFERROR(('Sales, COGS, GP'!D20/'Sales, COGS, GP'!B7)/'Expenses, Miscellaneous'!E12,"")</f>
        <v/>
      </c>
      <c r="K38" s="605" t="n">
        <v>20000</v>
      </c>
    </row>
    <row r="39" ht="18" customHeight="1">
      <c r="A39" s="92">
        <f>'Sales, COGS, GP'!B3</f>
        <v/>
      </c>
      <c r="E39" s="178" t="n"/>
      <c r="F39" s="248" t="n"/>
      <c r="G39" s="248" t="n"/>
      <c r="H39" s="86" t="n"/>
      <c r="J39" s="579" t="n"/>
      <c r="K39" s="579" t="n"/>
    </row>
    <row r="40" ht="36" customHeight="1" thickBot="1">
      <c r="A40" s="137" t="inlineStr">
        <is>
          <t>Parts Department</t>
        </is>
      </c>
      <c r="E40" s="137" t="inlineStr">
        <is>
          <t>Parts Department Mix &amp; Productivity</t>
        </is>
      </c>
      <c r="F40" s="82" t="n"/>
      <c r="G40" s="86" t="n"/>
      <c r="H40" s="86" t="n"/>
      <c r="I40" s="137" t="inlineStr">
        <is>
          <t>Service Department</t>
        </is>
      </c>
      <c r="J40" s="82" t="n"/>
      <c r="K40" s="86" t="n"/>
    </row>
    <row r="41" ht="17.25" customHeight="1" thickTop="1">
      <c r="A41" s="183" t="inlineStr">
        <is>
          <t>Dealership Name</t>
        </is>
      </c>
      <c r="B41" s="76">
        <f>B3</f>
        <v/>
      </c>
      <c r="C41" s="192" t="n"/>
      <c r="E41" s="74" t="inlineStr">
        <is>
          <t>Dealership Name</t>
        </is>
      </c>
      <c r="F41" s="76">
        <f>B3</f>
        <v/>
      </c>
      <c r="G41" s="192" t="n"/>
      <c r="H41" s="176" t="n"/>
      <c r="I41" s="183" t="inlineStr">
        <is>
          <t>Dealership Name</t>
        </is>
      </c>
      <c r="J41" s="76">
        <f>B3</f>
        <v/>
      </c>
      <c r="K41" s="192" t="n"/>
    </row>
    <row r="42" ht="17.25" customHeight="1">
      <c r="A42" s="362" t="inlineStr">
        <is>
          <t>Number of Months Included</t>
        </is>
      </c>
      <c r="B42" s="367">
        <f>B4</f>
        <v/>
      </c>
      <c r="C42" s="364" t="inlineStr">
        <is>
          <t>Model</t>
        </is>
      </c>
      <c r="E42" s="43" t="inlineStr">
        <is>
          <t>Number of Months Included</t>
        </is>
      </c>
      <c r="F42" s="126">
        <f>B4</f>
        <v/>
      </c>
      <c r="G42" s="199" t="inlineStr">
        <is>
          <t>Model</t>
        </is>
      </c>
      <c r="H42" s="86" t="n"/>
      <c r="I42" s="43" t="inlineStr">
        <is>
          <t>Number of Months Included</t>
        </is>
      </c>
      <c r="J42" s="126">
        <f>B4</f>
        <v/>
      </c>
      <c r="K42" s="199" t="inlineStr">
        <is>
          <t>Model</t>
        </is>
      </c>
    </row>
    <row r="43" ht="15" customHeight="1">
      <c r="A43" s="43" t="n"/>
      <c r="B43" s="77" t="n"/>
      <c r="C43" s="187" t="n"/>
      <c r="E43" s="140" t="inlineStr">
        <is>
          <t>Parts Sales Mix</t>
        </is>
      </c>
      <c r="F43" s="128" t="n"/>
      <c r="G43" s="200" t="n"/>
      <c r="H43" s="606" t="n"/>
      <c r="I43" s="127" t="n"/>
      <c r="J43" s="128" t="n"/>
      <c r="K43" s="200" t="n"/>
    </row>
    <row r="44" ht="15" customHeight="1">
      <c r="A44" s="43" t="inlineStr">
        <is>
          <t>Average Monthly Sales</t>
        </is>
      </c>
      <c r="B44" s="607">
        <f>IFERROR('Sales, COGS, GP'!B37/'Sales, COGS, GP'!B7,"")</f>
        <v/>
      </c>
      <c r="C44" s="608" t="n"/>
      <c r="E44" s="43" t="inlineStr">
        <is>
          <t>Primary Brand Counter Parts</t>
        </is>
      </c>
      <c r="F44" s="583">
        <f>IFERROR('Sales, COGS, GP'!B30/'Sales, COGS, GP'!B$37,"")</f>
        <v/>
      </c>
      <c r="G44" s="584" t="n"/>
      <c r="H44" s="86" t="n"/>
      <c r="I44" s="43" t="inlineStr">
        <is>
          <t>Average Monthly Sales</t>
        </is>
      </c>
      <c r="J44" s="607">
        <f>IFERROR('Sales, COGS, GP'!B29/'Sales, COGS, GP'!B7,"")</f>
        <v/>
      </c>
      <c r="K44" s="608" t="n"/>
    </row>
    <row r="45" ht="15" customHeight="1">
      <c r="A45" s="43" t="n"/>
      <c r="B45" s="77" t="n"/>
      <c r="C45" s="187" t="n"/>
      <c r="E45" s="43" t="inlineStr">
        <is>
          <t>Other Brand Counter Parts</t>
        </is>
      </c>
      <c r="F45" s="583">
        <f>IFERROR('Sales, COGS, GP'!B31/'Sales, COGS, GP'!B$37,"")</f>
        <v/>
      </c>
      <c r="G45" s="584" t="n"/>
      <c r="H45" s="582" t="n"/>
      <c r="I45" s="43" t="n"/>
      <c r="J45" s="77" t="n"/>
      <c r="K45" s="187" t="n"/>
    </row>
    <row r="46" ht="15" customHeight="1">
      <c r="A46" s="43" t="inlineStr">
        <is>
          <t>Gross Profit</t>
        </is>
      </c>
      <c r="B46" s="583">
        <f>IFERROR('Sales, COGS, GP'!D37/'Sales, COGS, GP'!B37,"")</f>
        <v/>
      </c>
      <c r="C46" s="584">
        <f>MODELS!C4</f>
        <v/>
      </c>
      <c r="E46" s="43" t="inlineStr">
        <is>
          <t>Primary Brand Repair Order Parts</t>
        </is>
      </c>
      <c r="F46" s="583">
        <f>IFERROR('Sales, COGS, GP'!B32/'Sales, COGS, GP'!B$37,"")</f>
        <v/>
      </c>
      <c r="G46" s="584" t="n"/>
      <c r="H46" s="582" t="n"/>
      <c r="I46" s="43" t="inlineStr">
        <is>
          <t>Service Gross Profit</t>
        </is>
      </c>
      <c r="J46" s="583">
        <f>IFERROR('Sales, COGS, GP'!D29/'Sales, COGS, GP'!B29,"")</f>
        <v/>
      </c>
      <c r="K46" s="584">
        <f>MODELS!D4</f>
        <v/>
      </c>
    </row>
    <row r="47" ht="15" customHeight="1">
      <c r="A47" s="43" t="inlineStr">
        <is>
          <t xml:space="preserve"> </t>
        </is>
      </c>
      <c r="B47" s="77" t="n"/>
      <c r="C47" s="187" t="n"/>
      <c r="E47" s="43" t="inlineStr">
        <is>
          <t>Other Brand Repair Order Parts</t>
        </is>
      </c>
      <c r="F47" s="583">
        <f>IFERROR('Sales, COGS, GP'!B33/'Sales, COGS, GP'!B$37,"")</f>
        <v/>
      </c>
      <c r="G47" s="584" t="n"/>
      <c r="H47" s="582" t="n"/>
      <c r="I47" s="43" t="inlineStr">
        <is>
          <t>Service Personnel Exp.</t>
        </is>
      </c>
      <c r="J47" s="583">
        <f>IFERROR('Expenses, Miscellaneous'!F4/'Sales, COGS, GP'!B29,"")</f>
        <v/>
      </c>
      <c r="K47" s="584">
        <f>MODELS!D7</f>
        <v/>
      </c>
    </row>
    <row r="48" ht="15" customHeight="1">
      <c r="A48" s="72" t="inlineStr">
        <is>
          <t>Expenses (% Of SALES)</t>
        </is>
      </c>
      <c r="B48" s="77" t="n"/>
      <c r="C48" s="187" t="n"/>
      <c r="E48" s="43" t="inlineStr">
        <is>
          <t>Internal Parts Sales</t>
        </is>
      </c>
      <c r="F48" s="583">
        <f>IFERROR('Sales, COGS, GP'!B34/'Sales, COGS, GP'!B$37,"")</f>
        <v/>
      </c>
      <c r="G48" s="584" t="n"/>
      <c r="H48" s="109" t="n"/>
      <c r="I48" s="43" t="inlineStr">
        <is>
          <t>Adjusted Service GP</t>
        </is>
      </c>
      <c r="J48" s="583">
        <f>IFERROR(('Sales, COGS, GP'!D29-'Expenses, Miscellaneous'!F4)/'Sales, COGS, GP'!B29,"")</f>
        <v/>
      </c>
      <c r="K48" s="584">
        <f>K46-K47</f>
        <v/>
      </c>
    </row>
    <row r="49" ht="15" customHeight="1">
      <c r="A49" s="43" t="inlineStr">
        <is>
          <t xml:space="preserve">Personnel </t>
        </is>
      </c>
      <c r="B49" s="583">
        <f>IFERROR('Expenses, Miscellaneous'!E4/'Sales, COGS, GP'!B$37,"")</f>
        <v/>
      </c>
      <c r="C49" s="584">
        <f>MODELS!C7</f>
        <v/>
      </c>
      <c r="E49" s="43" t="inlineStr">
        <is>
          <t>Warranty Parts Sales</t>
        </is>
      </c>
      <c r="F49" s="583">
        <f>IFERROR('Sales, COGS, GP'!B35/'Sales, COGS, GP'!B$37,"")</f>
        <v/>
      </c>
      <c r="G49" s="584" t="n"/>
      <c r="H49" s="582" t="n"/>
      <c r="I49" s="72" t="inlineStr">
        <is>
          <t xml:space="preserve"> </t>
        </is>
      </c>
      <c r="J49" s="89" t="n"/>
      <c r="K49" s="193" t="n"/>
    </row>
    <row r="50" ht="15" customHeight="1">
      <c r="A50" s="43" t="inlineStr">
        <is>
          <t xml:space="preserve">Operating </t>
        </is>
      </c>
      <c r="B50" s="583">
        <f>IFERROR('Expenses, Miscellaneous'!E5/'Sales, COGS, GP'!B$37,"")</f>
        <v/>
      </c>
      <c r="C50" s="584">
        <f>MODELS!C8</f>
        <v/>
      </c>
      <c r="E50" s="227" t="inlineStr">
        <is>
          <t>E-Commerce Parts</t>
        </is>
      </c>
      <c r="F50" s="588">
        <f>IFERROR('Sales, COGS, GP'!B36/'Sales, COGS, GP'!B$37,"")</f>
        <v/>
      </c>
      <c r="G50" s="589" t="n"/>
      <c r="H50" s="582" t="n"/>
      <c r="I50" s="43" t="inlineStr">
        <is>
          <t>EXPENSES (% Of SALES)</t>
        </is>
      </c>
      <c r="J50" s="583" t="n"/>
      <c r="K50" s="584" t="n"/>
    </row>
    <row r="51" ht="15" customHeight="1">
      <c r="A51" s="227" t="inlineStr">
        <is>
          <t xml:space="preserve">Occupancy </t>
        </is>
      </c>
      <c r="B51" s="596">
        <f>IFERROR('Expenses, Miscellaneous'!E6/'Sales, COGS, GP'!B$37,"")</f>
        <v/>
      </c>
      <c r="C51" s="597">
        <f>MODELS!C9</f>
        <v/>
      </c>
      <c r="E51" s="43" t="inlineStr">
        <is>
          <t xml:space="preserve">Total </t>
        </is>
      </c>
      <c r="F51" s="609">
        <f>SUM(F44:F50)</f>
        <v/>
      </c>
      <c r="G51" s="610" t="n"/>
      <c r="H51" s="582" t="n"/>
      <c r="I51" s="43" t="inlineStr">
        <is>
          <t xml:space="preserve">Operating </t>
        </is>
      </c>
      <c r="J51" s="583">
        <f>IFERROR('Expenses, Miscellaneous'!F5/'Sales, COGS, GP'!B29,"")</f>
        <v/>
      </c>
      <c r="K51" s="584">
        <f>MODELS!D8</f>
        <v/>
      </c>
    </row>
    <row r="52" ht="15" customHeight="1">
      <c r="A52" s="43" t="inlineStr">
        <is>
          <t xml:space="preserve">Total Expenses </t>
        </is>
      </c>
      <c r="B52" s="583">
        <f>IFERROR('Expenses, Miscellaneous'!E7/'Sales, COGS, GP'!B$37,"")</f>
        <v/>
      </c>
      <c r="C52" s="584">
        <f>MODELS!C10</f>
        <v/>
      </c>
      <c r="E52" s="43" t="inlineStr">
        <is>
          <t xml:space="preserve"> </t>
        </is>
      </c>
      <c r="F52" s="139" t="n"/>
      <c r="G52" s="193" t="n"/>
      <c r="H52" s="109" t="n"/>
      <c r="I52" s="43" t="inlineStr">
        <is>
          <t xml:space="preserve">Occupancy </t>
        </is>
      </c>
      <c r="J52" s="583">
        <f>IFERROR('Expenses, Miscellaneous'!F6/'Sales, COGS, GP'!B29,"")</f>
        <v/>
      </c>
      <c r="K52" s="584">
        <f>MODELS!D9</f>
        <v/>
      </c>
    </row>
    <row r="53" ht="15" customHeight="1">
      <c r="A53" s="43" t="inlineStr">
        <is>
          <t xml:space="preserve"> </t>
        </is>
      </c>
      <c r="B53" s="585" t="n"/>
      <c r="C53" s="586" t="n"/>
      <c r="E53" s="72" t="inlineStr">
        <is>
          <t>Gross Profit</t>
        </is>
      </c>
      <c r="F53" s="139" t="n"/>
      <c r="G53" s="351" t="n"/>
      <c r="H53" s="582" t="n"/>
      <c r="I53" s="43" t="inlineStr">
        <is>
          <t xml:space="preserve">Total Expenses </t>
        </is>
      </c>
      <c r="J53" s="583">
        <f>IFERROR('Expenses, Miscellaneous'!F7/'Sales, COGS, GP'!B29,"")</f>
        <v/>
      </c>
      <c r="K53" s="584">
        <f>MODELS!D10</f>
        <v/>
      </c>
    </row>
    <row r="54" ht="15" customHeight="1">
      <c r="A54" s="43" t="inlineStr">
        <is>
          <t>Department Profit</t>
        </is>
      </c>
      <c r="B54" s="583">
        <f>IFERROR(('Sales, COGS, GP'!D37-'Expenses, Miscellaneous'!E7)/'Sales, COGS, GP'!B37,"")</f>
        <v/>
      </c>
      <c r="C54" s="584">
        <f>MODELS!C12</f>
        <v/>
      </c>
      <c r="E54" s="25" t="inlineStr">
        <is>
          <t>Primary Brand Counter Parts</t>
        </is>
      </c>
      <c r="F54" s="611">
        <f>IFERROR('Sales, COGS, GP'!D30/'Sales, COGS, GP'!B30,"")</f>
        <v/>
      </c>
      <c r="G54" s="610" t="n"/>
      <c r="H54" s="582" t="n"/>
      <c r="I54" s="43" t="inlineStr">
        <is>
          <t xml:space="preserve"> </t>
        </is>
      </c>
      <c r="J54" s="583" t="n"/>
      <c r="K54" s="584" t="n"/>
    </row>
    <row r="55" ht="15" customHeight="1">
      <c r="A55" s="144" t="inlineStr">
        <is>
          <t>Department Profit $ *</t>
        </is>
      </c>
      <c r="B55" s="590">
        <f>'Sales, COGS, GP'!D37-'Expenses, Miscellaneous'!E7</f>
        <v/>
      </c>
      <c r="C55" s="612">
        <f>C54*'Sales, COGS, GP'!B37</f>
        <v/>
      </c>
      <c r="E55" s="418" t="inlineStr">
        <is>
          <t>Other Brand Counter Parts</t>
        </is>
      </c>
      <c r="F55" s="583">
        <f>IFERROR('Sales, COGS, GP'!D31/'Sales, COGS, GP'!B31,"")</f>
        <v/>
      </c>
      <c r="G55" s="584" t="n"/>
      <c r="H55" s="613" t="n"/>
      <c r="I55" s="43" t="inlineStr">
        <is>
          <t>Department Profit</t>
        </is>
      </c>
      <c r="J55" s="583">
        <f>IFERROR(('Sales, COGS, GP'!D29-'Expenses, Miscellaneous'!F7)/'Sales, COGS, GP'!B29,"")</f>
        <v/>
      </c>
      <c r="K55" s="584">
        <f>MODELS!D12</f>
        <v/>
      </c>
    </row>
    <row r="56" ht="15" customHeight="1">
      <c r="A56" s="72" t="n"/>
      <c r="B56" s="77" t="n"/>
      <c r="C56" s="187" t="n"/>
      <c r="E56" s="418" t="inlineStr">
        <is>
          <t>Primary Brand Repair Order Parts</t>
        </is>
      </c>
      <c r="F56" s="583">
        <f>IFERROR('Sales, COGS, GP'!D32/'Sales, COGS, GP'!B32,"")</f>
        <v/>
      </c>
      <c r="G56" s="584" t="n"/>
      <c r="H56" s="595" t="n"/>
      <c r="I56" s="144" t="inlineStr">
        <is>
          <t>Department Profit $ *</t>
        </is>
      </c>
      <c r="J56" s="614">
        <f>'Sales, COGS, GP'!D29-'Expenses, Miscellaneous'!F7</f>
        <v/>
      </c>
      <c r="K56" s="615">
        <f>K55*'Sales, COGS, GP'!B29</f>
        <v/>
      </c>
    </row>
    <row r="57" ht="15" customHeight="1">
      <c r="A57" s="72" t="inlineStr">
        <is>
          <t>Inventory Turns</t>
        </is>
      </c>
      <c r="B57" s="77" t="n"/>
      <c r="C57" s="187" t="n"/>
      <c r="E57" s="418" t="inlineStr">
        <is>
          <t>Other Brand Repair Order Parts</t>
        </is>
      </c>
      <c r="F57" s="583">
        <f>IFERROR('Sales, COGS, GP'!D33/'Sales, COGS, GP'!B33,"")</f>
        <v/>
      </c>
      <c r="G57" s="584" t="n"/>
      <c r="H57" s="606" t="n"/>
      <c r="I57" s="43" t="inlineStr">
        <is>
          <t xml:space="preserve"> </t>
        </is>
      </c>
      <c r="J57" s="592" t="n"/>
      <c r="K57" s="601" t="n"/>
    </row>
    <row r="58" ht="15" customHeight="1">
      <c r="A58" s="43" t="inlineStr">
        <is>
          <t>Total Turns</t>
        </is>
      </c>
      <c r="B58" s="616">
        <f>IFERROR((('Sales, COGS, GP'!D37/Number_of_Months_Included)*12)/'Balance Sheet'!B16, "")</f>
        <v/>
      </c>
      <c r="C58" s="617" t="n">
        <v>5</v>
      </c>
      <c r="E58" s="418" t="inlineStr">
        <is>
          <t>Internal Parts Sales</t>
        </is>
      </c>
      <c r="F58" s="583">
        <f>IFERROR('Sales, COGS, GP'!D34/'Sales, COGS, GP'!B34,"")</f>
        <v/>
      </c>
      <c r="G58" s="584" t="n"/>
      <c r="H58" s="606" t="n"/>
      <c r="I58" s="43" t="inlineStr">
        <is>
          <t>Avg. Mo Serv. Sls/ Employee</t>
        </is>
      </c>
      <c r="J58" s="607">
        <f>IFERROR('Sales, COGS, GP'!B29/'Sales, COGS, GP'!B7/'Expenses, Miscellaneous'!G16,"")</f>
        <v/>
      </c>
      <c r="K58" s="608" t="n"/>
    </row>
    <row r="59" ht="15" customHeight="1">
      <c r="A59" s="72" t="n"/>
      <c r="B59" s="77" t="n"/>
      <c r="C59" s="187" t="n"/>
      <c r="E59" s="418" t="inlineStr">
        <is>
          <t>Warranty Parts Sales</t>
        </is>
      </c>
      <c r="F59" s="583">
        <f>IFERROR('Sales, COGS, GP'!D35/'Sales, COGS, GP'!B35,"")</f>
        <v/>
      </c>
      <c r="G59" s="584" t="n"/>
      <c r="H59" s="606" t="n"/>
      <c r="I59" s="43" t="inlineStr">
        <is>
          <t>Avg. Mo GP/ Employee</t>
        </is>
      </c>
      <c r="J59" s="607">
        <f>IFERROR('Sales, COGS, GP'!D29/'Sales, COGS, GP'!B7/'Expenses, Miscellaneous'!G16,"")</f>
        <v/>
      </c>
      <c r="K59" s="608" t="n"/>
    </row>
    <row r="60" ht="15" customHeight="1">
      <c r="A60" s="43" t="inlineStr">
        <is>
          <t>Parts Performance Factor</t>
        </is>
      </c>
      <c r="B60" s="585">
        <f>IFERROR(B46*B58, "")</f>
        <v/>
      </c>
      <c r="C60" s="618" t="n">
        <v>2</v>
      </c>
      <c r="E60" s="420" t="inlineStr">
        <is>
          <t>E-Commerce Parts</t>
        </is>
      </c>
      <c r="F60" s="588">
        <f>IFERROR('Sales, COGS, GP'!D36/'Sales, COGS, GP'!B36,"")</f>
        <v/>
      </c>
      <c r="G60" s="589" t="n"/>
      <c r="H60" s="606" t="n"/>
      <c r="I60" s="43" t="inlineStr">
        <is>
          <t>Avg. Mo Labor Sales/ Tech</t>
        </is>
      </c>
      <c r="J60" s="607">
        <f>IFERROR((('Sales, COGS, GP'!B24+'Sales, COGS, GP'!B25+'Sales, COGS, GP'!B26)/'Sales, COGS, GP'!B7)/'Expenses, Miscellaneous'!G13,"")</f>
        <v/>
      </c>
      <c r="K60" s="608" t="n">
        <v>20000</v>
      </c>
    </row>
    <row r="61" ht="15" customHeight="1">
      <c r="A61" s="72" t="n"/>
      <c r="B61" s="77" t="n"/>
      <c r="C61" s="187" t="n"/>
      <c r="E61" s="418" t="inlineStr">
        <is>
          <t>Total</t>
        </is>
      </c>
      <c r="F61" s="611">
        <f>IFERROR('Sales, COGS, GP'!D37/'Sales, COGS, GP'!B37,"")</f>
        <v/>
      </c>
      <c r="G61" s="610">
        <f>MODELS!C4</f>
        <v/>
      </c>
      <c r="H61" s="606" t="n"/>
      <c r="I61" s="43" t="inlineStr">
        <is>
          <t>Avg. Mo Labor GP/ Tech</t>
        </is>
      </c>
      <c r="J61" s="607">
        <f>IFERROR((('Sales, COGS, GP'!D24+'Sales, COGS, GP'!D25+'Sales, COGS, GP'!D26)/'Sales, COGS, GP'!B7)/'Expenses, Miscellaneous'!G13,"")</f>
        <v/>
      </c>
      <c r="K61" s="608" t="n">
        <v>13000</v>
      </c>
    </row>
    <row r="62" ht="15" customHeight="1">
      <c r="A62" s="418" t="inlineStr">
        <is>
          <t>Parts Inventory Aging</t>
        </is>
      </c>
      <c r="B62" s="583">
        <f>'Expenses, Miscellaneous'!E24</f>
        <v/>
      </c>
      <c r="C62" s="618" t="n">
        <v>0.05</v>
      </c>
      <c r="E62" s="418" t="inlineStr">
        <is>
          <t xml:space="preserve"> </t>
        </is>
      </c>
      <c r="F62" s="77" t="n"/>
      <c r="G62" s="187" t="n"/>
      <c r="H62" s="619" t="n"/>
      <c r="I62" s="43" t="inlineStr">
        <is>
          <t xml:space="preserve"> </t>
        </is>
      </c>
      <c r="J62" s="620" t="n"/>
      <c r="K62" s="621" t="n"/>
    </row>
    <row r="63" ht="15" customHeight="1">
      <c r="A63" s="43" t="inlineStr">
        <is>
          <t xml:space="preserve"> </t>
        </is>
      </c>
      <c r="B63" s="622" t="n"/>
      <c r="C63" s="623" t="n"/>
      <c r="E63" s="418" t="inlineStr">
        <is>
          <t>Total Parts Employees</t>
        </is>
      </c>
      <c r="F63" s="77">
        <f>'Expenses, Miscellaneous'!F16</f>
        <v/>
      </c>
      <c r="G63" s="187" t="n"/>
      <c r="H63" s="619" t="n"/>
      <c r="I63" s="43" t="inlineStr">
        <is>
          <t>Total Service Department Employees</t>
        </is>
      </c>
      <c r="J63" s="620">
        <f>'Expenses, Miscellaneous'!G16</f>
        <v/>
      </c>
      <c r="K63" s="621" t="n"/>
    </row>
    <row r="64" ht="15" customHeight="1">
      <c r="A64" s="227" t="inlineStr">
        <is>
          <t>Parts Freight Recovery/Loss</t>
        </is>
      </c>
      <c r="B64" s="588">
        <f>IFERROR('Expenses, Miscellaneous'!E25/'Expenses, Miscellaneous'!E26, "")</f>
        <v/>
      </c>
      <c r="C64" s="618" t="n">
        <v>1</v>
      </c>
      <c r="E64" s="418" t="inlineStr">
        <is>
          <t>Mo. Parts Sls/ Dept. Employee</t>
        </is>
      </c>
      <c r="F64" s="580">
        <f>IFERROR(('Sales, COGS, GP'!B37/Number_of_Months_Included)/'Expenses, Miscellaneous'!F16,"")</f>
        <v/>
      </c>
      <c r="G64" s="581" t="n">
        <v>60000</v>
      </c>
      <c r="H64" s="619" t="n"/>
      <c r="I64" s="43" t="inlineStr">
        <is>
          <t>Total Service Technicians</t>
        </is>
      </c>
      <c r="J64" s="620">
        <f>'Expenses, Miscellaneous'!G13</f>
        <v/>
      </c>
      <c r="K64" s="621" t="n"/>
    </row>
    <row r="65" ht="15" customHeight="1">
      <c r="A65" s="174" t="inlineStr">
        <is>
          <t>*Shaded areas will not appear on the final composite</t>
        </is>
      </c>
      <c r="B65" s="224" t="n"/>
      <c r="C65" s="223" t="n"/>
      <c r="E65" s="43" t="inlineStr">
        <is>
          <t>Mo. Parts GP/ Dept. Employee</t>
        </is>
      </c>
      <c r="F65" s="624">
        <f>IFERROR(('Sales, COGS, GP'!D37/Number_of_Months_Included)/'Expenses, Miscellaneous'!F16,"")</f>
        <v/>
      </c>
      <c r="G65" s="625">
        <f>G64*G61</f>
        <v/>
      </c>
      <c r="H65" s="619" t="n"/>
      <c r="I65" s="43" t="inlineStr">
        <is>
          <t>Ratio Technician/Non-Technician</t>
        </is>
      </c>
      <c r="J65" s="626">
        <f>IFERROR(J64/(J63-J64),"")</f>
        <v/>
      </c>
      <c r="K65" s="627" t="n">
        <v>5</v>
      </c>
    </row>
    <row r="66" ht="15" customHeight="1">
      <c r="E66" s="227" t="inlineStr">
        <is>
          <t>Mo. Parts Revenue per Technician</t>
        </is>
      </c>
      <c r="F66" s="352">
        <f>IFERROR((('Sales, COGS, GP'!B37-('Sales, COGS, GP'!B30+'Sales, COGS, GP'!B31))/Number_of_Months_Included)/'Expenses, Miscellaneous'!G13, "")</f>
        <v/>
      </c>
      <c r="G66" s="368" t="n"/>
      <c r="H66" s="628" t="n"/>
      <c r="I66" s="43" t="inlineStr">
        <is>
          <t>% of Techs to Total Company</t>
        </is>
      </c>
      <c r="J66" s="629">
        <f>IFERROR(('Expenses, Miscellaneous'!F13+'Expenses, Miscellaneous'!G13+'Expenses, Miscellaneous'!H13+'Expenses, Miscellaneous'!I13)/'Expenses, Miscellaneous'!L16, "")</f>
        <v/>
      </c>
      <c r="K66" s="630" t="n">
        <v>0.5</v>
      </c>
    </row>
    <row r="67" ht="15" customHeight="1">
      <c r="H67" s="628" t="n"/>
      <c r="I67" s="43" t="n"/>
      <c r="J67" s="629" t="n"/>
      <c r="K67" s="630" t="n"/>
    </row>
    <row r="68" ht="15" customHeight="1">
      <c r="H68" s="628" t="n"/>
      <c r="I68" s="43" t="inlineStr">
        <is>
          <t>Posted Billing Rate</t>
        </is>
      </c>
      <c r="J68" s="631">
        <f>'Expenses, Miscellaneous'!I23</f>
        <v/>
      </c>
      <c r="K68" s="630" t="n"/>
    </row>
    <row r="69" ht="15" customHeight="1">
      <c r="H69" s="628" t="n"/>
      <c r="I69" s="43" t="inlineStr">
        <is>
          <t>Calculated Rate</t>
        </is>
      </c>
      <c r="J69" s="629">
        <f>IFERROR(('Sales, COGS, GP'!B24+'Sales, COGS, GP'!B25+'Sales, COGS, GP'!B26)/'Expenses, Miscellaneous'!I25, "")</f>
        <v/>
      </c>
      <c r="K69" s="630" t="n"/>
    </row>
    <row r="70" ht="15" customHeight="1">
      <c r="H70" s="628" t="n"/>
      <c r="I70" s="43" t="n"/>
      <c r="J70" s="629" t="n"/>
      <c r="K70" s="630" t="n"/>
    </row>
    <row r="71" ht="15" customHeight="1">
      <c r="H71" s="628" t="n"/>
      <c r="I71" s="43" t="inlineStr">
        <is>
          <t>Tech Hourly Pay Rate</t>
        </is>
      </c>
      <c r="J71" s="631">
        <f>'Expenses, Miscellaneous'!I24</f>
        <v/>
      </c>
      <c r="K71" s="630" t="n"/>
    </row>
    <row r="72" ht="15" customHeight="1">
      <c r="H72" s="628" t="n"/>
      <c r="I72" s="43" t="inlineStr">
        <is>
          <t>Calculated Rate</t>
        </is>
      </c>
      <c r="J72" s="629">
        <f>IFERROR(('Sales, COGS, GP'!C24+'Sales, COGS, GP'!C25+'Sales, COGS, GP'!C26)/'Expenses, Miscellaneous'!I28, "")</f>
        <v/>
      </c>
      <c r="K72" s="630" t="n"/>
    </row>
    <row r="73" ht="15" customHeight="1">
      <c r="H73" s="628" t="n"/>
      <c r="I73" s="43" t="inlineStr">
        <is>
          <t xml:space="preserve"> </t>
        </is>
      </c>
      <c r="J73" s="632" t="n"/>
      <c r="K73" s="633" t="n"/>
    </row>
    <row r="74" ht="15" customHeight="1">
      <c r="H74" s="628" t="n"/>
      <c r="I74" s="43" t="inlineStr">
        <is>
          <t>Stated Billing Multiple</t>
        </is>
      </c>
      <c r="J74" s="213">
        <f>IFERROR(J68/J71, "")</f>
        <v/>
      </c>
      <c r="K74" s="634" t="n">
        <v>3.5</v>
      </c>
    </row>
    <row r="75" ht="15" customHeight="1">
      <c r="H75" s="628" t="n"/>
      <c r="I75" s="227" t="inlineStr">
        <is>
          <t>Actual Billing Multiple</t>
        </is>
      </c>
      <c r="J75" s="353">
        <f>IFERROR(J69/J72, "")</f>
        <v/>
      </c>
      <c r="K75" s="635" t="n">
        <v>3.5</v>
      </c>
    </row>
    <row r="76" ht="15" customHeight="1">
      <c r="H76" s="628" t="n"/>
      <c r="I76" s="174" t="inlineStr">
        <is>
          <t>*Shaded areas will not appear on the final composite</t>
        </is>
      </c>
      <c r="J76" s="224" t="n"/>
      <c r="K76" s="223" t="n"/>
    </row>
    <row r="77" ht="15" customHeight="1">
      <c r="H77" s="628" t="n"/>
      <c r="J77" s="628" t="n"/>
      <c r="K77" s="636" t="n"/>
    </row>
    <row r="78" ht="36" customHeight="1" thickBot="1">
      <c r="A78" s="137" t="inlineStr">
        <is>
          <t>Service Dept. Mix &amp; Productivity</t>
        </is>
      </c>
      <c r="B78" s="82" t="n"/>
      <c r="C78" s="22" t="n"/>
      <c r="D78" s="22" t="n"/>
      <c r="E78" s="142" t="inlineStr">
        <is>
          <t>Short Term Rental Department Composite</t>
        </is>
      </c>
      <c r="F78" s="82" t="n"/>
      <c r="G78" s="82" t="n"/>
      <c r="H78" s="434" t="n"/>
      <c r="I78" s="137" t="inlineStr">
        <is>
          <t xml:space="preserve">Long Term Rental Department Composite </t>
        </is>
      </c>
      <c r="J78" s="82" t="n"/>
      <c r="K78" s="22" t="n"/>
    </row>
    <row r="79" ht="17.25" customHeight="1" thickTop="1">
      <c r="A79" s="183" t="inlineStr">
        <is>
          <t>Dealership Name</t>
        </is>
      </c>
      <c r="B79" s="76">
        <f>F3</f>
        <v/>
      </c>
      <c r="C79" s="192" t="n"/>
      <c r="D79" s="22" t="n"/>
      <c r="E79" s="74" t="inlineStr">
        <is>
          <t>Dealership Name</t>
        </is>
      </c>
      <c r="F79" s="143">
        <f>B3</f>
        <v/>
      </c>
      <c r="G79" s="216" t="n"/>
      <c r="H79" s="434" t="n"/>
      <c r="I79" s="183" t="inlineStr">
        <is>
          <t>Dealership Name</t>
        </is>
      </c>
      <c r="J79" s="76">
        <f>F3</f>
        <v/>
      </c>
      <c r="K79" s="192" t="n"/>
    </row>
    <row r="80" ht="17.25" customHeight="1">
      <c r="A80" s="362" t="inlineStr">
        <is>
          <t>Number of Months Included</t>
        </is>
      </c>
      <c r="B80" s="367">
        <f>F4</f>
        <v/>
      </c>
      <c r="C80" s="364" t="inlineStr">
        <is>
          <t>Model</t>
        </is>
      </c>
      <c r="D80" s="22" t="n"/>
      <c r="E80" s="227" t="inlineStr">
        <is>
          <t>Number of Months Included</t>
        </is>
      </c>
      <c r="F80" s="355">
        <f>$B$4</f>
        <v/>
      </c>
      <c r="G80" s="356" t="inlineStr">
        <is>
          <t>Model</t>
        </is>
      </c>
      <c r="H80" s="434" t="n"/>
      <c r="I80" s="362" t="inlineStr">
        <is>
          <t>Number of Months Included</t>
        </is>
      </c>
      <c r="J80" s="367">
        <f>F4</f>
        <v/>
      </c>
      <c r="K80" s="364" t="inlineStr">
        <is>
          <t>Model</t>
        </is>
      </c>
    </row>
    <row r="81" ht="15" customHeight="1">
      <c r="A81" s="73" t="inlineStr">
        <is>
          <t xml:space="preserve"> </t>
        </is>
      </c>
      <c r="B81" s="88" t="n"/>
      <c r="C81" s="215" t="n"/>
      <c r="D81" s="22" t="n"/>
      <c r="E81" s="181" t="n"/>
      <c r="F81" s="583" t="n"/>
      <c r="G81" s="584" t="n"/>
      <c r="H81" s="434" t="n"/>
      <c r="I81" s="43" t="n"/>
      <c r="J81" s="583" t="n"/>
      <c r="K81" s="584" t="n"/>
    </row>
    <row r="82" ht="15" customHeight="1">
      <c r="A82" s="72" t="inlineStr">
        <is>
          <t>Sales Mix</t>
        </is>
      </c>
      <c r="B82" s="77" t="n"/>
      <c r="C82" s="187" t="n"/>
      <c r="D82" s="22" t="n"/>
      <c r="E82" s="43" t="inlineStr">
        <is>
          <t>Average Monthly Sales (includes Re-Rent)</t>
        </is>
      </c>
      <c r="F82" s="624">
        <f>IFERROR(('Sales, COGS, GP'!B21+'Sales, COGS, GP'!B23)/'Sales, COGS, GP'!B7,"")</f>
        <v/>
      </c>
      <c r="G82" s="625" t="n"/>
      <c r="H82" s="434" t="n"/>
      <c r="I82" s="182" t="inlineStr">
        <is>
          <t>Average Monthly Sales</t>
        </is>
      </c>
      <c r="J82" s="624">
        <f>IFERROR('Sales, COGS, GP'!B22/'Sales, COGS, GP'!B7,"")</f>
        <v/>
      </c>
      <c r="K82" s="625" t="n"/>
    </row>
    <row r="83" ht="15" customHeight="1">
      <c r="A83" s="43" t="inlineStr">
        <is>
          <t>Customer Labor</t>
        </is>
      </c>
      <c r="B83" s="583">
        <f>IFERROR('Sales, COGS, GP'!B24/'Sales, COGS, GP'!B$29,"")</f>
        <v/>
      </c>
      <c r="C83" s="584" t="n"/>
      <c r="D83" s="22" t="n"/>
      <c r="E83" s="43" t="n"/>
      <c r="F83" s="583" t="n"/>
      <c r="G83" s="584" t="n"/>
      <c r="H83" s="434" t="n"/>
      <c r="I83" s="180" t="n"/>
      <c r="J83" s="583" t="n"/>
      <c r="K83" s="584" t="n"/>
    </row>
    <row r="84" ht="15" customHeight="1">
      <c r="A84" s="43" t="inlineStr">
        <is>
          <t>Internal Labor</t>
        </is>
      </c>
      <c r="B84" s="583">
        <f>IFERROR('Sales, COGS, GP'!B25/'Sales, COGS, GP'!B$29,"")</f>
        <v/>
      </c>
      <c r="C84" s="584" t="n"/>
      <c r="D84" s="22" t="n"/>
      <c r="E84" s="72" t="inlineStr">
        <is>
          <t>Cost Of Goods Sold (STR only)</t>
        </is>
      </c>
      <c r="F84" s="583" t="n"/>
      <c r="G84" s="584" t="n"/>
      <c r="H84" s="434" t="n"/>
      <c r="I84" s="71" t="inlineStr">
        <is>
          <t>Cost Of Goods Sold</t>
        </is>
      </c>
      <c r="J84" s="583" t="n"/>
      <c r="K84" s="584" t="n"/>
    </row>
    <row r="85" ht="15" customHeight="1">
      <c r="A85" s="43" t="inlineStr">
        <is>
          <t>Warranty Labor</t>
        </is>
      </c>
      <c r="B85" s="583">
        <f>IFERROR('Sales, COGS, GP'!B26/'Sales, COGS, GP'!B$29,"")</f>
        <v/>
      </c>
      <c r="C85" s="584" t="n"/>
      <c r="D85" s="22" t="n"/>
      <c r="E85" s="182" t="inlineStr">
        <is>
          <t>Depreciation</t>
        </is>
      </c>
      <c r="F85" s="583">
        <f>IFERROR('Expenses, Miscellaneous'!F34/'Sales, COGS, GP'!B$21,"")</f>
        <v/>
      </c>
      <c r="G85" s="584" t="n">
        <v>0.3</v>
      </c>
      <c r="H85" s="434" t="n"/>
      <c r="I85" s="180" t="inlineStr">
        <is>
          <t>Depreciation</t>
        </is>
      </c>
      <c r="J85" s="583">
        <f>IFERROR('Expenses, Miscellaneous'!I34/'Sales, COGS, GP'!B$22,"")</f>
        <v/>
      </c>
      <c r="K85" s="584" t="n">
        <v>0.5</v>
      </c>
    </row>
    <row r="86" ht="15" customHeight="1">
      <c r="A86" s="43" t="inlineStr">
        <is>
          <t>Sublet Sales</t>
        </is>
      </c>
      <c r="B86" s="583">
        <f>IFERROR('Sales, COGS, GP'!B27/'Sales, COGS, GP'!B$29,"")</f>
        <v/>
      </c>
      <c r="C86" s="584" t="n"/>
      <c r="D86" s="22" t="n"/>
      <c r="E86" s="180" t="inlineStr">
        <is>
          <t>Interest</t>
        </is>
      </c>
      <c r="F86" s="583">
        <f>IFERROR('Expenses, Miscellaneous'!F35/'Sales, COGS, GP'!B$21,"")</f>
        <v/>
      </c>
      <c r="G86" s="584" t="n">
        <v>0.1</v>
      </c>
      <c r="H86" s="434" t="n"/>
      <c r="I86" s="180" t="inlineStr">
        <is>
          <t>Interest</t>
        </is>
      </c>
      <c r="J86" s="583">
        <f>IFERROR('Expenses, Miscellaneous'!I35/'Sales, COGS, GP'!B$22,"")</f>
        <v/>
      </c>
      <c r="K86" s="584" t="n">
        <v>0.15</v>
      </c>
    </row>
    <row r="87" ht="15" customHeight="1">
      <c r="A87" s="227" t="inlineStr">
        <is>
          <t>Other Service Sales</t>
        </is>
      </c>
      <c r="B87" s="596">
        <f>IFERROR('Sales, COGS, GP'!B28/'Sales, COGS, GP'!B$29,"")</f>
        <v/>
      </c>
      <c r="C87" s="597" t="n"/>
      <c r="D87" s="22" t="n"/>
      <c r="E87" s="357" t="inlineStr">
        <is>
          <t>Maintenance</t>
        </is>
      </c>
      <c r="F87" s="588">
        <f>IFERROR('Expenses, Miscellaneous'!F36/'Sales, COGS, GP'!B$21,"")</f>
        <v/>
      </c>
      <c r="G87" s="589" t="n">
        <v>0.15</v>
      </c>
      <c r="H87" s="434" t="n"/>
      <c r="I87" s="357" t="inlineStr">
        <is>
          <t>Maintenance</t>
        </is>
      </c>
      <c r="J87" s="588">
        <f>IFERROR('Expenses, Miscellaneous'!I36/'Sales, COGS, GP'!B$22,"")</f>
        <v/>
      </c>
      <c r="K87" s="589" t="n">
        <v>0.15</v>
      </c>
    </row>
    <row r="88" ht="15" customHeight="1">
      <c r="A88" s="43" t="inlineStr">
        <is>
          <t xml:space="preserve">Total Service Sales </t>
        </is>
      </c>
      <c r="B88" s="89">
        <f>IFERROR('Sales, COGS, GP'!B29/'Sales, COGS, GP'!B$29,"")</f>
        <v/>
      </c>
      <c r="C88" s="193" t="n"/>
      <c r="D88" s="22" t="n"/>
      <c r="E88" s="71" t="inlineStr">
        <is>
          <t>Gross Profit  (STR only)</t>
        </is>
      </c>
      <c r="F88" s="583">
        <f>IFERROR('Sales, COGS, GP'!D21/'Sales, COGS, GP'!B21,"")</f>
        <v/>
      </c>
      <c r="G88" s="584">
        <f>MODELS!E4</f>
        <v/>
      </c>
      <c r="H88" s="434" t="n"/>
      <c r="I88" s="71" t="inlineStr">
        <is>
          <t xml:space="preserve">Gross Profit </t>
        </is>
      </c>
      <c r="J88" s="583">
        <f>IFERROR('Sales, COGS, GP'!D22/'Sales, COGS, GP'!B22,"")</f>
        <v/>
      </c>
      <c r="K88" s="584">
        <f>MODELS!F4</f>
        <v/>
      </c>
    </row>
    <row r="89" ht="15" customHeight="1">
      <c r="A89" s="43" t="inlineStr">
        <is>
          <t xml:space="preserve"> </t>
        </is>
      </c>
      <c r="B89" s="583" t="n"/>
      <c r="C89" s="584" t="n"/>
      <c r="D89" s="22" t="n"/>
      <c r="E89" s="71" t="n"/>
      <c r="F89" s="583" t="n"/>
      <c r="G89" s="584" t="n"/>
      <c r="H89" s="434" t="n"/>
      <c r="I89" s="180" t="inlineStr">
        <is>
          <t xml:space="preserve"> </t>
        </is>
      </c>
      <c r="J89" s="583" t="n"/>
      <c r="K89" s="584" t="n"/>
    </row>
    <row r="90" ht="15" customHeight="1">
      <c r="A90" s="72" t="inlineStr">
        <is>
          <t>Gross Profit</t>
        </is>
      </c>
      <c r="B90" s="583" t="n"/>
      <c r="C90" s="584" t="n"/>
      <c r="D90" s="22" t="n"/>
      <c r="E90" s="71" t="inlineStr">
        <is>
          <t>Re-Rent GP</t>
        </is>
      </c>
      <c r="F90" s="583">
        <f>IFERROR('Sales, COGS, GP'!D23/'Sales, COGS, GP'!B23, "")</f>
        <v/>
      </c>
      <c r="G90" s="584" t="n"/>
      <c r="H90" s="434" t="n"/>
      <c r="I90" s="71" t="inlineStr">
        <is>
          <t>EXPENSES (% Of SALES)</t>
        </is>
      </c>
      <c r="J90" s="583" t="n"/>
      <c r="K90" s="584" t="n"/>
    </row>
    <row r="91" ht="15" customHeight="1">
      <c r="A91" s="43" t="inlineStr">
        <is>
          <t>Customer Labor</t>
        </is>
      </c>
      <c r="B91" s="583">
        <f>IFERROR('Sales, COGS, GP'!D24/'Sales, COGS, GP'!B24,"")</f>
        <v/>
      </c>
      <c r="C91" s="584" t="n"/>
      <c r="D91" s="22" t="n"/>
      <c r="E91" s="71" t="inlineStr">
        <is>
          <t>Total Department GP</t>
        </is>
      </c>
      <c r="F91" s="583">
        <f>IFERROR(('Sales, COGS, GP'!D21+'Sales, COGS, GP'!D23)/('Sales, COGS, GP'!B21+'Sales, COGS, GP'!B23),"")</f>
        <v/>
      </c>
      <c r="G91" s="584">
        <f>MODELS!E4</f>
        <v/>
      </c>
      <c r="H91" s="434" t="n"/>
      <c r="I91" s="180" t="inlineStr">
        <is>
          <t>Personnel</t>
        </is>
      </c>
      <c r="J91" s="583">
        <f>IFERROR(('Expenses, Miscellaneous'!H4/'Sales, COGS, GP'!B$22),"")</f>
        <v/>
      </c>
      <c r="K91" s="584">
        <f>MODELS!F7</f>
        <v/>
      </c>
    </row>
    <row r="92" ht="15" customHeight="1">
      <c r="A92" s="43" t="inlineStr">
        <is>
          <t>Internal Labor</t>
        </is>
      </c>
      <c r="B92" s="583">
        <f>IFERROR('Sales, COGS, GP'!D25/'Sales, COGS, GP'!B25,"")</f>
        <v/>
      </c>
      <c r="C92" s="584" t="n"/>
      <c r="D92" s="22" t="n"/>
      <c r="E92" s="180" t="inlineStr">
        <is>
          <t xml:space="preserve"> </t>
        </is>
      </c>
      <c r="F92" s="583" t="n"/>
      <c r="G92" s="584" t="n"/>
      <c r="H92" s="434" t="n"/>
      <c r="I92" s="180" t="inlineStr">
        <is>
          <t>Operating</t>
        </is>
      </c>
      <c r="J92" s="583">
        <f>IFERROR(('Expenses, Miscellaneous'!H5/'Sales, COGS, GP'!B$22),"")</f>
        <v/>
      </c>
      <c r="K92" s="584">
        <f>MODELS!F8</f>
        <v/>
      </c>
    </row>
    <row r="93" ht="15" customHeight="1">
      <c r="A93" s="43" t="inlineStr">
        <is>
          <t>Warranty Labor</t>
        </is>
      </c>
      <c r="B93" s="583">
        <f>IFERROR('Sales, COGS, GP'!D26/'Sales, COGS, GP'!B26,"")</f>
        <v/>
      </c>
      <c r="C93" s="584" t="n"/>
      <c r="D93" s="22" t="n"/>
      <c r="E93" s="71" t="inlineStr">
        <is>
          <t>EXPENSES (% Of STR SALES)</t>
        </is>
      </c>
      <c r="F93" s="583" t="n"/>
      <c r="G93" s="584" t="n"/>
      <c r="H93" s="434" t="n"/>
      <c r="I93" s="357" t="inlineStr">
        <is>
          <t>Occupancy</t>
        </is>
      </c>
      <c r="J93" s="588">
        <f>IFERROR(('Expenses, Miscellaneous'!H6/'Sales, COGS, GP'!B$22),"")</f>
        <v/>
      </c>
      <c r="K93" s="589">
        <f>MODELS!F9</f>
        <v/>
      </c>
    </row>
    <row r="94" ht="15" customHeight="1">
      <c r="A94" s="43" t="inlineStr">
        <is>
          <t>Sublet Sales</t>
        </is>
      </c>
      <c r="B94" s="583">
        <f>IFERROR('Sales, COGS, GP'!D27/'Sales, COGS, GP'!B27,"")</f>
        <v/>
      </c>
      <c r="C94" s="584" t="n"/>
      <c r="D94" s="22" t="n"/>
      <c r="E94" s="180" t="inlineStr">
        <is>
          <t>Personnel</t>
        </is>
      </c>
      <c r="F94" s="583">
        <f>IFERROR(('Expenses, Miscellaneous'!G4/('Sales, COGS, GP'!B$21+'Sales, COGS, GP'!B23)),"")</f>
        <v/>
      </c>
      <c r="G94" s="584">
        <f>MODELS!E7</f>
        <v/>
      </c>
      <c r="H94" s="434" t="n"/>
      <c r="I94" s="184" t="inlineStr">
        <is>
          <t>Total Expenses</t>
        </is>
      </c>
      <c r="J94" s="583">
        <f>IFERROR(('Expenses, Miscellaneous'!H7/'Sales, COGS, GP'!B$22),"")</f>
        <v/>
      </c>
      <c r="K94" s="584">
        <f>MODELS!F10</f>
        <v/>
      </c>
    </row>
    <row r="95" ht="15" customHeight="1">
      <c r="A95" s="227" t="inlineStr">
        <is>
          <t>Other Service Sales</t>
        </is>
      </c>
      <c r="B95" s="596">
        <f>IFERROR('Sales, COGS, GP'!D28/'Sales, COGS, GP'!B28,"")</f>
        <v/>
      </c>
      <c r="C95" s="597" t="n"/>
      <c r="D95" s="22" t="n"/>
      <c r="E95" s="180" t="inlineStr">
        <is>
          <t>Operating</t>
        </is>
      </c>
      <c r="F95" s="583">
        <f>IFERROR(('Expenses, Miscellaneous'!G5/('Sales, COGS, GP'!B$21+'Sales, COGS, GP'!B23)),"")</f>
        <v/>
      </c>
      <c r="G95" s="584">
        <f>MODELS!E8</f>
        <v/>
      </c>
      <c r="H95" s="434" t="n"/>
      <c r="I95" s="180" t="inlineStr">
        <is>
          <t xml:space="preserve"> </t>
        </is>
      </c>
      <c r="J95" s="583" t="n"/>
      <c r="K95" s="584" t="n"/>
    </row>
    <row r="96" ht="15" customHeight="1">
      <c r="A96" s="43" t="inlineStr">
        <is>
          <t xml:space="preserve">Total Service Gross Profit </t>
        </is>
      </c>
      <c r="B96" s="583">
        <f>IFERROR('Sales, COGS, GP'!D29/'Sales, COGS, GP'!B29,"")</f>
        <v/>
      </c>
      <c r="C96" s="584">
        <f>MODELS!D4</f>
        <v/>
      </c>
      <c r="D96" s="22" t="n"/>
      <c r="E96" s="357" t="inlineStr">
        <is>
          <t>Occupancy</t>
        </is>
      </c>
      <c r="F96" s="588">
        <f>IFERROR(('Expenses, Miscellaneous'!G6/('Sales, COGS, GP'!B$21+'Sales, COGS, GP'!B23)),"")</f>
        <v/>
      </c>
      <c r="G96" s="589">
        <f>MODELS!E9</f>
        <v/>
      </c>
      <c r="H96" s="434" t="n"/>
      <c r="I96" s="180" t="inlineStr">
        <is>
          <t>Dept. Profit (% Of Sales)</t>
        </is>
      </c>
      <c r="J96" s="609">
        <f>IFERROR((('Sales, COGS, GP'!D22-'Expenses, Miscellaneous'!H7)/'Sales, COGS, GP'!B22),"")</f>
        <v/>
      </c>
      <c r="K96" s="584">
        <f>MODELS!F12</f>
        <v/>
      </c>
    </row>
    <row r="97" ht="15" customHeight="1">
      <c r="A97" s="43" t="n"/>
      <c r="B97" s="583" t="n"/>
      <c r="C97" s="584" t="n"/>
      <c r="D97" s="22" t="n"/>
      <c r="E97" s="180" t="inlineStr">
        <is>
          <t>Total Expenses</t>
        </is>
      </c>
      <c r="F97" s="583">
        <f>IFERROR(('Expenses, Miscellaneous'!G7/('Sales, COGS, GP'!B$21+'Sales, COGS, GP'!B23)),"")</f>
        <v/>
      </c>
      <c r="G97" s="584">
        <f>MODELS!E10</f>
        <v/>
      </c>
      <c r="H97" s="434" t="n"/>
      <c r="I97" s="180" t="inlineStr">
        <is>
          <t xml:space="preserve"> </t>
        </is>
      </c>
      <c r="J97" s="609" t="n"/>
      <c r="K97" s="584" t="n"/>
    </row>
    <row r="98" ht="15" customHeight="1">
      <c r="A98" s="43" t="inlineStr">
        <is>
          <t>PM Completion Rate</t>
        </is>
      </c>
      <c r="B98" s="583">
        <f>'Expenses, Miscellaneous'!M28</f>
        <v/>
      </c>
      <c r="C98" s="584" t="n"/>
      <c r="D98" s="22" t="n"/>
      <c r="E98" s="180" t="inlineStr">
        <is>
          <t xml:space="preserve"> </t>
        </is>
      </c>
      <c r="F98" s="583" t="n"/>
      <c r="G98" s="584" t="n"/>
      <c r="H98" s="434" t="n"/>
      <c r="I98" s="180" t="inlineStr">
        <is>
          <t>Monthly Revenue Multiple</t>
        </is>
      </c>
      <c r="J98" s="583">
        <f>IFERROR(('Sales, COGS, GP'!B22/'Sales, COGS, GP'!B7)/'Expenses, Miscellaneous'!I39,"")</f>
        <v/>
      </c>
      <c r="K98" s="584" t="n">
        <v>0.05</v>
      </c>
    </row>
    <row r="99" ht="15" customHeight="1">
      <c r="A99" s="43" t="inlineStr">
        <is>
          <t>First Call Completion Rate</t>
        </is>
      </c>
      <c r="B99" s="583">
        <f>'Expenses, Miscellaneous'!M29</f>
        <v/>
      </c>
      <c r="C99" s="584" t="n"/>
      <c r="D99" s="22" t="n"/>
      <c r="E99" s="180" t="inlineStr">
        <is>
          <t>Dept. Profit (% Of Sales)</t>
        </is>
      </c>
      <c r="F99" s="583">
        <f>IFERROR((('Sales, COGS, GP'!D21-'Expenses, Miscellaneous'!G7)/'Sales, COGS, GP'!B21),"")</f>
        <v/>
      </c>
      <c r="G99" s="584">
        <f>MODELS!E12</f>
        <v/>
      </c>
      <c r="H99" s="434" t="n"/>
      <c r="I99" s="180" t="inlineStr">
        <is>
          <t xml:space="preserve"> </t>
        </is>
      </c>
      <c r="J99" s="583" t="n"/>
      <c r="K99" s="584" t="n"/>
    </row>
    <row r="100" ht="15" customHeight="1">
      <c r="A100" s="43" t="inlineStr">
        <is>
          <t>Average Response Time (# of hours)</t>
        </is>
      </c>
      <c r="B100" s="637">
        <f>'Expenses, Miscellaneous'!M30</f>
        <v/>
      </c>
      <c r="C100" s="584" t="n"/>
      <c r="D100" s="22" t="n"/>
      <c r="E100" s="180" t="n"/>
      <c r="F100" s="583" t="n"/>
      <c r="G100" s="584" t="n"/>
      <c r="H100" s="434" t="n"/>
      <c r="I100" s="357" t="inlineStr">
        <is>
          <t># Units In Rental Fleet</t>
        </is>
      </c>
      <c r="J100" s="358">
        <f>'Expenses, Miscellaneous'!I38</f>
        <v/>
      </c>
      <c r="K100" s="221" t="n"/>
    </row>
    <row r="101">
      <c r="A101" s="43" t="inlineStr">
        <is>
          <t xml:space="preserve"> </t>
        </is>
      </c>
      <c r="B101" s="585" t="n"/>
      <c r="C101" s="586" t="n"/>
      <c r="D101" s="22" t="n"/>
      <c r="E101" s="180" t="inlineStr">
        <is>
          <t>Annual Revenue per Unit</t>
        </is>
      </c>
      <c r="F101" s="583">
        <f>IFERROR((('Sales, COGS, GP'!B21/Number_of_Months_Included)*12)/'Expenses, Miscellaneous'!F38, "")</f>
        <v/>
      </c>
      <c r="G101" s="584" t="n"/>
      <c r="H101" s="434" t="n"/>
    </row>
    <row r="102">
      <c r="A102" s="72" t="inlineStr">
        <is>
          <t>Productivity</t>
        </is>
      </c>
      <c r="B102" s="585" t="n"/>
      <c r="C102" s="586" t="n"/>
      <c r="D102" s="22" t="n"/>
      <c r="E102" s="180" t="inlineStr">
        <is>
          <t>Equity to Net Book Value</t>
        </is>
      </c>
      <c r="F102" s="583">
        <f>IFERROR(('Balance Sheet'!E10+'Balance Sheet'!E17)/'Balance Sheet'!B27, "")</f>
        <v/>
      </c>
      <c r="G102" s="584" t="n"/>
      <c r="H102" s="1" t="n"/>
    </row>
    <row r="103">
      <c r="A103" s="43" t="inlineStr">
        <is>
          <t>Application</t>
        </is>
      </c>
      <c r="B103" s="583">
        <f>IFERROR('Expenses, Miscellaneous'!I26/'Expenses, Miscellaneous'!I28,"")</f>
        <v/>
      </c>
      <c r="C103" s="584" t="n">
        <v>0.85</v>
      </c>
      <c r="D103" s="22" t="n"/>
      <c r="E103" s="180" t="n"/>
      <c r="F103" s="583" t="n"/>
      <c r="G103" s="584" t="n"/>
      <c r="H103" s="434" t="n"/>
    </row>
    <row r="104">
      <c r="A104" s="43" t="inlineStr">
        <is>
          <t>Efficiency</t>
        </is>
      </c>
      <c r="B104" s="583">
        <f>IFERROR('Expenses, Miscellaneous'!I25/'Expenses, Miscellaneous'!I26,"")</f>
        <v/>
      </c>
      <c r="C104" s="584" t="n">
        <v>1</v>
      </c>
      <c r="D104" s="22" t="n"/>
      <c r="E104" s="180" t="inlineStr">
        <is>
          <t>Monthly Revenue Multiple</t>
        </is>
      </c>
      <c r="F104" s="583">
        <f>IFERROR((F82/'Expenses, Miscellaneous'!F39),"")</f>
        <v/>
      </c>
      <c r="G104" s="584" t="n">
        <v>0.05</v>
      </c>
      <c r="H104" s="434" t="n"/>
    </row>
    <row r="105" ht="15" customHeight="1">
      <c r="A105" s="227" t="inlineStr">
        <is>
          <t>Productivity</t>
        </is>
      </c>
      <c r="B105" s="588">
        <f>IFERROR('Expenses, Miscellaneous'!I25/'Expenses, Miscellaneous'!I28,"")</f>
        <v/>
      </c>
      <c r="C105" s="589" t="n">
        <v>0.85</v>
      </c>
      <c r="D105" s="22" t="n"/>
      <c r="E105" s="180" t="inlineStr">
        <is>
          <t xml:space="preserve"> </t>
        </is>
      </c>
      <c r="F105" s="583" t="n"/>
      <c r="G105" s="584" t="n"/>
      <c r="H105" s="434" t="n"/>
      <c r="I105" s="217" t="n"/>
      <c r="J105" s="434" t="n"/>
      <c r="K105" s="218" t="n"/>
    </row>
    <row r="106">
      <c r="B106" s="582" t="n"/>
      <c r="C106" s="638" t="n"/>
      <c r="D106" s="22" t="n"/>
      <c r="E106" s="180" t="inlineStr">
        <is>
          <t># Units In Rental Fleet</t>
        </is>
      </c>
      <c r="F106" s="225">
        <f>'Expenses, Miscellaneous'!F38</f>
        <v/>
      </c>
      <c r="G106" s="226" t="n"/>
      <c r="H106" s="434" t="n"/>
      <c r="I106" s="217" t="n"/>
      <c r="J106" s="434" t="n"/>
      <c r="K106" s="218" t="n"/>
    </row>
    <row r="107">
      <c r="B107" s="582" t="n"/>
      <c r="C107" s="638" t="n"/>
      <c r="D107" s="22" t="n"/>
      <c r="E107" s="180" t="inlineStr">
        <is>
          <t>Units on Rent</t>
        </is>
      </c>
      <c r="F107" s="225">
        <f>'Expenses, Miscellaneous'!F40</f>
        <v/>
      </c>
      <c r="G107" s="584" t="n"/>
      <c r="H107" s="434" t="n"/>
      <c r="I107" s="217" t="n"/>
      <c r="J107" s="434" t="n"/>
      <c r="K107" s="218" t="n"/>
    </row>
    <row r="108">
      <c r="B108" s="582" t="n"/>
      <c r="C108" s="638" t="n"/>
      <c r="D108" s="22" t="n"/>
      <c r="E108" s="357" t="inlineStr">
        <is>
          <t>% of Units on Rent</t>
        </is>
      </c>
      <c r="F108" s="639">
        <f>IFERROR('Expenses, Miscellaneous'!F40/'Expenses, Miscellaneous'!F38, "")</f>
        <v/>
      </c>
      <c r="G108" s="221" t="n"/>
      <c r="H108" s="434" t="n"/>
      <c r="I108" s="217" t="n"/>
      <c r="J108" s="434" t="n"/>
      <c r="K108" s="218" t="n"/>
    </row>
    <row r="109">
      <c r="B109" s="582" t="n"/>
      <c r="C109" s="638" t="n"/>
      <c r="D109" s="22" t="n"/>
      <c r="E109" s="217" t="n"/>
      <c r="G109" s="222" t="n"/>
      <c r="H109" s="434" t="n"/>
      <c r="I109" s="217" t="n"/>
      <c r="J109" s="434" t="n"/>
      <c r="K109" s="218" t="n"/>
    </row>
    <row r="110" ht="36" customHeight="1" thickBot="1">
      <c r="A110" s="137" t="inlineStr">
        <is>
          <t>Trucking Department</t>
        </is>
      </c>
      <c r="B110" s="82" t="n"/>
      <c r="C110" s="86" t="n"/>
      <c r="D110" s="22" t="n"/>
      <c r="E110" s="137" t="inlineStr">
        <is>
          <t>G &amp; A</t>
        </is>
      </c>
      <c r="F110" s="82" t="n"/>
      <c r="G110" s="86" t="n"/>
      <c r="H110" s="434" t="n"/>
      <c r="I110" s="137" t="inlineStr">
        <is>
          <t>Total Company Profile</t>
        </is>
      </c>
      <c r="J110" s="82" t="n"/>
      <c r="K110" s="82" t="n"/>
    </row>
    <row r="111" ht="17.25" customHeight="1" thickTop="1">
      <c r="A111" s="43" t="inlineStr">
        <is>
          <t>Dealership Name</t>
        </is>
      </c>
      <c r="B111" s="76">
        <f>B3</f>
        <v/>
      </c>
      <c r="C111" s="192" t="n"/>
      <c r="E111" s="183" t="inlineStr">
        <is>
          <t>Dealership Name</t>
        </is>
      </c>
      <c r="F111" s="76">
        <f>J3</f>
        <v/>
      </c>
      <c r="G111" s="192" t="n"/>
      <c r="I111" s="43" t="inlineStr">
        <is>
          <t>Dealership Name</t>
        </is>
      </c>
      <c r="J111" s="76" t="n">
        <v>0</v>
      </c>
      <c r="K111" s="192" t="n"/>
    </row>
    <row r="112" ht="17.25" customHeight="1">
      <c r="A112" s="43" t="inlineStr">
        <is>
          <t>Number of Months Included</t>
        </is>
      </c>
      <c r="B112" s="126">
        <f>B4</f>
        <v/>
      </c>
      <c r="C112" s="199" t="inlineStr">
        <is>
          <t>Model</t>
        </is>
      </c>
      <c r="E112" s="362" t="inlineStr">
        <is>
          <t>Number of Months Included</t>
        </is>
      </c>
      <c r="F112" s="367">
        <f>J4</f>
        <v/>
      </c>
      <c r="G112" s="364" t="inlineStr">
        <is>
          <t>Model</t>
        </is>
      </c>
      <c r="I112" s="420" t="inlineStr">
        <is>
          <t>Number of Months Included</t>
        </is>
      </c>
      <c r="J112" s="173" t="n">
        <v>0</v>
      </c>
      <c r="K112" s="356" t="inlineStr">
        <is>
          <t>Model</t>
        </is>
      </c>
    </row>
    <row r="113">
      <c r="A113" s="127" t="n"/>
      <c r="B113" s="128" t="n"/>
      <c r="C113" s="200" t="n"/>
      <c r="E113" s="72" t="inlineStr">
        <is>
          <t>Expenses (% Of Parts, Rental &amp; Service Sales)</t>
        </is>
      </c>
      <c r="F113" s="77" t="n"/>
      <c r="G113" s="187" t="n"/>
      <c r="I113" s="140" t="inlineStr">
        <is>
          <t>Liquidity</t>
        </is>
      </c>
      <c r="J113" s="128" t="n"/>
      <c r="K113" s="200" t="n"/>
    </row>
    <row r="114">
      <c r="A114" s="43" t="inlineStr">
        <is>
          <t>Average Monthly Sales</t>
        </is>
      </c>
      <c r="B114" s="607">
        <f>IFERROR('Sales, COGS, GP'!B38/Number_of_Months_Included,"")</f>
        <v/>
      </c>
      <c r="C114" s="608" t="n"/>
      <c r="E114" s="43" t="inlineStr">
        <is>
          <t xml:space="preserve">Personnel </t>
        </is>
      </c>
      <c r="F114" s="583">
        <f>IFERROR('Expenses, Miscellaneous'!J4/'Sales, COGS, GP'!B$40,"")</f>
        <v/>
      </c>
      <c r="G114" s="584">
        <f>MODELS!H7</f>
        <v/>
      </c>
      <c r="I114" s="43" t="inlineStr">
        <is>
          <t>Debt To Equity</t>
        </is>
      </c>
      <c r="J114" s="640">
        <f>IFERROR('Balance Sheet'!E24/'Balance Sheet'!E29,"")</f>
        <v/>
      </c>
      <c r="K114" s="604" t="n">
        <v>3</v>
      </c>
    </row>
    <row r="115">
      <c r="A115" s="43" t="n"/>
      <c r="B115" s="607" t="n"/>
      <c r="C115" s="608" t="n"/>
      <c r="E115" s="43" t="inlineStr">
        <is>
          <t xml:space="preserve">Operating </t>
        </is>
      </c>
      <c r="F115" s="583">
        <f>IFERROR('Expenses, Miscellaneous'!J5/'Sales, COGS, GP'!B$40,"")</f>
        <v/>
      </c>
      <c r="G115" s="584">
        <f>MODELS!H8</f>
        <v/>
      </c>
      <c r="I115" s="43" t="inlineStr">
        <is>
          <t>Net Debt To Equity</t>
        </is>
      </c>
      <c r="J115" s="640">
        <f>IFERROR(('Balance Sheet'!E24-'Balance Sheet'!E7)/'Balance Sheet'!E29,"")</f>
        <v/>
      </c>
      <c r="K115" s="604" t="n">
        <v>1</v>
      </c>
    </row>
    <row r="116">
      <c r="A116" s="72" t="inlineStr">
        <is>
          <t>Cost of Goods Sold</t>
        </is>
      </c>
      <c r="B116" s="607" t="n"/>
      <c r="C116" s="608" t="n"/>
      <c r="E116" s="227" t="inlineStr">
        <is>
          <t xml:space="preserve">Occupancy </t>
        </is>
      </c>
      <c r="F116" s="596">
        <f>IFERROR('Expenses, Miscellaneous'!J6/'Sales, COGS, GP'!B$40,"")</f>
        <v/>
      </c>
      <c r="G116" s="597">
        <f>MODELS!H9</f>
        <v/>
      </c>
      <c r="I116" s="43" t="inlineStr">
        <is>
          <t>Net Current Ratio</t>
        </is>
      </c>
      <c r="J116" s="640">
        <f>IFERROR('Balance Sheet'!B24/'Balance Sheet'!E13,"")</f>
        <v/>
      </c>
      <c r="K116" s="604" t="n">
        <v>2</v>
      </c>
    </row>
    <row r="117">
      <c r="A117" s="43" t="inlineStr">
        <is>
          <t>Maintenance</t>
        </is>
      </c>
      <c r="B117" s="641">
        <f>IFERROR('Expenses, Miscellaneous'!C34/'Sales, COGS, GP'!B38, "")</f>
        <v/>
      </c>
      <c r="C117" s="642" t="n">
        <v>0.3</v>
      </c>
      <c r="E117" s="43" t="inlineStr">
        <is>
          <t xml:space="preserve">Total Expenses </t>
        </is>
      </c>
      <c r="F117" s="583">
        <f>IFERROR('Expenses, Miscellaneous'!J7/'Sales, COGS, GP'!B$40,"")</f>
        <v/>
      </c>
      <c r="G117" s="584">
        <f>MODELS!H10</f>
        <v/>
      </c>
      <c r="I117" s="43" t="inlineStr">
        <is>
          <t xml:space="preserve"> </t>
        </is>
      </c>
      <c r="J117" s="77" t="n"/>
      <c r="K117" s="643" t="n"/>
    </row>
    <row r="118">
      <c r="A118" s="43" t="inlineStr">
        <is>
          <t>Fuel</t>
        </is>
      </c>
      <c r="B118" s="641">
        <f>IFERROR('Expenses, Miscellaneous'!C36/'Sales, COGS, GP'!B38, "")</f>
        <v/>
      </c>
      <c r="C118" s="642" t="n">
        <v>0.1</v>
      </c>
      <c r="E118" s="43" t="inlineStr">
        <is>
          <t xml:space="preserve"> </t>
        </is>
      </c>
      <c r="F118" s="583" t="n"/>
      <c r="G118" s="584" t="n"/>
      <c r="I118" s="43" t="inlineStr">
        <is>
          <t>Current Ratio</t>
        </is>
      </c>
      <c r="J118" s="640">
        <f>IFERROR('Balance Sheet'!B24/'Balance Sheet'!E13, "")</f>
        <v/>
      </c>
      <c r="K118" s="604" t="n">
        <v>1.5</v>
      </c>
    </row>
    <row r="119">
      <c r="A119" s="227" t="inlineStr">
        <is>
          <t>Other Costs</t>
        </is>
      </c>
      <c r="B119" s="644">
        <f>IFERROR('Expenses, Miscellaneous'!C37/'Sales, COGS, GP'!B38, "")</f>
        <v/>
      </c>
      <c r="C119" s="645" t="n">
        <v>0.15</v>
      </c>
      <c r="E119" s="72" t="inlineStr">
        <is>
          <t>Accounts Receivable Aging</t>
        </is>
      </c>
      <c r="F119" s="583" t="n"/>
      <c r="G119" s="584" t="n"/>
      <c r="I119" s="43" t="inlineStr">
        <is>
          <t>Working Capital Turns</t>
        </is>
      </c>
      <c r="J119" s="637">
        <f>IFERROR('Sales, COGS, GP'!B41/('Balance Sheet'!B24+'Balance Sheet'!E13), "")</f>
        <v/>
      </c>
      <c r="K119" s="646" t="n">
        <v>8</v>
      </c>
    </row>
    <row r="120">
      <c r="A120" s="72" t="inlineStr">
        <is>
          <t>Gross Profit</t>
        </is>
      </c>
      <c r="B120" s="583">
        <f>IFERROR(('Sales, COGS, GP'!D38-'Expenses, Miscellaneous'!C35)/'Sales, COGS, GP'!B38,"")</f>
        <v/>
      </c>
      <c r="C120" s="584">
        <f>MODELS!G4</f>
        <v/>
      </c>
      <c r="E120" s="43" t="inlineStr">
        <is>
          <t>Current</t>
        </is>
      </c>
      <c r="F120" s="583">
        <f>IFERROR('Expenses, Miscellaneous'!B22/'Expenses, Miscellaneous'!B$26,"")</f>
        <v/>
      </c>
      <c r="G120" s="584" t="n">
        <v>0.7</v>
      </c>
      <c r="I120" s="43" t="n"/>
      <c r="J120" s="583" t="n"/>
      <c r="K120" s="319" t="n"/>
    </row>
    <row r="121">
      <c r="A121" s="72" t="n"/>
      <c r="B121" s="583" t="n"/>
      <c r="C121" s="584" t="n"/>
      <c r="E121" s="43" t="inlineStr">
        <is>
          <t>31-60 Days</t>
        </is>
      </c>
      <c r="F121" s="583">
        <f>IFERROR('Expenses, Miscellaneous'!B23/'Expenses, Miscellaneous'!B$26,"")</f>
        <v/>
      </c>
      <c r="G121" s="584" t="n">
        <v>0.15</v>
      </c>
      <c r="I121" s="43" t="inlineStr">
        <is>
          <t>Absorption (less Sales Dept. Personnel Expense)</t>
        </is>
      </c>
      <c r="J121" s="583">
        <f>IFERROR('Sales, COGS, GP'!D40/('Expenses, Miscellaneous'!K7-'Expenses, Miscellaneous'!D4),"")</f>
        <v/>
      </c>
      <c r="K121" s="319" t="n">
        <v>1.2</v>
      </c>
    </row>
    <row r="122">
      <c r="A122" s="43" t="inlineStr">
        <is>
          <t>Driver's Salaries</t>
        </is>
      </c>
      <c r="B122" s="641">
        <f>IFERROR('Expenses, Miscellaneous'!C35/'Sales, COGS, GP'!B38, "")</f>
        <v/>
      </c>
      <c r="C122" s="642" t="n"/>
      <c r="E122" s="43" t="inlineStr">
        <is>
          <t>61-90 Days</t>
        </is>
      </c>
      <c r="F122" s="583">
        <f>IFERROR('Expenses, Miscellaneous'!B24/'Expenses, Miscellaneous'!B$26,"")</f>
        <v/>
      </c>
      <c r="G122" s="584" t="n">
        <v>0.1</v>
      </c>
      <c r="I122" s="43" t="inlineStr">
        <is>
          <t>Absorption</t>
        </is>
      </c>
      <c r="J122" s="583">
        <f>IFERROR('Sales, COGS, GP'!D40/'Expenses, Miscellaneous'!K7,"")</f>
        <v/>
      </c>
      <c r="K122" s="319" t="n">
        <v>1</v>
      </c>
    </row>
    <row r="123">
      <c r="A123" s="72" t="inlineStr">
        <is>
          <t>Adjusted GP (Driver's Salaries included)</t>
        </is>
      </c>
      <c r="B123" s="583">
        <f>IFERROR('Sales, COGS, GP'!D38/'Sales, COGS, GP'!B38,"")</f>
        <v/>
      </c>
      <c r="C123" s="584" t="n"/>
      <c r="E123" s="227" t="inlineStr">
        <is>
          <t>91+ Days</t>
        </is>
      </c>
      <c r="F123" s="596">
        <f>IFERROR('Expenses, Miscellaneous'!B25/'Expenses, Miscellaneous'!B$26,"")</f>
        <v/>
      </c>
      <c r="G123" s="597" t="n">
        <v>0.05</v>
      </c>
      <c r="I123" s="147" t="n"/>
      <c r="J123" s="583" t="n"/>
      <c r="K123" s="647" t="n"/>
    </row>
    <row r="124">
      <c r="A124" s="43" t="inlineStr">
        <is>
          <t xml:space="preserve"> </t>
        </is>
      </c>
      <c r="B124" s="77" t="n"/>
      <c r="C124" s="187" t="n"/>
      <c r="E124" s="43" t="inlineStr">
        <is>
          <t>Total</t>
        </is>
      </c>
      <c r="F124" s="583">
        <f>IFERROR('Expenses, Miscellaneous'!B26/'Expenses, Miscellaneous'!B$26,"")</f>
        <v/>
      </c>
      <c r="G124" s="584" t="n"/>
      <c r="I124" s="72" t="inlineStr">
        <is>
          <t>Return On Assets</t>
        </is>
      </c>
      <c r="J124" s="583" t="n"/>
      <c r="K124" s="321" t="n"/>
    </row>
    <row r="125">
      <c r="A125" s="72" t="inlineStr">
        <is>
          <t>EXPENSES (% Of SALES)</t>
        </is>
      </c>
      <c r="B125" s="77" t="n"/>
      <c r="C125" s="187" t="n"/>
      <c r="E125" s="43" t="n"/>
      <c r="F125" s="583" t="n"/>
      <c r="G125" s="584" t="n"/>
      <c r="I125" s="43" t="inlineStr">
        <is>
          <t>Net Before Tax (% Of Sales)</t>
        </is>
      </c>
      <c r="J125" s="583">
        <f>B29</f>
        <v/>
      </c>
      <c r="K125" s="648" t="n">
        <v>0.07000000000000001</v>
      </c>
    </row>
    <row r="126">
      <c r="A126" s="43" t="inlineStr">
        <is>
          <t xml:space="preserve">Personnel </t>
        </is>
      </c>
      <c r="B126" s="583">
        <f>IFERROR('Expenses, Miscellaneous'!I4/'Sales, COGS, GP'!$B$38,"")</f>
        <v/>
      </c>
      <c r="C126" s="584" t="n"/>
      <c r="E126" s="43" t="inlineStr">
        <is>
          <t>Revenue Producing Employees %</t>
        </is>
      </c>
      <c r="F126" s="583">
        <f>IFERROR(('Expenses, Miscellaneous'!B12+'Expenses, Miscellaneous'!C12+'Expenses, Miscellaneous'!F16+'Expenses, Miscellaneous'!G12+'Expenses, Miscellaneous'!G13+'Expenses, Miscellaneous'!H12+'Expenses, Miscellaneous'!H13+'Expenses, Miscellaneous'!I12+'Expenses, Miscellaneous'!I13+'Expenses, Miscellaneous'!J12+'Expenses, Miscellaneous'!J13)/'Expenses, Miscellaneous'!L16,"")</f>
        <v/>
      </c>
      <c r="G126" s="584" t="n">
        <v>0.75</v>
      </c>
      <c r="I126" s="43" t="inlineStr">
        <is>
          <t>Asset Turns</t>
        </is>
      </c>
      <c r="J126" s="616">
        <f>IFERROR((('Sales, COGS, GP'!B41/Number_of_Months_Included)*12)/'Balance Sheet'!B30,"")</f>
        <v/>
      </c>
      <c r="K126" s="643" t="n">
        <v>3</v>
      </c>
    </row>
    <row r="127">
      <c r="A127" s="43" t="inlineStr">
        <is>
          <t xml:space="preserve">Operating </t>
        </is>
      </c>
      <c r="B127" s="583">
        <f>IFERROR('Expenses, Miscellaneous'!I5/'Sales, COGS, GP'!$B$38,"")</f>
        <v/>
      </c>
      <c r="C127" s="584" t="n"/>
      <c r="E127" s="43" t="inlineStr">
        <is>
          <t xml:space="preserve"> </t>
        </is>
      </c>
      <c r="F127" s="77" t="n"/>
      <c r="G127" s="187" t="n"/>
      <c r="I127" s="418" t="inlineStr">
        <is>
          <t>ROA</t>
        </is>
      </c>
      <c r="J127" s="598">
        <f>IFERROR(J125*J126, "")</f>
        <v/>
      </c>
      <c r="K127" s="649" t="n">
        <v>0.21</v>
      </c>
    </row>
    <row r="128">
      <c r="A128" s="227" t="inlineStr">
        <is>
          <t xml:space="preserve">Occupancy </t>
        </is>
      </c>
      <c r="B128" s="596">
        <f>IFERROR('Expenses, Miscellaneous'!I6/'Sales, COGS, GP'!$B$38,"")</f>
        <v/>
      </c>
      <c r="C128" s="597" t="n"/>
      <c r="E128" s="72" t="inlineStr">
        <is>
          <t>Personnel Count</t>
        </is>
      </c>
      <c r="F128" s="77" t="n"/>
      <c r="G128" s="187" t="n"/>
      <c r="I128" s="227" t="inlineStr">
        <is>
          <t>ROE</t>
        </is>
      </c>
      <c r="J128" s="588">
        <f>IFERROR('Sales, COGS, GP'!B47/'Balance Sheet'!E29, "")</f>
        <v/>
      </c>
      <c r="K128" s="648">
        <f>K127*4</f>
        <v/>
      </c>
    </row>
    <row r="129">
      <c r="A129" s="43" t="inlineStr">
        <is>
          <t xml:space="preserve">Total Expenses </t>
        </is>
      </c>
      <c r="B129" s="583">
        <f>IFERROR('Expenses, Miscellaneous'!I7/'Sales, COGS, GP'!$B$38,"")</f>
        <v/>
      </c>
      <c r="C129" s="584" t="n"/>
      <c r="D129" s="419" t="n"/>
      <c r="E129" s="43" t="inlineStr">
        <is>
          <t>% In Sales</t>
        </is>
      </c>
      <c r="F129" s="585">
        <f>IFERROR('Expenses, Miscellaneous'!E16/'Expenses, Miscellaneous'!L16,"")</f>
        <v/>
      </c>
      <c r="G129" s="586" t="n"/>
    </row>
    <row r="130">
      <c r="A130" s="43" t="inlineStr">
        <is>
          <t xml:space="preserve"> </t>
        </is>
      </c>
      <c r="B130" s="585" t="n"/>
      <c r="C130" s="586" t="n"/>
      <c r="D130" s="419" t="n"/>
      <c r="E130" s="43" t="inlineStr">
        <is>
          <t>% In Parts</t>
        </is>
      </c>
      <c r="F130" s="585">
        <f>IFERROR('Expenses, Miscellaneous'!F16/'Expenses, Miscellaneous'!L16,"")</f>
        <v/>
      </c>
      <c r="G130" s="586" t="n"/>
    </row>
    <row r="131">
      <c r="A131" s="43" t="inlineStr">
        <is>
          <t>Department Profit</t>
        </is>
      </c>
      <c r="B131" s="583">
        <f>IFERROR(('Sales, COGS, GP'!D38-'Expenses, Miscellaneous'!I7)/'Sales, COGS, GP'!B38,"")</f>
        <v/>
      </c>
      <c r="C131" s="584" t="n"/>
      <c r="E131" s="43" t="inlineStr">
        <is>
          <t>% In Service</t>
        </is>
      </c>
      <c r="F131" s="585">
        <f>IFERROR('Expenses, Miscellaneous'!G16/'Expenses, Miscellaneous'!L16,"")</f>
        <v/>
      </c>
      <c r="G131" s="586" t="n"/>
    </row>
    <row r="132">
      <c r="A132" s="144" t="inlineStr">
        <is>
          <t>Department Profit $ *</t>
        </is>
      </c>
      <c r="B132" s="590">
        <f>IFERROR('Sales, COGS, GP'!D38-'Expenses, Miscellaneous'!I7,"")</f>
        <v/>
      </c>
      <c r="C132" s="601" t="n"/>
      <c r="E132" s="43" t="inlineStr">
        <is>
          <t>% In ST Rental</t>
        </is>
      </c>
      <c r="F132" s="585">
        <f>IFERROR('Expenses, Miscellaneous'!H16/'Expenses, Miscellaneous'!L16,"")</f>
        <v/>
      </c>
      <c r="G132" s="586" t="n"/>
    </row>
    <row r="133">
      <c r="A133" s="43" t="n"/>
      <c r="B133" s="585" t="n"/>
      <c r="C133" s="586" t="n"/>
      <c r="E133" s="43" t="inlineStr">
        <is>
          <t>% In LT Rental</t>
        </is>
      </c>
      <c r="F133" s="585">
        <f>IFERROR('Expenses, Miscellaneous'!I16/'Expenses, Miscellaneous'!L16,"")</f>
        <v/>
      </c>
      <c r="G133" s="586" t="n"/>
    </row>
    <row r="134">
      <c r="A134" s="227" t="inlineStr">
        <is>
          <t>Department Employees</t>
        </is>
      </c>
      <c r="B134" s="360">
        <f>'Expenses, Miscellaneous'!J16</f>
        <v/>
      </c>
      <c r="C134" s="589" t="n"/>
      <c r="E134" s="43" t="inlineStr">
        <is>
          <t>% In Trucking</t>
        </is>
      </c>
      <c r="F134" s="585">
        <f>IFERROR('Expenses, Miscellaneous'!J16/'Expenses, Miscellaneous'!L16,"")</f>
        <v/>
      </c>
      <c r="G134" s="586" t="n"/>
    </row>
    <row r="135">
      <c r="A135" s="174" t="inlineStr">
        <is>
          <t>*Shaded areas will not appear on the final composite</t>
        </is>
      </c>
      <c r="B135" s="224" t="n"/>
      <c r="C135" s="223" t="n"/>
      <c r="E135" s="43" t="inlineStr">
        <is>
          <t>% In G&amp;A</t>
        </is>
      </c>
      <c r="F135" s="585">
        <f>IFERROR('Expenses, Miscellaneous'!K16/'Expenses, Miscellaneous'!L16,"")</f>
        <v/>
      </c>
      <c r="G135" s="586" t="n"/>
    </row>
    <row r="136">
      <c r="A136" s="22" t="n"/>
      <c r="B136" s="22" t="n"/>
      <c r="C136" s="22" t="n"/>
      <c r="E136" s="43" t="n"/>
      <c r="F136" s="585" t="n"/>
      <c r="G136" s="586" t="n"/>
    </row>
    <row r="137">
      <c r="A137" s="22" t="n"/>
      <c r="B137" s="22" t="n"/>
      <c r="C137" s="22" t="n"/>
      <c r="E137" s="227" t="inlineStr">
        <is>
          <t>Total # of Employees</t>
        </is>
      </c>
      <c r="F137" s="360">
        <f>'Expenses, Miscellaneous'!L16</f>
        <v/>
      </c>
      <c r="G137" s="351" t="n"/>
    </row>
    <row r="138">
      <c r="A138" s="22" t="n"/>
      <c r="B138" s="22" t="n"/>
      <c r="C138" s="22" t="n"/>
    </row>
    <row r="139">
      <c r="A139" s="22" t="n"/>
      <c r="B139" s="22" t="n"/>
      <c r="C139" s="22" t="n"/>
    </row>
    <row r="140">
      <c r="A140" s="22" t="n"/>
      <c r="B140" s="22" t="n"/>
      <c r="C140" s="22" t="n"/>
    </row>
    <row r="141">
      <c r="A141" s="22" t="n"/>
      <c r="B141" s="22" t="n"/>
      <c r="C141" s="22" t="n"/>
    </row>
    <row r="142">
      <c r="A142" s="22" t="n"/>
      <c r="B142" s="22" t="n"/>
      <c r="C142" s="22" t="n"/>
    </row>
  </sheetData>
  <sheetProtection selectLockedCells="0" selectUnlockedCells="0" sheet="1" objects="0" insertRows="1" insertHyperlinks="1" autoFilter="1" scenarios="0" formatColumns="1" deleteColumns="1" insertColumns="1" pivotTables="1" deleteRows="1" formatCells="1" formatRows="1" sort="1"/>
  <conditionalFormatting sqref="B46">
    <cfRule type="cellIs" priority="69" operator="greaterThanOrEqual" dxfId="4">
      <formula>$C$46</formula>
    </cfRule>
  </conditionalFormatting>
  <conditionalFormatting sqref="B49">
    <cfRule type="cellIs" priority="68" operator="lessThanOrEqual" dxfId="4">
      <formula>$C$49</formula>
    </cfRule>
  </conditionalFormatting>
  <conditionalFormatting sqref="B50">
    <cfRule type="cellIs" priority="67" operator="lessThanOrEqual" dxfId="4">
      <formula>$C$50</formula>
    </cfRule>
  </conditionalFormatting>
  <conditionalFormatting sqref="B51">
    <cfRule type="cellIs" priority="66" operator="lessThanOrEqual" dxfId="4">
      <formula>$C$51</formula>
    </cfRule>
  </conditionalFormatting>
  <conditionalFormatting sqref="B52">
    <cfRule type="cellIs" priority="65" operator="lessThanOrEqual" dxfId="4">
      <formula>$C$52</formula>
    </cfRule>
  </conditionalFormatting>
  <conditionalFormatting sqref="B54">
    <cfRule type="cellIs" priority="64" operator="greaterThanOrEqual" dxfId="4">
      <formula>$C$54</formula>
    </cfRule>
  </conditionalFormatting>
  <conditionalFormatting sqref="B58">
    <cfRule type="cellIs" priority="63" operator="greaterThanOrEqual" dxfId="4">
      <formula>$C$58</formula>
    </cfRule>
  </conditionalFormatting>
  <conditionalFormatting sqref="B60">
    <cfRule type="cellIs" priority="62" operator="greaterThanOrEqual" dxfId="4">
      <formula>$C$60</formula>
    </cfRule>
  </conditionalFormatting>
  <conditionalFormatting sqref="B62">
    <cfRule type="cellIs" priority="61" operator="greaterThanOrEqual" dxfId="4">
      <formula>$C$62</formula>
    </cfRule>
  </conditionalFormatting>
  <conditionalFormatting sqref="B64">
    <cfRule type="cellIs" priority="60" operator="greaterThanOrEqual" dxfId="4">
      <formula>$C$64</formula>
    </cfRule>
  </conditionalFormatting>
  <conditionalFormatting sqref="B96">
    <cfRule type="cellIs" priority="45" operator="greaterThanOrEqual" dxfId="4">
      <formula>$C$96</formula>
    </cfRule>
  </conditionalFormatting>
  <conditionalFormatting sqref="B103">
    <cfRule type="cellIs" priority="44" operator="greaterThanOrEqual" dxfId="4">
      <formula>$C$103</formula>
    </cfRule>
  </conditionalFormatting>
  <conditionalFormatting sqref="B104">
    <cfRule type="cellIs" priority="43" operator="greaterThanOrEqual" dxfId="4">
      <formula>$C$104</formula>
    </cfRule>
  </conditionalFormatting>
  <conditionalFormatting sqref="B105">
    <cfRule type="cellIs" priority="42" operator="greaterThanOrEqual" dxfId="4">
      <formula>$C$105</formula>
    </cfRule>
  </conditionalFormatting>
  <conditionalFormatting sqref="B117">
    <cfRule type="cellIs" priority="20" operator="lessThanOrEqual" dxfId="4">
      <formula>$C$117</formula>
    </cfRule>
  </conditionalFormatting>
  <conditionalFormatting sqref="B118">
    <cfRule type="cellIs" priority="19" operator="lessThanOrEqual" dxfId="4">
      <formula>$C$118</formula>
    </cfRule>
  </conditionalFormatting>
  <conditionalFormatting sqref="B119">
    <cfRule type="cellIs" priority="18" operator="lessThanOrEqual" dxfId="4">
      <formula>$C$119</formula>
    </cfRule>
  </conditionalFormatting>
  <conditionalFormatting sqref="B120">
    <cfRule type="cellIs" priority="17" operator="greaterThanOrEqual" dxfId="4">
      <formula>$C$120</formula>
    </cfRule>
  </conditionalFormatting>
  <conditionalFormatting sqref="F11">
    <cfRule type="cellIs" priority="81" operator="lessThanOrEqual" dxfId="4">
      <formula>$G$11</formula>
    </cfRule>
  </conditionalFormatting>
  <conditionalFormatting sqref="F12">
    <cfRule type="cellIs" priority="80" operator="lessThanOrEqual" dxfId="4">
      <formula>$G$12</formula>
    </cfRule>
  </conditionalFormatting>
  <conditionalFormatting sqref="F13">
    <cfRule type="cellIs" priority="79" operator="lessThanOrEqual" dxfId="4">
      <formula>$G$13</formula>
    </cfRule>
  </conditionalFormatting>
  <conditionalFormatting sqref="F14">
    <cfRule type="cellIs" priority="78" operator="lessThanOrEqual" dxfId="4">
      <formula>$G$14</formula>
    </cfRule>
  </conditionalFormatting>
  <conditionalFormatting sqref="F16">
    <cfRule type="cellIs" priority="77" operator="greaterThanOrEqual" dxfId="4">
      <formula>$G$16</formula>
    </cfRule>
  </conditionalFormatting>
  <conditionalFormatting sqref="F20">
    <cfRule type="cellIs" priority="76" operator="greaterThanOrEqual" dxfId="4">
      <formula>$G$20</formula>
    </cfRule>
  </conditionalFormatting>
  <conditionalFormatting sqref="F21">
    <cfRule type="cellIs" priority="75" operator="greaterThanOrEqual" dxfId="4">
      <formula>$G$21</formula>
    </cfRule>
  </conditionalFormatting>
  <conditionalFormatting sqref="F23">
    <cfRule type="cellIs" priority="74" operator="greaterThanOrEqual" dxfId="4">
      <formula>$G$23</formula>
    </cfRule>
  </conditionalFormatting>
  <conditionalFormatting sqref="F30">
    <cfRule type="cellIs" priority="73" operator="greaterThanOrEqual" dxfId="4">
      <formula>$G$30</formula>
    </cfRule>
  </conditionalFormatting>
  <conditionalFormatting sqref="F31">
    <cfRule type="cellIs" priority="72" operator="greaterThanOrEqual" dxfId="4">
      <formula>$G$31</formula>
    </cfRule>
  </conditionalFormatting>
  <conditionalFormatting sqref="F32">
    <cfRule type="cellIs" priority="71" operator="greaterThanOrEqual" dxfId="4">
      <formula>$G$32</formula>
    </cfRule>
  </conditionalFormatting>
  <conditionalFormatting sqref="F61">
    <cfRule type="cellIs" priority="59" operator="greaterThanOrEqual" dxfId="4">
      <formula>$G$61</formula>
    </cfRule>
  </conditionalFormatting>
  <conditionalFormatting sqref="F64">
    <cfRule type="cellIs" priority="58" operator="greaterThanOrEqual" dxfId="4">
      <formula>$G$64</formula>
    </cfRule>
  </conditionalFormatting>
  <conditionalFormatting sqref="F65">
    <cfRule type="cellIs" priority="57" operator="greaterThanOrEqual" dxfId="4">
      <formula>$G$65</formula>
    </cfRule>
  </conditionalFormatting>
  <conditionalFormatting sqref="F85">
    <cfRule type="cellIs" priority="41" operator="lessThanOrEqual" dxfId="4">
      <formula>$G$85</formula>
    </cfRule>
  </conditionalFormatting>
  <conditionalFormatting sqref="F86">
    <cfRule type="cellIs" priority="40" operator="lessThanOrEqual" dxfId="4">
      <formula>$G$86</formula>
    </cfRule>
  </conditionalFormatting>
  <conditionalFormatting sqref="F87">
    <cfRule type="cellIs" priority="39" operator="lessThanOrEqual" dxfId="4">
      <formula>$G$87</formula>
    </cfRule>
  </conditionalFormatting>
  <conditionalFormatting sqref="F88">
    <cfRule type="cellIs" priority="38" operator="greaterThanOrEqual" dxfId="4">
      <formula>$G$88</formula>
    </cfRule>
  </conditionalFormatting>
  <conditionalFormatting sqref="F91">
    <cfRule type="cellIs" priority="37" operator="greaterThanOrEqual" dxfId="4">
      <formula>$G$91</formula>
    </cfRule>
  </conditionalFormatting>
  <conditionalFormatting sqref="F94">
    <cfRule type="cellIs" priority="36" operator="lessThanOrEqual" dxfId="4">
      <formula>$G$94</formula>
    </cfRule>
  </conditionalFormatting>
  <conditionalFormatting sqref="F95">
    <cfRule type="cellIs" priority="35" operator="lessThanOrEqual" dxfId="4">
      <formula>$G$95</formula>
    </cfRule>
  </conditionalFormatting>
  <conditionalFormatting sqref="F96">
    <cfRule type="cellIs" priority="34" operator="lessThanOrEqual" dxfId="4">
      <formula>$G$96</formula>
    </cfRule>
  </conditionalFormatting>
  <conditionalFormatting sqref="F97">
    <cfRule type="cellIs" priority="33" operator="lessThanOrEqual" dxfId="4">
      <formula>$G$97</formula>
    </cfRule>
  </conditionalFormatting>
  <conditionalFormatting sqref="F99">
    <cfRule type="cellIs" priority="32" operator="greaterThanOrEqual" dxfId="4">
      <formula>$G$99</formula>
    </cfRule>
  </conditionalFormatting>
  <conditionalFormatting sqref="F104">
    <cfRule type="cellIs" priority="31" operator="greaterThanOrEqual" dxfId="4">
      <formula>$G$104</formula>
    </cfRule>
  </conditionalFormatting>
  <conditionalFormatting sqref="F114">
    <cfRule type="cellIs" priority="16" operator="lessThanOrEqual" dxfId="4">
      <formula>$G$114</formula>
    </cfRule>
  </conditionalFormatting>
  <conditionalFormatting sqref="F115">
    <cfRule type="cellIs" priority="15" operator="lessThanOrEqual" dxfId="4">
      <formula>$G$115</formula>
    </cfRule>
  </conditionalFormatting>
  <conditionalFormatting sqref="F116">
    <cfRule type="cellIs" priority="14" operator="lessThanOrEqual" dxfId="4">
      <formula>$G$116</formula>
    </cfRule>
  </conditionalFormatting>
  <conditionalFormatting sqref="F117">
    <cfRule type="cellIs" priority="13" operator="lessThanOrEqual" dxfId="4">
      <formula>$G$117</formula>
    </cfRule>
  </conditionalFormatting>
  <conditionalFormatting sqref="F120">
    <cfRule type="cellIs" priority="12" operator="greaterThanOrEqual" dxfId="4">
      <formula>$G$120</formula>
    </cfRule>
  </conditionalFormatting>
  <conditionalFormatting sqref="F121">
    <cfRule type="cellIs" priority="11" operator="greaterThanOrEqual" dxfId="4">
      <formula>$G$121</formula>
    </cfRule>
  </conditionalFormatting>
  <conditionalFormatting sqref="F122">
    <cfRule type="cellIs" priority="10" operator="greaterThanOrEqual" dxfId="4">
      <formula>$G$122</formula>
    </cfRule>
  </conditionalFormatting>
  <conditionalFormatting sqref="F123">
    <cfRule type="cellIs" priority="9" operator="greaterThanOrEqual" dxfId="4">
      <formula>$G$123</formula>
    </cfRule>
  </conditionalFormatting>
  <conditionalFormatting sqref="F126">
    <cfRule type="cellIs" priority="8" operator="greaterThanOrEqual" dxfId="4">
      <formula>$G$126</formula>
    </cfRule>
  </conditionalFormatting>
  <conditionalFormatting sqref="J38">
    <cfRule type="cellIs" priority="70" operator="greaterThanOrEqual" dxfId="4">
      <formula>$K$38</formula>
    </cfRule>
  </conditionalFormatting>
  <conditionalFormatting sqref="J46">
    <cfRule type="cellIs" priority="56" operator="greaterThanOrEqual" dxfId="4">
      <formula>$K$46</formula>
    </cfRule>
  </conditionalFormatting>
  <conditionalFormatting sqref="J47">
    <cfRule type="cellIs" priority="55" operator="lessThanOrEqual" dxfId="4">
      <formula>$K$47</formula>
    </cfRule>
  </conditionalFormatting>
  <conditionalFormatting sqref="J48">
    <cfRule type="cellIs" priority="54" operator="greaterThan" dxfId="4">
      <formula>$K$48</formula>
    </cfRule>
  </conditionalFormatting>
  <conditionalFormatting sqref="J51">
    <cfRule type="cellIs" priority="53" operator="lessThanOrEqual" dxfId="4">
      <formula>$K$51</formula>
    </cfRule>
  </conditionalFormatting>
  <conditionalFormatting sqref="J52">
    <cfRule type="cellIs" priority="52" operator="lessThanOrEqual" dxfId="4">
      <formula>$K$52</formula>
    </cfRule>
  </conditionalFormatting>
  <conditionalFormatting sqref="J53">
    <cfRule type="cellIs" priority="51" operator="lessThanOrEqual" dxfId="4">
      <formula>$K$53</formula>
    </cfRule>
  </conditionalFormatting>
  <conditionalFormatting sqref="J55">
    <cfRule type="cellIs" priority="50" operator="greaterThanOrEqual" dxfId="4">
      <formula>$K$55</formula>
    </cfRule>
  </conditionalFormatting>
  <conditionalFormatting sqref="J60">
    <cfRule type="cellIs" priority="49" operator="greaterThanOrEqual" dxfId="4">
      <formula>$K$60</formula>
    </cfRule>
  </conditionalFormatting>
  <conditionalFormatting sqref="J61">
    <cfRule type="cellIs" priority="48" operator="greaterThanOrEqual" dxfId="4">
      <formula>$K$61</formula>
    </cfRule>
  </conditionalFormatting>
  <conditionalFormatting sqref="J74">
    <cfRule type="cellIs" priority="47" operator="greaterThanOrEqual" dxfId="4">
      <formula>$K$74</formula>
    </cfRule>
  </conditionalFormatting>
  <conditionalFormatting sqref="J75">
    <cfRule type="cellIs" priority="46" operator="greaterThanOrEqual" dxfId="4">
      <formula>$K$75</formula>
    </cfRule>
  </conditionalFormatting>
  <conditionalFormatting sqref="J85">
    <cfRule type="cellIs" priority="30" operator="lessThanOrEqual" dxfId="4">
      <formula>$K$85</formula>
    </cfRule>
  </conditionalFormatting>
  <conditionalFormatting sqref="J86">
    <cfRule type="cellIs" priority="29" operator="lessThanOrEqual" dxfId="4">
      <formula>$K$86</formula>
    </cfRule>
  </conditionalFormatting>
  <conditionalFormatting sqref="J87">
    <cfRule type="cellIs" priority="28" operator="lessThanOrEqual" dxfId="4">
      <formula>$K$87</formula>
    </cfRule>
  </conditionalFormatting>
  <conditionalFormatting sqref="J88">
    <cfRule type="cellIs" priority="27" operator="greaterThanOrEqual" dxfId="4">
      <formula>$K$88</formula>
    </cfRule>
  </conditionalFormatting>
  <conditionalFormatting sqref="J91">
    <cfRule type="cellIs" priority="26" operator="lessThanOrEqual" dxfId="4">
      <formula>$K$91</formula>
    </cfRule>
  </conditionalFormatting>
  <conditionalFormatting sqref="J92">
    <cfRule type="cellIs" priority="25" operator="lessThanOrEqual" dxfId="4">
      <formula>$K$92</formula>
    </cfRule>
  </conditionalFormatting>
  <conditionalFormatting sqref="J93">
    <cfRule type="cellIs" priority="24" operator="lessThanOrEqual" dxfId="4">
      <formula>$K$93</formula>
    </cfRule>
  </conditionalFormatting>
  <conditionalFormatting sqref="J94">
    <cfRule type="cellIs" priority="23" operator="lessThanOrEqual" dxfId="4">
      <formula>$K$94</formula>
    </cfRule>
  </conditionalFormatting>
  <conditionalFormatting sqref="J96">
    <cfRule type="cellIs" priority="22" operator="greaterThanOrEqual" dxfId="4">
      <formula>$K$96</formula>
    </cfRule>
  </conditionalFormatting>
  <conditionalFormatting sqref="J98">
    <cfRule type="cellIs" priority="21" operator="greaterThanOrEqual" dxfId="4">
      <formula>$K$98</formula>
    </cfRule>
  </conditionalFormatting>
  <conditionalFormatting sqref="J119">
    <cfRule type="cellIs" priority="7" operator="greaterThanOrEqual" dxfId="4">
      <formula>$K$119</formula>
    </cfRule>
  </conditionalFormatting>
  <conditionalFormatting sqref="J121">
    <cfRule type="cellIs" priority="6" operator="greaterThanOrEqual" dxfId="4">
      <formula>$K$121</formula>
    </cfRule>
  </conditionalFormatting>
  <conditionalFormatting sqref="J122">
    <cfRule type="cellIs" priority="5" operator="greaterThanOrEqual" dxfId="4">
      <formula>$K$122</formula>
    </cfRule>
  </conditionalFormatting>
  <conditionalFormatting sqref="J125">
    <cfRule type="cellIs" priority="4" operator="greaterThanOrEqual" dxfId="4">
      <formula>$K$125</formula>
    </cfRule>
  </conditionalFormatting>
  <conditionalFormatting sqref="J126">
    <cfRule type="cellIs" priority="3" operator="greaterThanOrEqual" dxfId="4">
      <formula>$K$126</formula>
    </cfRule>
  </conditionalFormatting>
  <conditionalFormatting sqref="J127">
    <cfRule type="cellIs" priority="2" operator="greaterThanOrEqual" dxfId="4">
      <formula>$K$127</formula>
    </cfRule>
  </conditionalFormatting>
  <conditionalFormatting sqref="J128">
    <cfRule type="cellIs" priority="1" operator="greaterThanOrEqual" dxfId="4">
      <formula>$K$128</formula>
    </cfRule>
  </conditionalFormatting>
  <pageMargins left="0.7" right="0.7" top="0.75" bottom="0.75" header="0.3" footer="0.3"/>
  <pageSetup orientation="landscape" scale="44" fitToHeight="3" fitToWidth="2" pageOrder="overThenDown"/>
  <headerFooter>
    <oddHeader>&amp;C&amp;"Times New Roman,Regular"&amp;12 Currie Financial Composite Input Template_x000a_Material Handling Equipment&amp;R&amp;G</oddHeader>
    <oddFooter>&amp;C&amp;"BergamoSmCaps,Bold"&amp;9 &amp;K08-049www.curriemanagement.com</oddFooter>
    <evenHeader/>
    <evenFooter/>
    <firstHeader/>
    <firstFooter/>
  </headerFooter>
  <rowBreaks count="3" manualBreakCount="3">
    <brk id="39" min="0" max="10" man="1"/>
    <brk id="77" min="0" max="10" man="1"/>
    <brk id="109" min="0" max="10" man="1"/>
  </rowBreaks>
  <legacyDrawing xmlns:r="http://schemas.openxmlformats.org/officeDocument/2006/relationships" r:id="anysvml"/>
</worksheet>
</file>

<file path=xl/worksheets/sheet8.xml><?xml version="1.0" encoding="utf-8"?>
<worksheet xmlns="http://schemas.openxmlformats.org/spreadsheetml/2006/main">
  <sheetPr>
    <tabColor rgb="FF002060"/>
    <outlinePr summaryBelow="1" summaryRight="1"/>
    <pageSetUpPr/>
  </sheetPr>
  <dimension ref="A1:H12"/>
  <sheetViews>
    <sheetView view="pageBreakPreview" zoomScaleNormal="100" zoomScaleSheetLayoutView="100" workbookViewId="0">
      <selection activeCell="B12" sqref="B12"/>
    </sheetView>
  </sheetViews>
  <sheetFormatPr baseColWidth="10" defaultColWidth="8.83203125" defaultRowHeight="15"/>
  <cols>
    <col width="18.6640625" customWidth="1" min="1" max="1"/>
    <col width="12.83203125" customWidth="1" style="167" min="2" max="8"/>
  </cols>
  <sheetData>
    <row r="1" ht="16" customHeight="1">
      <c r="A1" s="451" t="inlineStr">
        <is>
          <t>Currie Financial Model Lift Truck Dealer</t>
        </is>
      </c>
      <c r="B1" s="1" t="n"/>
      <c r="C1" s="1" t="n"/>
      <c r="D1" s="1" t="n"/>
      <c r="E1" s="1" t="n"/>
      <c r="F1" s="1" t="n"/>
      <c r="G1" s="1" t="n"/>
      <c r="H1" s="1" t="n"/>
    </row>
    <row r="2" ht="16" customHeight="1" thickBot="1">
      <c r="A2" s="3" t="n"/>
      <c r="B2" s="650" t="n"/>
      <c r="C2" s="650" t="n"/>
      <c r="D2" s="650" t="n"/>
      <c r="E2" s="650" t="n"/>
      <c r="F2" s="650" t="n"/>
      <c r="G2" s="650" t="n"/>
      <c r="H2" s="650" t="n"/>
    </row>
    <row r="3" ht="16" customHeight="1" thickBot="1">
      <c r="A3" s="4" t="n"/>
      <c r="B3" s="162" t="inlineStr">
        <is>
          <t>Sales</t>
        </is>
      </c>
      <c r="C3" s="160" t="inlineStr">
        <is>
          <t>Parts</t>
        </is>
      </c>
      <c r="D3" s="160" t="inlineStr">
        <is>
          <t>Service</t>
        </is>
      </c>
      <c r="E3" s="160" t="inlineStr">
        <is>
          <t>Short T Rental</t>
        </is>
      </c>
      <c r="F3" s="160" t="inlineStr">
        <is>
          <t>Long T Rental</t>
        </is>
      </c>
      <c r="G3" s="160" t="inlineStr">
        <is>
          <t>Trucking</t>
        </is>
      </c>
      <c r="H3" s="160" t="inlineStr">
        <is>
          <t>G &amp; A</t>
        </is>
      </c>
    </row>
    <row r="4">
      <c r="A4" s="5" t="inlineStr">
        <is>
          <t>Gross Profit</t>
        </is>
      </c>
      <c r="B4" s="651">
        <f>+B22</f>
        <v/>
      </c>
      <c r="C4" s="652" t="n">
        <v>0.4</v>
      </c>
      <c r="D4" s="652" t="n">
        <v>0.65</v>
      </c>
      <c r="E4" s="652" t="n">
        <v>0.45</v>
      </c>
      <c r="F4" s="652" t="n">
        <v>0.2</v>
      </c>
      <c r="G4" s="652" t="n">
        <v>0.45</v>
      </c>
      <c r="H4" s="452" t="n"/>
    </row>
    <row r="5">
      <c r="A5" s="5" t="n"/>
      <c r="B5" s="651" t="n">
        <v>1</v>
      </c>
      <c r="C5" s="651" t="n"/>
      <c r="D5" s="651" t="n"/>
      <c r="E5" s="651" t="n"/>
      <c r="F5" s="651" t="n"/>
      <c r="G5" s="651" t="n"/>
      <c r="H5" s="653" t="n"/>
    </row>
    <row r="6">
      <c r="A6" s="6" t="inlineStr">
        <is>
          <t>Expenses</t>
        </is>
      </c>
      <c r="B6" s="651" t="n"/>
      <c r="C6" s="651" t="n"/>
      <c r="D6" s="651" t="n"/>
      <c r="E6" s="651" t="n"/>
      <c r="F6" s="651" t="n"/>
      <c r="G6" s="651" t="n"/>
      <c r="H6" s="651" t="n"/>
    </row>
    <row r="7">
      <c r="A7" s="5" t="inlineStr">
        <is>
          <t xml:space="preserve">  Personnel</t>
        </is>
      </c>
      <c r="B7" s="652" t="n">
        <v>0.5</v>
      </c>
      <c r="C7" s="652" t="n">
        <v>0.1</v>
      </c>
      <c r="D7" s="652" t="n">
        <v>0.2</v>
      </c>
      <c r="E7" s="652" t="n">
        <v>0.1</v>
      </c>
      <c r="F7" s="652" t="n">
        <v>0.07000000000000001</v>
      </c>
      <c r="G7" s="652" t="n"/>
      <c r="H7" s="652" t="n">
        <v>0.05</v>
      </c>
    </row>
    <row r="8">
      <c r="A8" s="5" t="inlineStr">
        <is>
          <t xml:space="preserve">  Operating</t>
        </is>
      </c>
      <c r="B8" s="652" t="n">
        <v>0.25</v>
      </c>
      <c r="C8" s="652" t="n">
        <v>0.03</v>
      </c>
      <c r="D8" s="652" t="n">
        <v>0.1</v>
      </c>
      <c r="E8" s="652" t="n">
        <v>0.03</v>
      </c>
      <c r="F8" s="652" t="n">
        <v>0.02</v>
      </c>
      <c r="G8" s="652" t="n"/>
      <c r="H8" s="652" t="n">
        <v>0.03</v>
      </c>
    </row>
    <row r="9">
      <c r="A9" s="165" t="inlineStr">
        <is>
          <t xml:space="preserve">  Occupancy</t>
        </is>
      </c>
      <c r="B9" s="654" t="n">
        <v>0.1</v>
      </c>
      <c r="C9" s="654" t="n">
        <v>0.02</v>
      </c>
      <c r="D9" s="654" t="n">
        <v>0.05</v>
      </c>
      <c r="E9" s="654" t="n">
        <v>0.02</v>
      </c>
      <c r="F9" s="654" t="n">
        <v>0.01</v>
      </c>
      <c r="G9" s="654" t="n"/>
      <c r="H9" s="654" t="n">
        <v>0.02</v>
      </c>
    </row>
    <row r="10">
      <c r="A10" s="5" t="inlineStr">
        <is>
          <t>Total Expenses</t>
        </is>
      </c>
      <c r="B10" s="651">
        <f>SUM(B7:B9)</f>
        <v/>
      </c>
      <c r="C10" s="651">
        <f>SUM(C7:C9)</f>
        <v/>
      </c>
      <c r="D10" s="651">
        <f>SUM(D7:D9)</f>
        <v/>
      </c>
      <c r="E10" s="651">
        <f>SUM(E7:E9)</f>
        <v/>
      </c>
      <c r="F10" s="651">
        <f>SUM(F7:F9)</f>
        <v/>
      </c>
      <c r="G10" s="651" t="n"/>
      <c r="H10" s="651">
        <f>SUM(H7:H9)</f>
        <v/>
      </c>
    </row>
    <row r="11">
      <c r="A11" s="5" t="n"/>
      <c r="B11" s="651" t="n"/>
      <c r="C11" s="651" t="n"/>
      <c r="D11" s="651" t="n"/>
      <c r="E11" s="651" t="n"/>
      <c r="F11" s="651" t="n"/>
      <c r="G11" s="651" t="n"/>
      <c r="H11" s="651" t="n"/>
    </row>
    <row r="12" ht="16" customHeight="1" thickBot="1">
      <c r="A12" s="655" t="inlineStr">
        <is>
          <t>Operating Profit</t>
        </is>
      </c>
      <c r="B12" s="656">
        <f>B5-B10</f>
        <v/>
      </c>
      <c r="C12" s="656">
        <f>C4-C10</f>
        <v/>
      </c>
      <c r="D12" s="656">
        <f>D4-D10</f>
        <v/>
      </c>
      <c r="E12" s="656">
        <f>E4-E10</f>
        <v/>
      </c>
      <c r="F12" s="656">
        <f>F4-F10</f>
        <v/>
      </c>
      <c r="G12" s="656" t="n"/>
      <c r="H12" s="656">
        <f>H10*-1</f>
        <v/>
      </c>
    </row>
  </sheetData>
  <sheetProtection selectLockedCells="0" selectUnlockedCells="0" sheet="1" objects="1" insertRows="1" insertHyperlinks="1" autoFilter="1" scenarios="1" formatColumns="1" deleteColumns="1" insertColumns="1" pivotTables="1" deleteRows="1" formatCells="1" formatRows="1" sort="1"/>
  <mergeCells count="2">
    <mergeCell ref="H4:H5"/>
    <mergeCell ref="A1:H1"/>
  </mergeCells>
  <conditionalFormatting sqref="B4:B5 B10 B12 H7:H9">
    <cfRule type="expression" priority="6" dxfId="0" stopIfTrue="1">
      <formula>ISERROR(B4)</formula>
    </cfRule>
  </conditionalFormatting>
  <conditionalFormatting sqref="B6 B9 B11 H10:H12">
    <cfRule type="expression" priority="5" dxfId="0" stopIfTrue="1">
      <formula>"Error"</formula>
    </cfRule>
  </conditionalFormatting>
  <conditionalFormatting sqref="B7:G8">
    <cfRule type="expression" priority="2" dxfId="0" stopIfTrue="1">
      <formula>ISERROR(B7)</formula>
    </cfRule>
  </conditionalFormatting>
  <conditionalFormatting sqref="C4:H6 C9:G12">
    <cfRule type="expression" priority="1" dxfId="0" stopIfTrue="1">
      <formula>"Error"</formula>
    </cfRule>
  </conditionalFormatting>
  <pageMargins left="0.7" right="0.7" top="0.75" bottom="0.75" header="0.3" footer="0.3"/>
  <pageSetup orientation="portrait" scale="83"/>
</worksheet>
</file>

<file path=xl/worksheets/sheet9.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10" defaultColWidth="8.83203125" defaultRowHeight="15"/>
  <sheetData>
    <row r="1">
      <c r="A1" t="n">
        <v>1</v>
      </c>
    </row>
    <row r="2">
      <c r="A2" t="n">
        <v>2</v>
      </c>
    </row>
    <row r="3">
      <c r="A3" t="n">
        <v>3</v>
      </c>
    </row>
    <row r="4">
      <c r="A4" t="n">
        <v>4</v>
      </c>
    </row>
    <row r="5">
      <c r="A5" t="n">
        <v>5</v>
      </c>
    </row>
    <row r="6">
      <c r="A6" t="n">
        <v>6</v>
      </c>
    </row>
    <row r="7">
      <c r="A7" t="n">
        <v>7</v>
      </c>
    </row>
    <row r="8">
      <c r="A8" t="n">
        <v>8</v>
      </c>
    </row>
    <row r="9">
      <c r="A9" t="n">
        <v>9</v>
      </c>
    </row>
    <row r="10">
      <c r="A10" t="n">
        <v>10</v>
      </c>
    </row>
    <row r="11">
      <c r="A11" t="n">
        <v>11</v>
      </c>
    </row>
    <row r="12">
      <c r="A12" t="n">
        <v>12</v>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Robin Currie</dc:creator>
  <dc:title xmlns:dc="http://purl.org/dc/elements/1.1/">Lift Truck Template</dc:title>
  <dc:description xmlns:dc="http://purl.org/dc/elements/1.1/">See document indicating formatting requirements for this document at Formatting Instructions for Financial Composite Input Templates</dc:description>
  <dc:subject xmlns:dc="http://purl.org/dc/elements/1.1/">Financial Composite</dc:subject>
  <dcterms:created xmlns:dcterms="http://purl.org/dc/terms/" xmlns:xsi="http://www.w3.org/2001/XMLSchema-instance" xsi:type="dcterms:W3CDTF">2014-01-23T14:16:49Z</dcterms:created>
  <dcterms:modified xmlns:dcterms="http://purl.org/dc/terms/" xmlns:xsi="http://www.w3.org/2001/XMLSchema-instance" xsi:type="dcterms:W3CDTF">2025-11-19T21:51:37Z</dcterms:modified>
  <cp:lastModifiedBy>Eric LeBow</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0x010100DFB87CC1E083DB48A1B8D37C2DED4ED2</vt:lpwstr>
  </property>
  <property name="MediaServiceImageTags" fmtid="{D5CDD505-2E9C-101B-9397-08002B2CF9AE}" pid="3">
    <vt:lpwstr xmlns:vt="http://schemas.openxmlformats.org/officeDocument/2006/docPropsVTypes"/>
  </property>
</Properties>
</file>