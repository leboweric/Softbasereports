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https://profitbuildernetwork-my.sharepoint.com/personal/eric_profitbuildernetwork_com/Documents/Temp Files/"/>
    </mc:Choice>
  </mc:AlternateContent>
  <xr:revisionPtr revIDLastSave="0" documentId="8_{DB1A6555-1880-1846-835B-D48389825164}" xr6:coauthVersionLast="47" xr6:coauthVersionMax="47" xr10:uidLastSave="{00000000-0000-0000-0000-000000000000}"/>
  <bookViews>
    <workbookView xWindow="34260" yWindow="2740" windowWidth="29280" windowHeight="15620" tabRatio="869" firstSheet="2" activeTab="2" xr2:uid="{00000000-000D-0000-FFFF-FFFF00000000}"/>
  </bookViews>
  <sheets>
    <sheet name="INSTRUCTIONS" sheetId="7" r:id="rId1"/>
    <sheet name="NOTES FOR CURRIE" sheetId="11" r:id="rId2"/>
    <sheet name="Sales, COGS, GP" sheetId="2" r:id="rId3"/>
    <sheet name="Expenses, Miscellaneous" sheetId="3" r:id="rId4"/>
    <sheet name="Balance Sheet" sheetId="8" r:id="rId5"/>
    <sheet name="Gap Analysis" sheetId="5" r:id="rId6"/>
    <sheet name="Composite Preview" sheetId="14" r:id="rId7"/>
    <sheet name="MODELS" sheetId="13" r:id="rId8"/>
    <sheet name="New TB" sheetId="17" r:id="rId9"/>
    <sheet name="NumberOfMonths" sheetId="15" state="hidden" r:id="rId10"/>
  </sheets>
  <externalReferences>
    <externalReference r:id="rId11"/>
    <externalReference r:id="rId12"/>
    <externalReference r:id="rId13"/>
  </externalReferences>
  <definedNames>
    <definedName name="_new1">#REF!</definedName>
    <definedName name="Fax_Page">#REF!</definedName>
    <definedName name="GapCover">#REF!</definedName>
    <definedName name="Months" localSheetId="6">'Composite Preview'!#REF!</definedName>
    <definedName name="Months" localSheetId="7">'[1]Composite Preview'!#REF!</definedName>
    <definedName name="Months" localSheetId="1">[2]Preview!#REF!</definedName>
    <definedName name="Months">#REF!</definedName>
    <definedName name="Number_of_Months_Included" localSheetId="7">'[1]Sales, COGS, GP'!$B$7</definedName>
    <definedName name="Number_of_Months_Included">'Sales, COGS, GP'!$B$7</definedName>
    <definedName name="NumberofMonths">'[3]Sales, COGS, GP'!$F$5:$F$16</definedName>
    <definedName name="NumberofMonthsReported">#REF!</definedName>
    <definedName name="NumberofMonthsReporting">'[1]Sales, COGS, GP'!$F$5:$F$16</definedName>
    <definedName name="_xlnm.Print_Area" localSheetId="4">'Balance Sheet'!$A$1:$E$30</definedName>
    <definedName name="_xlnm.Print_Area" localSheetId="6">'Composite Preview'!$A$1:$K$138</definedName>
    <definedName name="_xlnm.Print_Area" localSheetId="0">INSTRUCTIONS!$A$1:$I$197</definedName>
    <definedName name="_xlnm.Print_Area" localSheetId="2">'Sales, COGS, GP'!$A$1:$D$47</definedName>
    <definedName name="QComp">#REF!</definedName>
    <definedName name="TComp">#REF!</definedName>
    <definedName name="TechBenefits" localSheetId="6">'Composite Preview'!#REF!</definedName>
    <definedName name="TechBenefits" localSheetId="7">'[1]Composite Preview'!#REF!</definedName>
    <definedName name="TechBenefits" localSheetId="1">[2]Preview!#REF!</definedName>
    <definedName name="TechBenefit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7" i="3" l="1"/>
  <c r="D330" i="17"/>
  <c r="E330" i="17"/>
  <c r="F330" i="17"/>
  <c r="G330" i="17"/>
  <c r="G334" i="17" s="1"/>
  <c r="H330" i="17"/>
  <c r="H334" i="17" s="1"/>
  <c r="I330" i="17"/>
  <c r="I332" i="17" s="1"/>
  <c r="J330" i="17"/>
  <c r="J332" i="17" s="1"/>
  <c r="K330" i="17"/>
  <c r="K332" i="17" s="1"/>
  <c r="L330" i="17"/>
  <c r="M330" i="17"/>
  <c r="M334" i="17" s="1"/>
  <c r="N330" i="17"/>
  <c r="C330" i="17"/>
  <c r="C334" i="17" s="1"/>
  <c r="D322" i="17"/>
  <c r="D325" i="17" s="1"/>
  <c r="E322" i="17"/>
  <c r="F322" i="17"/>
  <c r="F324" i="17" s="1"/>
  <c r="G322" i="17"/>
  <c r="G323" i="17" s="1"/>
  <c r="H322" i="17"/>
  <c r="I322" i="17"/>
  <c r="J322" i="17"/>
  <c r="K322" i="17"/>
  <c r="K325" i="17" s="1"/>
  <c r="L322" i="17"/>
  <c r="L325" i="17" s="1"/>
  <c r="M322" i="17"/>
  <c r="N322" i="17"/>
  <c r="C322" i="17"/>
  <c r="C324" i="17" s="1"/>
  <c r="D316" i="17"/>
  <c r="E316" i="17"/>
  <c r="I316" i="17"/>
  <c r="J316" i="17"/>
  <c r="K316" i="17"/>
  <c r="L316" i="17"/>
  <c r="M316" i="17"/>
  <c r="N316" i="17"/>
  <c r="D317" i="17"/>
  <c r="E317" i="17"/>
  <c r="H317" i="17"/>
  <c r="I317" i="17"/>
  <c r="J317" i="17"/>
  <c r="K317" i="17"/>
  <c r="L317" i="17"/>
  <c r="M317" i="17"/>
  <c r="N317" i="17"/>
  <c r="D318" i="17"/>
  <c r="E318" i="17"/>
  <c r="H318" i="17"/>
  <c r="I318" i="17"/>
  <c r="J318" i="17"/>
  <c r="K318" i="17"/>
  <c r="L318" i="17"/>
  <c r="M318" i="17"/>
  <c r="N318" i="17"/>
  <c r="D319" i="17"/>
  <c r="E319" i="17"/>
  <c r="F319" i="17"/>
  <c r="I319" i="17"/>
  <c r="J319" i="17"/>
  <c r="K319" i="17"/>
  <c r="L319" i="17"/>
  <c r="M319" i="17"/>
  <c r="N319" i="17"/>
  <c r="D320" i="17"/>
  <c r="E320" i="17"/>
  <c r="I320" i="17"/>
  <c r="J320" i="17"/>
  <c r="K320" i="17"/>
  <c r="L320" i="17"/>
  <c r="M320" i="17"/>
  <c r="N320" i="17"/>
  <c r="C320" i="17"/>
  <c r="C319" i="17"/>
  <c r="C318" i="17"/>
  <c r="C317" i="17"/>
  <c r="C316" i="17"/>
  <c r="D315" i="17"/>
  <c r="E315" i="17"/>
  <c r="I315" i="17"/>
  <c r="J315" i="17"/>
  <c r="K315" i="17"/>
  <c r="L315" i="17"/>
  <c r="M315" i="17"/>
  <c r="N315" i="17"/>
  <c r="C315" i="17"/>
  <c r="D314" i="17"/>
  <c r="E314" i="17"/>
  <c r="F314" i="17"/>
  <c r="F318" i="17" s="1"/>
  <c r="G314" i="17"/>
  <c r="G318" i="17" s="1"/>
  <c r="H314" i="17"/>
  <c r="H320" i="17" s="1"/>
  <c r="I314" i="17"/>
  <c r="J314" i="17"/>
  <c r="K314" i="17"/>
  <c r="L314" i="17"/>
  <c r="M314" i="17"/>
  <c r="N314" i="17"/>
  <c r="C314" i="17"/>
  <c r="J6" i="3"/>
  <c r="J5" i="3"/>
  <c r="I335" i="17"/>
  <c r="J335" i="17"/>
  <c r="K335" i="17"/>
  <c r="J323" i="17"/>
  <c r="E324" i="17"/>
  <c r="H324" i="17"/>
  <c r="N324" i="17"/>
  <c r="J325" i="17"/>
  <c r="H326" i="17"/>
  <c r="E327" i="17"/>
  <c r="F327" i="17"/>
  <c r="L327" i="17"/>
  <c r="N327" i="17"/>
  <c r="H328" i="17"/>
  <c r="J328" i="17"/>
  <c r="H327" i="17"/>
  <c r="I324" i="17"/>
  <c r="J326" i="17"/>
  <c r="N325" i="17"/>
  <c r="G315" i="17" l="1"/>
  <c r="G320" i="17"/>
  <c r="F315" i="17"/>
  <c r="G317" i="17"/>
  <c r="H319" i="17"/>
  <c r="F317" i="17"/>
  <c r="F320" i="17"/>
  <c r="G319" i="17"/>
  <c r="H316" i="17"/>
  <c r="G316" i="17"/>
  <c r="F316" i="17"/>
  <c r="H315" i="17"/>
  <c r="K333" i="17"/>
  <c r="J333" i="17"/>
  <c r="I331" i="17"/>
  <c r="I333" i="17"/>
  <c r="I336" i="17"/>
  <c r="G327" i="17"/>
  <c r="D327" i="17"/>
  <c r="G324" i="17"/>
  <c r="K328" i="17"/>
  <c r="G326" i="17"/>
  <c r="C323" i="17"/>
  <c r="O321" i="17"/>
  <c r="J4" i="3" s="1"/>
  <c r="H336" i="17"/>
  <c r="G331" i="17"/>
  <c r="G336" i="17"/>
  <c r="H333" i="17"/>
  <c r="H331" i="17"/>
  <c r="C325" i="17"/>
  <c r="G333" i="17"/>
  <c r="C326" i="17"/>
  <c r="I325" i="17"/>
  <c r="C331" i="17"/>
  <c r="N326" i="17"/>
  <c r="H325" i="17"/>
  <c r="I323" i="17"/>
  <c r="C335" i="17"/>
  <c r="H335" i="17"/>
  <c r="I328" i="17"/>
  <c r="I326" i="17"/>
  <c r="H323" i="17"/>
  <c r="C336" i="17"/>
  <c r="G335" i="17"/>
  <c r="H332" i="17"/>
  <c r="N333" i="17"/>
  <c r="N332" i="17"/>
  <c r="N335" i="17"/>
  <c r="N336" i="17"/>
  <c r="F332" i="17"/>
  <c r="F335" i="17"/>
  <c r="F333" i="17"/>
  <c r="F336" i="17"/>
  <c r="F334" i="17"/>
  <c r="M332" i="17"/>
  <c r="M336" i="17"/>
  <c r="M331" i="17"/>
  <c r="M335" i="17"/>
  <c r="M333" i="17"/>
  <c r="E332" i="17"/>
  <c r="E336" i="17"/>
  <c r="E331" i="17"/>
  <c r="E335" i="17"/>
  <c r="E333" i="17"/>
  <c r="E334" i="17"/>
  <c r="L335" i="17"/>
  <c r="L333" i="17"/>
  <c r="L336" i="17"/>
  <c r="L331" i="17"/>
  <c r="L334" i="17"/>
  <c r="D335" i="17"/>
  <c r="O330" i="17"/>
  <c r="D333" i="17"/>
  <c r="D336" i="17"/>
  <c r="D331" i="17"/>
  <c r="D334" i="17"/>
  <c r="D332" i="17"/>
  <c r="M325" i="17"/>
  <c r="M328" i="17"/>
  <c r="M323" i="17"/>
  <c r="M326" i="17"/>
  <c r="F326" i="17"/>
  <c r="F325" i="17"/>
  <c r="F328" i="17"/>
  <c r="F323" i="17"/>
  <c r="N331" i="17"/>
  <c r="L328" i="17"/>
  <c r="L324" i="17"/>
  <c r="L323" i="17"/>
  <c r="L326" i="17"/>
  <c r="E325" i="17"/>
  <c r="E328" i="17"/>
  <c r="E323" i="17"/>
  <c r="E326" i="17"/>
  <c r="K323" i="17"/>
  <c r="K326" i="17"/>
  <c r="K324" i="17"/>
  <c r="K327" i="17"/>
  <c r="D328" i="17"/>
  <c r="D323" i="17"/>
  <c r="D326" i="17"/>
  <c r="D324" i="17"/>
  <c r="L332" i="17"/>
  <c r="M327" i="17"/>
  <c r="M324" i="17"/>
  <c r="N334" i="17"/>
  <c r="F331" i="17"/>
  <c r="K334" i="17"/>
  <c r="C328" i="17"/>
  <c r="G328" i="17"/>
  <c r="J327" i="17"/>
  <c r="N323" i="17"/>
  <c r="J334" i="17"/>
  <c r="K331" i="17"/>
  <c r="N328" i="17"/>
  <c r="I327" i="17"/>
  <c r="G325" i="17"/>
  <c r="J324" i="17"/>
  <c r="C332" i="17"/>
  <c r="K336" i="17"/>
  <c r="I334" i="17"/>
  <c r="G332" i="17"/>
  <c r="J331" i="17"/>
  <c r="C333" i="17"/>
  <c r="J336" i="17"/>
  <c r="C327" i="17"/>
  <c r="F40" i="3"/>
  <c r="E23" i="8"/>
  <c r="O324" i="17" l="1"/>
  <c r="C5" i="3" s="1"/>
  <c r="O326" i="17"/>
  <c r="E5" i="3" s="1"/>
  <c r="O328" i="17"/>
  <c r="I5" i="3" s="1"/>
  <c r="O323" i="17"/>
  <c r="B5" i="3" s="1"/>
  <c r="O327" i="17"/>
  <c r="F5" i="3" s="1"/>
  <c r="O325" i="17"/>
  <c r="G5" i="3" s="1"/>
  <c r="O334" i="17"/>
  <c r="E6" i="3" s="1"/>
  <c r="O335" i="17"/>
  <c r="F6" i="3" s="1"/>
  <c r="O331" i="17"/>
  <c r="B6" i="3" s="1"/>
  <c r="O332" i="17"/>
  <c r="C6" i="3" s="1"/>
  <c r="O333" i="17"/>
  <c r="G6" i="3" s="1"/>
  <c r="O336" i="17"/>
  <c r="I6" i="3" s="1"/>
  <c r="B24" i="8"/>
  <c r="B30" i="8" s="1"/>
  <c r="E12" i="8"/>
  <c r="B28" i="8"/>
  <c r="B23" i="8"/>
  <c r="B18" i="8"/>
  <c r="B8" i="8"/>
  <c r="O3" i="17"/>
  <c r="O4" i="17"/>
  <c r="O5" i="17"/>
  <c r="O6" i="17"/>
  <c r="O7" i="17"/>
  <c r="O8" i="17"/>
  <c r="O9" i="17"/>
  <c r="O10" i="17"/>
  <c r="O11" i="17"/>
  <c r="O12" i="17"/>
  <c r="O13" i="17"/>
  <c r="O14" i="17"/>
  <c r="O15" i="17"/>
  <c r="O16" i="17"/>
  <c r="O17" i="17"/>
  <c r="O18" i="17"/>
  <c r="O19" i="17"/>
  <c r="O20" i="17"/>
  <c r="O21" i="17"/>
  <c r="O22" i="17"/>
  <c r="O23" i="17"/>
  <c r="O24" i="17"/>
  <c r="O25" i="17"/>
  <c r="O26" i="17"/>
  <c r="O27" i="17"/>
  <c r="O28" i="17"/>
  <c r="O29" i="17"/>
  <c r="O30" i="17"/>
  <c r="O31" i="17"/>
  <c r="O32" i="17"/>
  <c r="O33" i="17"/>
  <c r="O34" i="17"/>
  <c r="O35" i="17"/>
  <c r="O36" i="17"/>
  <c r="O37" i="17"/>
  <c r="O38" i="17"/>
  <c r="O39" i="17"/>
  <c r="O40" i="17"/>
  <c r="O41" i="17"/>
  <c r="O42" i="17"/>
  <c r="O43" i="17"/>
  <c r="O44" i="17"/>
  <c r="O45" i="17"/>
  <c r="O46" i="17"/>
  <c r="O47" i="17"/>
  <c r="O48" i="17"/>
  <c r="O49" i="17"/>
  <c r="O50" i="17"/>
  <c r="O51" i="17"/>
  <c r="O52" i="17"/>
  <c r="O312" i="17"/>
  <c r="O168" i="17"/>
  <c r="O169" i="17"/>
  <c r="C16" i="2" s="1"/>
  <c r="O170" i="17"/>
  <c r="C30" i="2" s="1"/>
  <c r="O171" i="17"/>
  <c r="O172" i="17"/>
  <c r="O173" i="17"/>
  <c r="O174" i="17"/>
  <c r="O175" i="17"/>
  <c r="O176" i="17"/>
  <c r="O177" i="17"/>
  <c r="O178" i="17"/>
  <c r="O179" i="17"/>
  <c r="C35" i="2" s="1"/>
  <c r="O180" i="17"/>
  <c r="O181" i="17"/>
  <c r="F36" i="3" s="1"/>
  <c r="O182" i="17"/>
  <c r="C12" i="2" s="1"/>
  <c r="O183" i="17"/>
  <c r="O184" i="17"/>
  <c r="O185" i="17"/>
  <c r="O186" i="17"/>
  <c r="C19" i="2" s="1"/>
  <c r="O187" i="17"/>
  <c r="O188" i="17"/>
  <c r="O189" i="17"/>
  <c r="O190" i="17"/>
  <c r="O191" i="17"/>
  <c r="O192" i="17"/>
  <c r="E26" i="3" s="1"/>
  <c r="O193" i="17"/>
  <c r="O194" i="17"/>
  <c r="O195" i="17"/>
  <c r="O196" i="17"/>
  <c r="O197" i="17"/>
  <c r="O198" i="17"/>
  <c r="O199" i="17"/>
  <c r="O200" i="17"/>
  <c r="O201" i="17"/>
  <c r="O202" i="17"/>
  <c r="O203" i="17"/>
  <c r="O204" i="17"/>
  <c r="O205" i="17"/>
  <c r="O206" i="17"/>
  <c r="O207" i="17"/>
  <c r="O208" i="17"/>
  <c r="O209" i="17"/>
  <c r="O210" i="17"/>
  <c r="O211" i="17"/>
  <c r="C28" i="2" s="1"/>
  <c r="O212" i="17"/>
  <c r="O213" i="17"/>
  <c r="O214" i="17"/>
  <c r="O215" i="17"/>
  <c r="O216" i="17"/>
  <c r="O217" i="17"/>
  <c r="C27" i="2" s="1"/>
  <c r="O218" i="17"/>
  <c r="O219" i="17"/>
  <c r="O220" i="17"/>
  <c r="O221" i="17"/>
  <c r="O222" i="17"/>
  <c r="O223" i="17"/>
  <c r="O224" i="17"/>
  <c r="O225" i="17"/>
  <c r="O226" i="17"/>
  <c r="O227" i="17"/>
  <c r="O228" i="17"/>
  <c r="O229" i="17"/>
  <c r="O230" i="17"/>
  <c r="O231" i="17"/>
  <c r="O232" i="17"/>
  <c r="O233" i="17"/>
  <c r="O234" i="17"/>
  <c r="O235" i="17"/>
  <c r="F34" i="3" s="1"/>
  <c r="O236" i="17"/>
  <c r="O237" i="17"/>
  <c r="F35" i="3" s="1"/>
  <c r="O238" i="17"/>
  <c r="O239" i="17"/>
  <c r="O240" i="17"/>
  <c r="O241" i="17"/>
  <c r="O242" i="17"/>
  <c r="O243" i="17"/>
  <c r="C23" i="2" s="1"/>
  <c r="O244" i="17"/>
  <c r="O245" i="17"/>
  <c r="O246" i="17"/>
  <c r="O247" i="17"/>
  <c r="O248" i="17"/>
  <c r="O249" i="17"/>
  <c r="O313" i="17"/>
  <c r="O250" i="17"/>
  <c r="L34" i="3" s="1"/>
  <c r="O251" i="17"/>
  <c r="O252" i="17"/>
  <c r="O253" i="17"/>
  <c r="O254" i="17"/>
  <c r="O255" i="17"/>
  <c r="O256" i="17"/>
  <c r="O257" i="17"/>
  <c r="O258" i="17"/>
  <c r="O259" i="17"/>
  <c r="O260" i="17"/>
  <c r="O261" i="17"/>
  <c r="O262" i="17"/>
  <c r="O263" i="17"/>
  <c r="O264" i="17"/>
  <c r="O265" i="17"/>
  <c r="O266" i="17"/>
  <c r="O267" i="17"/>
  <c r="O268" i="17"/>
  <c r="O269" i="17"/>
  <c r="O270" i="17"/>
  <c r="O271" i="17"/>
  <c r="B44" i="2" s="1"/>
  <c r="O272" i="17"/>
  <c r="O273" i="17"/>
  <c r="O274" i="17"/>
  <c r="O275" i="17"/>
  <c r="O276" i="17"/>
  <c r="O277" i="17"/>
  <c r="O278" i="17"/>
  <c r="O279" i="17"/>
  <c r="O280" i="17"/>
  <c r="O281" i="17"/>
  <c r="O282" i="17"/>
  <c r="O283" i="17"/>
  <c r="O284" i="17"/>
  <c r="O285" i="17"/>
  <c r="O286" i="17"/>
  <c r="O287" i="17"/>
  <c r="O288" i="17"/>
  <c r="O289" i="17"/>
  <c r="O290" i="17"/>
  <c r="O291" i="17"/>
  <c r="O292" i="17"/>
  <c r="O293" i="17"/>
  <c r="O294" i="17"/>
  <c r="O295" i="17"/>
  <c r="O296" i="17"/>
  <c r="O297" i="17"/>
  <c r="O298" i="17"/>
  <c r="O299" i="17"/>
  <c r="O300" i="17"/>
  <c r="O301" i="17"/>
  <c r="O302" i="17"/>
  <c r="O303" i="17"/>
  <c r="O304" i="17"/>
  <c r="O310" i="17"/>
  <c r="O311" i="17"/>
  <c r="O322" i="17"/>
  <c r="O53" i="17"/>
  <c r="O54" i="17"/>
  <c r="O55" i="17"/>
  <c r="O56" i="17"/>
  <c r="O57" i="17"/>
  <c r="O58" i="17"/>
  <c r="O59" i="17"/>
  <c r="O60" i="17"/>
  <c r="O61" i="17"/>
  <c r="O62" i="17"/>
  <c r="O63" i="17"/>
  <c r="O64" i="17"/>
  <c r="O65" i="17"/>
  <c r="O66" i="17"/>
  <c r="O67" i="17"/>
  <c r="O68" i="17"/>
  <c r="O69" i="17"/>
  <c r="O70" i="17"/>
  <c r="O71" i="17"/>
  <c r="O72" i="17"/>
  <c r="O73" i="17"/>
  <c r="O74" i="17"/>
  <c r="O75" i="17"/>
  <c r="O76" i="17"/>
  <c r="O77" i="17"/>
  <c r="O78" i="17"/>
  <c r="O79" i="17"/>
  <c r="O80" i="17"/>
  <c r="O81" i="17"/>
  <c r="O82" i="17"/>
  <c r="O83" i="17"/>
  <c r="O84" i="17"/>
  <c r="O85" i="17"/>
  <c r="O86" i="17"/>
  <c r="O87" i="17"/>
  <c r="O88" i="17"/>
  <c r="O89" i="17"/>
  <c r="O90" i="17"/>
  <c r="O91" i="17"/>
  <c r="O92" i="17"/>
  <c r="O93" i="17"/>
  <c r="O94" i="17"/>
  <c r="O95" i="17"/>
  <c r="O96" i="17"/>
  <c r="O97" i="17"/>
  <c r="O98" i="17"/>
  <c r="O99" i="17"/>
  <c r="O100" i="17"/>
  <c r="O101" i="17"/>
  <c r="O102" i="17"/>
  <c r="O103" i="17"/>
  <c r="O104" i="17"/>
  <c r="O105" i="17"/>
  <c r="O106" i="17"/>
  <c r="B13" i="2" s="1"/>
  <c r="O107" i="17"/>
  <c r="B16" i="2" s="1"/>
  <c r="O108" i="17"/>
  <c r="O109" i="17"/>
  <c r="O110" i="17"/>
  <c r="O111" i="17"/>
  <c r="O112" i="17"/>
  <c r="O113" i="17"/>
  <c r="O114" i="17"/>
  <c r="O115" i="17"/>
  <c r="B32" i="2" s="1"/>
  <c r="O116" i="17"/>
  <c r="B35" i="2" s="1"/>
  <c r="O117" i="17"/>
  <c r="O118" i="17"/>
  <c r="O119" i="17"/>
  <c r="O120" i="17"/>
  <c r="B12" i="2" s="1"/>
  <c r="O121" i="17"/>
  <c r="O122" i="17"/>
  <c r="O123" i="17"/>
  <c r="O124" i="17"/>
  <c r="O125" i="17"/>
  <c r="O126" i="17"/>
  <c r="O127" i="17"/>
  <c r="O128" i="17"/>
  <c r="O129" i="17"/>
  <c r="O130" i="17"/>
  <c r="O131" i="17"/>
  <c r="E25" i="3" s="1"/>
  <c r="O132" i="17"/>
  <c r="O133" i="17"/>
  <c r="O134" i="17"/>
  <c r="O135" i="17"/>
  <c r="O136" i="17"/>
  <c r="O137" i="17"/>
  <c r="O138" i="17"/>
  <c r="O139" i="17"/>
  <c r="O140" i="17"/>
  <c r="O141" i="17"/>
  <c r="O142" i="17"/>
  <c r="O143" i="17"/>
  <c r="O144" i="17"/>
  <c r="O145" i="17"/>
  <c r="B28" i="2" s="1"/>
  <c r="O146" i="17"/>
  <c r="O147" i="17"/>
  <c r="O148" i="17"/>
  <c r="O149" i="17"/>
  <c r="O150" i="17"/>
  <c r="O151" i="17"/>
  <c r="B27" i="2" s="1"/>
  <c r="O152" i="17"/>
  <c r="O153" i="17"/>
  <c r="O154" i="17"/>
  <c r="O155" i="17"/>
  <c r="O156" i="17"/>
  <c r="B38" i="2" s="1"/>
  <c r="O157" i="17"/>
  <c r="O158" i="17"/>
  <c r="O159" i="17"/>
  <c r="O160" i="17"/>
  <c r="O161" i="17"/>
  <c r="O162" i="17"/>
  <c r="O163" i="17"/>
  <c r="O164" i="17"/>
  <c r="O165" i="17"/>
  <c r="O166" i="17"/>
  <c r="O167" i="17"/>
  <c r="O305" i="17"/>
  <c r="O306" i="17"/>
  <c r="O307" i="17"/>
  <c r="O308" i="17"/>
  <c r="O309" i="17"/>
  <c r="O2" i="17"/>
  <c r="C13" i="2" l="1"/>
  <c r="C32" i="2"/>
  <c r="B21" i="2"/>
  <c r="B26" i="2"/>
  <c r="C25" i="2"/>
  <c r="B24" i="2"/>
  <c r="B19" i="2"/>
  <c r="B30" i="2"/>
  <c r="B43" i="2"/>
  <c r="C34" i="2"/>
  <c r="B34" i="2"/>
  <c r="B25" i="2"/>
  <c r="C24" i="2"/>
  <c r="B10" i="2"/>
  <c r="C10" i="2"/>
  <c r="C26" i="2"/>
  <c r="B25" i="3"/>
  <c r="B26" i="3" s="1"/>
  <c r="E27" i="8" l="1"/>
  <c r="F23" i="14" l="1"/>
  <c r="P35" i="5"/>
  <c r="M21" i="5"/>
  <c r="C3" i="2"/>
  <c r="B128" i="14"/>
  <c r="B127" i="14"/>
  <c r="C38" i="3"/>
  <c r="C38" i="2" s="1"/>
  <c r="B119" i="14"/>
  <c r="K128" i="14"/>
  <c r="F22" i="14"/>
  <c r="F21" i="14"/>
  <c r="F20" i="14"/>
  <c r="L13" i="3"/>
  <c r="F27" i="14" s="1"/>
  <c r="G97" i="14"/>
  <c r="C54" i="14"/>
  <c r="C52" i="14"/>
  <c r="C51" i="14"/>
  <c r="B37" i="2" l="1"/>
  <c r="C37" i="2"/>
  <c r="G117" i="14"/>
  <c r="G116" i="14"/>
  <c r="G115" i="14"/>
  <c r="G114" i="14"/>
  <c r="B118" i="14"/>
  <c r="B122" i="14"/>
  <c r="B117" i="14"/>
  <c r="C120" i="14"/>
  <c r="K88" i="14"/>
  <c r="K96" i="14"/>
  <c r="K94" i="14"/>
  <c r="K93" i="14"/>
  <c r="K92" i="14"/>
  <c r="K91" i="14"/>
  <c r="F106" i="14"/>
  <c r="F108" i="14"/>
  <c r="F107" i="14"/>
  <c r="F102" i="14"/>
  <c r="F101" i="14"/>
  <c r="G99" i="14"/>
  <c r="G96" i="14"/>
  <c r="G95" i="14"/>
  <c r="G94" i="14"/>
  <c r="G91" i="14"/>
  <c r="G88" i="14"/>
  <c r="B100" i="14"/>
  <c r="B99" i="14"/>
  <c r="B98" i="14"/>
  <c r="C96" i="14"/>
  <c r="J69" i="14"/>
  <c r="J71" i="14"/>
  <c r="J68" i="14"/>
  <c r="J74" i="14" l="1"/>
  <c r="K55" i="14"/>
  <c r="K53" i="14"/>
  <c r="K52" i="14"/>
  <c r="K51" i="14"/>
  <c r="K47" i="14"/>
  <c r="K46" i="14"/>
  <c r="G61" i="14"/>
  <c r="G65" i="14" s="1"/>
  <c r="B64" i="14"/>
  <c r="B62" i="14"/>
  <c r="C50" i="14"/>
  <c r="C49" i="14"/>
  <c r="G16" i="14"/>
  <c r="G14" i="14"/>
  <c r="G13" i="14"/>
  <c r="G12" i="14"/>
  <c r="G11" i="14"/>
  <c r="C46" i="14"/>
  <c r="E15" i="3"/>
  <c r="L15" i="3" s="1"/>
  <c r="E14" i="3"/>
  <c r="L14" i="3" s="1"/>
  <c r="E12" i="3"/>
  <c r="E11" i="3"/>
  <c r="L11" i="3" s="1"/>
  <c r="D16" i="3"/>
  <c r="C16" i="3"/>
  <c r="B16" i="3"/>
  <c r="F30" i="14"/>
  <c r="F31" i="14"/>
  <c r="F32" i="14"/>
  <c r="A3" i="14"/>
  <c r="B3" i="14"/>
  <c r="F3" i="14" s="1"/>
  <c r="J100" i="14"/>
  <c r="J98" i="14"/>
  <c r="J93" i="14"/>
  <c r="F96" i="14"/>
  <c r="J92" i="14"/>
  <c r="F95" i="14"/>
  <c r="J91" i="14"/>
  <c r="J87" i="14"/>
  <c r="F87" i="14"/>
  <c r="J86" i="14"/>
  <c r="F86" i="14"/>
  <c r="J85" i="14"/>
  <c r="F85" i="14"/>
  <c r="J82" i="14"/>
  <c r="F82" i="14"/>
  <c r="F104" i="14" s="1"/>
  <c r="B114" i="14"/>
  <c r="J64" i="14"/>
  <c r="B104" i="14"/>
  <c r="J60" i="14"/>
  <c r="A39" i="14"/>
  <c r="B4" i="14"/>
  <c r="J42" i="14" s="1"/>
  <c r="A4" i="14"/>
  <c r="B1" i="14"/>
  <c r="E16" i="3" l="1"/>
  <c r="J30" i="14" s="1"/>
  <c r="L12" i="3"/>
  <c r="F26" i="14" s="1"/>
  <c r="J35" i="14"/>
  <c r="J34" i="14"/>
  <c r="L16" i="3"/>
  <c r="K48" i="14"/>
  <c r="J41" i="14"/>
  <c r="J3" i="14"/>
  <c r="F111" i="14" s="1"/>
  <c r="J4" i="14"/>
  <c r="F112" i="14" s="1"/>
  <c r="F4" i="14"/>
  <c r="J80" i="14" s="1"/>
  <c r="B42" i="14"/>
  <c r="J79" i="14"/>
  <c r="B41" i="14"/>
  <c r="F41" i="14"/>
  <c r="B79" i="14"/>
  <c r="F42" i="14"/>
  <c r="B111" i="14"/>
  <c r="F79" i="14"/>
  <c r="B112" i="14"/>
  <c r="F80" i="14"/>
  <c r="F137" i="14" l="1"/>
  <c r="J66" i="14"/>
  <c r="F129" i="14"/>
  <c r="B80" i="14"/>
  <c r="B19" i="8" l="1"/>
  <c r="G8" i="5" l="1"/>
  <c r="O11" i="5"/>
  <c r="O12" i="5"/>
  <c r="O13" i="5"/>
  <c r="O14" i="5"/>
  <c r="O16" i="5"/>
  <c r="M8" i="5"/>
  <c r="K8" i="5"/>
  <c r="K11" i="5"/>
  <c r="K12" i="5"/>
  <c r="K13" i="5"/>
  <c r="K14" i="5"/>
  <c r="K16" i="5"/>
  <c r="I8" i="5"/>
  <c r="I11" i="5"/>
  <c r="I12" i="5"/>
  <c r="I13" i="5"/>
  <c r="I14" i="5"/>
  <c r="I16" i="5"/>
  <c r="G11" i="5"/>
  <c r="G12" i="5"/>
  <c r="G13" i="5"/>
  <c r="G14" i="5"/>
  <c r="G16" i="5"/>
  <c r="E11" i="5"/>
  <c r="E12" i="5"/>
  <c r="E13" i="5"/>
  <c r="E14" i="5"/>
  <c r="E16" i="5"/>
  <c r="C11" i="5"/>
  <c r="C12" i="5"/>
  <c r="C13" i="5"/>
  <c r="C14" i="5"/>
  <c r="C16" i="5"/>
  <c r="E8" i="5"/>
  <c r="D19" i="2"/>
  <c r="J27" i="14" s="1"/>
  <c r="D18" i="2"/>
  <c r="J26" i="14" s="1"/>
  <c r="B14" i="2"/>
  <c r="B20" i="2" s="1"/>
  <c r="C14" i="2"/>
  <c r="C20" i="2" s="1"/>
  <c r="D17" i="2"/>
  <c r="J25" i="14" s="1"/>
  <c r="D16" i="2"/>
  <c r="J24" i="14" s="1"/>
  <c r="B29" i="2"/>
  <c r="B40" i="2" s="1"/>
  <c r="H10" i="13"/>
  <c r="H12" i="13"/>
  <c r="F10" i="13"/>
  <c r="F12" i="13"/>
  <c r="E10" i="13"/>
  <c r="E12" i="13"/>
  <c r="D10" i="13"/>
  <c r="D12" i="13"/>
  <c r="C10" i="13"/>
  <c r="C12" i="13"/>
  <c r="B10" i="13"/>
  <c r="B12" i="13"/>
  <c r="B4" i="13"/>
  <c r="D36" i="2"/>
  <c r="F60" i="14" s="1"/>
  <c r="D32" i="2"/>
  <c r="F56" i="14" s="1"/>
  <c r="D31" i="2"/>
  <c r="F55" i="14" s="1"/>
  <c r="D11" i="2"/>
  <c r="J20" i="14" s="1"/>
  <c r="H30" i="5"/>
  <c r="H29" i="5"/>
  <c r="H23" i="5"/>
  <c r="H6" i="5" s="1"/>
  <c r="L23" i="5"/>
  <c r="L6" i="5" s="1"/>
  <c r="L11" i="5" s="1"/>
  <c r="L30" i="5"/>
  <c r="L29" i="5"/>
  <c r="J16" i="3"/>
  <c r="B134" i="14" s="1"/>
  <c r="D15" i="2"/>
  <c r="J23" i="14" s="1"/>
  <c r="D23" i="2"/>
  <c r="F90" i="14" s="1"/>
  <c r="D38" i="2"/>
  <c r="J23" i="5"/>
  <c r="J6" i="5" s="1"/>
  <c r="J12" i="5" s="1"/>
  <c r="J30" i="5"/>
  <c r="J29" i="5"/>
  <c r="J28" i="5"/>
  <c r="I37" i="3"/>
  <c r="C22" i="2" s="1"/>
  <c r="D22" i="2" s="1"/>
  <c r="I16" i="3"/>
  <c r="F133" i="14" s="1"/>
  <c r="H7" i="3"/>
  <c r="J94" i="14" s="1"/>
  <c r="C29" i="2"/>
  <c r="F30" i="5"/>
  <c r="F29" i="5"/>
  <c r="E19" i="8"/>
  <c r="E29" i="8"/>
  <c r="D10" i="2"/>
  <c r="J19" i="14" s="1"/>
  <c r="D12" i="2"/>
  <c r="J21" i="14" s="1"/>
  <c r="D35" i="2"/>
  <c r="F59" i="14" s="1"/>
  <c r="D34" i="2"/>
  <c r="F58" i="14" s="1"/>
  <c r="D33" i="2"/>
  <c r="F57" i="14" s="1"/>
  <c r="D30" i="2"/>
  <c r="F54" i="14" s="1"/>
  <c r="D28" i="2"/>
  <c r="B95" i="14" s="1"/>
  <c r="D27" i="2"/>
  <c r="B94" i="14" s="1"/>
  <c r="D26" i="2"/>
  <c r="B93" i="14" s="1"/>
  <c r="D25" i="2"/>
  <c r="B92" i="14" s="1"/>
  <c r="D24" i="2"/>
  <c r="D13" i="2"/>
  <c r="J22" i="14" s="1"/>
  <c r="D30" i="5"/>
  <c r="D29" i="5"/>
  <c r="I28" i="3"/>
  <c r="J7" i="3"/>
  <c r="N31" i="5" s="1"/>
  <c r="H16" i="3"/>
  <c r="F132" i="14" s="1"/>
  <c r="P36" i="5"/>
  <c r="P34" i="5"/>
  <c r="E13" i="8"/>
  <c r="A1" i="5"/>
  <c r="A39" i="5" s="1"/>
  <c r="N30" i="5"/>
  <c r="N29" i="5"/>
  <c r="N28" i="5"/>
  <c r="K16" i="3"/>
  <c r="F135" i="14" s="1"/>
  <c r="F16" i="3"/>
  <c r="F37" i="3"/>
  <c r="C21" i="2" s="1"/>
  <c r="G16" i="3"/>
  <c r="D5" i="3"/>
  <c r="K5" i="3" s="1"/>
  <c r="D6" i="3"/>
  <c r="E24" i="8" l="1"/>
  <c r="E30" i="8" s="1"/>
  <c r="K29" i="5"/>
  <c r="K48" i="5" s="1"/>
  <c r="M29" i="5"/>
  <c r="M48" i="5" s="1"/>
  <c r="B123" i="14"/>
  <c r="B120" i="14"/>
  <c r="H11" i="5"/>
  <c r="H12" i="5"/>
  <c r="H48" i="5" s="1"/>
  <c r="L12" i="5"/>
  <c r="L48" i="5" s="1"/>
  <c r="L13" i="5"/>
  <c r="L49" i="5" s="1"/>
  <c r="L8" i="5"/>
  <c r="K28" i="5"/>
  <c r="K47" i="5" s="1"/>
  <c r="A18" i="5"/>
  <c r="J118" i="14"/>
  <c r="J116" i="14"/>
  <c r="J48" i="5"/>
  <c r="D20" i="2"/>
  <c r="J72" i="14"/>
  <c r="J75" i="14" s="1"/>
  <c r="B105" i="14"/>
  <c r="B103" i="14"/>
  <c r="C40" i="2"/>
  <c r="C41" i="2" s="1"/>
  <c r="F124" i="14"/>
  <c r="F120" i="14"/>
  <c r="F123" i="14"/>
  <c r="F122" i="14"/>
  <c r="F121" i="14"/>
  <c r="F63" i="14"/>
  <c r="F130" i="14"/>
  <c r="F126" i="14"/>
  <c r="J63" i="14"/>
  <c r="J65" i="14" s="1"/>
  <c r="F131" i="14"/>
  <c r="M30" i="5"/>
  <c r="M49" i="5" s="1"/>
  <c r="F47" i="14"/>
  <c r="F45" i="14"/>
  <c r="B44" i="14"/>
  <c r="B51" i="14"/>
  <c r="F48" i="14"/>
  <c r="F46" i="14"/>
  <c r="F44" i="14"/>
  <c r="F49" i="14"/>
  <c r="C55" i="14"/>
  <c r="F50" i="14"/>
  <c r="B50" i="14"/>
  <c r="F66" i="14"/>
  <c r="F64" i="14"/>
  <c r="D23" i="5"/>
  <c r="D37" i="2"/>
  <c r="B91" i="14"/>
  <c r="J61" i="14"/>
  <c r="J52" i="14"/>
  <c r="J51" i="14"/>
  <c r="B85" i="14"/>
  <c r="J58" i="14"/>
  <c r="B84" i="14"/>
  <c r="J44" i="14"/>
  <c r="B87" i="14"/>
  <c r="B83" i="14"/>
  <c r="B86" i="14"/>
  <c r="B88" i="14"/>
  <c r="K56" i="14"/>
  <c r="B41" i="2"/>
  <c r="I21" i="5" s="1"/>
  <c r="D29" i="2"/>
  <c r="F23" i="5"/>
  <c r="J8" i="5"/>
  <c r="H13" i="5"/>
  <c r="J13" i="5"/>
  <c r="J49" i="5" s="1"/>
  <c r="H8" i="5"/>
  <c r="J11" i="5"/>
  <c r="J88" i="14"/>
  <c r="J96" i="14"/>
  <c r="B23" i="5"/>
  <c r="B6" i="5" s="1"/>
  <c r="F6" i="14"/>
  <c r="J7" i="14"/>
  <c r="J15" i="14"/>
  <c r="J37" i="14"/>
  <c r="J8" i="14"/>
  <c r="J10" i="14"/>
  <c r="J11" i="14"/>
  <c r="J9" i="14"/>
  <c r="J12" i="14"/>
  <c r="J31" i="14"/>
  <c r="J14" i="14"/>
  <c r="J13" i="14"/>
  <c r="D14" i="2"/>
  <c r="B29" i="5"/>
  <c r="K30" i="5"/>
  <c r="K49" i="5" s="1"/>
  <c r="I30" i="5"/>
  <c r="I49" i="5" s="1"/>
  <c r="L25" i="5"/>
  <c r="I29" i="5"/>
  <c r="I48" i="5" s="1"/>
  <c r="K6" i="3"/>
  <c r="N33" i="5"/>
  <c r="D21" i="2"/>
  <c r="B30" i="5"/>
  <c r="J25" i="5"/>
  <c r="J31" i="5"/>
  <c r="K31" i="5" s="1"/>
  <c r="J114" i="14" l="1"/>
  <c r="J115" i="14"/>
  <c r="J14" i="5"/>
  <c r="J16" i="5" s="1"/>
  <c r="K50" i="5"/>
  <c r="J38" i="14"/>
  <c r="H14" i="5"/>
  <c r="H16" i="5" s="1"/>
  <c r="L14" i="5"/>
  <c r="L16" i="5" s="1"/>
  <c r="B25" i="5"/>
  <c r="B8" i="5" s="1"/>
  <c r="F12" i="14"/>
  <c r="J32" i="14"/>
  <c r="J28" i="14"/>
  <c r="P23" i="5"/>
  <c r="P6" i="5" s="1"/>
  <c r="F13" i="14"/>
  <c r="G17" i="14"/>
  <c r="F8" i="14"/>
  <c r="D41" i="2"/>
  <c r="J119" i="14"/>
  <c r="G30" i="5"/>
  <c r="G49" i="5" s="1"/>
  <c r="J47" i="5"/>
  <c r="J50" i="5" s="1"/>
  <c r="E31" i="8"/>
  <c r="D6" i="5"/>
  <c r="E30" i="5"/>
  <c r="E49" i="5" s="1"/>
  <c r="O29" i="5"/>
  <c r="O48" i="5" s="1"/>
  <c r="F51" i="14"/>
  <c r="O30" i="5"/>
  <c r="O49" i="5" s="1"/>
  <c r="O31" i="5"/>
  <c r="O28" i="5"/>
  <c r="O47" i="5" s="1"/>
  <c r="O33" i="5"/>
  <c r="B58" i="14"/>
  <c r="B46" i="14"/>
  <c r="F65" i="14"/>
  <c r="F61" i="14"/>
  <c r="D25" i="5"/>
  <c r="E29" i="5"/>
  <c r="E48" i="5" s="1"/>
  <c r="N38" i="5"/>
  <c r="F6" i="5"/>
  <c r="B96" i="14"/>
  <c r="J59" i="14"/>
  <c r="J46" i="14"/>
  <c r="F25" i="5"/>
  <c r="G29" i="5"/>
  <c r="G48" i="5" s="1"/>
  <c r="H49" i="5"/>
  <c r="F115" i="14"/>
  <c r="F114" i="14"/>
  <c r="F117" i="14"/>
  <c r="F116" i="14"/>
  <c r="F91" i="14"/>
  <c r="F88" i="14"/>
  <c r="B28" i="14"/>
  <c r="B27" i="14"/>
  <c r="B16" i="14"/>
  <c r="B19" i="14"/>
  <c r="J126" i="14"/>
  <c r="B24" i="14"/>
  <c r="B21" i="14"/>
  <c r="J16" i="14"/>
  <c r="B15" i="14"/>
  <c r="B8" i="14"/>
  <c r="B18" i="14"/>
  <c r="B12" i="14"/>
  <c r="F134" i="14"/>
  <c r="P29" i="5"/>
  <c r="M25" i="5"/>
  <c r="M44" i="5" s="1"/>
  <c r="L44" i="5"/>
  <c r="H25" i="5"/>
  <c r="J33" i="5"/>
  <c r="K25" i="5"/>
  <c r="K44" i="5" s="1"/>
  <c r="J44" i="5"/>
  <c r="D40" i="2"/>
  <c r="P30" i="5"/>
  <c r="C29" i="5" l="1"/>
  <c r="C48" i="5" s="1"/>
  <c r="O50" i="5"/>
  <c r="O52" i="5" s="1"/>
  <c r="C30" i="5"/>
  <c r="C49" i="5" s="1"/>
  <c r="C25" i="5"/>
  <c r="C8" i="5" s="1"/>
  <c r="I4" i="5"/>
  <c r="G4" i="5"/>
  <c r="K4" i="5"/>
  <c r="E4" i="5"/>
  <c r="M4" i="5"/>
  <c r="C4" i="5"/>
  <c r="K21" i="5"/>
  <c r="P25" i="5"/>
  <c r="B60" i="14"/>
  <c r="E25" i="5"/>
  <c r="E44" i="5" s="1"/>
  <c r="D11" i="5"/>
  <c r="D12" i="5"/>
  <c r="D48" i="5" s="1"/>
  <c r="D13" i="5"/>
  <c r="D49" i="5" s="1"/>
  <c r="D8" i="5"/>
  <c r="G25" i="5"/>
  <c r="G44" i="5" s="1"/>
  <c r="F13" i="5"/>
  <c r="F49" i="5" s="1"/>
  <c r="N17" i="5"/>
  <c r="F8" i="5"/>
  <c r="F11" i="5"/>
  <c r="F12" i="5"/>
  <c r="F48" i="5" s="1"/>
  <c r="B9" i="14"/>
  <c r="B12" i="5"/>
  <c r="B11" i="5"/>
  <c r="B14" i="5"/>
  <c r="B16" i="5" s="1"/>
  <c r="B13" i="5"/>
  <c r="Q29" i="5"/>
  <c r="B9" i="2"/>
  <c r="C21" i="5"/>
  <c r="E21" i="5"/>
  <c r="G21" i="5"/>
  <c r="Q30" i="5"/>
  <c r="D9" i="2"/>
  <c r="B32" i="14" s="1"/>
  <c r="H44" i="5"/>
  <c r="I25" i="5"/>
  <c r="I44" i="5" s="1"/>
  <c r="K33" i="5"/>
  <c r="K52" i="5" s="1"/>
  <c r="J52" i="5"/>
  <c r="P8" i="5" l="1"/>
  <c r="Q8" i="5" s="1"/>
  <c r="D44" i="5"/>
  <c r="D14" i="5"/>
  <c r="D16" i="5" s="1"/>
  <c r="F14" i="5"/>
  <c r="F16" i="5" s="1"/>
  <c r="N12" i="5"/>
  <c r="N48" i="5" s="1"/>
  <c r="N13" i="5"/>
  <c r="N49" i="5" s="1"/>
  <c r="N11" i="5"/>
  <c r="P11" i="5" s="1"/>
  <c r="F44" i="5"/>
  <c r="B49" i="5"/>
  <c r="B48" i="5"/>
  <c r="B6" i="14"/>
  <c r="B31" i="14"/>
  <c r="Q25" i="5"/>
  <c r="P44" i="5" l="1"/>
  <c r="P13" i="5"/>
  <c r="Q13" i="5" s="1"/>
  <c r="Q49" i="5" s="1"/>
  <c r="Q44" i="5"/>
  <c r="P12" i="5"/>
  <c r="Q12" i="5" s="1"/>
  <c r="Q48" i="5" s="1"/>
  <c r="N14" i="5"/>
  <c r="N16" i="5" s="1"/>
  <c r="P16" i="5" s="1"/>
  <c r="Q16" i="5" s="1"/>
  <c r="N47" i="5"/>
  <c r="N50" i="5" s="1"/>
  <c r="N52" i="5" s="1"/>
  <c r="Q11" i="5"/>
  <c r="P49" i="5" l="1"/>
  <c r="P14" i="5"/>
  <c r="Q4" i="5" s="1"/>
  <c r="P48" i="5"/>
  <c r="Q14" i="5" l="1"/>
  <c r="O315" i="17" l="1"/>
  <c r="B4" i="3" s="1"/>
  <c r="O317" i="17"/>
  <c r="G4" i="3" s="1"/>
  <c r="F94" i="14" s="1"/>
  <c r="O316" i="17"/>
  <c r="C4" i="3" s="1"/>
  <c r="C7" i="3" s="1"/>
  <c r="O318" i="17"/>
  <c r="E4" i="3" s="1"/>
  <c r="D28" i="5" s="1"/>
  <c r="O319" i="17"/>
  <c r="F4" i="3" s="1"/>
  <c r="O320" i="17"/>
  <c r="I4" i="3" s="1"/>
  <c r="O314" i="17"/>
  <c r="L28" i="5" l="1"/>
  <c r="B126" i="14"/>
  <c r="I7" i="3"/>
  <c r="B131" i="14" s="1"/>
  <c r="F7" i="3"/>
  <c r="J56" i="14" s="1"/>
  <c r="J48" i="14"/>
  <c r="B49" i="14"/>
  <c r="G7" i="3"/>
  <c r="B7" i="3"/>
  <c r="D7" i="3" s="1"/>
  <c r="D4" i="3"/>
  <c r="D47" i="5"/>
  <c r="D50" i="5" s="1"/>
  <c r="E28" i="5"/>
  <c r="E47" i="5" s="1"/>
  <c r="E50" i="5" s="1"/>
  <c r="J53" i="14"/>
  <c r="J47" i="14"/>
  <c r="E7" i="3"/>
  <c r="F28" i="5"/>
  <c r="H28" i="5"/>
  <c r="F31" i="5" l="1"/>
  <c r="J55" i="14"/>
  <c r="B132" i="14"/>
  <c r="L31" i="5"/>
  <c r="B129" i="14"/>
  <c r="L47" i="5"/>
  <c r="L50" i="5" s="1"/>
  <c r="M28" i="5"/>
  <c r="M47" i="5" s="1"/>
  <c r="M50" i="5" s="1"/>
  <c r="F97" i="14"/>
  <c r="H31" i="5"/>
  <c r="F99" i="14"/>
  <c r="B55" i="14"/>
  <c r="B52" i="14"/>
  <c r="B54" i="14"/>
  <c r="D31" i="5"/>
  <c r="F11" i="14"/>
  <c r="K4" i="3"/>
  <c r="B28" i="5"/>
  <c r="F47" i="5"/>
  <c r="F50" i="5" s="1"/>
  <c r="G28" i="5"/>
  <c r="G47" i="5" s="1"/>
  <c r="G50" i="5" s="1"/>
  <c r="I28" i="5"/>
  <c r="I47" i="5" s="1"/>
  <c r="I50" i="5" s="1"/>
  <c r="H47" i="5"/>
  <c r="H50" i="5" s="1"/>
  <c r="F33" i="5"/>
  <c r="G31" i="5"/>
  <c r="F14" i="14"/>
  <c r="F17" i="14"/>
  <c r="F16" i="14"/>
  <c r="B31" i="5"/>
  <c r="L33" i="5" l="1"/>
  <c r="M31" i="5"/>
  <c r="H33" i="5"/>
  <c r="I31" i="5"/>
  <c r="P28" i="5"/>
  <c r="B47" i="5"/>
  <c r="B50" i="5" s="1"/>
  <c r="B52" i="5" s="1"/>
  <c r="C28" i="5"/>
  <c r="C47" i="5" s="1"/>
  <c r="C50" i="5" s="1"/>
  <c r="C52" i="5" s="1"/>
  <c r="D33" i="5"/>
  <c r="E31" i="5"/>
  <c r="B13" i="14"/>
  <c r="K7" i="3"/>
  <c r="G33" i="5"/>
  <c r="G52" i="5" s="1"/>
  <c r="F52" i="5"/>
  <c r="B33" i="5"/>
  <c r="C33" i="5" s="1"/>
  <c r="C31" i="5"/>
  <c r="P31" i="5"/>
  <c r="M33" i="5" l="1"/>
  <c r="M52" i="5" s="1"/>
  <c r="L52" i="5"/>
  <c r="H52" i="5"/>
  <c r="I33" i="5"/>
  <c r="I52" i="5" s="1"/>
  <c r="P47" i="5"/>
  <c r="P50" i="5" s="1"/>
  <c r="P52" i="5" s="1"/>
  <c r="Q28" i="5"/>
  <c r="Q47" i="5" s="1"/>
  <c r="Q50" i="5" s="1"/>
  <c r="Q52" i="5" s="1"/>
  <c r="B22" i="14"/>
  <c r="J122" i="14"/>
  <c r="B42" i="2"/>
  <c r="J121" i="14"/>
  <c r="Q21" i="5"/>
  <c r="Q31" i="5"/>
  <c r="P33" i="5"/>
  <c r="Q33" i="5" s="1"/>
  <c r="E33" i="5"/>
  <c r="E52" i="5" s="1"/>
  <c r="D52" i="5"/>
  <c r="B25" i="14" l="1"/>
  <c r="B45" i="2"/>
  <c r="B47" i="2" s="1"/>
  <c r="B29" i="14" l="1"/>
  <c r="J125" i="14" s="1"/>
  <c r="J127" i="14" s="1"/>
  <c r="P37" i="5"/>
  <c r="Q37" i="5" s="1"/>
  <c r="J128"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Robin Currie</author>
  </authors>
  <commentList>
    <comment ref="H5" authorId="0" shapeId="0" xr:uid="{00000000-0006-0000-0500-000001000000}">
      <text>
        <r>
          <rPr>
            <b/>
            <sz val="9"/>
            <color indexed="81"/>
            <rFont val="Tahoma"/>
            <family val="2"/>
          </rPr>
          <t>Robin Currie:</t>
        </r>
        <r>
          <rPr>
            <sz val="9"/>
            <color indexed="81"/>
            <rFont val="Tahoma"/>
            <family val="2"/>
          </rPr>
          <t xml:space="preserve">
Includes Re-Rent
</t>
        </r>
      </text>
    </comment>
    <comment ref="P5" authorId="0" shapeId="0" xr:uid="{00000000-0006-0000-0500-000002000000}">
      <text>
        <r>
          <rPr>
            <b/>
            <sz val="9"/>
            <color indexed="81"/>
            <rFont val="Tahoma"/>
            <family val="2"/>
          </rPr>
          <t>Robin Currie:
I</t>
        </r>
        <r>
          <rPr>
            <sz val="9"/>
            <color indexed="81"/>
            <rFont val="Tahoma"/>
            <family val="2"/>
          </rPr>
          <t>ncludes
 Parts Freight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Robin Currie</author>
  </authors>
  <commentList>
    <comment ref="E30" authorId="0" shapeId="0" xr:uid="{7D0B135E-CFB8-4C7D-B07B-B5F06738227F}">
      <text>
        <r>
          <rPr>
            <b/>
            <sz val="9"/>
            <color indexed="81"/>
            <rFont val="Tahoma"/>
            <family val="2"/>
          </rPr>
          <t>Robin Currie:</t>
        </r>
        <r>
          <rPr>
            <sz val="9"/>
            <color indexed="81"/>
            <rFont val="Tahoma"/>
            <family val="2"/>
          </rPr>
          <t xml:space="preserve">
(Lost Units+Sold Units)/Size of Market</t>
        </r>
      </text>
    </comment>
    <comment ref="E31" authorId="0" shapeId="0" xr:uid="{8787D17C-0984-4BB6-98F7-89989B04D753}">
      <text>
        <r>
          <rPr>
            <b/>
            <sz val="9"/>
            <color indexed="81"/>
            <rFont val="Tahoma"/>
            <family val="2"/>
          </rPr>
          <t>Robin Currie:</t>
        </r>
        <r>
          <rPr>
            <sz val="9"/>
            <color indexed="81"/>
            <rFont val="Tahoma"/>
            <family val="2"/>
          </rPr>
          <t xml:space="preserve">
Sold Units/(Lost Units+Sold Units)</t>
        </r>
      </text>
    </comment>
    <comment ref="E32" authorId="0" shapeId="0" xr:uid="{9CD79DAA-FB0D-48D8-BB72-920943FA787D}">
      <text>
        <r>
          <rPr>
            <b/>
            <sz val="9"/>
            <color indexed="81"/>
            <rFont val="Tahoma"/>
            <family val="2"/>
          </rPr>
          <t>Robin Currie:</t>
        </r>
        <r>
          <rPr>
            <sz val="9"/>
            <color indexed="81"/>
            <rFont val="Tahoma"/>
            <family val="2"/>
          </rPr>
          <t xml:space="preserve">
Sold Units/Size of market</t>
        </r>
      </text>
    </comment>
    <comment ref="I98" authorId="0" shapeId="0" xr:uid="{BE4326E8-464D-4463-B6E5-E9DA48D8527A}">
      <text>
        <r>
          <rPr>
            <b/>
            <sz val="9"/>
            <color indexed="81"/>
            <rFont val="Tahoma"/>
            <family val="2"/>
          </rPr>
          <t>Robin Currie:</t>
        </r>
        <r>
          <rPr>
            <sz val="9"/>
            <color indexed="81"/>
            <rFont val="Tahoma"/>
            <family val="2"/>
          </rPr>
          <t xml:space="preserve">
Monthly Revenue/Acquisition Cost of Fleet</t>
        </r>
      </text>
    </comment>
    <comment ref="A103" authorId="0" shapeId="0" xr:uid="{ECF406E6-7166-4E9D-A04A-C97D3836DE33}">
      <text>
        <r>
          <rPr>
            <b/>
            <sz val="9"/>
            <color indexed="81"/>
            <rFont val="Tahoma"/>
            <family val="2"/>
          </rPr>
          <t>Robin Currie:</t>
        </r>
        <r>
          <rPr>
            <sz val="9"/>
            <color indexed="81"/>
            <rFont val="Tahoma"/>
            <family val="2"/>
          </rPr>
          <t xml:space="preserve">
Applied Hours/Hours Paid</t>
        </r>
      </text>
    </comment>
    <comment ref="A104" authorId="0" shapeId="0" xr:uid="{B12490A0-5C2E-4AAA-883A-F629F7C912EE}">
      <text>
        <r>
          <rPr>
            <b/>
            <sz val="9"/>
            <color indexed="81"/>
            <rFont val="Tahoma"/>
            <family val="2"/>
          </rPr>
          <t>Robin Currie:</t>
        </r>
        <r>
          <rPr>
            <sz val="9"/>
            <color indexed="81"/>
            <rFont val="Tahoma"/>
            <family val="2"/>
          </rPr>
          <t xml:space="preserve">
Hours Billed/Applied Hours</t>
        </r>
      </text>
    </comment>
    <comment ref="E104" authorId="0" shapeId="0" xr:uid="{D1935486-D94C-4DF4-9CA3-49A2589CF8CD}">
      <text>
        <r>
          <rPr>
            <b/>
            <sz val="9"/>
            <color indexed="81"/>
            <rFont val="Tahoma"/>
            <family val="2"/>
          </rPr>
          <t>Robin Currie:</t>
        </r>
        <r>
          <rPr>
            <sz val="9"/>
            <color indexed="81"/>
            <rFont val="Tahoma"/>
            <family val="2"/>
          </rPr>
          <t xml:space="preserve">
Monthly Revenue/Acquisition Cost of Fleet</t>
        </r>
      </text>
    </comment>
    <comment ref="A105" authorId="0" shapeId="0" xr:uid="{40693CDB-52BD-497B-8639-F178512C99E7}">
      <text>
        <r>
          <rPr>
            <b/>
            <sz val="9"/>
            <color indexed="81"/>
            <rFont val="Tahoma"/>
            <family val="2"/>
          </rPr>
          <t>Robin Currie:</t>
        </r>
        <r>
          <rPr>
            <sz val="9"/>
            <color indexed="81"/>
            <rFont val="Tahoma"/>
            <family val="2"/>
          </rPr>
          <t xml:space="preserve">
Hours Billed/Hours Paid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msimons</author>
  </authors>
  <commentList>
    <comment ref="B315" authorId="0" shapeId="0" xr:uid="{9B4AB575-DB4F-40B3-B018-8D21BD278BCE}">
      <text>
        <r>
          <rPr>
            <b/>
            <sz val="8"/>
            <color indexed="81"/>
            <rFont val="Tahoma"/>
            <family val="2"/>
          </rPr>
          <t xml:space="preserve">sstrande: Per MLS annually this is recalc using Sales by dept to total sales  for use in the next year
</t>
        </r>
        <r>
          <rPr>
            <sz val="8"/>
            <color indexed="81"/>
            <rFont val="Tahoma"/>
            <family val="2"/>
          </rPr>
          <t xml:space="preserve">
</t>
        </r>
      </text>
    </comment>
    <comment ref="B323" authorId="0" shapeId="0" xr:uid="{1EDA271E-1AA8-4F4F-845F-E92CE2112112}">
      <text>
        <r>
          <rPr>
            <b/>
            <sz val="8"/>
            <color indexed="81"/>
            <rFont val="Tahoma"/>
            <family val="2"/>
          </rPr>
          <t xml:space="preserve">sstrande: Per MLS annually this is recalc using Sales by dept to total sales  for use in the next year
</t>
        </r>
        <r>
          <rPr>
            <sz val="8"/>
            <color indexed="81"/>
            <rFont val="Tahoma"/>
            <family val="2"/>
          </rPr>
          <t xml:space="preserve">
</t>
        </r>
      </text>
    </comment>
    <comment ref="B331" authorId="0" shapeId="0" xr:uid="{C870B34A-49D3-450F-B5DD-64FBD64C86A9}">
      <text>
        <r>
          <rPr>
            <b/>
            <sz val="8"/>
            <color indexed="81"/>
            <rFont val="Tahoma"/>
            <family val="2"/>
          </rPr>
          <t xml:space="preserve">sstrande: Per MLS annually this is recalc using Sales by dept to total sales  for use in the next year
</t>
        </r>
        <r>
          <rPr>
            <sz val="8"/>
            <color indexed="81"/>
            <rFont val="Tahoma"/>
            <family val="2"/>
          </rPr>
          <t xml:space="preserve">
</t>
        </r>
      </text>
    </comment>
  </commentList>
</comments>
</file>

<file path=xl/sharedStrings.xml><?xml version="1.0" encoding="utf-8"?>
<sst xmlns="http://schemas.openxmlformats.org/spreadsheetml/2006/main" count="1386" uniqueCount="1102">
  <si>
    <t>General instructions:</t>
  </si>
  <si>
    <t>REMINDER:  The information contained in this report is confidential.  By agreement, this report and all reports associated with the information contained herein may not be shared with any unauthorized parties.</t>
  </si>
  <si>
    <t xml:space="preserve">Welcome to the Currie Financial Composite Data Input Template for material handling equipment dealers.   Please note that all blue shaded cells are input cells and must be filled in.  All other cells may be locked for editing.  If you have any questions or need any assistance with the form, please contact Currie Management Consultants, Inc. </t>
  </si>
  <si>
    <t>Please do not enter "NA" or any other value in the cells other than what is requested.  For cells that you are unable to fill in, or that have no value, please leave the cell blank and it will default to the appropriate entry.</t>
  </si>
  <si>
    <t>All dollar amounts may be entered as whole dollars.  All percent values may  be entered as whole numbers (for example, 70% may be entered as "70").  In both cases, you may enter the number without adding symbols.</t>
  </si>
  <si>
    <t>Enter all negative amounts as a negative, using a minus sign before the number.</t>
  </si>
  <si>
    <t>Once you have completed all worksheets, save and email to reporting@curriemanagement.com</t>
  </si>
  <si>
    <t>Notes for Currie Tab:</t>
  </si>
  <si>
    <t>■Use this space to write any specific explanations of data that may appear to be different than typical reporting.  Also use this space to ask questions, or supply feedback and/or suggestions.</t>
  </si>
  <si>
    <t>Sales, COGS, Gross Profit Tab:</t>
  </si>
  <si>
    <t>■Number of Months Included: Please use the dropdown menu and choose the appropriate number. For submissions that contain information for a reporting period greater than one year, please leave the cell blank and write an explanation on the red "NOTES FOR CURRIE" tab.</t>
  </si>
  <si>
    <t>Most of the remaining information for this sheet will come from your Income Statement. Please enter Sales Revenues in Column A and corresponding COGS in Column B.  Gross Profit (Column C) will calculate automatically.</t>
  </si>
  <si>
    <t>■New Lift Truck Equipment, Primary Brand and all other brands: Enter total Revenue in dollars and COGS in dollars for all new equipment sold. This should include all new Lift Trucks, batteries sold with new trucks (batteries sold directly to a customer should be included in the category Batteries), and RPO agreements. If you have more than one primary brand, combine the revenue dollars, and the COGS sold dollars and enter the totals on this line.</t>
  </si>
  <si>
    <t>■New Allied Equipment: Enter total Revenue in dollars and COGS in dollars for all new Allied, non-motorized products including everything related to SMO, racking, shelving, catalog items and attachments. Also include used racking here.</t>
  </si>
  <si>
    <t>■Other New Equipment: Enter total revenue in dollars and COGS in dollars for all new equipment sold that is not entered in the New Equipment categories, or in the New Allied Category. Sweepers, scrubbers, and other motorized new equipment can be included here. Other industry lines, such as Dock and Door business, can also be included here. Example: construction equipment that is included as part of your lift truck enterprise, and is not a separate business.</t>
  </si>
  <si>
    <t>■Operator Training: Enter total revenue in dollars, and COGS in dollars, for all operator training that is conducted by your company.</t>
  </si>
  <si>
    <t>■Used Equipment Sales: Enter total revenue in dollars and COGS in dollars for all used equipment and rental disposals sold.</t>
  </si>
  <si>
    <t>■E-Commerce Sales: Enter total revenue in dollars and COGS in dollars for all products sold through E-Commerce.</t>
  </si>
  <si>
    <t>■Systems: Enter total revenue for all systems, with or without installation. COGS should include the salaries of the project engineers.</t>
  </si>
  <si>
    <t>■Batteries: Enter total revenue for all batteries sold separately (not included in a unit). COGS includes the cost for the batteries sold.</t>
  </si>
  <si>
    <t>■Rent-To-Rent (Short Term and Long Term, trucks only): If your dealership has a separate rental department, enter all Rent-to-Rent revenue for the appropriate category, in dollars in Column A. Rent-to-Sell (RPO) revenue should remain in the New Equipment Sales category. COGS in Column B which includes Depreciation, Interest and Maintenance, will populate automatically from the Expenses, Miscellaneous tab after you enter your detail there. (Note: Service Department and Parts Department should charge full customer rates for prep, reconditioning and maintenance of rental equipment).</t>
  </si>
  <si>
    <t>■Re-Rent (or Sub-Rent): Enter all Re-Rent revenue in dollars and Re-Rent COGS in dollars.</t>
  </si>
  <si>
    <t>Special Note on Service Labor - Service COGS are technician wages, please do not enter technician wages anywhere else, and please do not include anything else as a Service COGS.</t>
  </si>
  <si>
    <t>■Customer Labor Sales: Enter revenue dollars for all customer labor sales. This includes planned maintenance agreements and the labor portion of guaranteed maintenance agreements. For Cost of Goods Sold enter technicians' wages.</t>
  </si>
  <si>
    <t>■Internal Labor Sales: Enter revenue dollars for all internal labor sales. This includes new prep, used reconditioning, and rental repairs. For Cost of Goods Sold enter technicians' wages.</t>
  </si>
  <si>
    <t>■Warranty Labor Sales: Enter revenue dollars for all warranty labor sales. For Cost of Goods Sold enter technicians' wages.</t>
  </si>
  <si>
    <t>■Sublet Sales: Enter revenue dollars and COGS dollars for sublet sales.</t>
  </si>
  <si>
    <t>■Other Service Sales: Enter revenue dollars and COGS dollars for all other service sales. Include battery service here.</t>
  </si>
  <si>
    <t>Parts Discount Earned - please enter this amount in the Counter Parts GP and/or Repair Order Parts GP cells.</t>
  </si>
  <si>
    <t>■Counter Parts: Enter revenue dollars for all Counter Parts sales. Include "Other" Parts revenue and gross profit here if you do not track them separately. Do not include freight charges in the COGS amount--they will be entered as Operating Expense.</t>
  </si>
  <si>
    <t>■Repair Order Parts: Enter revenue dollars for all parts sold on Repair Orders, or parts sold through the Service Department. Freight charges should not be included in the COGS amount--they will be entered as Operating Expense.</t>
  </si>
  <si>
    <t>■Internal Parts: Enter revenue dollars for all internal parts sales. Freight charges should not be included in the COGS amount--they will be entered as Operating Expense.</t>
  </si>
  <si>
    <t>■Warranty Parts: Enter revenue dollars for all warranty parts sold. Freight charges should not be included in the COGS amount--they will be entered as Operating Expense.</t>
  </si>
  <si>
    <t>■E-Commerce Parts: Enter revenue dollars for all E-Commerce parts sold. Freight charges should not be included in the COGS amount--they will be entered as Operating Expense.</t>
  </si>
  <si>
    <t>■Trucking Department: Enter all Trucking revenue in dollars. COGS in Column B which includes Maintenance, Fuel, and Other Costs, will populate automatically from the Expenses, Miscellaneous tab after you enter your detail there.</t>
  </si>
  <si>
    <t>■Other Income (Expenses): Please enter an expense as a negative number. Include all other income  (expenses) as reported on your financial statement. This includes interest income (but not F&amp;I or interest expense).</t>
  </si>
  <si>
    <t>■Interest (Expense): Please report ONLY interest expense here, and not other expenses.</t>
  </si>
  <si>
    <t>■F&amp;I (Income): Enter total Finance &amp; Insurance Income. (Note: this should not be included in any other numbers above).</t>
  </si>
  <si>
    <t>Please note that Total Company Expenses is locked for editing. This cell will automatically populate as you enter your company's expense detail on the Expenses, Miscellaneous tab.</t>
  </si>
  <si>
    <t>Expenses, Miscellaneous Tab:</t>
  </si>
  <si>
    <t>Please enter the appropriate data as directed. Please check that all entries are correct by verifying the total with your records.</t>
  </si>
  <si>
    <t>EXPENSES</t>
  </si>
  <si>
    <t>■Personnel Expenses: Include all expenses associated with personnel including wages, commissions holiday pay, sick time, vacation time (except technicians' wages shown as Service Cost of Goods Sold), and other employee benefits (such as health insurance and 401k). Also includes payroll taxes and workman's compensation. Do not include sales vehicle expenses, or expense payments for vehicles here.</t>
  </si>
  <si>
    <t>■Operating Expenses: Include all expenses not included in Personnel (above) or Occupancy (below).</t>
  </si>
  <si>
    <t>■Occupancy Expenses: Includes all expenses associated with the building itself, such as: mortgage interest, rent or lease, insurance on the building, building depreciation, heat, light, power, amortization of leasehold improvements, property taxes, repair and maintenance of the building, and other such related expenses. Include other interest expense in Operating G&amp;A.</t>
  </si>
  <si>
    <t>PERSONNEL COUNT</t>
  </si>
  <si>
    <t>■Enter the appropriate count by position as indicated. Totals will calculate automatically. Please check that all entries are correct by verifying the total against your records.</t>
  </si>
  <si>
    <t>Employees dedicated to Tire Pressing should be listed as a Parts Department employee, in the Technician category.</t>
  </si>
  <si>
    <t>Driver counts in the Transportation/Trucking Department should be listed in the Technician category for that department (this will allow them to be counted in the Revenue Producing Category).</t>
  </si>
  <si>
    <t>MISCELLANEOUS INFORMATION</t>
  </si>
  <si>
    <t>ACCOUNTS RECEIVABLE AGING</t>
  </si>
  <si>
    <t>■Current: All trade accounts receivable less than 31 days old.</t>
  </si>
  <si>
    <t>■31-60 Days: All trade accounts receivable between 31 and 60 days old.</t>
  </si>
  <si>
    <t>■61-90 Days: All trade accounts receivable between 61 and 90 days old.</t>
  </si>
  <si>
    <t>■91+ Days: All trade accounts receivable 91 days and older.</t>
  </si>
  <si>
    <t>Trucking Department COGS</t>
  </si>
  <si>
    <t>■Maintenance: Enter in dollars all costs related to maintenance.</t>
  </si>
  <si>
    <t>■Drivers: Enter in dollars all costs related to drivers.</t>
  </si>
  <si>
    <t>■Fuel: Enter in dollars all costs related to fuel.</t>
  </si>
  <si>
    <t>■Other Costs: Enter in dollars all other costs related to the Trucking department.</t>
  </si>
  <si>
    <t>Parts Department</t>
  </si>
  <si>
    <t>■Stock Fill Rate %: At what rate is your company able to fill a parts order that is considered to be a stocking part.</t>
  </si>
  <si>
    <t>■Stock v. NonStock: Your percentage of inventory that is stocking inventory.</t>
  </si>
  <si>
    <t>■Parts inventory aging: Enter total percent of parts inventory that is over 12 months old. Entering 0% indicates no inventory over 1 year old.</t>
  </si>
  <si>
    <t>Marketshare Information</t>
  </si>
  <si>
    <t xml:space="preserve">■Sold Units: Enter total number of new units sold during the period for which you are reporting. </t>
  </si>
  <si>
    <t>■Lost Units: Enter total number of new units quoted by your team, that were lost to a competitor for which you have a lost order report (do not include units quoted that did not culminate in a sale to someone, such as abandoned quotes, budget quotes, re-quotes, insurance quotes, and the like).</t>
  </si>
  <si>
    <t>■Size of Market: Enter total number of new equipment units sold within your market area, within the same time frame as above. (These numbers should be available through industry statistics.)</t>
  </si>
  <si>
    <t>Rental COGS</t>
  </si>
  <si>
    <t xml:space="preserve">■Depreciation of Rental Fleet: Enter amount of depreciation taken on units that are included in your dedicated rent-to-rent rental fleet for the time period you are reporting.  </t>
  </si>
  <si>
    <t>■Interest: Enter amount of interest paid for the financing of rent-to-rent units for the time period you are reporting.</t>
  </si>
  <si>
    <t>■Maintenance of Rental Fleet Units: Enter amount spent to perform maintenance and repairs on rent-to-rent units for the time period you are reporting. Please note that wages of dedicated rental department technicians should be reported here.</t>
  </si>
  <si>
    <t>■Number Of Units In Rental Fleet: Enter the total number of dedicated rent-to-rent units in your fleet, that are available to rent. This figure is used to calculate the monthly revenue multiple, a critical profitability variable in the Rental Department.</t>
  </si>
  <si>
    <t>■Acquisition Cost Of Rental Fleet: Enter the total amount paid for all of the dedicated rent-to-rent units in your fleet. Do NOT use Current Book Value. This figure is used to calculate the monthly revenue multiple, a critical profitability variable in the Rental Department.</t>
  </si>
  <si>
    <t>Service Technician Productivity</t>
  </si>
  <si>
    <t>■Customer Labor Rate: Enter hourly rate published for customer work.</t>
  </si>
  <si>
    <t>■Average Hourly Technician Pay Rate: Please provide an average of all tech hourly rates.</t>
  </si>
  <si>
    <t>■Total Hours Billed: Enter total service hours billed to customers for Customer Service, PM Maintenance, Full Maintenance, or billed internally for New Warranty, Used Warranty, New Equipment Prep, Used Reconditioning and Rental Repair. This number will likely DIFFER from Total Hours Paid, and may come from your labor Analysis Report.</t>
  </si>
  <si>
    <t>■Productive Hours: Enter hours spent by service technicians on Customer Service, PM Maintenance, Full Maintenance, New Warranty, Used Warranty, New Equipment Prep, Used Reconditioning and Rental Repair.</t>
  </si>
  <si>
    <t>■Non-productive Hours: Enter hours spent on work other than Productive Hours such as plant and vehicle maintenance, sick time, vacations, holidays, training, rework, lost time, and the like.</t>
  </si>
  <si>
    <t>■PM Completion Rate: Enter the percentage of PM contracts that are completed within their 30 day term. When a PM call is declined by the customer, do not count it as a complete. Remove that count from the number of PMs that are open for that term.</t>
  </si>
  <si>
    <t>■First Call Completion Rate: Count road service work orders that are completed in one day. Do not include PM road calls in this entry.</t>
  </si>
  <si>
    <t>Inventory Aging</t>
  </si>
  <si>
    <t xml:space="preserve">Inventory Aging: Enter each aged inventory number as a percent. The number you enter will indicate what percentage of your inventory for each category was acquired by your company more than one year ago. </t>
  </si>
  <si>
    <t>■New Inventory Aging: Enter total percent of new inventory that is over 12 months old. Entering 0% indicates no inventory over 1 year old.</t>
  </si>
  <si>
    <t>■Used Inventory Aging: Enter total percent of used inventory that is over 12 months old. Entering 0% indicates no inventory over 1 year old.</t>
  </si>
  <si>
    <t>Marketing</t>
  </si>
  <si>
    <t>■Marketing Expense: Enter your dollars spent for all marketing.</t>
  </si>
  <si>
    <t>Service Department</t>
  </si>
  <si>
    <t>■Service Calls per day: Enter the number of service calls executed per day.</t>
  </si>
  <si>
    <t>Balance Sheet tab:</t>
  </si>
  <si>
    <t>Please fill in all blue shaded cells as whole dollars. Totals will calculate automatically as you enter data. If the Balance Sheet does not balance, you will see an error message to the right of Total Liabilities &amp; Net Worth. The error message will appear as follows:</t>
  </si>
  <si>
    <t>NOT BALANCED</t>
  </si>
  <si>
    <t>If you see the above message, please check all entries and correct where necessary.</t>
  </si>
  <si>
    <t>Always enter “point-in-time” numbers, as  from your company Balance Sheet.</t>
  </si>
  <si>
    <t>ASSETS</t>
  </si>
  <si>
    <t>■Trade Accounts Receivable: Enter total of all trade accounts receivable as stated on the Balance Sheet.</t>
  </si>
  <si>
    <t>■Other Accounts Receivable: Enter total of all other accounts receivable as stated on the Balance Sheet.</t>
  </si>
  <si>
    <t>Inventory/Current Assets</t>
  </si>
  <si>
    <t>All inventory categories correspond to the Sales Department Categories as entered on the Sales, COGS, GP tab.</t>
  </si>
  <si>
    <r>
      <rPr>
        <b/>
        <sz val="12"/>
        <rFont val="Times New Roman"/>
        <family val="1"/>
      </rPr>
      <t>■</t>
    </r>
    <r>
      <rPr>
        <sz val="12"/>
        <rFont val="Times New Roman"/>
        <family val="1"/>
      </rPr>
      <t>New Equipment, all brands: Enter total dollar value of Primary Brand New Equipment Inventory as stated on your company Balance Sheet. Do not include LIFO reserve.</t>
    </r>
  </si>
  <si>
    <t>■New Allied Equipment: Enter total dollar value of New Allied Equipment Inventory as stated on your company Balance Sheet. Do not include LIFO reserve.</t>
  </si>
  <si>
    <t>■Other New Equipment: Enter total dollar value of Other New Equipment Inventory as stated on your company Balance Sheet. Do not include LIFO reserve.</t>
  </si>
  <si>
    <t>■Used Equipment: Enter total dollar value of Used Equipment Inventory as stated on your company Balance Sheet. Do not include LIFO reserve.</t>
  </si>
  <si>
    <t>■Parts Inventory: Enter total dollar value of New, Used, Other, Consumer Parts and Misc. Parts Inventory as stated on your company Balance Sheet. Do not include LIFO reserve.</t>
  </si>
  <si>
    <t>■Battery Inventory: Enter total dollar value of Battery Inventory as stated on your company Balance Sheet. Do not include LIFO reserve.</t>
  </si>
  <si>
    <t>■Other Inventory: Enter total dollar value of any other inventory, which does not apply to any of the other inventory categories, as stated on your company Balance Sheet. Work in Process may be entered here.  Do not include LIFO reserve.</t>
  </si>
  <si>
    <t>■WIP: This will be mostly service related works that have not been invoiced, this work may be awaiting additional items in order to complete.</t>
  </si>
  <si>
    <t>■Other Current Assets: Include LIFO reserve for all inventory.</t>
  </si>
  <si>
    <t>Fixed Assets</t>
  </si>
  <si>
    <t xml:space="preserve">■Rental Fleet: Enter the total dollar value of your Rent-to-Rent units, as stated on your company Balance Sheet. </t>
  </si>
  <si>
    <t>■Other Long term or Fixed Assets: Enter the dollar value of any other Long term, or Fixed Assets not reported above, as stated on your company Balance Sheet.</t>
  </si>
  <si>
    <t>LIABILITIES</t>
  </si>
  <si>
    <t>■A/P Primary Brand(s): Enter total Liabilities for New Units (this includes Floor Plan) as stated on your company Balance Sheet.</t>
  </si>
  <si>
    <t>■Notes Payable: Enter all short term (less than one year) debt as stated on your company Balance Sheet.</t>
  </si>
  <si>
    <t>■ST Rental Finance: Enter your total Short Term Debt for the Rental Fleet as stated on your company Balance Sheet.</t>
  </si>
  <si>
    <t>■Other Current Liabilities: Enter the dollar value of any other Current Liabilities not reported above, as stated on your company Balance Sheet.</t>
  </si>
  <si>
    <t>■Long Term Notes Payable: Enter all long term (greater than one year) debt as stated on your company Balance Sheet.</t>
  </si>
  <si>
    <t>■Other Liabilities: Enter all Other Liabilities, not reported above, as stated on your company Balance Sheet.</t>
  </si>
  <si>
    <t>Gap Analysis and Preview Tabs</t>
  </si>
  <si>
    <t>No entries are required for these tabs with one exception.  All cells calculate automatically.  Use the Preview page as a quick review of your entries and also a preview of how your input will appear in the Currie Financial Composite for your group.  After reviewing the Preview, please enter your name in the blue cell at the top of the Preview page.</t>
  </si>
  <si>
    <t>The Preview tab has some comments that you may find useful.  Wherever you see a red triangle in a cell containing a title, open the comment to learn more.</t>
  </si>
  <si>
    <t>Contact information</t>
  </si>
  <si>
    <t>Currie Management Consultants, Inc.</t>
  </si>
  <si>
    <t>Office telephone 508-752-9229</t>
  </si>
  <si>
    <t>Email Matt@CurrieManagement.com</t>
  </si>
  <si>
    <t>Thank you!  Please call if you need any further assistance!</t>
  </si>
  <si>
    <t>See Instructions tab before entering information.</t>
  </si>
  <si>
    <t>Please review the Preview tab after all data is entered and enter your name in the blue cell at the top of the Preview.</t>
  </si>
  <si>
    <t>Dealership Name</t>
  </si>
  <si>
    <t>Submitted By</t>
  </si>
  <si>
    <t>Date</t>
  </si>
  <si>
    <t>Number of Locations</t>
  </si>
  <si>
    <t>Number of Months Included</t>
  </si>
  <si>
    <t>SALES (A)</t>
  </si>
  <si>
    <t>COGS (B)</t>
  </si>
  <si>
    <t>GROSS PROFIT (C)</t>
  </si>
  <si>
    <t>Avg. Monthly Sales &amp; GP</t>
  </si>
  <si>
    <t>New Lift Truck Equipment, primary brand</t>
  </si>
  <si>
    <t>New Lift Truck Equipment, other brands</t>
  </si>
  <si>
    <t>New Allied Equipment</t>
  </si>
  <si>
    <t>Other New Equipment</t>
  </si>
  <si>
    <t>Total New Equipment</t>
  </si>
  <si>
    <t>Operator Training</t>
  </si>
  <si>
    <t>Used Equipment</t>
  </si>
  <si>
    <t>E-Commerce</t>
  </si>
  <si>
    <t>Systems</t>
  </si>
  <si>
    <t>Batteries</t>
  </si>
  <si>
    <t>Total Sales Dept.</t>
  </si>
  <si>
    <t>Short Term Rental Sales</t>
  </si>
  <si>
    <t>Long Term Rental Sales</t>
  </si>
  <si>
    <t>Re-rent (sub-rent)</t>
  </si>
  <si>
    <t>Customer Labor</t>
  </si>
  <si>
    <t>Internal Labor</t>
  </si>
  <si>
    <t>Warranty Labor</t>
  </si>
  <si>
    <t>Sublet Sales</t>
  </si>
  <si>
    <t>Other Service Sales</t>
  </si>
  <si>
    <t>Total Service Sales</t>
  </si>
  <si>
    <t>Primary Brand Counter Parts Sales</t>
  </si>
  <si>
    <t>Other Brand Counter Parts</t>
  </si>
  <si>
    <t>Primary Brand Repair Order Parts</t>
  </si>
  <si>
    <t>Other Brand Repair Order Parts</t>
  </si>
  <si>
    <t>Internal Parts Sales</t>
  </si>
  <si>
    <t>Warranty Parts Sales</t>
  </si>
  <si>
    <t>E-Commerce Parts Sales</t>
  </si>
  <si>
    <t>Total Parts Sales</t>
  </si>
  <si>
    <t>Trucking Department</t>
  </si>
  <si>
    <t>Total Aftermarket Sales, COGS &amp; GP</t>
  </si>
  <si>
    <t>Total Net Sales &amp; GP</t>
  </si>
  <si>
    <t>Total Company Expenses</t>
  </si>
  <si>
    <t>Other Income (Expenses)</t>
  </si>
  <si>
    <t>Interest (Expense)</t>
  </si>
  <si>
    <t>Total operating profit</t>
  </si>
  <si>
    <t>F &amp; I Income</t>
  </si>
  <si>
    <t>Pre-Tax Income</t>
  </si>
  <si>
    <t>EXPENSE DETAIL</t>
  </si>
  <si>
    <t>New</t>
  </si>
  <si>
    <t>Used</t>
  </si>
  <si>
    <t>*Total Sales Dept.</t>
  </si>
  <si>
    <t>Parts Dept.</t>
  </si>
  <si>
    <t>Service Dept.</t>
  </si>
  <si>
    <t>Short Term Rental</t>
  </si>
  <si>
    <t>Long Term Rental</t>
  </si>
  <si>
    <t>Trucking</t>
  </si>
  <si>
    <t>G&amp;A Dept.</t>
  </si>
  <si>
    <t>Total</t>
  </si>
  <si>
    <t>Personnel**</t>
  </si>
  <si>
    <t>Operating</t>
  </si>
  <si>
    <t>Occupancy</t>
  </si>
  <si>
    <t>*if you are unable to break out New and Used Expenses, please enter all amounts in the New Column</t>
  </si>
  <si>
    <t>Personnel Count:</t>
  </si>
  <si>
    <t xml:space="preserve">*Total Sales Dept. </t>
  </si>
  <si>
    <t>Managers</t>
  </si>
  <si>
    <t>Sales People</t>
  </si>
  <si>
    <t>Technicians / Drivers</t>
  </si>
  <si>
    <t>Project Engineers</t>
  </si>
  <si>
    <t>Other</t>
  </si>
  <si>
    <t>*if you are unable to break out New, Used and Systems Personnel Counts, please enter all amounts in the New Column</t>
  </si>
  <si>
    <t>Miscellaneous Information</t>
  </si>
  <si>
    <t xml:space="preserve">Accounts Receivable Aging </t>
  </si>
  <si>
    <t>Technician Productivity:</t>
  </si>
  <si>
    <t>Inventory Aging (% over 12 months)</t>
  </si>
  <si>
    <t>Current</t>
  </si>
  <si>
    <t>Stock Fill Rate %</t>
  </si>
  <si>
    <t># of units under full maintenance contract</t>
  </si>
  <si>
    <t>New Inventory Aging</t>
  </si>
  <si>
    <t>31-60 days</t>
  </si>
  <si>
    <t>Stock v. NonStock</t>
  </si>
  <si>
    <t>Customer Labor Rate</t>
  </si>
  <si>
    <t>Used Inventory Aging</t>
  </si>
  <si>
    <t>61-90 days</t>
  </si>
  <si>
    <t>Parts Inventory Aging</t>
  </si>
  <si>
    <t>Avg. Hourly Tech Pay Rate</t>
  </si>
  <si>
    <t>91 + days</t>
  </si>
  <si>
    <t>Parts Freight Income</t>
  </si>
  <si>
    <t>Total Hours Billed</t>
  </si>
  <si>
    <t>Total Receivables</t>
  </si>
  <si>
    <t>Parts Freight Expense</t>
  </si>
  <si>
    <t>Productive Hours</t>
  </si>
  <si>
    <t>Non-Productive Hours</t>
  </si>
  <si>
    <t>Additional Technician Productivity:</t>
  </si>
  <si>
    <t>Total Hours Paid</t>
  </si>
  <si>
    <t>PM Completion Rate</t>
  </si>
  <si>
    <t>Sold Units</t>
  </si>
  <si>
    <t>First Call Completion Rate</t>
  </si>
  <si>
    <t>Lost Units</t>
  </si>
  <si>
    <t>Average Response Time (# of hours)</t>
  </si>
  <si>
    <t>Size of Market</t>
  </si>
  <si>
    <t>Short Term Rental COGS</t>
  </si>
  <si>
    <t>Long Term Rental COGS</t>
  </si>
  <si>
    <t>Maintenance</t>
  </si>
  <si>
    <t>Depreciation</t>
  </si>
  <si>
    <t>Marketing Expense</t>
  </si>
  <si>
    <t>Driver's Salaries</t>
  </si>
  <si>
    <t>Interest</t>
  </si>
  <si>
    <t>Fuel</t>
  </si>
  <si>
    <t>Other costs (See Instructions)</t>
  </si>
  <si>
    <t>Total COGS Rental</t>
  </si>
  <si>
    <t>Service Calls per day</t>
  </si>
  <si>
    <t>Total COGS Trucking</t>
  </si>
  <si>
    <t># of Units in ST Rental Fleet</t>
  </si>
  <si>
    <t># of Units in LT Rental Fleet</t>
  </si>
  <si>
    <t>Acquisition Cost of ST Fleet</t>
  </si>
  <si>
    <t>Acquisition Cost of LT Fleet</t>
  </si>
  <si>
    <t># of units out on rental (end of month)</t>
  </si>
  <si>
    <t>Balance Sheet</t>
  </si>
  <si>
    <t>Current Assets</t>
  </si>
  <si>
    <t>Current Liabilities</t>
  </si>
  <si>
    <t xml:space="preserve">  Cash</t>
  </si>
  <si>
    <t xml:space="preserve">  Trade Accounts Receivable</t>
  </si>
  <si>
    <t>A/P Primary Brand</t>
  </si>
  <si>
    <t xml:space="preserve">  All Other Accounts Receivable</t>
  </si>
  <si>
    <t>A/P Other</t>
  </si>
  <si>
    <t>Notes Payable - due within 1 year</t>
  </si>
  <si>
    <t>Inventory</t>
  </si>
  <si>
    <t>Short Term Rental Finance</t>
  </si>
  <si>
    <t>New Equipment, primary brand</t>
  </si>
  <si>
    <t>Used Equipment Financing</t>
  </si>
  <si>
    <t>New Equipment, other brand</t>
  </si>
  <si>
    <t>Other Current Liabilities</t>
  </si>
  <si>
    <t>New Allied Inventory</t>
  </si>
  <si>
    <t xml:space="preserve">       Total Current Liabilities</t>
  </si>
  <si>
    <t>Used Equipment Inventory</t>
  </si>
  <si>
    <t>Long Term notes Payable</t>
  </si>
  <si>
    <t>Parts Inventory</t>
  </si>
  <si>
    <t>Loans from Stockholders</t>
  </si>
  <si>
    <t>Battery Inventory</t>
  </si>
  <si>
    <t>LT Rental Fleet Financing</t>
  </si>
  <si>
    <t>Other Inventory</t>
  </si>
  <si>
    <t>Other Long Term Debt</t>
  </si>
  <si>
    <t xml:space="preserve">    Total Inventories</t>
  </si>
  <si>
    <t xml:space="preserve">       Total LT Liabilities</t>
  </si>
  <si>
    <t>WIP</t>
  </si>
  <si>
    <t>Other Current Assets</t>
  </si>
  <si>
    <t>Other Liabilities</t>
  </si>
  <si>
    <t xml:space="preserve">          Total Current Assets</t>
  </si>
  <si>
    <t>Total Liabilities</t>
  </si>
  <si>
    <t xml:space="preserve">  Fixed Assets</t>
  </si>
  <si>
    <t>Net Worth/Owner Equity</t>
  </si>
  <si>
    <t xml:space="preserve">  Rental Fleet</t>
  </si>
  <si>
    <t>Capital Stock</t>
  </si>
  <si>
    <t xml:space="preserve">  Other Long Term or Fixed Assets</t>
  </si>
  <si>
    <t>Retained Earnings</t>
  </si>
  <si>
    <t>Other Assets</t>
  </si>
  <si>
    <t>Total Net Worth</t>
  </si>
  <si>
    <t>Total Assets</t>
  </si>
  <si>
    <t>Total Liabilities &amp; Net Worth</t>
  </si>
  <si>
    <t>Model Income Statement - Target Results</t>
  </si>
  <si>
    <t>Sales Mix</t>
  </si>
  <si>
    <t>Sales Dept.</t>
  </si>
  <si>
    <t>Parts</t>
  </si>
  <si>
    <t>Service</t>
  </si>
  <si>
    <t>Rental</t>
  </si>
  <si>
    <t>Model Absorption</t>
  </si>
  <si>
    <t>G&amp;A</t>
  </si>
  <si>
    <t>Sales</t>
  </si>
  <si>
    <t>(% of Rental, Service &amp; Parts Revenue)</t>
  </si>
  <si>
    <t>Gross Profit</t>
  </si>
  <si>
    <t>Expenses</t>
  </si>
  <si>
    <t xml:space="preserve">  Personnel</t>
  </si>
  <si>
    <t xml:space="preserve">  Operating</t>
  </si>
  <si>
    <t xml:space="preserve">  Occupancy</t>
  </si>
  <si>
    <t>Total Expenses</t>
  </si>
  <si>
    <t>Operating Profit</t>
  </si>
  <si>
    <t>Actual Income Statement -- Current Reporting Period</t>
  </si>
  <si>
    <t>Actual Absorption</t>
  </si>
  <si>
    <t>Other Income (Expense)</t>
  </si>
  <si>
    <t>F&amp;I (Income)</t>
  </si>
  <si>
    <t>Net Profit Before Tax</t>
  </si>
  <si>
    <t>Gap Analysis (Difference Between Target and Actual Results)</t>
  </si>
  <si>
    <t>Data Submitted on</t>
  </si>
  <si>
    <t>by</t>
  </si>
  <si>
    <t>Reviewed by:</t>
  </si>
  <si>
    <t>Total Operation Recap</t>
  </si>
  <si>
    <t>Sales Department</t>
  </si>
  <si>
    <t>Sales Department Mix &amp; Productivity</t>
  </si>
  <si>
    <t>Model</t>
  </si>
  <si>
    <t>Average Monthly Sales</t>
  </si>
  <si>
    <t>New Primary Brand Equipment</t>
  </si>
  <si>
    <t xml:space="preserve">Model Gross Profit </t>
  </si>
  <si>
    <t>New Other Brand Equipment</t>
  </si>
  <si>
    <t>Actual Gross Profit</t>
  </si>
  <si>
    <t xml:space="preserve"> </t>
  </si>
  <si>
    <t>Expenses (% Of G.P.)</t>
  </si>
  <si>
    <t>Expenses (% Of Sales)</t>
  </si>
  <si>
    <t xml:space="preserve">Personnel </t>
  </si>
  <si>
    <t xml:space="preserve">Model Personnel </t>
  </si>
  <si>
    <t xml:space="preserve">Operating </t>
  </si>
  <si>
    <t xml:space="preserve">Actual Personnel </t>
  </si>
  <si>
    <t xml:space="preserve">Occupancy </t>
  </si>
  <si>
    <t>E Commerce</t>
  </si>
  <si>
    <t xml:space="preserve">Total Expenses </t>
  </si>
  <si>
    <t xml:space="preserve">Model Operating </t>
  </si>
  <si>
    <t xml:space="preserve">Actual Operating </t>
  </si>
  <si>
    <t>Department Profit</t>
  </si>
  <si>
    <t xml:space="preserve">Total Sales </t>
  </si>
  <si>
    <t>Department Profit $ *</t>
  </si>
  <si>
    <t xml:space="preserve">Model Occupancy </t>
  </si>
  <si>
    <t xml:space="preserve">Actual Occupancy </t>
  </si>
  <si>
    <t>Inventory Turns</t>
  </si>
  <si>
    <t xml:space="preserve">Model Total Expense </t>
  </si>
  <si>
    <t xml:space="preserve">Actual Total Expense </t>
  </si>
  <si>
    <t>Model Department Profit</t>
  </si>
  <si>
    <t>Actual Department Profit</t>
  </si>
  <si>
    <t xml:space="preserve">Other Income/Expenses </t>
  </si>
  <si>
    <t>Interest Expense</t>
  </si>
  <si>
    <t xml:space="preserve">Total Gross Profit </t>
  </si>
  <si>
    <t xml:space="preserve">Actual Net Before Tax </t>
  </si>
  <si>
    <t>Marketshare Info</t>
  </si>
  <si>
    <t>Participation</t>
  </si>
  <si>
    <t>Total Sales Dept. Employees</t>
  </si>
  <si>
    <t>Avg. Mo. Sales $ Per Emp.</t>
  </si>
  <si>
    <t>Close Rate</t>
  </si>
  <si>
    <t>Mo. Sls $ / Dept. Emp.</t>
  </si>
  <si>
    <t>Avg. Mo. GP $ Per Emp.</t>
  </si>
  <si>
    <t>Marketshare</t>
  </si>
  <si>
    <t>Mo. GP $ / Dept. Emp.</t>
  </si>
  <si>
    <t>*Shaded areas will not appear on the final composite</t>
  </si>
  <si>
    <t>Sales Rep to Support Ratio</t>
  </si>
  <si>
    <t>Total Sales People</t>
  </si>
  <si>
    <t>Mo. Sls $/Salesperson</t>
  </si>
  <si>
    <r>
      <t xml:space="preserve">Financial Composite Preview prepared by </t>
    </r>
    <r>
      <rPr>
        <b/>
        <sz val="10"/>
        <color rgb="FF002060"/>
        <rFont val="BergamoSmCaps"/>
      </rPr>
      <t>Currie Management Consultants, Inc.</t>
    </r>
    <r>
      <rPr>
        <sz val="12"/>
        <rFont val="Times New Roman"/>
        <family val="1"/>
      </rPr>
      <t xml:space="preserve"> for</t>
    </r>
  </si>
  <si>
    <t>Mo. GP $/Salesperson</t>
  </si>
  <si>
    <t>Parts Department Mix &amp; Productivity</t>
  </si>
  <si>
    <t>Parts Sales Mix</t>
  </si>
  <si>
    <t>Primary Brand Counter Parts</t>
  </si>
  <si>
    <t>Service Gross Profit</t>
  </si>
  <si>
    <t>Service Personnel Exp.</t>
  </si>
  <si>
    <t>Expenses (% Of SALES)</t>
  </si>
  <si>
    <t>Adjusted Service GP</t>
  </si>
  <si>
    <t>E-Commerce Parts</t>
  </si>
  <si>
    <t>EXPENSES (% Of SALES)</t>
  </si>
  <si>
    <t xml:space="preserve">Total </t>
  </si>
  <si>
    <t>Total Turns</t>
  </si>
  <si>
    <t>Avg. Mo Serv. Sls/ Employee</t>
  </si>
  <si>
    <t>Avg. Mo GP/ Employee</t>
  </si>
  <si>
    <t>Parts Performance Factor</t>
  </si>
  <si>
    <t>Avg. Mo Labor Sales/ Tech</t>
  </si>
  <si>
    <t>Avg. Mo Labor GP/ Tech</t>
  </si>
  <si>
    <t>Total Parts Employees</t>
  </si>
  <si>
    <t>Total Service Department Employees</t>
  </si>
  <si>
    <t>Parts Freight Recovery/Loss</t>
  </si>
  <si>
    <t>Mo. Parts Sls/ Dept. Employee</t>
  </si>
  <si>
    <t>Total Service Technicians</t>
  </si>
  <si>
    <t>Mo. Parts GP/ Dept. Employee</t>
  </si>
  <si>
    <t>Ratio Technician/Non-Technician</t>
  </si>
  <si>
    <t>Mo. Parts Revenue per Technician</t>
  </si>
  <si>
    <t>% of Techs to Total Company</t>
  </si>
  <si>
    <t>Posted Billing Rate</t>
  </si>
  <si>
    <t>Calculated Rate</t>
  </si>
  <si>
    <t>Tech Hourly Pay Rate</t>
  </si>
  <si>
    <t>Stated Billing Multiple</t>
  </si>
  <si>
    <t>Actual Billing Multiple</t>
  </si>
  <si>
    <t>Service Dept. Mix &amp; Productivity</t>
  </si>
  <si>
    <t>Short Term Rental Department Composite</t>
  </si>
  <si>
    <t xml:space="preserve">Long Term Rental Department Composite </t>
  </si>
  <si>
    <t>Average Monthly Sales (includes Re-Rent)</t>
  </si>
  <si>
    <t>Cost Of Goods Sold (STR only)</t>
  </si>
  <si>
    <t>Cost Of Goods Sold</t>
  </si>
  <si>
    <t xml:space="preserve">Total Service Sales </t>
  </si>
  <si>
    <t>Gross Profit  (STR only)</t>
  </si>
  <si>
    <t xml:space="preserve">Gross Profit </t>
  </si>
  <si>
    <t>Re-Rent GP</t>
  </si>
  <si>
    <t>Total Department GP</t>
  </si>
  <si>
    <t>Personnel</t>
  </si>
  <si>
    <t>EXPENSES (% Of STR SALES)</t>
  </si>
  <si>
    <t xml:space="preserve">Total Service Gross Profit </t>
  </si>
  <si>
    <t>Dept. Profit (% Of Sales)</t>
  </si>
  <si>
    <t>Monthly Revenue Multiple</t>
  </si>
  <si>
    <t># Units In Rental Fleet</t>
  </si>
  <si>
    <t>Annual Revenue per Unit</t>
  </si>
  <si>
    <t>Productivity</t>
  </si>
  <si>
    <t>Equity to Net Book Value</t>
  </si>
  <si>
    <t>Application</t>
  </si>
  <si>
    <t>Efficiency</t>
  </si>
  <si>
    <t>Units on Rent</t>
  </si>
  <si>
    <t>% of Units on Rent</t>
  </si>
  <si>
    <t>G &amp; A</t>
  </si>
  <si>
    <t>Total Company Profile</t>
  </si>
  <si>
    <t>Expenses (% Of Parts, Rental &amp; Service Sales)</t>
  </si>
  <si>
    <t>Liquidity</t>
  </si>
  <si>
    <t>Debt To Equity</t>
  </si>
  <si>
    <t>Net Debt To Equity</t>
  </si>
  <si>
    <t>Cost of Goods Sold</t>
  </si>
  <si>
    <t>Net Current Ratio</t>
  </si>
  <si>
    <t>Current Ratio</t>
  </si>
  <si>
    <t>Other Costs</t>
  </si>
  <si>
    <t>Accounts Receivable Aging</t>
  </si>
  <si>
    <t>Working Capital Turns</t>
  </si>
  <si>
    <t>31-60 Days</t>
  </si>
  <si>
    <t>Absorption (less Sales Dept. Personnel Expense)</t>
  </si>
  <si>
    <t>61-90 Days</t>
  </si>
  <si>
    <t>Absorption</t>
  </si>
  <si>
    <t>Adjusted GP (Driver's Salaries included)</t>
  </si>
  <si>
    <t>91+ Days</t>
  </si>
  <si>
    <t>Return On Assets</t>
  </si>
  <si>
    <t>Net Before Tax (% Of Sales)</t>
  </si>
  <si>
    <t>Revenue Producing Employees %</t>
  </si>
  <si>
    <t>Asset Turns</t>
  </si>
  <si>
    <t>ROA</t>
  </si>
  <si>
    <t>Personnel Count</t>
  </si>
  <si>
    <t>ROE</t>
  </si>
  <si>
    <t>% In Sales</t>
  </si>
  <si>
    <t>% In Parts</t>
  </si>
  <si>
    <t>% In Service</t>
  </si>
  <si>
    <t>% In ST Rental</t>
  </si>
  <si>
    <t>% In LT Rental</t>
  </si>
  <si>
    <t>Department Employees</t>
  </si>
  <si>
    <t>% In Trucking</t>
  </si>
  <si>
    <t>% In G&amp;A</t>
  </si>
  <si>
    <t>Total # of Employees</t>
  </si>
  <si>
    <t>Currie Financial Model Lift Truck Dealer</t>
  </si>
  <si>
    <t>Short T Rental</t>
  </si>
  <si>
    <t>Long T Rental</t>
  </si>
  <si>
    <t>Bennett Material Handling</t>
  </si>
  <si>
    <t>ACCOUNTS RECEIVABLE - WARRANTY</t>
  </si>
  <si>
    <t>PARTS RETURN IN PROCESS</t>
  </si>
  <si>
    <t>ACCOUNTS RECEIVABLE - BAD DEBT</t>
  </si>
  <si>
    <t>INVENTORY - NEW BATTRY/CHARGER</t>
  </si>
  <si>
    <t>VALUATION RESERVE- USED TRUCKS</t>
  </si>
  <si>
    <t>LIFE INSURANCE CASH VALUE</t>
  </si>
  <si>
    <t>RIGHT OF USE OPERATING LEASES</t>
  </si>
  <si>
    <t>ACCUM. DEPREC. - MACH. &amp; EQUIP</t>
  </si>
  <si>
    <t>ACCUM. DEPREC. - RENTAL EQUIP.</t>
  </si>
  <si>
    <t>ACCUM. DEPREC. - RETIRED RENTL</t>
  </si>
  <si>
    <t>ACCUM. DEPREC. - FURN &amp; FIXTUR</t>
  </si>
  <si>
    <t>ACCUM. DEPREC. - LEASEHOLD IMP</t>
  </si>
  <si>
    <t>SALES TAX-AL</t>
  </si>
  <si>
    <t>FLOOR PLAN - KOMATSU (USB)</t>
  </si>
  <si>
    <t>CONTRACTS PAYABLE - DELAGE LANDON</t>
  </si>
  <si>
    <t>April</t>
  </si>
  <si>
    <t>May</t>
  </si>
  <si>
    <t>June</t>
  </si>
  <si>
    <t>New @ 47.517%</t>
  </si>
  <si>
    <t>Used @ 3.029%</t>
  </si>
  <si>
    <t>Rental @ 20.694%</t>
  </si>
  <si>
    <t>Parts @ 13.121%</t>
  </si>
  <si>
    <t>Service @ 14.953%</t>
  </si>
  <si>
    <t>Transport. @ 0.507%</t>
  </si>
  <si>
    <t>January</t>
  </si>
  <si>
    <t>February</t>
  </si>
  <si>
    <t>March</t>
  </si>
  <si>
    <t>July</t>
  </si>
  <si>
    <t>August</t>
  </si>
  <si>
    <t>September</t>
  </si>
  <si>
    <t>October</t>
  </si>
  <si>
    <t>November</t>
  </si>
  <si>
    <t>December</t>
  </si>
  <si>
    <t>YTD</t>
  </si>
  <si>
    <t>Marissa Lakeman</t>
  </si>
  <si>
    <t>110000</t>
  </si>
  <si>
    <t>CASH - OPERATING ACCOUNT</t>
  </si>
  <si>
    <t>111000</t>
  </si>
  <si>
    <t>CASH - PAYROLL ACCOUNT</t>
  </si>
  <si>
    <t>112000</t>
  </si>
  <si>
    <t>CASH - SELECT ACCOUNT</t>
  </si>
  <si>
    <t>113000</t>
  </si>
  <si>
    <t>CASH - PETTY CASH</t>
  </si>
  <si>
    <t>114000</t>
  </si>
  <si>
    <t>CASH - S/T INVESTMENTS</t>
  </si>
  <si>
    <t>115000</t>
  </si>
  <si>
    <t>CASH - COLLATERAL ACCOUNT</t>
  </si>
  <si>
    <t>120000</t>
  </si>
  <si>
    <t>ACCOUNTS RECEIVABLE - TRADE</t>
  </si>
  <si>
    <t>121000</t>
  </si>
  <si>
    <t>121100</t>
  </si>
  <si>
    <t>UNREALIZED WARRANTY INCOME</t>
  </si>
  <si>
    <t>122000</t>
  </si>
  <si>
    <t>ACCOUNTS RECEIVABLE - OTHER</t>
  </si>
  <si>
    <t>123000</t>
  </si>
  <si>
    <t>ACCOUNTS RECEIVABLE - NOTES</t>
  </si>
  <si>
    <t>124000</t>
  </si>
  <si>
    <t>COMMISSIONS RECEIVABLE</t>
  </si>
  <si>
    <t>125000</t>
  </si>
  <si>
    <t>Undeposited Funds</t>
  </si>
  <si>
    <t>127000</t>
  </si>
  <si>
    <t>129000</t>
  </si>
  <si>
    <t>131000</t>
  </si>
  <si>
    <t>INVENTORY - NEW TRUCK</t>
  </si>
  <si>
    <t>131100</t>
  </si>
  <si>
    <t>INVENTORY - SKID LOADERS</t>
  </si>
  <si>
    <t>131200</t>
  </si>
  <si>
    <t>131300</t>
  </si>
  <si>
    <t>INVENTORY - NEW ALLIED</t>
  </si>
  <si>
    <t>132000</t>
  </si>
  <si>
    <t>INVENTORY - USED TRUCK</t>
  </si>
  <si>
    <t>132100</t>
  </si>
  <si>
    <t>134000</t>
  </si>
  <si>
    <t>INVENTORY - PARTS</t>
  </si>
  <si>
    <t>134100</t>
  </si>
  <si>
    <t>INVENTORY - RESERVE</t>
  </si>
  <si>
    <t>134200</t>
  </si>
  <si>
    <t>INVENTORY - Sublet Labor</t>
  </si>
  <si>
    <t>134300</t>
  </si>
  <si>
    <t>Inventory - Misc Parts</t>
  </si>
  <si>
    <t>135000</t>
  </si>
  <si>
    <t>WORK-IN-PROCESS</t>
  </si>
  <si>
    <t>136000</t>
  </si>
  <si>
    <t>INVENTORY- RENTAL FOR SALE</t>
  </si>
  <si>
    <t>140000</t>
  </si>
  <si>
    <t>PREPAID EXPENSES</t>
  </si>
  <si>
    <t>140500</t>
  </si>
  <si>
    <t>PREPAID TAXES</t>
  </si>
  <si>
    <t>141000</t>
  </si>
  <si>
    <t>PREPAID INSURANCE</t>
  </si>
  <si>
    <t>145000</t>
  </si>
  <si>
    <t>NEW/USED PREP CHARGES</t>
  </si>
  <si>
    <t>150000</t>
  </si>
  <si>
    <t>DEPOSITS</t>
  </si>
  <si>
    <t>160000</t>
  </si>
  <si>
    <t>INVESTMENTS</t>
  </si>
  <si>
    <t>161000</t>
  </si>
  <si>
    <t>180000</t>
  </si>
  <si>
    <t>LAND</t>
  </si>
  <si>
    <t>180100</t>
  </si>
  <si>
    <t>BUILDING</t>
  </si>
  <si>
    <t>180200</t>
  </si>
  <si>
    <t>MACHINERY AND EQUIPMENT</t>
  </si>
  <si>
    <t>183000</t>
  </si>
  <si>
    <t>FIXED ASSETS - RENTAL EQUIPMENT</t>
  </si>
  <si>
    <t>183300</t>
  </si>
  <si>
    <t>RENTAL EQUIPMENT - RETIRED</t>
  </si>
  <si>
    <t>184000</t>
  </si>
  <si>
    <t>FURNITURE &amp; FIXTURES</t>
  </si>
  <si>
    <t>185000</t>
  </si>
  <si>
    <t>VEHICLES</t>
  </si>
  <si>
    <t>186000</t>
  </si>
  <si>
    <t>LEASEHOLD IMPROVEMENTS</t>
  </si>
  <si>
    <t>187000</t>
  </si>
  <si>
    <t>190100</t>
  </si>
  <si>
    <t>ACCUM. DEPREC. - BUILDING</t>
  </si>
  <si>
    <t>190200</t>
  </si>
  <si>
    <t>193000</t>
  </si>
  <si>
    <t>193300</t>
  </si>
  <si>
    <t>194000</t>
  </si>
  <si>
    <t>195000</t>
  </si>
  <si>
    <t>ACCUM. DEPREC. - VEHICLES</t>
  </si>
  <si>
    <t>196000</t>
  </si>
  <si>
    <t>199900</t>
  </si>
  <si>
    <t>RENTAL TFRS TO USED EQ.</t>
  </si>
  <si>
    <t>510001</t>
  </si>
  <si>
    <t>COS - New Equip</t>
  </si>
  <si>
    <t>510002</t>
  </si>
  <si>
    <t>COS - Used Equip</t>
  </si>
  <si>
    <t>510003</t>
  </si>
  <si>
    <t>COS - Parts - Counter</t>
  </si>
  <si>
    <t>510004</t>
  </si>
  <si>
    <t>COS - Field</t>
  </si>
  <si>
    <t>510005</t>
  </si>
  <si>
    <t>COS - Shop</t>
  </si>
  <si>
    <t>510007</t>
  </si>
  <si>
    <t>COS - Full Maint</t>
  </si>
  <si>
    <t>510008</t>
  </si>
  <si>
    <t>COS - Rental</t>
  </si>
  <si>
    <t>510010</t>
  </si>
  <si>
    <t>COS - Trucking</t>
  </si>
  <si>
    <t>510011</t>
  </si>
  <si>
    <t>COS - G&amp;A</t>
  </si>
  <si>
    <t>510012</t>
  </si>
  <si>
    <t>COS - Parts - Cust Repair Order</t>
  </si>
  <si>
    <t>510013</t>
  </si>
  <si>
    <t>COS - Parts - PM</t>
  </si>
  <si>
    <t>510014</t>
  </si>
  <si>
    <t>COS - Parts - Warranty</t>
  </si>
  <si>
    <t>510015</t>
  </si>
  <si>
    <t>COS - Parts - GM</t>
  </si>
  <si>
    <t>511001</t>
  </si>
  <si>
    <t>COS - ABUSE - Rental</t>
  </si>
  <si>
    <t>512001</t>
  </si>
  <si>
    <t>COS - ALLIED - New Equip</t>
  </si>
  <si>
    <t>512002</t>
  </si>
  <si>
    <t>COS - ALLIED - Used Equip</t>
  </si>
  <si>
    <t>513001</t>
  </si>
  <si>
    <t>COS - LINDE - New Equip</t>
  </si>
  <si>
    <t>513002</t>
  </si>
  <si>
    <t>COS - LINDE- Used Equip</t>
  </si>
  <si>
    <t>514001</t>
  </si>
  <si>
    <t>COS - BATTERIES/CHARGERS - New Equip</t>
  </si>
  <si>
    <t>514002</t>
  </si>
  <si>
    <t>COS - BATTERIES/CHARGERS - Used Equip</t>
  </si>
  <si>
    <t>519000</t>
  </si>
  <si>
    <t>COS - EQ. DISPOSAL RENTAL</t>
  </si>
  <si>
    <t>520000</t>
  </si>
  <si>
    <t>COS - EXPENSE RECAPTURE</t>
  </si>
  <si>
    <t>521001</t>
  </si>
  <si>
    <t>COS - FREIGHT - New Equip</t>
  </si>
  <si>
    <t>521002</t>
  </si>
  <si>
    <t>COS - FREIGHT - Used Equip</t>
  </si>
  <si>
    <t>521003</t>
  </si>
  <si>
    <t>COS - FREIGHT - Parts</t>
  </si>
  <si>
    <t>521004</t>
  </si>
  <si>
    <t>COS - FREIGHT - Field</t>
  </si>
  <si>
    <t>521005</t>
  </si>
  <si>
    <t>COS - FREIGHT - Shop</t>
  </si>
  <si>
    <t>521006</t>
  </si>
  <si>
    <t>COS - FREIGHT - PM</t>
  </si>
  <si>
    <t>521007</t>
  </si>
  <si>
    <t>COS - FREIGHT - Full Maint</t>
  </si>
  <si>
    <t>521008</t>
  </si>
  <si>
    <t>COS - FREIGHT - Rental</t>
  </si>
  <si>
    <t>521010</t>
  </si>
  <si>
    <t>COS - FREIGHT - Trucking</t>
  </si>
  <si>
    <t>521011</t>
  </si>
  <si>
    <t>COS - FREIGHT - G&amp;A</t>
  </si>
  <si>
    <t>522000</t>
  </si>
  <si>
    <t>COS - GUARNTEED MAINTENANCE - Service</t>
  </si>
  <si>
    <t>522001</t>
  </si>
  <si>
    <t>COS - GUARNTEED MAINTENANCE - Parts</t>
  </si>
  <si>
    <t>522100</t>
  </si>
  <si>
    <t>COS - INT. LABOR GM</t>
  </si>
  <si>
    <t>523000</t>
  </si>
  <si>
    <t>COS - INTERNAL REPAIRS FIELD</t>
  </si>
  <si>
    <t>524000</t>
  </si>
  <si>
    <t>COS - PARTS INTERNAL REPAIR ORDER</t>
  </si>
  <si>
    <t>525000</t>
  </si>
  <si>
    <t>COS - INTERNAL REPAIRS SHOP</t>
  </si>
  <si>
    <t>525001</t>
  </si>
  <si>
    <t>COS - INTERNAL NEW EQUIP</t>
  </si>
  <si>
    <t>525002</t>
  </si>
  <si>
    <t>COS - INTERNAL USED EQUIP</t>
  </si>
  <si>
    <t>526001</t>
  </si>
  <si>
    <t>COS - KOMATSU - New Equip</t>
  </si>
  <si>
    <t>526002</t>
  </si>
  <si>
    <t>COS - KOMATSU - Used Equip</t>
  </si>
  <si>
    <t>527000</t>
  </si>
  <si>
    <t>COS - OPER AWARENESS TRNG</t>
  </si>
  <si>
    <t>528000</t>
  </si>
  <si>
    <t>COS - OTHER</t>
  </si>
  <si>
    <t>529001</t>
  </si>
  <si>
    <t>COS - P.M. CONTRACTS - Service</t>
  </si>
  <si>
    <t>529002</t>
  </si>
  <si>
    <t>COS - P.M. CONTRACTS - Parts</t>
  </si>
  <si>
    <t>530000</t>
  </si>
  <si>
    <t>COS - SHOP SUPPLIES</t>
  </si>
  <si>
    <t>531001</t>
  </si>
  <si>
    <t>COS - SKID LOADERS - New Equip</t>
  </si>
  <si>
    <t>531002</t>
  </si>
  <si>
    <t>COS - SKID LOADERS - Used Equip</t>
  </si>
  <si>
    <t>532000</t>
  </si>
  <si>
    <t>COS - SUBLET LABOR</t>
  </si>
  <si>
    <t>533000</t>
  </si>
  <si>
    <t>COS - TIRES</t>
  </si>
  <si>
    <t>534001</t>
  </si>
  <si>
    <t>COS - TRUCKING/DELIVERY - New Equip</t>
  </si>
  <si>
    <t>534002</t>
  </si>
  <si>
    <t>COS - TRUCKING/DELIVERY - Used Equip</t>
  </si>
  <si>
    <t>534003</t>
  </si>
  <si>
    <t>COS - TRUCKING/DELIVERY - Parts</t>
  </si>
  <si>
    <t>534010</t>
  </si>
  <si>
    <t>COS - TRUCKING/DELIVERY - Trucking</t>
  </si>
  <si>
    <t>534011</t>
  </si>
  <si>
    <t>COS - TRUCKING/DELIVERY - G&amp;A</t>
  </si>
  <si>
    <t>534012</t>
  </si>
  <si>
    <t>COS - TRUCKING/DELIVERY - Customer</t>
  </si>
  <si>
    <t>534013</t>
  </si>
  <si>
    <t>COS - TRUCKING/DELIVERY - New Equipment Demo</t>
  </si>
  <si>
    <t>534014</t>
  </si>
  <si>
    <t>COS - TRUCKING/DELIVERY - Rental</t>
  </si>
  <si>
    <t>534015</t>
  </si>
  <si>
    <t>COS - TRUCKING/DELIVERY - Service</t>
  </si>
  <si>
    <t>535001</t>
  </si>
  <si>
    <t>COS-SRV. WARRANTY KOMATSU</t>
  </si>
  <si>
    <t>535002</t>
  </si>
  <si>
    <t>COS-SRV. WARRANTY LINDE</t>
  </si>
  <si>
    <t>535003</t>
  </si>
  <si>
    <t>COS-SRV. WARRANTY SCHAEFF</t>
  </si>
  <si>
    <t>535004</t>
  </si>
  <si>
    <t>COS-SRV. WARRANTY BENDI</t>
  </si>
  <si>
    <t>535005</t>
  </si>
  <si>
    <t>COS-SRV. WARRANTY OTHER</t>
  </si>
  <si>
    <t>536001</t>
  </si>
  <si>
    <t>COS - WHOLESALE - Used Equip</t>
  </si>
  <si>
    <t>536002</t>
  </si>
  <si>
    <t>COS - WHOLESALE - Parts</t>
  </si>
  <si>
    <t>537001</t>
  </si>
  <si>
    <t>COS - DEPRECIATION - Rental</t>
  </si>
  <si>
    <t>538000</t>
  </si>
  <si>
    <t>COS - EQ. ADJUSTMENT</t>
  </si>
  <si>
    <t>539000</t>
  </si>
  <si>
    <t>COS - RENTAL INTEREST</t>
  </si>
  <si>
    <t>540000</t>
  </si>
  <si>
    <t>COS - INTERNAL</t>
  </si>
  <si>
    <t>541000</t>
  </si>
  <si>
    <t>COS - RENTAL INTERNAL MAINTENANCE</t>
  </si>
  <si>
    <t>542000</t>
  </si>
  <si>
    <t>COS - INVENTORY ADJUSTMENT</t>
  </si>
  <si>
    <t>543000</t>
  </si>
  <si>
    <t>COS - RESTOCKING FEES</t>
  </si>
  <si>
    <t>544000</t>
  </si>
  <si>
    <t>COS - RETAIL</t>
  </si>
  <si>
    <t>545000</t>
  </si>
  <si>
    <t>COS - OUTSIDE(RTR) Rental</t>
  </si>
  <si>
    <t>550001</t>
  </si>
  <si>
    <t>Overhead Allocation New Equipment</t>
  </si>
  <si>
    <t>550002</t>
  </si>
  <si>
    <t>Overhead Allocation Used Equipment</t>
  </si>
  <si>
    <t>550003</t>
  </si>
  <si>
    <t>Overhead Allocation Parts</t>
  </si>
  <si>
    <t>550004</t>
  </si>
  <si>
    <t>Overhead Allocation Service</t>
  </si>
  <si>
    <t>550006</t>
  </si>
  <si>
    <t>Overhead Allocation Rental</t>
  </si>
  <si>
    <t>550008</t>
  </si>
  <si>
    <t>Overhead Allocation Transport</t>
  </si>
  <si>
    <t>600000</t>
  </si>
  <si>
    <t>ADVERTISING</t>
  </si>
  <si>
    <t>600100</t>
  </si>
  <si>
    <t>BAD DEBTS</t>
  </si>
  <si>
    <t>600200</t>
  </si>
  <si>
    <t>BLDG. RENT</t>
  </si>
  <si>
    <t>600201</t>
  </si>
  <si>
    <t>Bldg Rent - Variable Lease Expense</t>
  </si>
  <si>
    <t>600300</t>
  </si>
  <si>
    <t>BUILDING MAINTENANCE</t>
  </si>
  <si>
    <t>600400</t>
  </si>
  <si>
    <t>COMMISSIONS</t>
  </si>
  <si>
    <t>600500</t>
  </si>
  <si>
    <t>COMPUTER/SUPPLIES</t>
  </si>
  <si>
    <t>600600</t>
  </si>
  <si>
    <t>CONTRIBUTIONS</t>
  </si>
  <si>
    <t>600700</t>
  </si>
  <si>
    <t>DEALER COMMISSIONS</t>
  </si>
  <si>
    <t>600800</t>
  </si>
  <si>
    <t>DEMO EXPENSES</t>
  </si>
  <si>
    <t>600900</t>
  </si>
  <si>
    <t>DEPRECIATION</t>
  </si>
  <si>
    <t>600901</t>
  </si>
  <si>
    <t>DEPRECIATION - ST</t>
  </si>
  <si>
    <t>600902</t>
  </si>
  <si>
    <t>DEPRECIATION - LT</t>
  </si>
  <si>
    <t>601000</t>
  </si>
  <si>
    <t>DUES AND MEMBERSHIPS</t>
  </si>
  <si>
    <t>601100</t>
  </si>
  <si>
    <t>EMPLOYER P/R TAXES</t>
  </si>
  <si>
    <t>601200</t>
  </si>
  <si>
    <t>ENTERTAINMENT &amp; MEALS</t>
  </si>
  <si>
    <t>601300</t>
  </si>
  <si>
    <t>EXPENSE - MGMT. INFO. SYSTEMS</t>
  </si>
  <si>
    <t>601400</t>
  </si>
  <si>
    <t>FEDERAL INCOME TAX</t>
  </si>
  <si>
    <t>601500</t>
  </si>
  <si>
    <t>FRINGES</t>
  </si>
  <si>
    <t>601600</t>
  </si>
  <si>
    <t>GPS</t>
  </si>
  <si>
    <t>601700</t>
  </si>
  <si>
    <t>INSURANCE</t>
  </si>
  <si>
    <t>601800</t>
  </si>
  <si>
    <t>INTEREST</t>
  </si>
  <si>
    <t>601900</t>
  </si>
  <si>
    <t>INTERNAL RENTAL</t>
  </si>
  <si>
    <t>602000</t>
  </si>
  <si>
    <t>SERVICE LABOR-REDISTRIBUTION</t>
  </si>
  <si>
    <t>602001</t>
  </si>
  <si>
    <t>TRANSP., LABOR-REDISTRIBUTION</t>
  </si>
  <si>
    <t>602100</t>
  </si>
  <si>
    <t>MAINTENANCE</t>
  </si>
  <si>
    <t>602200</t>
  </si>
  <si>
    <t>MISCELLANEOUS</t>
  </si>
  <si>
    <t>602300</t>
  </si>
  <si>
    <t>NON-BILLABLE LABOR - Field</t>
  </si>
  <si>
    <t>602301</t>
  </si>
  <si>
    <t>NON-BILLABLE LABOR - Shop</t>
  </si>
  <si>
    <t>602302</t>
  </si>
  <si>
    <t>NON-BILLABLE LABOR - OTHER</t>
  </si>
  <si>
    <t>602400</t>
  </si>
  <si>
    <t>OFFICE</t>
  </si>
  <si>
    <t>602500</t>
  </si>
  <si>
    <t>OTHER TAXES</t>
  </si>
  <si>
    <t>602600</t>
  </si>
  <si>
    <t>PAYROLL</t>
  </si>
  <si>
    <t>602700</t>
  </si>
  <si>
    <t>PENSION &amp; PROFIT SHARING</t>
  </si>
  <si>
    <t>602701</t>
  </si>
  <si>
    <t>EMPLOYER 401K MATCH</t>
  </si>
  <si>
    <t>602800</t>
  </si>
  <si>
    <t>POLICY ADJUSTMENT</t>
  </si>
  <si>
    <t>602900</t>
  </si>
  <si>
    <t>POSTAGE</t>
  </si>
  <si>
    <t>603000</t>
  </si>
  <si>
    <t>PROFESSIONAL SERVICES</t>
  </si>
  <si>
    <t>603100</t>
  </si>
  <si>
    <t>REWORK - Field</t>
  </si>
  <si>
    <t>603101</t>
  </si>
  <si>
    <t>REWORK - Shop</t>
  </si>
  <si>
    <t>603102</t>
  </si>
  <si>
    <t>REWORK - PM</t>
  </si>
  <si>
    <t>603103</t>
  </si>
  <si>
    <t>REWORK - Full Maint</t>
  </si>
  <si>
    <t>603200</t>
  </si>
  <si>
    <t>SALES POLICY ADJUSTMENT</t>
  </si>
  <si>
    <t>603300</t>
  </si>
  <si>
    <t>SALES PROMOTION</t>
  </si>
  <si>
    <t>603400</t>
  </si>
  <si>
    <t>STATE INCOME TAXES</t>
  </si>
  <si>
    <t>603500</t>
  </si>
  <si>
    <t>SUPPLIES</t>
  </si>
  <si>
    <t>603501</t>
  </si>
  <si>
    <t>SERVICE TOOLS</t>
  </si>
  <si>
    <t>603600</t>
  </si>
  <si>
    <t>TELEPHONE</t>
  </si>
  <si>
    <t>603700</t>
  </si>
  <si>
    <t>TRAINING</t>
  </si>
  <si>
    <t>603800</t>
  </si>
  <si>
    <t>TRAVEL</t>
  </si>
  <si>
    <t>603900</t>
  </si>
  <si>
    <t>UNIFORMS</t>
  </si>
  <si>
    <t>604000</t>
  </si>
  <si>
    <t>UTILITIES</t>
  </si>
  <si>
    <t>604100</t>
  </si>
  <si>
    <t>VEHICLE EXPENSE</t>
  </si>
  <si>
    <t>604200</t>
  </si>
  <si>
    <t>WARRANTY</t>
  </si>
  <si>
    <t>650000</t>
  </si>
  <si>
    <t>Overhead Allocation Admin</t>
  </si>
  <si>
    <t>706000</t>
  </si>
  <si>
    <t>ADMINISTRATIVE FUND EXPENSE</t>
  </si>
  <si>
    <t>999999</t>
  </si>
  <si>
    <t>ERROR ACCOUNT</t>
  </si>
  <si>
    <t>210000</t>
  </si>
  <si>
    <t>ACCOUNTS PAYABLE - TRADE</t>
  </si>
  <si>
    <t>212000</t>
  </si>
  <si>
    <t>CUSTOMER DEPOSITS</t>
  </si>
  <si>
    <t>213000</t>
  </si>
  <si>
    <t>Scale Bank Credit Cards</t>
  </si>
  <si>
    <t>214000</t>
  </si>
  <si>
    <t>Associated Bank Credit Cards</t>
  </si>
  <si>
    <t>220000</t>
  </si>
  <si>
    <t>SALES TAX - MN</t>
  </si>
  <si>
    <t>221500</t>
  </si>
  <si>
    <t>222000</t>
  </si>
  <si>
    <t>SALES TAX - ND</t>
  </si>
  <si>
    <t>223000</t>
  </si>
  <si>
    <t>SALES TAX - IOWA</t>
  </si>
  <si>
    <t>223500</t>
  </si>
  <si>
    <t>SALES TAX - WISC</t>
  </si>
  <si>
    <t>223600</t>
  </si>
  <si>
    <t>ACCRUED FEDERAL INCOME TAX</t>
  </si>
  <si>
    <t>223700</t>
  </si>
  <si>
    <t>Payroll Liabilities - Taxes</t>
  </si>
  <si>
    <t>223800</t>
  </si>
  <si>
    <t>Sales Tax- NY</t>
  </si>
  <si>
    <t>223900</t>
  </si>
  <si>
    <t>Par Income Tax - CO</t>
  </si>
  <si>
    <t>224000</t>
  </si>
  <si>
    <t>FSA PAYABLE</t>
  </si>
  <si>
    <t>230000</t>
  </si>
  <si>
    <t>ACCRUED LIABILITIES</t>
  </si>
  <si>
    <t>230500</t>
  </si>
  <si>
    <t>Trucks Purchased Pending Financing</t>
  </si>
  <si>
    <t>231000</t>
  </si>
  <si>
    <t>ACCURED INTEREST</t>
  </si>
  <si>
    <t>232000</t>
  </si>
  <si>
    <t>ACCRUED SALARIES</t>
  </si>
  <si>
    <t>233000</t>
  </si>
  <si>
    <t>GARNISHED WAGES</t>
  </si>
  <si>
    <t>235000</t>
  </si>
  <si>
    <t>ACCRUED RENTS PAYABLE</t>
  </si>
  <si>
    <t>236000</t>
  </si>
  <si>
    <t>PENSION PLAN CONTRIB DUE</t>
  </si>
  <si>
    <t>237000</t>
  </si>
  <si>
    <t>PAYROLL SAVINGS CONTRIBUTIONS</t>
  </si>
  <si>
    <t>238000</t>
  </si>
  <si>
    <t>ACCRUED SALARY COMMISSIONS</t>
  </si>
  <si>
    <t>239000</t>
  </si>
  <si>
    <t>ACCRUED ADMINISTRATIVE RESERVE</t>
  </si>
  <si>
    <t>240000</t>
  </si>
  <si>
    <t>PAYROLL TAX LIABILITY</t>
  </si>
  <si>
    <t>241000</t>
  </si>
  <si>
    <t>UNEMPLOYMENT TAX PAYABLE</t>
  </si>
  <si>
    <t>242000</t>
  </si>
  <si>
    <t>NOTES PAYABLE - EXEC LEASING</t>
  </si>
  <si>
    <t>242010</t>
  </si>
  <si>
    <t>NP - Exec Lease 8865</t>
  </si>
  <si>
    <t>242020</t>
  </si>
  <si>
    <t>NP - Exec Lease 88656</t>
  </si>
  <si>
    <t>242030</t>
  </si>
  <si>
    <t>NP - Exec Lease 8627</t>
  </si>
  <si>
    <t>242040</t>
  </si>
  <si>
    <t>NP - Scale 7179</t>
  </si>
  <si>
    <t>242050</t>
  </si>
  <si>
    <t>NP - Exec Lease 8297</t>
  </si>
  <si>
    <t>242060</t>
  </si>
  <si>
    <t>NP - Exec Lease 8549</t>
  </si>
  <si>
    <t>242070</t>
  </si>
  <si>
    <t>NP - Exec Lease 8551</t>
  </si>
  <si>
    <t>242080</t>
  </si>
  <si>
    <t>NP - Exec Lease 8013</t>
  </si>
  <si>
    <t>242090</t>
  </si>
  <si>
    <t>NP - Exec Lease 9035</t>
  </si>
  <si>
    <t>243000</t>
  </si>
  <si>
    <t>CONTRACTS PAYABLE-ASSOCIATED</t>
  </si>
  <si>
    <t>244000</t>
  </si>
  <si>
    <t>NOTES PAYABLE - FIDELITY BANK</t>
  </si>
  <si>
    <t>245000</t>
  </si>
  <si>
    <t>246000</t>
  </si>
  <si>
    <t>NOTES PAYABLE -FIDELITY BANK LOC</t>
  </si>
  <si>
    <t>247000</t>
  </si>
  <si>
    <t>NOTES PAYABLE - GEC</t>
  </si>
  <si>
    <t>248000</t>
  </si>
  <si>
    <t>Deferred Comp Liab</t>
  </si>
  <si>
    <t>249000</t>
  </si>
  <si>
    <t>OPERATING LEASE LIABILITY - LT</t>
  </si>
  <si>
    <t>249001</t>
  </si>
  <si>
    <t>OPERATING LEASE LIABILITY - ST</t>
  </si>
  <si>
    <t>250000</t>
  </si>
  <si>
    <t>FLOOR PLAN - DE LAGE LANDEN</t>
  </si>
  <si>
    <t>251000</t>
  </si>
  <si>
    <t>252000</t>
  </si>
  <si>
    <t>CONTRACTS PAYABLE - USB</t>
  </si>
  <si>
    <t>253000</t>
  </si>
  <si>
    <t>NOTES PAYABLE - SCALE BANK</t>
  </si>
  <si>
    <t>310000</t>
  </si>
  <si>
    <t>CAPITAL STOCK</t>
  </si>
  <si>
    <t>311000</t>
  </si>
  <si>
    <t>TREASURY STOCK</t>
  </si>
  <si>
    <t>320000</t>
  </si>
  <si>
    <t>ADDITIONAL PAID-IN-CAPITAL</t>
  </si>
  <si>
    <t>330000</t>
  </si>
  <si>
    <t>DISTRIBUTIONS</t>
  </si>
  <si>
    <t>340000</t>
  </si>
  <si>
    <t>RETAINED EARNINGS</t>
  </si>
  <si>
    <t>410001</t>
  </si>
  <si>
    <t>Sales - New Equipment</t>
  </si>
  <si>
    <t>410002</t>
  </si>
  <si>
    <t>Sales - Used Equipment</t>
  </si>
  <si>
    <t>410003</t>
  </si>
  <si>
    <t>Sales - Parts - Counter</t>
  </si>
  <si>
    <t>410004</t>
  </si>
  <si>
    <t>Sales - Field</t>
  </si>
  <si>
    <t>410005</t>
  </si>
  <si>
    <t>Sales - Shop</t>
  </si>
  <si>
    <t>410007</t>
  </si>
  <si>
    <t>Sales - Full Maint.</t>
  </si>
  <si>
    <t>410008</t>
  </si>
  <si>
    <t>Sales - RENTAL</t>
  </si>
  <si>
    <t>410010</t>
  </si>
  <si>
    <t>Sales - Trucking</t>
  </si>
  <si>
    <t>410011</t>
  </si>
  <si>
    <t>Sales - G&amp;A</t>
  </si>
  <si>
    <t>410012</t>
  </si>
  <si>
    <t>Sales - Parts - Cust Repair Order</t>
  </si>
  <si>
    <t>410014</t>
  </si>
  <si>
    <t>Sales - Parts - Warranty</t>
  </si>
  <si>
    <t>410015</t>
  </si>
  <si>
    <t>Sales - GM Parts</t>
  </si>
  <si>
    <t>410016</t>
  </si>
  <si>
    <t>Sales - GM Service</t>
  </si>
  <si>
    <t>411001</t>
  </si>
  <si>
    <t>SALES - ABUSE - Rental</t>
  </si>
  <si>
    <t>412001</t>
  </si>
  <si>
    <t>SALES - ALLIED - New Equip</t>
  </si>
  <si>
    <t>412002</t>
  </si>
  <si>
    <t>SALES - ALLIED - Used Equip</t>
  </si>
  <si>
    <t>413001</t>
  </si>
  <si>
    <t>SALES - LINDE - New Equip</t>
  </si>
  <si>
    <t>413002</t>
  </si>
  <si>
    <t>SALES - LINDE - Used Equip</t>
  </si>
  <si>
    <t>414001</t>
  </si>
  <si>
    <t>SALES - BATTERY/CHARGERS - New Equip</t>
  </si>
  <si>
    <t>414002</t>
  </si>
  <si>
    <t>SALES - BATTERY/CHARGERS - Used Equip</t>
  </si>
  <si>
    <t>419000</t>
  </si>
  <si>
    <t>SALES - EQ. DISPOSAL RENTAL</t>
  </si>
  <si>
    <t>420000</t>
  </si>
  <si>
    <t>SALES - EXPENSE RECAPTURE</t>
  </si>
  <si>
    <t>421000</t>
  </si>
  <si>
    <t>SALES - FREIGHT RENTAL</t>
  </si>
  <si>
    <t>421001</t>
  </si>
  <si>
    <t>SALES - FREIGHT - New Equip</t>
  </si>
  <si>
    <t>421002</t>
  </si>
  <si>
    <t>SALES - FREIGHT - Used Equip</t>
  </si>
  <si>
    <t>421003</t>
  </si>
  <si>
    <t>SALES - FREIGHT - Parts</t>
  </si>
  <si>
    <t>421004</t>
  </si>
  <si>
    <t>Sales - FREIGHT - Field</t>
  </si>
  <si>
    <t>421005</t>
  </si>
  <si>
    <t>Sales - FREIGHT - Shop</t>
  </si>
  <si>
    <t>421006</t>
  </si>
  <si>
    <t>Sales - FREIGHT - PM</t>
  </si>
  <si>
    <t>421007</t>
  </si>
  <si>
    <t>Sales - FREIGHT - Full Maint.</t>
  </si>
  <si>
    <t>421010</t>
  </si>
  <si>
    <t>SALES - FREIGHT - Trucking</t>
  </si>
  <si>
    <t>421011</t>
  </si>
  <si>
    <t>SALES - FREIGHT - G&amp;A</t>
  </si>
  <si>
    <t>422100</t>
  </si>
  <si>
    <t>SALES - INT. LABOR GM</t>
  </si>
  <si>
    <t>423000</t>
  </si>
  <si>
    <t>SALES - INTERNAL REPAIR FIELD</t>
  </si>
  <si>
    <t>424000</t>
  </si>
  <si>
    <t>SALES - INTERNAL PARTS REPAIR ORDER</t>
  </si>
  <si>
    <t>425000</t>
  </si>
  <si>
    <t>SALES - INTERNAL REPAIRS SHOP</t>
  </si>
  <si>
    <t>426001</t>
  </si>
  <si>
    <t>SALES - KOMATSU - New Equip</t>
  </si>
  <si>
    <t>426002</t>
  </si>
  <si>
    <t>SALES - KOMATSU - Used Equip</t>
  </si>
  <si>
    <t>427000</t>
  </si>
  <si>
    <t>SALES - OP AWARENESS TRNG</t>
  </si>
  <si>
    <t>428000</t>
  </si>
  <si>
    <t>SALES - OTHER</t>
  </si>
  <si>
    <t>429001</t>
  </si>
  <si>
    <t>SALES - P.M. CONTRACTS - Parts</t>
  </si>
  <si>
    <t>429002</t>
  </si>
  <si>
    <t>SALES - P.M. CONTRACTS - Service</t>
  </si>
  <si>
    <t>430000</t>
  </si>
  <si>
    <t>SALES - SHOP SUPPLIES</t>
  </si>
  <si>
    <t>431001</t>
  </si>
  <si>
    <t>SALES - SKID LOADERS - New Equip</t>
  </si>
  <si>
    <t>431002</t>
  </si>
  <si>
    <t>SALES - SKID LOADERS - Used Equip</t>
  </si>
  <si>
    <t>432000</t>
  </si>
  <si>
    <t>SALES - SUBLET LABOR</t>
  </si>
  <si>
    <t>433000</t>
  </si>
  <si>
    <t>SALES - TIRES</t>
  </si>
  <si>
    <t>434001</t>
  </si>
  <si>
    <t>SALES - TRUCKING/DELIVERY - New Equip</t>
  </si>
  <si>
    <t>434002</t>
  </si>
  <si>
    <t>SALES - TRUCKING/DELIVERY - Used Equip</t>
  </si>
  <si>
    <t>434003</t>
  </si>
  <si>
    <t>SALES - TRUCKING/DELIVERY - Parts</t>
  </si>
  <si>
    <t>434010</t>
  </si>
  <si>
    <t>SALES - TRUCKING/DELIVERY - Trucking</t>
  </si>
  <si>
    <t>434011</t>
  </si>
  <si>
    <t>SALES - TRUCKING/DELIVERY - G&amp;A</t>
  </si>
  <si>
    <t>434012</t>
  </si>
  <si>
    <t>SALES - TRUCKING/DELIVERY - RENTAL</t>
  </si>
  <si>
    <t>434013</t>
  </si>
  <si>
    <t>SALES - TRUCKING/DELIVERY - SERVICE</t>
  </si>
  <si>
    <t>435000</t>
  </si>
  <si>
    <t>SALES - WARRANTY CLAIM OTHER</t>
  </si>
  <si>
    <t>435001</t>
  </si>
  <si>
    <t>SALES-SRV. WARRANTY KOMATSU</t>
  </si>
  <si>
    <t>435002</t>
  </si>
  <si>
    <t>SALES-SRV. WARRANTY LINDE</t>
  </si>
  <si>
    <t>435003</t>
  </si>
  <si>
    <t>SALES-SRV. WARRANTY BENDI</t>
  </si>
  <si>
    <t>435004</t>
  </si>
  <si>
    <t>SALES-SRV. WARRANTY SCHAEFF</t>
  </si>
  <si>
    <t>436001</t>
  </si>
  <si>
    <t>SALES - WHOLESALE - Used Equip</t>
  </si>
  <si>
    <t>436002</t>
  </si>
  <si>
    <t>SALES - WHOLESALE - Parts</t>
  </si>
  <si>
    <t>439000</t>
  </si>
  <si>
    <t>SALES - TRADE-IN OVERALLOW</t>
  </si>
  <si>
    <t>701000</t>
  </si>
  <si>
    <t>GAIN/LOSS ON SALE OF ASSET</t>
  </si>
  <si>
    <t>702000</t>
  </si>
  <si>
    <t>MISCELLANEOUS INCOME</t>
  </si>
  <si>
    <t>703000</t>
  </si>
  <si>
    <t>A/R DISCOUNTS ALLOWED</t>
  </si>
  <si>
    <t>704000</t>
  </si>
  <si>
    <t>A/P DISCOUNTS TAKEN</t>
  </si>
  <si>
    <t>705000</t>
  </si>
  <si>
    <t>PARTS DISCOUNTS</t>
  </si>
  <si>
    <t>Acct</t>
  </si>
  <si>
    <t>Description</t>
  </si>
  <si>
    <t>10/1/2025</t>
  </si>
  <si>
    <t xml:space="preserve">New </t>
  </si>
  <si>
    <t>Transport</t>
  </si>
  <si>
    <t>Admin</t>
  </si>
  <si>
    <t>Rental COGs are not tracked short term and long term, all have been entered under short term on expenses sheet
Re-Rent sales are included in short term rentals
All of our G&amp;A expenses have been reallocated as overhead to the other departments, we will work on splitting those 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</si>
</sst>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5" formatCode="&quot;$&quot;#,##0_);\(&quot;$&quot;#,##0\)"/>
    <numFmt numFmtId="6" formatCode="&quot;$&quot;#,##0_);[Red]\(&quot;$&quot;#,##0\)"/>
    <numFmt numFmtId="7" formatCode="&quot;$&quot;#,##0.00_);\(&quot;$&quot;#,##0.00\)"/>
    <numFmt numFmtId="8" formatCode="&quot;$&quot;#,##0.00_);[Red]\(&quot;$&quot;#,##0.00\)"/>
    <numFmt numFmtId="44" formatCode="_(&quot;$&quot;* #,##0.00_);_(&quot;$&quot;* \(#,##0.00\);_(&quot;$&quot;* &quot;-&quot;??_);_(@_)"/>
    <numFmt numFmtId="43" formatCode="_(* #,##0.00_);_(* \(#,##0.00\);_(* &quot;-&quot;??_);_(@_)"/>
    <numFmt numFmtId="164" formatCode="_(&quot;$&quot;* #,##0_);_(&quot;$&quot;* \(#,##0\);_(&quot;$&quot;* &quot;-&quot;??_);_(@_)"/>
    <numFmt numFmtId="165" formatCode="&quot;$&quot;#,##0"/>
    <numFmt numFmtId="166" formatCode="0.0"/>
    <numFmt numFmtId="167" formatCode="0.0%"/>
    <numFmt numFmtId="168" formatCode="&quot;$&quot;#,##0\ ;\(&quot;$&quot;#,##0\)"/>
    <numFmt numFmtId="169" formatCode="#,##0.0_);\(#,##0.0\)"/>
    <numFmt numFmtId="170" formatCode="#,##0.0_);[Red]\(#,##0.0\)"/>
    <numFmt numFmtId="171" formatCode="0.0\ &quot;:1&quot;"/>
    <numFmt numFmtId="172" formatCode="&quot;$&quot;#,##0.00"/>
    <numFmt numFmtId="173" formatCode="_(* #,##0_);_(* \(#,##0\);_(* &quot;-&quot;??_);_(@_)"/>
  </numFmts>
  <fonts count="69">
    <font>
      <sz val="11"/>
      <color theme="1"/>
      <name val="Calibri"/>
      <family val="2"/>
      <scheme val="minor"/>
    </font>
    <font>
      <sz val="11"/>
      <color theme="1"/>
      <name val="Calibri"/>
      <family val="2"/>
      <scheme val="minor"/>
    </font>
    <font>
      <sz val="12"/>
      <name val="Arial"/>
      <family val="2"/>
    </font>
    <font>
      <u/>
      <sz val="10"/>
      <color indexed="12"/>
      <name val="Arial"/>
      <family val="2"/>
    </font>
    <font>
      <b/>
      <sz val="12"/>
      <name val="Arial"/>
      <family val="2"/>
    </font>
    <font>
      <i/>
      <sz val="12"/>
      <name val="Arial"/>
      <family val="2"/>
    </font>
    <font>
      <sz val="10"/>
      <name val="Arial"/>
      <family val="2"/>
    </font>
    <font>
      <b/>
      <sz val="10"/>
      <name val="Arial"/>
      <family val="2"/>
    </font>
    <font>
      <sz val="12"/>
      <color indexed="57"/>
      <name val="Arial"/>
      <family val="2"/>
    </font>
    <font>
      <sz val="12"/>
      <color indexed="8"/>
      <name val="Arial"/>
      <family val="2"/>
    </font>
    <font>
      <b/>
      <i/>
      <sz val="10"/>
      <name val="Arial"/>
      <family val="2"/>
    </font>
    <font>
      <b/>
      <sz val="14"/>
      <name val="Arial"/>
      <family val="2"/>
    </font>
    <font>
      <sz val="10"/>
      <color indexed="12"/>
      <name val="Arial"/>
      <family val="2"/>
    </font>
    <font>
      <sz val="10"/>
      <color indexed="9"/>
      <name val="Arial"/>
      <family val="2"/>
    </font>
    <font>
      <sz val="8"/>
      <name val="Arial"/>
      <family val="2"/>
    </font>
    <font>
      <b/>
      <sz val="14"/>
      <color indexed="56"/>
      <name val="BergamoSmCaps"/>
    </font>
    <font>
      <b/>
      <i/>
      <sz val="14"/>
      <color rgb="FFC00000"/>
      <name val="Times New Roman"/>
      <family val="1"/>
    </font>
    <font>
      <sz val="12"/>
      <color theme="1"/>
      <name val="Times New Roman"/>
      <family val="1"/>
    </font>
    <font>
      <b/>
      <i/>
      <sz val="11"/>
      <color theme="1"/>
      <name val="Times New Roman"/>
      <family val="1"/>
    </font>
    <font>
      <b/>
      <sz val="12"/>
      <color theme="1"/>
      <name val="Times New Roman"/>
      <family val="1"/>
    </font>
    <font>
      <sz val="11"/>
      <color theme="1"/>
      <name val="Times New Roman"/>
      <family val="1"/>
    </font>
    <font>
      <b/>
      <sz val="12"/>
      <color rgb="FFFF0000"/>
      <name val="Times New Roman"/>
      <family val="1"/>
    </font>
    <font>
      <sz val="12"/>
      <name val="Times New Roman"/>
      <family val="1"/>
    </font>
    <font>
      <u/>
      <sz val="12"/>
      <color indexed="48"/>
      <name val="Times New Roman"/>
      <family val="1"/>
    </font>
    <font>
      <b/>
      <sz val="12"/>
      <name val="Times New Roman"/>
      <family val="1"/>
    </font>
    <font>
      <i/>
      <sz val="12"/>
      <name val="Times New Roman"/>
      <family val="1"/>
    </font>
    <font>
      <b/>
      <sz val="12"/>
      <color indexed="30"/>
      <name val="Times New Roman"/>
      <family val="1"/>
    </font>
    <font>
      <b/>
      <sz val="12"/>
      <color indexed="9"/>
      <name val="Times New Roman"/>
      <family val="1"/>
    </font>
    <font>
      <sz val="12"/>
      <color indexed="57"/>
      <name val="Times New Roman"/>
      <family val="1"/>
    </font>
    <font>
      <u/>
      <sz val="12"/>
      <name val="Times New Roman"/>
      <family val="1"/>
    </font>
    <font>
      <sz val="12"/>
      <color indexed="10"/>
      <name val="Times New Roman"/>
      <family val="1"/>
    </font>
    <font>
      <sz val="8"/>
      <color indexed="57"/>
      <name val="Times New Roman"/>
      <family val="1"/>
    </font>
    <font>
      <b/>
      <i/>
      <sz val="12"/>
      <name val="Times New Roman"/>
      <family val="1"/>
    </font>
    <font>
      <sz val="12"/>
      <color indexed="60"/>
      <name val="Arial"/>
      <family val="2"/>
    </font>
    <font>
      <b/>
      <sz val="12"/>
      <color indexed="57"/>
      <name val="Arial"/>
      <family val="2"/>
    </font>
    <font>
      <b/>
      <sz val="10"/>
      <color theme="0"/>
      <name val="Arial"/>
      <family val="2"/>
    </font>
    <font>
      <sz val="10"/>
      <color theme="0"/>
      <name val="Arial"/>
      <family val="2"/>
    </font>
    <font>
      <sz val="12"/>
      <color rgb="FFFF0000"/>
      <name val="Times New Roman"/>
      <family val="1"/>
    </font>
    <font>
      <sz val="11"/>
      <color rgb="FF002060"/>
      <name val="Calibri"/>
      <family val="2"/>
      <scheme val="minor"/>
    </font>
    <font>
      <b/>
      <sz val="10"/>
      <color rgb="FF002060"/>
      <name val="BergamoSmCaps"/>
    </font>
    <font>
      <i/>
      <sz val="12"/>
      <color rgb="FFFF0000"/>
      <name val="Times New Roman"/>
      <family val="1"/>
    </font>
    <font>
      <b/>
      <u/>
      <sz val="14"/>
      <name val="Times New Roman"/>
      <family val="1"/>
    </font>
    <font>
      <sz val="8"/>
      <color theme="1"/>
      <name val="Times New Roman"/>
      <family val="1"/>
    </font>
    <font>
      <b/>
      <i/>
      <sz val="16"/>
      <color rgb="FF002060"/>
      <name val="Calibri"/>
      <family val="2"/>
      <scheme val="minor"/>
    </font>
    <font>
      <b/>
      <sz val="12"/>
      <color theme="0"/>
      <name val="Times New Roman"/>
      <family val="1"/>
    </font>
    <font>
      <sz val="20"/>
      <color theme="1"/>
      <name val="Times New Roman"/>
      <family val="1"/>
    </font>
    <font>
      <b/>
      <i/>
      <sz val="12"/>
      <color rgb="FFFF0000"/>
      <name val="Times New Roman"/>
      <family val="1"/>
    </font>
    <font>
      <sz val="9"/>
      <color indexed="81"/>
      <name val="Tahoma"/>
      <family val="2"/>
    </font>
    <font>
      <b/>
      <sz val="9"/>
      <color indexed="81"/>
      <name val="Tahoma"/>
      <family val="2"/>
    </font>
    <font>
      <b/>
      <sz val="10"/>
      <name val="Times New Roman"/>
      <family val="1"/>
    </font>
    <font>
      <sz val="16"/>
      <name val="Times New Roman"/>
      <family val="1"/>
    </font>
    <font>
      <b/>
      <sz val="12"/>
      <color theme="0"/>
      <name val="Arial"/>
      <family val="2"/>
    </font>
    <font>
      <sz val="12"/>
      <color theme="0"/>
      <name val="Arial"/>
      <family val="2"/>
    </font>
    <font>
      <sz val="12"/>
      <name val="Arial"/>
      <family val="2"/>
    </font>
    <font>
      <b/>
      <sz val="12"/>
      <color theme="0"/>
      <name val="Arial"/>
      <family val="2"/>
    </font>
    <font>
      <b/>
      <sz val="12"/>
      <name val="Arial"/>
      <family val="2"/>
    </font>
    <font>
      <sz val="12"/>
      <color rgb="FF000000"/>
      <name val="Arial"/>
      <family val="2"/>
    </font>
    <font>
      <b/>
      <sz val="12"/>
      <color rgb="FF0066CC"/>
      <name val="Times New Roman"/>
      <family val="1"/>
    </font>
    <font>
      <i/>
      <sz val="12"/>
      <color theme="1"/>
      <name val="Times New Roman"/>
      <family val="1"/>
    </font>
    <font>
      <i/>
      <sz val="11"/>
      <color theme="1"/>
      <name val="Calibri"/>
      <family val="2"/>
      <scheme val="minor"/>
    </font>
    <font>
      <i/>
      <sz val="11"/>
      <name val="Times New Roman"/>
      <family val="1"/>
    </font>
    <font>
      <sz val="9"/>
      <name val="Arial"/>
      <family val="2"/>
    </font>
    <font>
      <sz val="8"/>
      <name val="Calibri"/>
      <family val="2"/>
      <scheme val="minor"/>
    </font>
    <font>
      <sz val="11"/>
      <color indexed="8"/>
      <name val="Calibri"/>
      <family val="2"/>
      <scheme val="minor"/>
    </font>
    <font>
      <sz val="10"/>
      <color rgb="FF000000"/>
      <name val="Arial"/>
      <family val="2"/>
    </font>
    <font>
      <b/>
      <sz val="10"/>
      <color rgb="FF000000"/>
      <name val="Arial"/>
      <family val="2"/>
    </font>
    <font>
      <sz val="11"/>
      <color rgb="FF000000"/>
      <name val="Calibri"/>
      <family val="2"/>
    </font>
    <font>
      <b/>
      <sz val="8"/>
      <color indexed="81"/>
      <name val="Tahoma"/>
      <family val="2"/>
    </font>
    <font>
      <sz val="8"/>
      <color indexed="81"/>
      <name val="Tahoma"/>
      <family val="2"/>
    </font>
  </fonts>
  <fills count="19">
    <fill>
      <patternFill patternType="none"/>
    </fill>
    <fill>
      <patternFill patternType="gray125"/>
    </fill>
    <fill>
      <patternFill patternType="solid">
        <fgColor indexed="22"/>
        <bgColor indexed="64"/>
      </patternFill>
    </fill>
    <fill>
      <patternFill patternType="solid">
        <fgColor indexed="8"/>
        <bgColor indexed="64"/>
      </patternFill>
    </fill>
    <fill>
      <patternFill patternType="solid">
        <fgColor indexed="8"/>
        <bgColor indexed="8"/>
      </patternFill>
    </fill>
    <fill>
      <patternFill patternType="solid">
        <fgColor indexed="22"/>
        <bgColor indexed="8"/>
      </patternFill>
    </fill>
    <fill>
      <patternFill patternType="solid">
        <fgColor indexed="13"/>
        <bgColor indexed="64"/>
      </patternFill>
    </fill>
    <fill>
      <patternFill patternType="solid">
        <fgColor indexed="56"/>
        <bgColor indexed="64"/>
      </patternFill>
    </fill>
    <fill>
      <patternFill patternType="solid">
        <fgColor rgb="FF002060"/>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8" tint="0.79998168889431442"/>
        <bgColor indexed="8"/>
      </patternFill>
    </fill>
    <fill>
      <patternFill patternType="solid">
        <fgColor rgb="FFC00000"/>
        <bgColor indexed="64"/>
      </patternFill>
    </fill>
    <fill>
      <patternFill patternType="solid">
        <fgColor rgb="FFFFCCFF"/>
        <bgColor indexed="64"/>
      </patternFill>
    </fill>
    <fill>
      <patternFill patternType="solid">
        <fgColor rgb="FFFFCCFF"/>
        <bgColor indexed="8"/>
      </patternFill>
    </fill>
    <fill>
      <patternFill patternType="solid">
        <fgColor rgb="FFFFFF00"/>
        <bgColor indexed="64"/>
      </patternFill>
    </fill>
    <fill>
      <patternFill patternType="solid">
        <fgColor rgb="FFD9E1F2"/>
        <bgColor rgb="FF000000"/>
      </patternFill>
    </fill>
    <fill>
      <patternFill patternType="solid">
        <fgColor rgb="FFDDEBF7"/>
        <bgColor rgb="FF000000"/>
      </patternFill>
    </fill>
    <fill>
      <patternFill patternType="solid">
        <fgColor rgb="FFD9E1F2"/>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top style="medium">
        <color indexed="64"/>
      </top>
      <bottom/>
      <diagonal/>
    </border>
    <border>
      <left/>
      <right style="medium">
        <color indexed="64"/>
      </right>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right/>
      <top/>
      <bottom style="double">
        <color indexed="8"/>
      </bottom>
      <diagonal/>
    </border>
    <border>
      <left/>
      <right/>
      <top/>
      <bottom style="double">
        <color indexed="64"/>
      </bottom>
      <diagonal/>
    </border>
    <border>
      <left style="thin">
        <color indexed="64"/>
      </left>
      <right style="thin">
        <color indexed="64"/>
      </right>
      <top style="double">
        <color indexed="8"/>
      </top>
      <bottom/>
      <diagonal/>
    </border>
    <border>
      <left/>
      <right/>
      <top/>
      <bottom style="medium">
        <color indexed="64"/>
      </bottom>
      <diagonal/>
    </border>
    <border>
      <left style="thin">
        <color indexed="64"/>
      </left>
      <right style="thin">
        <color indexed="64"/>
      </right>
      <top style="double">
        <color indexed="64"/>
      </top>
      <bottom/>
      <diagonal/>
    </border>
    <border>
      <left style="thin">
        <color indexed="64"/>
      </left>
      <right style="thin">
        <color indexed="64"/>
      </right>
      <top style="thin">
        <color indexed="8"/>
      </top>
      <bottom/>
      <diagonal/>
    </border>
    <border>
      <left/>
      <right/>
      <top style="medium">
        <color indexed="64"/>
      </top>
      <bottom/>
      <diagonal/>
    </border>
    <border>
      <left style="thin">
        <color indexed="64"/>
      </left>
      <right style="medium">
        <color indexed="64"/>
      </right>
      <top style="thin">
        <color indexed="64"/>
      </top>
      <bottom style="thin">
        <color indexed="64"/>
      </bottom>
      <diagonal/>
    </border>
    <border>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auto="1"/>
      </left>
      <right style="medium">
        <color auto="1"/>
      </right>
      <top/>
      <bottom style="thin">
        <color auto="1"/>
      </bottom>
      <diagonal/>
    </border>
    <border>
      <left/>
      <right/>
      <top/>
      <bottom style="thin">
        <color auto="1"/>
      </bottom>
      <diagonal/>
    </border>
    <border>
      <left style="thin">
        <color indexed="64"/>
      </left>
      <right/>
      <top/>
      <bottom style="thin">
        <color indexed="64"/>
      </bottom>
      <diagonal/>
    </border>
    <border>
      <left style="medium">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medium">
        <color auto="1"/>
      </right>
      <top/>
      <bottom style="thin">
        <color auto="1"/>
      </bottom>
      <diagonal/>
    </border>
    <border>
      <left/>
      <right style="medium">
        <color auto="1"/>
      </right>
      <top/>
      <bottom style="thin">
        <color auto="1"/>
      </bottom>
      <diagonal/>
    </border>
    <border>
      <left style="thin">
        <color indexed="64"/>
      </left>
      <right style="thin">
        <color indexed="64"/>
      </right>
      <top/>
      <bottom style="thin">
        <color indexed="8"/>
      </bottom>
      <diagonal/>
    </border>
    <border>
      <left/>
      <right style="thin">
        <color indexed="64"/>
      </right>
      <top/>
      <bottom style="thin">
        <color indexed="64"/>
      </bottom>
      <diagonal/>
    </border>
  </borders>
  <cellStyleXfs count="23">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3" fillId="0" borderId="0" applyNumberFormat="0" applyFill="0" applyBorder="0" applyAlignment="0" applyProtection="0">
      <alignment vertical="top"/>
      <protection locked="0"/>
    </xf>
    <xf numFmtId="3" fontId="6" fillId="0" borderId="0" applyFont="0" applyFill="0" applyBorder="0" applyAlignment="0" applyProtection="0"/>
    <xf numFmtId="168"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3"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168" fontId="6" fillId="0" borderId="0" applyFont="0" applyFill="0" applyBorder="0" applyAlignment="0" applyProtection="0"/>
    <xf numFmtId="0" fontId="3" fillId="0" borderId="0" applyNumberFormat="0" applyFill="0" applyBorder="0" applyAlignment="0" applyProtection="0">
      <alignment vertical="top"/>
      <protection locked="0"/>
    </xf>
    <xf numFmtId="9" fontId="6" fillId="0" borderId="0" applyFont="0" applyFill="0" applyBorder="0" applyAlignment="0" applyProtection="0"/>
    <xf numFmtId="9" fontId="6" fillId="0" borderId="0" applyFont="0" applyFill="0" applyBorder="0" applyAlignment="0" applyProtection="0"/>
    <xf numFmtId="0" fontId="61" fillId="0" borderId="0"/>
    <xf numFmtId="0" fontId="63" fillId="0" borderId="0"/>
    <xf numFmtId="0" fontId="66" fillId="0" borderId="0">
      <alignment wrapText="1"/>
    </xf>
    <xf numFmtId="43" fontId="66" fillId="0" borderId="0" applyFont="0" applyFill="0" applyBorder="0" applyAlignment="0" applyProtection="0"/>
    <xf numFmtId="44" fontId="66" fillId="0" borderId="0" applyFont="0" applyFill="0" applyBorder="0" applyAlignment="0" applyProtection="0"/>
    <xf numFmtId="9" fontId="66" fillId="0" borderId="0" applyFont="0" applyFill="0" applyBorder="0" applyAlignment="0" applyProtection="0"/>
  </cellStyleXfs>
  <cellXfs count="453">
    <xf numFmtId="0" fontId="0" fillId="0" borderId="0" xfId="0"/>
    <xf numFmtId="0" fontId="0" fillId="0" borderId="0" xfId="0" applyProtection="1">
      <protection hidden="1"/>
    </xf>
    <xf numFmtId="0" fontId="2" fillId="0" borderId="0" xfId="0" applyFont="1" applyProtection="1">
      <protection hidden="1"/>
    </xf>
    <xf numFmtId="0" fontId="6" fillId="0" borderId="0" xfId="0" applyFont="1" applyProtection="1">
      <protection hidden="1"/>
    </xf>
    <xf numFmtId="0" fontId="7" fillId="0" borderId="11" xfId="0" applyFont="1" applyBorder="1" applyAlignment="1" applyProtection="1">
      <alignment horizontal="center" vertical="center"/>
      <protection hidden="1"/>
    </xf>
    <xf numFmtId="0" fontId="7" fillId="0" borderId="14" xfId="0" applyFont="1" applyBorder="1" applyProtection="1">
      <protection hidden="1"/>
    </xf>
    <xf numFmtId="0" fontId="10" fillId="0" borderId="14" xfId="0" applyFont="1" applyBorder="1" applyProtection="1">
      <protection hidden="1"/>
    </xf>
    <xf numFmtId="165" fontId="7" fillId="0" borderId="18" xfId="0" applyNumberFormat="1" applyFont="1" applyBorder="1" applyAlignment="1" applyProtection="1">
      <alignment vertical="center"/>
      <protection hidden="1"/>
    </xf>
    <xf numFmtId="0" fontId="25" fillId="0" borderId="0" xfId="0" applyFont="1" applyAlignment="1" applyProtection="1">
      <alignment horizontal="center"/>
      <protection hidden="1"/>
    </xf>
    <xf numFmtId="0" fontId="24" fillId="0" borderId="0" xfId="0" applyFont="1" applyAlignment="1" applyProtection="1">
      <alignment horizontal="center"/>
      <protection hidden="1"/>
    </xf>
    <xf numFmtId="0" fontId="24" fillId="0" borderId="0" xfId="0" applyFont="1" applyProtection="1">
      <protection hidden="1"/>
    </xf>
    <xf numFmtId="0" fontId="24" fillId="0" borderId="1" xfId="0" applyFont="1" applyBorder="1" applyAlignment="1" applyProtection="1">
      <alignment horizontal="left"/>
      <protection hidden="1"/>
    </xf>
    <xf numFmtId="0" fontId="27" fillId="0" borderId="0" xfId="0" applyFont="1" applyProtection="1">
      <protection hidden="1"/>
    </xf>
    <xf numFmtId="164" fontId="28" fillId="0" borderId="9" xfId="2" applyNumberFormat="1" applyFont="1" applyBorder="1" applyAlignment="1" applyProtection="1">
      <alignment horizontal="right"/>
      <protection hidden="1"/>
    </xf>
    <xf numFmtId="164" fontId="28" fillId="3" borderId="9" xfId="2" applyNumberFormat="1" applyFont="1" applyFill="1" applyBorder="1" applyAlignment="1" applyProtection="1">
      <alignment horizontal="right"/>
      <protection hidden="1"/>
    </xf>
    <xf numFmtId="164" fontId="23" fillId="0" borderId="0" xfId="4" applyNumberFormat="1" applyFont="1" applyAlignment="1" applyProtection="1">
      <alignment horizontal="right"/>
      <protection hidden="1"/>
    </xf>
    <xf numFmtId="5" fontId="23" fillId="0" borderId="0" xfId="4" applyNumberFormat="1" applyFont="1" applyAlignment="1" applyProtection="1">
      <alignment horizontal="right"/>
      <protection hidden="1"/>
    </xf>
    <xf numFmtId="5" fontId="29" fillId="0" borderId="0" xfId="4" applyNumberFormat="1" applyFont="1" applyFill="1" applyAlignment="1" applyProtection="1">
      <alignment horizontal="left"/>
      <protection hidden="1"/>
    </xf>
    <xf numFmtId="164" fontId="28" fillId="0" borderId="0" xfId="2" applyNumberFormat="1" applyFont="1" applyBorder="1" applyAlignment="1" applyProtection="1">
      <alignment horizontal="right" vertical="center"/>
      <protection hidden="1"/>
    </xf>
    <xf numFmtId="0" fontId="22" fillId="0" borderId="0" xfId="0" applyFont="1" applyProtection="1">
      <protection hidden="1"/>
    </xf>
    <xf numFmtId="165" fontId="22" fillId="0" borderId="0" xfId="5" applyNumberFormat="1" applyFont="1" applyBorder="1" applyAlignment="1" applyProtection="1">
      <alignment horizontal="right"/>
      <protection hidden="1"/>
    </xf>
    <xf numFmtId="0" fontId="25" fillId="0" borderId="0" xfId="0" applyFont="1" applyProtection="1">
      <protection hidden="1"/>
    </xf>
    <xf numFmtId="0" fontId="17" fillId="0" borderId="0" xfId="0" applyFont="1" applyProtection="1">
      <protection hidden="1"/>
    </xf>
    <xf numFmtId="3" fontId="24" fillId="0" borderId="0" xfId="5" applyFont="1" applyFill="1" applyBorder="1" applyAlignment="1" applyProtection="1">
      <alignment horizontal="right"/>
      <protection hidden="1"/>
    </xf>
    <xf numFmtId="0" fontId="28" fillId="0" borderId="4" xfId="0" applyFont="1" applyBorder="1" applyProtection="1">
      <protection hidden="1"/>
    </xf>
    <xf numFmtId="0" fontId="22" fillId="0" borderId="4" xfId="0" applyFont="1" applyBorder="1" applyProtection="1">
      <protection hidden="1"/>
    </xf>
    <xf numFmtId="0" fontId="22" fillId="0" borderId="7" xfId="0" applyFont="1" applyBorder="1" applyProtection="1">
      <protection hidden="1"/>
    </xf>
    <xf numFmtId="0" fontId="28" fillId="0" borderId="7" xfId="0" applyFont="1" applyBorder="1" applyProtection="1">
      <protection hidden="1"/>
    </xf>
    <xf numFmtId="3" fontId="22" fillId="0" borderId="7" xfId="1" applyNumberFormat="1" applyFont="1" applyBorder="1" applyAlignment="1" applyProtection="1">
      <protection hidden="1"/>
    </xf>
    <xf numFmtId="0" fontId="28" fillId="3" borderId="4" xfId="0" applyFont="1" applyFill="1" applyBorder="1" applyProtection="1">
      <protection hidden="1"/>
    </xf>
    <xf numFmtId="0" fontId="28" fillId="0" borderId="4" xfId="0" applyFont="1" applyBorder="1" applyAlignment="1" applyProtection="1">
      <alignment horizontal="left"/>
      <protection hidden="1"/>
    </xf>
    <xf numFmtId="0" fontId="28" fillId="0" borderId="7" xfId="0" applyFont="1" applyBorder="1" applyAlignment="1" applyProtection="1">
      <alignment horizontal="left"/>
      <protection hidden="1"/>
    </xf>
    <xf numFmtId="0" fontId="22" fillId="0" borderId="7" xfId="0" applyFont="1" applyBorder="1" applyAlignment="1" applyProtection="1">
      <alignment horizontal="left"/>
      <protection hidden="1"/>
    </xf>
    <xf numFmtId="164" fontId="31" fillId="0" borderId="9" xfId="2" applyNumberFormat="1" applyFont="1" applyBorder="1" applyAlignment="1" applyProtection="1">
      <alignment horizontal="left"/>
      <protection hidden="1"/>
    </xf>
    <xf numFmtId="164" fontId="31" fillId="0" borderId="1" xfId="2" applyNumberFormat="1" applyFont="1" applyBorder="1" applyAlignment="1" applyProtection="1">
      <alignment horizontal="right"/>
      <protection hidden="1"/>
    </xf>
    <xf numFmtId="0" fontId="17" fillId="8" borderId="0" xfId="0" applyFont="1" applyFill="1" applyProtection="1">
      <protection hidden="1"/>
    </xf>
    <xf numFmtId="0" fontId="22" fillId="0" borderId="0" xfId="0" applyFont="1" applyAlignment="1" applyProtection="1">
      <alignment horizontal="center"/>
      <protection hidden="1"/>
    </xf>
    <xf numFmtId="0" fontId="32" fillId="0" borderId="0" xfId="0" applyFont="1" applyProtection="1">
      <protection hidden="1"/>
    </xf>
    <xf numFmtId="0" fontId="17" fillId="0" borderId="0" xfId="0" applyFont="1" applyAlignment="1" applyProtection="1">
      <alignment horizontal="left"/>
      <protection hidden="1"/>
    </xf>
    <xf numFmtId="3" fontId="27" fillId="0" borderId="0" xfId="5" applyFont="1" applyFill="1" applyBorder="1" applyAlignment="1" applyProtection="1">
      <alignment horizontal="right"/>
      <protection hidden="1"/>
    </xf>
    <xf numFmtId="0" fontId="24" fillId="2" borderId="9" xfId="0" applyFont="1" applyFill="1" applyBorder="1" applyProtection="1">
      <protection hidden="1"/>
    </xf>
    <xf numFmtId="0" fontId="24" fillId="2" borderId="9" xfId="0" applyFont="1" applyFill="1" applyBorder="1" applyAlignment="1" applyProtection="1">
      <alignment horizontal="center"/>
      <protection hidden="1"/>
    </xf>
    <xf numFmtId="0" fontId="24" fillId="2" borderId="5" xfId="0" applyFont="1" applyFill="1" applyBorder="1" applyAlignment="1" applyProtection="1">
      <alignment horizontal="center"/>
      <protection hidden="1"/>
    </xf>
    <xf numFmtId="0" fontId="22" fillId="0" borderId="10" xfId="0" applyFont="1" applyBorder="1" applyProtection="1">
      <protection hidden="1"/>
    </xf>
    <xf numFmtId="44" fontId="17" fillId="0" borderId="0" xfId="0" applyNumberFormat="1" applyFont="1" applyProtection="1">
      <protection hidden="1"/>
    </xf>
    <xf numFmtId="44" fontId="17" fillId="0" borderId="0" xfId="0" quotePrefix="1" applyNumberFormat="1" applyFont="1" applyProtection="1">
      <protection hidden="1"/>
    </xf>
    <xf numFmtId="0" fontId="28" fillId="0" borderId="1" xfId="0" applyFont="1" applyBorder="1" applyProtection="1">
      <protection hidden="1"/>
    </xf>
    <xf numFmtId="0" fontId="28" fillId="0" borderId="0" xfId="0" applyFont="1" applyProtection="1">
      <protection hidden="1"/>
    </xf>
    <xf numFmtId="6" fontId="2" fillId="0" borderId="1" xfId="2" applyNumberFormat="1" applyFont="1" applyFill="1" applyBorder="1" applyAlignment="1" applyProtection="1">
      <alignment horizontal="right"/>
      <protection hidden="1"/>
    </xf>
    <xf numFmtId="170" fontId="8" fillId="0" borderId="10" xfId="0" applyNumberFormat="1" applyFont="1" applyBorder="1" applyAlignment="1" applyProtection="1">
      <alignment horizontal="center"/>
      <protection hidden="1"/>
    </xf>
    <xf numFmtId="170" fontId="8" fillId="0" borderId="1" xfId="0" applyNumberFormat="1" applyFont="1" applyBorder="1" applyAlignment="1" applyProtection="1">
      <alignment horizontal="center"/>
      <protection hidden="1"/>
    </xf>
    <xf numFmtId="170" fontId="34" fillId="0" borderId="1" xfId="0" applyNumberFormat="1" applyFont="1" applyBorder="1" applyAlignment="1" applyProtection="1">
      <alignment horizontal="center"/>
      <protection hidden="1"/>
    </xf>
    <xf numFmtId="6" fontId="8" fillId="0" borderId="10" xfId="0" applyNumberFormat="1" applyFont="1" applyBorder="1" applyAlignment="1" applyProtection="1">
      <alignment horizontal="right"/>
      <protection hidden="1"/>
    </xf>
    <xf numFmtId="6" fontId="8" fillId="0" borderId="1" xfId="5" applyNumberFormat="1" applyFont="1" applyBorder="1" applyAlignment="1" applyProtection="1">
      <alignment horizontal="right"/>
      <protection hidden="1"/>
    </xf>
    <xf numFmtId="6" fontId="8" fillId="0" borderId="3" xfId="5" applyNumberFormat="1" applyFont="1" applyBorder="1" applyAlignment="1" applyProtection="1">
      <alignment horizontal="right"/>
      <protection hidden="1"/>
    </xf>
    <xf numFmtId="6" fontId="17" fillId="8" borderId="0" xfId="0" applyNumberFormat="1" applyFont="1" applyFill="1" applyProtection="1">
      <protection hidden="1"/>
    </xf>
    <xf numFmtId="6" fontId="22" fillId="0" borderId="0" xfId="0" applyNumberFormat="1" applyFont="1" applyProtection="1">
      <protection hidden="1"/>
    </xf>
    <xf numFmtId="6" fontId="22" fillId="0" borderId="0" xfId="0" applyNumberFormat="1" applyFont="1" applyAlignment="1" applyProtection="1">
      <alignment horizontal="center"/>
      <protection hidden="1"/>
    </xf>
    <xf numFmtId="6" fontId="24" fillId="0" borderId="0" xfId="0" applyNumberFormat="1" applyFont="1" applyProtection="1">
      <protection hidden="1"/>
    </xf>
    <xf numFmtId="6" fontId="26" fillId="9" borderId="1" xfId="0" applyNumberFormat="1" applyFont="1" applyFill="1" applyBorder="1" applyProtection="1">
      <protection locked="0"/>
    </xf>
    <xf numFmtId="6" fontId="22" fillId="0" borderId="0" xfId="1" applyNumberFormat="1" applyFont="1" applyProtection="1">
      <protection hidden="1"/>
    </xf>
    <xf numFmtId="6" fontId="22" fillId="0" borderId="23" xfId="1" applyNumberFormat="1" applyFont="1" applyBorder="1" applyProtection="1">
      <protection hidden="1"/>
    </xf>
    <xf numFmtId="6" fontId="17" fillId="0" borderId="0" xfId="0" applyNumberFormat="1" applyFont="1" applyProtection="1">
      <protection hidden="1"/>
    </xf>
    <xf numFmtId="6" fontId="22" fillId="0" borderId="0" xfId="1" applyNumberFormat="1" applyFont="1" applyBorder="1" applyProtection="1">
      <protection hidden="1"/>
    </xf>
    <xf numFmtId="0" fontId="24" fillId="2" borderId="4" xfId="0" applyFont="1" applyFill="1" applyBorder="1" applyProtection="1">
      <protection hidden="1"/>
    </xf>
    <xf numFmtId="3" fontId="24" fillId="5" borderId="6" xfId="5" applyFont="1" applyFill="1" applyBorder="1" applyAlignment="1" applyProtection="1">
      <alignment horizontal="right"/>
      <protection hidden="1"/>
    </xf>
    <xf numFmtId="0" fontId="30" fillId="0" borderId="0" xfId="0" applyFont="1" applyProtection="1">
      <protection hidden="1"/>
    </xf>
    <xf numFmtId="0" fontId="22" fillId="0" borderId="7" xfId="0" applyFont="1" applyBorder="1" applyAlignment="1" applyProtection="1">
      <alignment horizontal="left" vertical="center"/>
      <protection hidden="1"/>
    </xf>
    <xf numFmtId="6" fontId="6" fillId="0" borderId="0" xfId="0" applyNumberFormat="1" applyFont="1" applyProtection="1">
      <protection hidden="1"/>
    </xf>
    <xf numFmtId="167" fontId="6" fillId="0" borderId="0" xfId="0" applyNumberFormat="1" applyFont="1" applyProtection="1">
      <protection hidden="1"/>
    </xf>
    <xf numFmtId="0" fontId="22" fillId="0" borderId="0" xfId="0" applyFont="1" applyAlignment="1" applyProtection="1">
      <alignment vertical="center"/>
      <protection hidden="1"/>
    </xf>
    <xf numFmtId="0" fontId="24" fillId="0" borderId="10" xfId="0" applyFont="1" applyBorder="1" applyAlignment="1" applyProtection="1">
      <alignment horizontal="left"/>
      <protection hidden="1"/>
    </xf>
    <xf numFmtId="0" fontId="24" fillId="0" borderId="10" xfId="0" applyFont="1" applyBorder="1" applyProtection="1">
      <protection hidden="1"/>
    </xf>
    <xf numFmtId="0" fontId="22" fillId="0" borderId="27" xfId="0" applyFont="1" applyBorder="1" applyProtection="1">
      <protection hidden="1"/>
    </xf>
    <xf numFmtId="0" fontId="22" fillId="0" borderId="26" xfId="0" applyFont="1" applyBorder="1" applyProtection="1">
      <protection hidden="1"/>
    </xf>
    <xf numFmtId="0" fontId="2" fillId="0" borderId="22" xfId="0" applyFont="1" applyBorder="1" applyAlignment="1" applyProtection="1">
      <alignment horizontal="center"/>
      <protection hidden="1"/>
    </xf>
    <xf numFmtId="49" fontId="2" fillId="0" borderId="24" xfId="0" applyNumberFormat="1" applyFont="1" applyBorder="1" applyAlignment="1" applyProtection="1">
      <alignment horizontal="center"/>
      <protection hidden="1"/>
    </xf>
    <xf numFmtId="0" fontId="2" fillId="0" borderId="10" xfId="0" applyFont="1" applyBorder="1" applyAlignment="1" applyProtection="1">
      <alignment horizontal="center"/>
      <protection hidden="1"/>
    </xf>
    <xf numFmtId="168" fontId="2" fillId="0" borderId="10" xfId="0" applyNumberFormat="1" applyFont="1" applyBorder="1" applyAlignment="1" applyProtection="1">
      <alignment horizontal="center"/>
      <protection hidden="1"/>
    </xf>
    <xf numFmtId="0" fontId="2" fillId="0" borderId="10" xfId="0" applyFont="1" applyBorder="1" applyProtection="1">
      <protection hidden="1"/>
    </xf>
    <xf numFmtId="167" fontId="2" fillId="0" borderId="10" xfId="3" applyNumberFormat="1" applyFont="1" applyFill="1" applyBorder="1" applyAlignment="1" applyProtection="1">
      <alignment horizontal="center"/>
      <protection hidden="1"/>
    </xf>
    <xf numFmtId="167" fontId="2" fillId="0" borderId="10" xfId="3" applyNumberFormat="1" applyFont="1" applyBorder="1" applyAlignment="1" applyProtection="1">
      <alignment horizontal="center"/>
      <protection hidden="1"/>
    </xf>
    <xf numFmtId="0" fontId="2" fillId="0" borderId="23" xfId="0" applyFont="1" applyBorder="1" applyAlignment="1" applyProtection="1">
      <alignment horizontal="center"/>
      <protection hidden="1"/>
    </xf>
    <xf numFmtId="168" fontId="2" fillId="0" borderId="10" xfId="6" applyFont="1" applyBorder="1" applyAlignment="1" applyProtection="1">
      <alignment horizontal="center"/>
      <protection hidden="1"/>
    </xf>
    <xf numFmtId="167" fontId="2" fillId="0" borderId="10" xfId="0" applyNumberFormat="1" applyFont="1" applyBorder="1" applyAlignment="1" applyProtection="1">
      <alignment horizontal="center"/>
      <protection hidden="1"/>
    </xf>
    <xf numFmtId="166" fontId="2" fillId="0" borderId="10" xfId="1" applyNumberFormat="1" applyFont="1" applyBorder="1" applyAlignment="1" applyProtection="1">
      <alignment horizontal="center"/>
      <protection hidden="1"/>
    </xf>
    <xf numFmtId="0" fontId="2" fillId="0" borderId="0" xfId="0" applyFont="1" applyAlignment="1" applyProtection="1">
      <alignment horizontal="center"/>
      <protection hidden="1"/>
    </xf>
    <xf numFmtId="167" fontId="2" fillId="0" borderId="0" xfId="3" applyNumberFormat="1" applyFont="1" applyFill="1" applyBorder="1" applyAlignment="1" applyProtection="1">
      <alignment horizontal="center"/>
      <protection hidden="1"/>
    </xf>
    <xf numFmtId="0" fontId="2" fillId="0" borderId="27" xfId="0" applyFont="1" applyBorder="1" applyAlignment="1" applyProtection="1">
      <alignment horizontal="center"/>
      <protection hidden="1"/>
    </xf>
    <xf numFmtId="9" fontId="2" fillId="0" borderId="10" xfId="3" applyFont="1" applyBorder="1" applyAlignment="1" applyProtection="1">
      <alignment horizontal="center"/>
      <protection hidden="1"/>
    </xf>
    <xf numFmtId="169" fontId="2" fillId="0" borderId="10" xfId="1" applyNumberFormat="1" applyFont="1" applyBorder="1" applyAlignment="1" applyProtection="1">
      <alignment horizontal="center"/>
      <protection hidden="1"/>
    </xf>
    <xf numFmtId="7" fontId="2" fillId="0" borderId="10" xfId="2" applyNumberFormat="1" applyFont="1" applyBorder="1" applyAlignment="1" applyProtection="1">
      <alignment horizontal="center"/>
      <protection hidden="1"/>
    </xf>
    <xf numFmtId="49" fontId="22" fillId="0" borderId="0" xfId="0" applyNumberFormat="1" applyFont="1" applyProtection="1">
      <protection hidden="1"/>
    </xf>
    <xf numFmtId="0" fontId="0" fillId="0" borderId="0" xfId="0" applyAlignment="1" applyProtection="1">
      <alignment wrapText="1"/>
      <protection hidden="1"/>
    </xf>
    <xf numFmtId="0" fontId="0" fillId="0" borderId="0" xfId="0" applyAlignment="1" applyProtection="1">
      <alignment horizontal="left" wrapText="1"/>
      <protection hidden="1"/>
    </xf>
    <xf numFmtId="0" fontId="20" fillId="0" borderId="0" xfId="0" applyFont="1" applyProtection="1">
      <protection hidden="1"/>
    </xf>
    <xf numFmtId="0" fontId="20" fillId="0" borderId="0" xfId="0" applyFont="1" applyAlignment="1" applyProtection="1">
      <alignment vertical="top"/>
      <protection hidden="1"/>
    </xf>
    <xf numFmtId="0" fontId="40" fillId="0" borderId="0" xfId="0" applyFont="1" applyProtection="1">
      <protection hidden="1"/>
    </xf>
    <xf numFmtId="165" fontId="2" fillId="0" borderId="10" xfId="0" applyNumberFormat="1" applyFont="1" applyBorder="1" applyAlignment="1" applyProtection="1">
      <alignment horizontal="center"/>
      <protection hidden="1"/>
    </xf>
    <xf numFmtId="165" fontId="2" fillId="0" borderId="10" xfId="6" applyNumberFormat="1" applyFont="1" applyBorder="1" applyAlignment="1" applyProtection="1">
      <alignment horizontal="center"/>
      <protection hidden="1"/>
    </xf>
    <xf numFmtId="165" fontId="8" fillId="0" borderId="1" xfId="2" applyNumberFormat="1" applyFont="1" applyBorder="1" applyAlignment="1" applyProtection="1">
      <alignment horizontal="right"/>
      <protection hidden="1"/>
    </xf>
    <xf numFmtId="165" fontId="2" fillId="0" borderId="1" xfId="2" applyNumberFormat="1" applyFont="1" applyFill="1" applyBorder="1" applyAlignment="1" applyProtection="1">
      <alignment horizontal="right"/>
      <protection hidden="1"/>
    </xf>
    <xf numFmtId="0" fontId="41" fillId="8" borderId="0" xfId="0" applyFont="1" applyFill="1" applyAlignment="1" applyProtection="1">
      <alignment horizontal="center"/>
      <protection hidden="1"/>
    </xf>
    <xf numFmtId="170" fontId="17" fillId="0" borderId="0" xfId="0" applyNumberFormat="1" applyFont="1" applyProtection="1">
      <protection hidden="1"/>
    </xf>
    <xf numFmtId="0" fontId="32" fillId="0" borderId="0" xfId="0" applyFont="1" applyAlignment="1" applyProtection="1">
      <alignment horizontal="left" indent="2"/>
      <protection hidden="1"/>
    </xf>
    <xf numFmtId="168" fontId="2" fillId="0" borderId="0" xfId="0" applyNumberFormat="1" applyFont="1" applyAlignment="1" applyProtection="1">
      <alignment horizontal="center"/>
      <protection hidden="1"/>
    </xf>
    <xf numFmtId="10" fontId="17" fillId="0" borderId="0" xfId="3" applyNumberFormat="1" applyFont="1" applyProtection="1">
      <protection hidden="1"/>
    </xf>
    <xf numFmtId="1" fontId="2" fillId="0" borderId="0" xfId="0" applyNumberFormat="1" applyFont="1" applyAlignment="1" applyProtection="1">
      <alignment horizontal="center"/>
      <protection hidden="1"/>
    </xf>
    <xf numFmtId="167" fontId="2" fillId="0" borderId="0" xfId="3" applyNumberFormat="1" applyFont="1" applyBorder="1" applyAlignment="1" applyProtection="1">
      <alignment horizontal="center"/>
      <protection hidden="1"/>
    </xf>
    <xf numFmtId="9" fontId="2" fillId="0" borderId="0" xfId="3" applyFont="1" applyBorder="1" applyAlignment="1" applyProtection="1">
      <alignment horizontal="center"/>
      <protection hidden="1"/>
    </xf>
    <xf numFmtId="167" fontId="2" fillId="0" borderId="0" xfId="0" applyNumberFormat="1" applyFont="1" applyAlignment="1" applyProtection="1">
      <alignment horizontal="center"/>
      <protection hidden="1"/>
    </xf>
    <xf numFmtId="168" fontId="2" fillId="0" borderId="0" xfId="6" applyFont="1" applyBorder="1" applyAlignment="1" applyProtection="1">
      <alignment horizontal="center"/>
      <protection hidden="1"/>
    </xf>
    <xf numFmtId="49" fontId="2" fillId="0" borderId="0" xfId="0" applyNumberFormat="1" applyFont="1" applyAlignment="1" applyProtection="1">
      <alignment horizontal="center"/>
      <protection hidden="1"/>
    </xf>
    <xf numFmtId="0" fontId="4" fillId="0" borderId="0" xfId="0" applyFont="1" applyAlignment="1" applyProtection="1">
      <alignment horizontal="center"/>
      <protection hidden="1"/>
    </xf>
    <xf numFmtId="166" fontId="2" fillId="0" borderId="0" xfId="0" applyNumberFormat="1" applyFont="1" applyAlignment="1" applyProtection="1">
      <alignment horizontal="center"/>
      <protection hidden="1"/>
    </xf>
    <xf numFmtId="169" fontId="2" fillId="0" borderId="0" xfId="1" applyNumberFormat="1" applyFont="1" applyBorder="1" applyAlignment="1" applyProtection="1">
      <alignment horizontal="center"/>
      <protection hidden="1"/>
    </xf>
    <xf numFmtId="7" fontId="2" fillId="0" borderId="0" xfId="2" applyNumberFormat="1" applyFont="1" applyBorder="1" applyAlignment="1" applyProtection="1">
      <alignment horizontal="center"/>
      <protection hidden="1"/>
    </xf>
    <xf numFmtId="165" fontId="2" fillId="0" borderId="10" xfId="2" applyNumberFormat="1" applyFont="1" applyFill="1" applyBorder="1" applyAlignment="1" applyProtection="1">
      <alignment horizontal="center"/>
      <protection hidden="1"/>
    </xf>
    <xf numFmtId="3" fontId="24" fillId="5" borderId="21" xfId="5" applyFont="1" applyFill="1" applyBorder="1" applyAlignment="1" applyProtection="1">
      <alignment horizontal="right"/>
      <protection hidden="1"/>
    </xf>
    <xf numFmtId="6" fontId="9" fillId="10" borderId="29" xfId="0" applyNumberFormat="1" applyFont="1" applyFill="1" applyBorder="1" applyAlignment="1" applyProtection="1">
      <alignment horizontal="right"/>
      <protection locked="0"/>
    </xf>
    <xf numFmtId="6" fontId="9" fillId="10" borderId="29" xfId="0" applyNumberFormat="1" applyFont="1" applyFill="1" applyBorder="1" applyProtection="1">
      <protection locked="0"/>
    </xf>
    <xf numFmtId="6" fontId="2" fillId="10" borderId="29" xfId="0" applyNumberFormat="1" applyFont="1" applyFill="1" applyBorder="1" applyProtection="1">
      <protection locked="0"/>
    </xf>
    <xf numFmtId="6" fontId="8" fillId="0" borderId="16" xfId="0" applyNumberFormat="1" applyFont="1" applyBorder="1" applyProtection="1">
      <protection hidden="1"/>
    </xf>
    <xf numFmtId="3" fontId="9" fillId="10" borderId="29" xfId="0" applyNumberFormat="1" applyFont="1" applyFill="1" applyBorder="1" applyProtection="1">
      <protection locked="0"/>
    </xf>
    <xf numFmtId="6" fontId="9" fillId="10" borderId="31" xfId="1" applyNumberFormat="1" applyFont="1" applyFill="1" applyBorder="1" applyProtection="1">
      <protection locked="0"/>
    </xf>
    <xf numFmtId="6" fontId="42" fillId="0" borderId="0" xfId="0" applyNumberFormat="1" applyFont="1" applyProtection="1">
      <protection hidden="1"/>
    </xf>
    <xf numFmtId="1" fontId="2" fillId="0" borderId="10" xfId="0" applyNumberFormat="1" applyFont="1" applyBorder="1" applyAlignment="1" applyProtection="1">
      <alignment horizontal="center"/>
      <protection hidden="1"/>
    </xf>
    <xf numFmtId="0" fontId="22" fillId="0" borderId="9" xfId="0" applyFont="1" applyBorder="1" applyProtection="1">
      <protection hidden="1"/>
    </xf>
    <xf numFmtId="0" fontId="2" fillId="0" borderId="9" xfId="0" applyFont="1" applyBorder="1" applyAlignment="1" applyProtection="1">
      <alignment horizontal="center"/>
      <protection hidden="1"/>
    </xf>
    <xf numFmtId="6" fontId="46" fillId="0" borderId="0" xfId="0" applyNumberFormat="1" applyFont="1" applyProtection="1">
      <protection hidden="1"/>
    </xf>
    <xf numFmtId="6" fontId="8" fillId="0" borderId="1" xfId="5" applyNumberFormat="1" applyFont="1" applyFill="1" applyBorder="1" applyAlignment="1" applyProtection="1">
      <alignment horizontal="right"/>
      <protection hidden="1"/>
    </xf>
    <xf numFmtId="171" fontId="2" fillId="0" borderId="10" xfId="1" applyNumberFormat="1" applyFont="1" applyBorder="1" applyAlignment="1" applyProtection="1">
      <alignment horizontal="center"/>
      <protection hidden="1"/>
    </xf>
    <xf numFmtId="14" fontId="2" fillId="0" borderId="0" xfId="0" applyNumberFormat="1" applyFont="1" applyProtection="1">
      <protection hidden="1"/>
    </xf>
    <xf numFmtId="0" fontId="21" fillId="0" borderId="0" xfId="0" applyFont="1" applyProtection="1">
      <protection hidden="1"/>
    </xf>
    <xf numFmtId="0" fontId="22" fillId="10" borderId="11" xfId="0" applyFont="1" applyFill="1" applyBorder="1" applyProtection="1">
      <protection locked="0"/>
    </xf>
    <xf numFmtId="166" fontId="8" fillId="0" borderId="1" xfId="5" applyNumberFormat="1" applyFont="1" applyBorder="1" applyAlignment="1" applyProtection="1">
      <alignment horizontal="center"/>
      <protection hidden="1"/>
    </xf>
    <xf numFmtId="0" fontId="22" fillId="0" borderId="8" xfId="0" applyFont="1" applyBorder="1" applyProtection="1">
      <protection hidden="1"/>
    </xf>
    <xf numFmtId="0" fontId="50" fillId="0" borderId="22" xfId="0" applyFont="1" applyBorder="1" applyProtection="1">
      <protection hidden="1"/>
    </xf>
    <xf numFmtId="167" fontId="2" fillId="0" borderId="7" xfId="3" applyNumberFormat="1" applyFont="1" applyBorder="1" applyAlignment="1" applyProtection="1">
      <alignment horizontal="center"/>
      <protection hidden="1"/>
    </xf>
    <xf numFmtId="9" fontId="2" fillId="0" borderId="7" xfId="3" applyFont="1" applyBorder="1" applyAlignment="1" applyProtection="1">
      <alignment horizontal="center"/>
      <protection hidden="1"/>
    </xf>
    <xf numFmtId="0" fontId="24" fillId="0" borderId="9" xfId="0" applyFont="1" applyBorder="1" applyProtection="1">
      <protection hidden="1"/>
    </xf>
    <xf numFmtId="167" fontId="2" fillId="0" borderId="9" xfId="3" applyNumberFormat="1" applyFont="1" applyBorder="1" applyAlignment="1" applyProtection="1">
      <alignment horizontal="center"/>
      <protection hidden="1"/>
    </xf>
    <xf numFmtId="0" fontId="50" fillId="0" borderId="23" xfId="0" applyFont="1" applyBorder="1" applyProtection="1">
      <protection hidden="1"/>
    </xf>
    <xf numFmtId="49" fontId="2" fillId="0" borderId="10" xfId="0" applyNumberFormat="1" applyFont="1" applyBorder="1" applyAlignment="1" applyProtection="1">
      <alignment horizontal="center"/>
      <protection hidden="1"/>
    </xf>
    <xf numFmtId="0" fontId="22" fillId="13" borderId="10" xfId="0" applyFont="1" applyFill="1" applyBorder="1" applyProtection="1">
      <protection hidden="1"/>
    </xf>
    <xf numFmtId="168" fontId="2" fillId="14" borderId="10" xfId="6" applyFont="1" applyFill="1" applyBorder="1" applyAlignment="1" applyProtection="1">
      <alignment horizontal="center"/>
      <protection hidden="1"/>
    </xf>
    <xf numFmtId="6" fontId="2" fillId="14" borderId="10" xfId="6" applyNumberFormat="1" applyFont="1" applyFill="1" applyBorder="1" applyAlignment="1" applyProtection="1">
      <alignment horizontal="center"/>
      <protection hidden="1"/>
    </xf>
    <xf numFmtId="0" fontId="17" fillId="0" borderId="10" xfId="0" applyFont="1" applyBorder="1" applyProtection="1">
      <protection hidden="1"/>
    </xf>
    <xf numFmtId="166" fontId="2" fillId="0" borderId="10" xfId="0" applyNumberFormat="1" applyFont="1" applyBorder="1" applyAlignment="1" applyProtection="1">
      <alignment horizontal="center"/>
      <protection hidden="1"/>
    </xf>
    <xf numFmtId="171" fontId="2" fillId="0" borderId="10" xfId="3" applyNumberFormat="1" applyFont="1" applyBorder="1" applyAlignment="1" applyProtection="1">
      <alignment horizontal="center"/>
      <protection hidden="1"/>
    </xf>
    <xf numFmtId="6" fontId="8" fillId="0" borderId="1" xfId="5" applyNumberFormat="1" applyFont="1" applyBorder="1" applyAlignment="1" applyProtection="1">
      <alignment horizontal="center"/>
      <protection hidden="1"/>
    </xf>
    <xf numFmtId="3" fontId="24" fillId="5" borderId="6" xfId="5" applyFont="1" applyFill="1" applyBorder="1" applyAlignment="1" applyProtection="1">
      <protection hidden="1"/>
    </xf>
    <xf numFmtId="9" fontId="0" fillId="0" borderId="0" xfId="3" applyFont="1" applyFill="1" applyProtection="1">
      <protection hidden="1"/>
    </xf>
    <xf numFmtId="3" fontId="24" fillId="5" borderId="28" xfId="5" applyFont="1" applyFill="1" applyBorder="1" applyAlignment="1" applyProtection="1">
      <alignment horizontal="right"/>
      <protection hidden="1"/>
    </xf>
    <xf numFmtId="6" fontId="9" fillId="10" borderId="2" xfId="0" applyNumberFormat="1" applyFont="1" applyFill="1" applyBorder="1" applyAlignment="1" applyProtection="1">
      <alignment horizontal="right"/>
      <protection locked="0"/>
    </xf>
    <xf numFmtId="6" fontId="8" fillId="0" borderId="25" xfId="0" applyNumberFormat="1" applyFont="1" applyBorder="1" applyProtection="1">
      <protection hidden="1"/>
    </xf>
    <xf numFmtId="0" fontId="17" fillId="0" borderId="19" xfId="0" applyFont="1" applyBorder="1" applyProtection="1">
      <protection hidden="1"/>
    </xf>
    <xf numFmtId="0" fontId="17" fillId="0" borderId="25" xfId="0" applyFont="1" applyBorder="1" applyProtection="1">
      <protection hidden="1"/>
    </xf>
    <xf numFmtId="165" fontId="17" fillId="0" borderId="0" xfId="0" applyNumberFormat="1" applyFont="1" applyProtection="1">
      <protection hidden="1"/>
    </xf>
    <xf numFmtId="164" fontId="22" fillId="0" borderId="0" xfId="4" applyNumberFormat="1" applyFont="1" applyFill="1" applyBorder="1" applyAlignment="1" applyProtection="1">
      <alignment horizontal="right"/>
      <protection hidden="1"/>
    </xf>
    <xf numFmtId="0" fontId="6" fillId="0" borderId="13" xfId="0" applyFont="1" applyBorder="1" applyAlignment="1" applyProtection="1">
      <alignment horizontal="center" vertical="center"/>
      <protection hidden="1"/>
    </xf>
    <xf numFmtId="167" fontId="6" fillId="0" borderId="0" xfId="0" applyNumberFormat="1" applyFont="1" applyAlignment="1" applyProtection="1">
      <alignment horizontal="center"/>
      <protection hidden="1"/>
    </xf>
    <xf numFmtId="0" fontId="7" fillId="0" borderId="13" xfId="0" applyFont="1" applyBorder="1" applyAlignment="1" applyProtection="1">
      <alignment horizontal="center" vertical="center"/>
      <protection hidden="1"/>
    </xf>
    <xf numFmtId="167" fontId="6" fillId="0" borderId="16" xfId="0" applyNumberFormat="1" applyFont="1" applyBorder="1" applyAlignment="1" applyProtection="1">
      <alignment horizontal="center"/>
      <protection hidden="1"/>
    </xf>
    <xf numFmtId="167" fontId="12" fillId="0" borderId="16" xfId="0" applyNumberFormat="1" applyFont="1" applyBorder="1" applyAlignment="1" applyProtection="1">
      <alignment horizontal="center"/>
      <protection hidden="1"/>
    </xf>
    <xf numFmtId="0" fontId="7" fillId="0" borderId="32" xfId="0" applyFont="1" applyBorder="1" applyProtection="1">
      <protection hidden="1"/>
    </xf>
    <xf numFmtId="167" fontId="6" fillId="0" borderId="20" xfId="0" applyNumberFormat="1" applyFont="1" applyBorder="1" applyAlignment="1" applyProtection="1">
      <alignment horizontal="center" vertical="center"/>
      <protection hidden="1"/>
    </xf>
    <xf numFmtId="0" fontId="0" fillId="0" borderId="0" xfId="0" applyAlignment="1">
      <alignment horizontal="center"/>
    </xf>
    <xf numFmtId="0" fontId="24" fillId="0" borderId="34" xfId="0" applyFont="1" applyBorder="1" applyAlignment="1" applyProtection="1">
      <alignment horizontal="left"/>
      <protection hidden="1"/>
    </xf>
    <xf numFmtId="0" fontId="28" fillId="0" borderId="34" xfId="0" applyFont="1" applyBorder="1" applyProtection="1">
      <protection hidden="1"/>
    </xf>
    <xf numFmtId="0" fontId="22" fillId="0" borderId="34" xfId="0" applyFont="1" applyBorder="1" applyProtection="1">
      <protection hidden="1"/>
    </xf>
    <xf numFmtId="0" fontId="28" fillId="0" borderId="34" xfId="0" applyFont="1" applyBorder="1" applyAlignment="1" applyProtection="1">
      <alignment horizontal="left"/>
      <protection hidden="1"/>
    </xf>
    <xf numFmtId="0" fontId="22" fillId="0" borderId="34" xfId="0" applyFont="1" applyBorder="1" applyAlignment="1" applyProtection="1">
      <alignment horizontal="left" vertical="center"/>
      <protection hidden="1"/>
    </xf>
    <xf numFmtId="1" fontId="2" fillId="0" borderId="34" xfId="0" applyNumberFormat="1" applyFont="1" applyBorder="1" applyAlignment="1" applyProtection="1">
      <alignment horizontal="center"/>
      <protection hidden="1"/>
    </xf>
    <xf numFmtId="0" fontId="22" fillId="13" borderId="34" xfId="0" applyFont="1" applyFill="1" applyBorder="1" applyAlignment="1" applyProtection="1">
      <alignment horizontal="left"/>
      <protection hidden="1"/>
    </xf>
    <xf numFmtId="165" fontId="2" fillId="0" borderId="0" xfId="6" applyNumberFormat="1" applyFont="1" applyBorder="1" applyAlignment="1" applyProtection="1">
      <alignment horizontal="center"/>
      <protection hidden="1"/>
    </xf>
    <xf numFmtId="1" fontId="2" fillId="0" borderId="7" xfId="0" applyNumberFormat="1" applyFont="1" applyBorder="1" applyAlignment="1" applyProtection="1">
      <alignment horizontal="center"/>
      <protection hidden="1"/>
    </xf>
    <xf numFmtId="167" fontId="2" fillId="0" borderId="7" xfId="3" applyNumberFormat="1" applyFont="1" applyFill="1" applyBorder="1" applyAlignment="1" applyProtection="1">
      <alignment horizontal="center"/>
      <protection hidden="1"/>
    </xf>
    <xf numFmtId="0" fontId="50" fillId="0" borderId="0" xfId="0" applyFont="1" applyProtection="1">
      <protection hidden="1"/>
    </xf>
    <xf numFmtId="6" fontId="2" fillId="0" borderId="0" xfId="6" applyNumberFormat="1" applyFont="1" applyFill="1" applyBorder="1" applyAlignment="1" applyProtection="1">
      <alignment horizontal="center"/>
      <protection hidden="1"/>
    </xf>
    <xf numFmtId="0" fontId="22" fillId="0" borderId="10" xfId="0" applyFont="1" applyBorder="1" applyAlignment="1" applyProtection="1">
      <alignment horizontal="left"/>
      <protection hidden="1"/>
    </xf>
    <xf numFmtId="0" fontId="50" fillId="0" borderId="10" xfId="0" applyFont="1" applyBorder="1" applyProtection="1">
      <protection hidden="1"/>
    </xf>
    <xf numFmtId="3" fontId="22" fillId="0" borderId="10" xfId="1" applyNumberFormat="1" applyFont="1" applyFill="1" applyBorder="1" applyAlignment="1" applyProtection="1">
      <alignment horizontal="left"/>
      <protection hidden="1"/>
    </xf>
    <xf numFmtId="0" fontId="22" fillId="0" borderId="24" xfId="0" applyFont="1" applyBorder="1" applyProtection="1">
      <protection hidden="1"/>
    </xf>
    <xf numFmtId="0" fontId="22" fillId="0" borderId="27" xfId="0" applyFont="1" applyBorder="1" applyAlignment="1" applyProtection="1">
      <alignment horizontal="left"/>
      <protection hidden="1"/>
    </xf>
    <xf numFmtId="49" fontId="4" fillId="0" borderId="24" xfId="0" applyNumberFormat="1" applyFont="1" applyBorder="1" applyAlignment="1" applyProtection="1">
      <alignment horizontal="center"/>
      <protection hidden="1"/>
    </xf>
    <xf numFmtId="49" fontId="52" fillId="8" borderId="24" xfId="0" applyNumberFormat="1" applyFont="1" applyFill="1" applyBorder="1" applyAlignment="1" applyProtection="1">
      <alignment horizontal="center"/>
      <protection hidden="1"/>
    </xf>
    <xf numFmtId="0" fontId="51" fillId="8" borderId="10" xfId="0" applyFont="1" applyFill="1" applyBorder="1" applyAlignment="1" applyProtection="1">
      <alignment horizontal="center"/>
      <protection hidden="1"/>
    </xf>
    <xf numFmtId="165" fontId="51" fillId="8" borderId="10" xfId="0" applyNumberFormat="1" applyFont="1" applyFill="1" applyBorder="1" applyAlignment="1" applyProtection="1">
      <alignment horizontal="center"/>
      <protection hidden="1"/>
    </xf>
    <xf numFmtId="167" fontId="51" fillId="8" borderId="10" xfId="3" applyNumberFormat="1" applyFont="1" applyFill="1" applyBorder="1" applyAlignment="1" applyProtection="1">
      <alignment horizontal="center"/>
      <protection hidden="1"/>
    </xf>
    <xf numFmtId="167" fontId="51" fillId="8" borderId="10" xfId="0" applyNumberFormat="1" applyFont="1" applyFill="1" applyBorder="1" applyAlignment="1" applyProtection="1">
      <alignment horizontal="center"/>
      <protection hidden="1"/>
    </xf>
    <xf numFmtId="166" fontId="51" fillId="8" borderId="10" xfId="1" applyNumberFormat="1" applyFont="1" applyFill="1" applyBorder="1" applyAlignment="1" applyProtection="1">
      <alignment horizontal="center"/>
      <protection hidden="1"/>
    </xf>
    <xf numFmtId="49" fontId="51" fillId="8" borderId="24" xfId="0" applyNumberFormat="1" applyFont="1" applyFill="1" applyBorder="1" applyAlignment="1" applyProtection="1">
      <alignment horizontal="center"/>
      <protection hidden="1"/>
    </xf>
    <xf numFmtId="9" fontId="51" fillId="8" borderId="10" xfId="3" applyFont="1" applyFill="1" applyBorder="1" applyAlignment="1" applyProtection="1">
      <alignment horizontal="center"/>
      <protection hidden="1"/>
    </xf>
    <xf numFmtId="168" fontId="51" fillId="8" borderId="10" xfId="6" applyFont="1" applyFill="1" applyBorder="1" applyAlignment="1" applyProtection="1">
      <alignment horizontal="center"/>
      <protection hidden="1"/>
    </xf>
    <xf numFmtId="165" fontId="51" fillId="8" borderId="10" xfId="6" applyNumberFormat="1" applyFont="1" applyFill="1" applyBorder="1" applyAlignment="1" applyProtection="1">
      <alignment horizontal="center"/>
      <protection hidden="1"/>
    </xf>
    <xf numFmtId="168" fontId="4" fillId="13" borderId="10" xfId="6" applyFont="1" applyFill="1" applyBorder="1" applyAlignment="1" applyProtection="1">
      <alignment horizontal="center"/>
      <protection hidden="1"/>
    </xf>
    <xf numFmtId="167" fontId="51" fillId="8" borderId="8" xfId="1" applyNumberFormat="1" applyFont="1" applyFill="1" applyBorder="1" applyAlignment="1" applyProtection="1">
      <alignment horizontal="center"/>
      <protection hidden="1"/>
    </xf>
    <xf numFmtId="166" fontId="51" fillId="8" borderId="10" xfId="0" applyNumberFormat="1" applyFont="1" applyFill="1" applyBorder="1" applyAlignment="1" applyProtection="1">
      <alignment horizontal="center"/>
      <protection hidden="1"/>
    </xf>
    <xf numFmtId="1" fontId="51" fillId="8" borderId="10" xfId="0" applyNumberFormat="1" applyFont="1" applyFill="1" applyBorder="1" applyAlignment="1" applyProtection="1">
      <alignment horizontal="center"/>
      <protection hidden="1"/>
    </xf>
    <xf numFmtId="0" fontId="51" fillId="8" borderId="9" xfId="0" applyFont="1" applyFill="1" applyBorder="1" applyAlignment="1" applyProtection="1">
      <alignment horizontal="center"/>
      <protection hidden="1"/>
    </xf>
    <xf numFmtId="167" fontId="51" fillId="8" borderId="9" xfId="3" applyNumberFormat="1" applyFont="1" applyFill="1" applyBorder="1" applyAlignment="1" applyProtection="1">
      <alignment horizontal="center"/>
      <protection hidden="1"/>
    </xf>
    <xf numFmtId="169" fontId="51" fillId="8" borderId="10" xfId="1" applyNumberFormat="1" applyFont="1" applyFill="1" applyBorder="1" applyAlignment="1" applyProtection="1">
      <alignment horizontal="center"/>
      <protection hidden="1"/>
    </xf>
    <xf numFmtId="171" fontId="51" fillId="8" borderId="10" xfId="1" applyNumberFormat="1" applyFont="1" applyFill="1" applyBorder="1" applyAlignment="1" applyProtection="1">
      <alignment horizontal="center"/>
      <protection hidden="1"/>
    </xf>
    <xf numFmtId="7" fontId="51" fillId="8" borderId="10" xfId="2" applyNumberFormat="1" applyFont="1" applyFill="1" applyBorder="1" applyAlignment="1" applyProtection="1">
      <alignment horizontal="center"/>
      <protection hidden="1"/>
    </xf>
    <xf numFmtId="165" fontId="2" fillId="0" borderId="10" xfId="2" applyNumberFormat="1" applyFont="1" applyBorder="1" applyAlignment="1" applyProtection="1">
      <alignment horizontal="center"/>
      <protection hidden="1"/>
    </xf>
    <xf numFmtId="165" fontId="51" fillId="8" borderId="10" xfId="2" applyNumberFormat="1" applyFont="1" applyFill="1" applyBorder="1" applyAlignment="1" applyProtection="1">
      <alignment horizontal="center"/>
      <protection hidden="1"/>
    </xf>
    <xf numFmtId="6" fontId="4" fillId="13" borderId="10" xfId="6" applyNumberFormat="1" applyFont="1" applyFill="1" applyBorder="1" applyAlignment="1" applyProtection="1">
      <alignment horizontal="center"/>
      <protection hidden="1"/>
    </xf>
    <xf numFmtId="0" fontId="32" fillId="0" borderId="10" xfId="0" applyFont="1" applyBorder="1" applyProtection="1">
      <protection hidden="1"/>
    </xf>
    <xf numFmtId="7" fontId="51" fillId="0" borderId="0" xfId="2" applyNumberFormat="1" applyFont="1" applyFill="1" applyBorder="1" applyAlignment="1" applyProtection="1">
      <alignment horizontal="center"/>
      <protection hidden="1"/>
    </xf>
    <xf numFmtId="167" fontId="2" fillId="0" borderId="10" xfId="1" applyNumberFormat="1" applyFont="1" applyBorder="1" applyAlignment="1" applyProtection="1">
      <alignment horizontal="center"/>
      <protection hidden="1"/>
    </xf>
    <xf numFmtId="167" fontId="51" fillId="8" borderId="10" xfId="1" applyNumberFormat="1" applyFont="1" applyFill="1" applyBorder="1" applyAlignment="1" applyProtection="1">
      <alignment horizontal="center"/>
      <protection hidden="1"/>
    </xf>
    <xf numFmtId="166" fontId="51" fillId="8" borderId="10" xfId="2" applyNumberFormat="1" applyFont="1" applyFill="1" applyBorder="1" applyAlignment="1" applyProtection="1">
      <alignment horizontal="center"/>
      <protection hidden="1"/>
    </xf>
    <xf numFmtId="0" fontId="2" fillId="0" borderId="10" xfId="2" applyNumberFormat="1" applyFont="1" applyBorder="1" applyAlignment="1" applyProtection="1">
      <alignment horizontal="center"/>
      <protection hidden="1"/>
    </xf>
    <xf numFmtId="172" fontId="2" fillId="0" borderId="10" xfId="1" applyNumberFormat="1" applyFont="1" applyBorder="1" applyAlignment="1" applyProtection="1">
      <alignment horizontal="center"/>
      <protection hidden="1"/>
    </xf>
    <xf numFmtId="0" fontId="51" fillId="8" borderId="27" xfId="0" applyFont="1" applyFill="1" applyBorder="1" applyAlignment="1" applyProtection="1">
      <alignment horizontal="center"/>
      <protection hidden="1"/>
    </xf>
    <xf numFmtId="49" fontId="51" fillId="8" borderId="10" xfId="0" applyNumberFormat="1" applyFont="1" applyFill="1" applyBorder="1" applyAlignment="1" applyProtection="1">
      <alignment horizontal="center"/>
      <protection hidden="1"/>
    </xf>
    <xf numFmtId="0" fontId="22" fillId="0" borderId="0" xfId="0" applyFont="1" applyAlignment="1" applyProtection="1">
      <alignment horizontal="left"/>
      <protection hidden="1"/>
    </xf>
    <xf numFmtId="0" fontId="44" fillId="0" borderId="0" xfId="0" applyFont="1" applyProtection="1">
      <protection hidden="1"/>
    </xf>
    <xf numFmtId="167" fontId="51" fillId="0" borderId="0" xfId="3" applyNumberFormat="1" applyFont="1" applyFill="1" applyBorder="1" applyAlignment="1" applyProtection="1">
      <alignment horizontal="center"/>
      <protection hidden="1"/>
    </xf>
    <xf numFmtId="167" fontId="51" fillId="8" borderId="37" xfId="3" applyNumberFormat="1" applyFont="1" applyFill="1" applyBorder="1" applyAlignment="1" applyProtection="1">
      <alignment horizontal="center"/>
      <protection hidden="1"/>
    </xf>
    <xf numFmtId="3" fontId="51" fillId="8" borderId="37" xfId="1" applyNumberFormat="1" applyFont="1" applyFill="1" applyBorder="1" applyAlignment="1" applyProtection="1">
      <alignment horizontal="center"/>
      <protection hidden="1"/>
    </xf>
    <xf numFmtId="0" fontId="51" fillId="0" borderId="0" xfId="0" applyFont="1" applyProtection="1">
      <protection hidden="1"/>
    </xf>
    <xf numFmtId="0" fontId="44" fillId="13" borderId="36" xfId="0" applyFont="1" applyFill="1" applyBorder="1" applyProtection="1">
      <protection hidden="1"/>
    </xf>
    <xf numFmtId="0" fontId="22" fillId="13" borderId="3" xfId="0" applyFont="1" applyFill="1" applyBorder="1" applyProtection="1">
      <protection hidden="1"/>
    </xf>
    <xf numFmtId="3" fontId="2" fillId="0" borderId="10" xfId="1" applyNumberFormat="1" applyFont="1" applyFill="1" applyBorder="1" applyAlignment="1" applyProtection="1">
      <alignment horizontal="center"/>
      <protection hidden="1"/>
    </xf>
    <xf numFmtId="3" fontId="51" fillId="8" borderId="10" xfId="1" applyNumberFormat="1" applyFont="1" applyFill="1" applyBorder="1" applyAlignment="1" applyProtection="1">
      <alignment horizontal="center"/>
      <protection hidden="1"/>
    </xf>
    <xf numFmtId="0" fontId="22" fillId="0" borderId="37" xfId="0" applyFont="1" applyBorder="1" applyProtection="1">
      <protection hidden="1"/>
    </xf>
    <xf numFmtId="167" fontId="2" fillId="0" borderId="10" xfId="6" applyNumberFormat="1" applyFont="1" applyBorder="1" applyAlignment="1" applyProtection="1">
      <alignment horizontal="center"/>
      <protection hidden="1"/>
    </xf>
    <xf numFmtId="167" fontId="51" fillId="8" borderId="10" xfId="6" applyNumberFormat="1" applyFont="1" applyFill="1" applyBorder="1" applyAlignment="1" applyProtection="1">
      <alignment horizontal="center"/>
      <protection hidden="1"/>
    </xf>
    <xf numFmtId="167" fontId="51" fillId="8" borderId="37" xfId="0" applyNumberFormat="1" applyFont="1" applyFill="1" applyBorder="1" applyAlignment="1" applyProtection="1">
      <alignment horizontal="center"/>
      <protection hidden="1"/>
    </xf>
    <xf numFmtId="167" fontId="2" fillId="0" borderId="37" xfId="6" applyNumberFormat="1" applyFont="1" applyBorder="1" applyAlignment="1" applyProtection="1">
      <alignment horizontal="center"/>
      <protection hidden="1"/>
    </xf>
    <xf numFmtId="166" fontId="2" fillId="0" borderId="10" xfId="3" applyNumberFormat="1" applyFont="1" applyBorder="1" applyAlignment="1" applyProtection="1">
      <alignment horizontal="center"/>
      <protection hidden="1"/>
    </xf>
    <xf numFmtId="167" fontId="2" fillId="0" borderId="37" xfId="3" applyNumberFormat="1" applyFont="1" applyFill="1" applyBorder="1" applyAlignment="1" applyProtection="1">
      <alignment horizontal="center"/>
      <protection hidden="1"/>
    </xf>
    <xf numFmtId="0" fontId="53" fillId="0" borderId="10" xfId="0" applyFont="1" applyBorder="1" applyAlignment="1" applyProtection="1">
      <alignment horizontal="center"/>
      <protection hidden="1"/>
    </xf>
    <xf numFmtId="0" fontId="54" fillId="8" borderId="10" xfId="0" applyFont="1" applyFill="1" applyBorder="1" applyAlignment="1" applyProtection="1">
      <alignment horizontal="center"/>
      <protection hidden="1"/>
    </xf>
    <xf numFmtId="166" fontId="53" fillId="0" borderId="10" xfId="1" applyNumberFormat="1" applyFont="1" applyBorder="1" applyAlignment="1" applyProtection="1">
      <alignment horizontal="center"/>
      <protection hidden="1"/>
    </xf>
    <xf numFmtId="166" fontId="54" fillId="8" borderId="10" xfId="1" applyNumberFormat="1" applyFont="1" applyFill="1" applyBorder="1" applyAlignment="1" applyProtection="1">
      <alignment horizontal="center"/>
      <protection hidden="1"/>
    </xf>
    <xf numFmtId="0" fontId="53" fillId="0" borderId="10" xfId="0" applyFont="1" applyBorder="1" applyProtection="1">
      <protection hidden="1"/>
    </xf>
    <xf numFmtId="0" fontId="54" fillId="8" borderId="10" xfId="0" applyFont="1" applyFill="1" applyBorder="1" applyProtection="1">
      <protection hidden="1"/>
    </xf>
    <xf numFmtId="168" fontId="2" fillId="0" borderId="10" xfId="6" applyFont="1" applyFill="1" applyBorder="1" applyAlignment="1" applyProtection="1">
      <alignment horizontal="center"/>
      <protection hidden="1"/>
    </xf>
    <xf numFmtId="0" fontId="53" fillId="0" borderId="9" xfId="0" applyFont="1" applyBorder="1" applyProtection="1">
      <protection hidden="1"/>
    </xf>
    <xf numFmtId="0" fontId="54" fillId="8" borderId="6" xfId="0" applyFont="1" applyFill="1" applyBorder="1" applyProtection="1">
      <protection hidden="1"/>
    </xf>
    <xf numFmtId="43" fontId="53" fillId="0" borderId="10" xfId="1" applyFont="1" applyBorder="1" applyAlignment="1" applyProtection="1">
      <alignment horizontal="center"/>
      <protection hidden="1"/>
    </xf>
    <xf numFmtId="43" fontId="54" fillId="8" borderId="10" xfId="1" applyFont="1" applyFill="1" applyBorder="1" applyAlignment="1" applyProtection="1">
      <alignment horizontal="center"/>
      <protection hidden="1"/>
    </xf>
    <xf numFmtId="167" fontId="53" fillId="0" borderId="10" xfId="3" applyNumberFormat="1" applyFont="1" applyBorder="1" applyAlignment="1" applyProtection="1">
      <alignment horizontal="center"/>
      <protection hidden="1"/>
    </xf>
    <xf numFmtId="167" fontId="54" fillId="8" borderId="10" xfId="3" applyNumberFormat="1" applyFont="1" applyFill="1" applyBorder="1" applyAlignment="1" applyProtection="1">
      <alignment horizontal="center"/>
      <protection hidden="1"/>
    </xf>
    <xf numFmtId="167" fontId="53" fillId="0" borderId="7" xfId="3" applyNumberFormat="1" applyFont="1" applyBorder="1" applyAlignment="1" applyProtection="1">
      <alignment horizontal="center"/>
      <protection hidden="1"/>
    </xf>
    <xf numFmtId="0" fontId="53" fillId="0" borderId="0" xfId="0" applyFont="1" applyAlignment="1" applyProtection="1">
      <alignment horizontal="center"/>
      <protection hidden="1"/>
    </xf>
    <xf numFmtId="168" fontId="55" fillId="14" borderId="10" xfId="6" applyFont="1" applyFill="1" applyBorder="1" applyAlignment="1" applyProtection="1">
      <alignment horizontal="center"/>
      <protection hidden="1"/>
    </xf>
    <xf numFmtId="167" fontId="2" fillId="0" borderId="37" xfId="3" applyNumberFormat="1" applyFont="1" applyBorder="1" applyAlignment="1" applyProtection="1">
      <alignment horizontal="center"/>
      <protection hidden="1"/>
    </xf>
    <xf numFmtId="166" fontId="2" fillId="10" borderId="1" xfId="0" applyNumberFormat="1" applyFont="1" applyFill="1" applyBorder="1" applyAlignment="1" applyProtection="1">
      <alignment horizontal="center"/>
      <protection locked="0"/>
    </xf>
    <xf numFmtId="166" fontId="33" fillId="0" borderId="2" xfId="0" quotePrefix="1" applyNumberFormat="1" applyFont="1" applyBorder="1" applyAlignment="1" applyProtection="1">
      <alignment horizontal="center"/>
      <protection hidden="1"/>
    </xf>
    <xf numFmtId="166" fontId="33" fillId="0" borderId="3" xfId="0" quotePrefix="1" applyNumberFormat="1" applyFont="1" applyBorder="1" applyAlignment="1" applyProtection="1">
      <alignment horizontal="center"/>
      <protection hidden="1"/>
    </xf>
    <xf numFmtId="166" fontId="2" fillId="0" borderId="9" xfId="0" applyNumberFormat="1" applyFont="1" applyBorder="1" applyAlignment="1" applyProtection="1">
      <alignment horizontal="center"/>
      <protection hidden="1"/>
    </xf>
    <xf numFmtId="49" fontId="49" fillId="18" borderId="1" xfId="0" applyNumberFormat="1" applyFont="1" applyFill="1" applyBorder="1" applyAlignment="1" applyProtection="1">
      <alignment horizontal="center"/>
      <protection locked="0"/>
    </xf>
    <xf numFmtId="6" fontId="2" fillId="16" borderId="1" xfId="0" applyNumberFormat="1" applyFont="1" applyFill="1" applyBorder="1" applyAlignment="1" applyProtection="1">
      <alignment horizontal="right"/>
      <protection locked="0"/>
    </xf>
    <xf numFmtId="0" fontId="2" fillId="16" borderId="1" xfId="0" applyFont="1" applyFill="1" applyBorder="1" applyAlignment="1" applyProtection="1">
      <alignment horizontal="right"/>
      <protection locked="0"/>
    </xf>
    <xf numFmtId="0" fontId="2" fillId="16" borderId="1" xfId="0" applyFont="1" applyFill="1" applyBorder="1" applyAlignment="1" applyProtection="1">
      <alignment horizontal="center"/>
      <protection locked="0"/>
    </xf>
    <xf numFmtId="166" fontId="2" fillId="16" borderId="1" xfId="0" applyNumberFormat="1" applyFont="1" applyFill="1" applyBorder="1" applyAlignment="1" applyProtection="1">
      <alignment horizontal="center"/>
      <protection locked="0"/>
    </xf>
    <xf numFmtId="6" fontId="56" fillId="16" borderId="2" xfId="0" applyNumberFormat="1" applyFont="1" applyFill="1" applyBorder="1" applyAlignment="1" applyProtection="1">
      <alignment horizontal="right"/>
      <protection locked="0"/>
    </xf>
    <xf numFmtId="10" fontId="2" fillId="16" borderId="1" xfId="0" applyNumberFormat="1" applyFont="1" applyFill="1" applyBorder="1" applyProtection="1">
      <protection locked="0"/>
    </xf>
    <xf numFmtId="3" fontId="2" fillId="16" borderId="1" xfId="0" applyNumberFormat="1" applyFont="1" applyFill="1" applyBorder="1" applyProtection="1">
      <protection locked="0"/>
    </xf>
    <xf numFmtId="3" fontId="56" fillId="16" borderId="29" xfId="0" applyNumberFormat="1" applyFont="1" applyFill="1" applyBorder="1" applyProtection="1">
      <protection locked="0"/>
    </xf>
    <xf numFmtId="6" fontId="56" fillId="16" borderId="29" xfId="0" applyNumberFormat="1" applyFont="1" applyFill="1" applyBorder="1" applyProtection="1">
      <protection locked="0"/>
    </xf>
    <xf numFmtId="0" fontId="56" fillId="16" borderId="31" xfId="0" applyFont="1" applyFill="1" applyBorder="1" applyProtection="1">
      <protection locked="0"/>
    </xf>
    <xf numFmtId="3" fontId="2" fillId="16" borderId="1" xfId="0" applyNumberFormat="1" applyFont="1" applyFill="1" applyBorder="1" applyAlignment="1" applyProtection="1">
      <alignment horizontal="right"/>
      <protection locked="0"/>
    </xf>
    <xf numFmtId="8" fontId="2" fillId="16" borderId="1" xfId="0" applyNumberFormat="1" applyFont="1" applyFill="1" applyBorder="1" applyAlignment="1" applyProtection="1">
      <alignment horizontal="right"/>
      <protection locked="0"/>
    </xf>
    <xf numFmtId="10" fontId="2" fillId="16" borderId="1" xfId="0" applyNumberFormat="1" applyFont="1" applyFill="1" applyBorder="1" applyAlignment="1" applyProtection="1">
      <alignment horizontal="right"/>
      <protection locked="0"/>
    </xf>
    <xf numFmtId="9" fontId="2" fillId="16" borderId="1" xfId="0" applyNumberFormat="1" applyFont="1" applyFill="1" applyBorder="1" applyAlignment="1" applyProtection="1">
      <alignment horizontal="right"/>
      <protection locked="0"/>
    </xf>
    <xf numFmtId="166" fontId="2" fillId="0" borderId="1" xfId="0" applyNumberFormat="1" applyFont="1" applyBorder="1" applyAlignment="1">
      <alignment horizontal="center"/>
    </xf>
    <xf numFmtId="0" fontId="22" fillId="0" borderId="0" xfId="0" applyFont="1"/>
    <xf numFmtId="6" fontId="57" fillId="17" borderId="1" xfId="0" applyNumberFormat="1" applyFont="1" applyFill="1" applyBorder="1" applyProtection="1">
      <protection locked="0"/>
    </xf>
    <xf numFmtId="0" fontId="6" fillId="0" borderId="0" xfId="0" applyFont="1" applyProtection="1">
      <protection locked="0" hidden="1"/>
    </xf>
    <xf numFmtId="6" fontId="6" fillId="0" borderId="0" xfId="0" applyNumberFormat="1" applyFont="1" applyProtection="1">
      <protection locked="0" hidden="1"/>
    </xf>
    <xf numFmtId="167" fontId="6" fillId="0" borderId="0" xfId="0" applyNumberFormat="1" applyFont="1" applyProtection="1">
      <protection locked="0" hidden="1"/>
    </xf>
    <xf numFmtId="0" fontId="35" fillId="8" borderId="0" xfId="0" applyFont="1" applyFill="1" applyProtection="1">
      <protection locked="0" hidden="1"/>
    </xf>
    <xf numFmtId="6" fontId="35" fillId="8" borderId="0" xfId="0" applyNumberFormat="1" applyFont="1" applyFill="1" applyProtection="1">
      <protection locked="0" hidden="1"/>
    </xf>
    <xf numFmtId="167" fontId="35" fillId="8" borderId="0" xfId="0" applyNumberFormat="1" applyFont="1" applyFill="1" applyProtection="1">
      <protection locked="0" hidden="1"/>
    </xf>
    <xf numFmtId="167" fontId="35" fillId="8" borderId="0" xfId="3" applyNumberFormat="1" applyFont="1" applyFill="1" applyProtection="1">
      <protection locked="0" hidden="1"/>
    </xf>
    <xf numFmtId="0" fontId="7" fillId="0" borderId="11" xfId="0" applyFont="1" applyBorder="1" applyAlignment="1" applyProtection="1">
      <alignment horizontal="center" vertical="center"/>
      <protection locked="0" hidden="1"/>
    </xf>
    <xf numFmtId="0" fontId="7" fillId="0" borderId="14" xfId="0" applyFont="1" applyBorder="1" applyProtection="1">
      <protection locked="0" hidden="1"/>
    </xf>
    <xf numFmtId="6" fontId="6" fillId="0" borderId="15" xfId="2" applyNumberFormat="1" applyFont="1" applyFill="1" applyBorder="1" applyAlignment="1" applyProtection="1">
      <alignment horizontal="right"/>
      <protection locked="0" hidden="1"/>
    </xf>
    <xf numFmtId="167" fontId="6" fillId="0" borderId="16" xfId="0" applyNumberFormat="1" applyFont="1" applyBorder="1" applyProtection="1">
      <protection locked="0" hidden="1"/>
    </xf>
    <xf numFmtId="167" fontId="6" fillId="0" borderId="16" xfId="3" applyNumberFormat="1" applyFont="1" applyFill="1" applyBorder="1" applyProtection="1">
      <protection locked="0" hidden="1"/>
    </xf>
    <xf numFmtId="6" fontId="6" fillId="0" borderId="17" xfId="2" applyNumberFormat="1" applyFont="1" applyFill="1" applyBorder="1" applyAlignment="1" applyProtection="1">
      <alignment horizontal="right"/>
      <protection locked="0" hidden="1"/>
    </xf>
    <xf numFmtId="167" fontId="6" fillId="0" borderId="16" xfId="0" applyNumberFormat="1" applyFont="1" applyBorder="1" applyAlignment="1" applyProtection="1">
      <alignment horizontal="right"/>
      <protection locked="0" hidden="1"/>
    </xf>
    <xf numFmtId="167" fontId="12" fillId="0" borderId="16" xfId="0" applyNumberFormat="1" applyFont="1" applyBorder="1" applyProtection="1">
      <protection locked="0" hidden="1"/>
    </xf>
    <xf numFmtId="0" fontId="10" fillId="0" borderId="14" xfId="0" applyFont="1" applyBorder="1" applyProtection="1">
      <protection locked="0" hidden="1"/>
    </xf>
    <xf numFmtId="6" fontId="6" fillId="0" borderId="17" xfId="0" applyNumberFormat="1" applyFont="1" applyBorder="1" applyProtection="1">
      <protection locked="0" hidden="1"/>
    </xf>
    <xf numFmtId="0" fontId="7" fillId="0" borderId="32" xfId="0" applyFont="1" applyBorder="1" applyProtection="1">
      <protection locked="0" hidden="1"/>
    </xf>
    <xf numFmtId="6" fontId="6" fillId="0" borderId="35" xfId="2" applyNumberFormat="1" applyFont="1" applyFill="1" applyBorder="1" applyAlignment="1" applyProtection="1">
      <alignment horizontal="right"/>
      <protection locked="0" hidden="1"/>
    </xf>
    <xf numFmtId="167" fontId="6" fillId="0" borderId="16" xfId="3" applyNumberFormat="1" applyFont="1" applyFill="1" applyBorder="1" applyAlignment="1" applyProtection="1">
      <alignment horizontal="right"/>
      <protection locked="0" hidden="1"/>
    </xf>
    <xf numFmtId="165" fontId="7" fillId="0" borderId="18" xfId="0" applyNumberFormat="1" applyFont="1" applyBorder="1" applyAlignment="1" applyProtection="1">
      <alignment vertical="center"/>
      <protection locked="0" hidden="1"/>
    </xf>
    <xf numFmtId="6" fontId="6" fillId="0" borderId="19" xfId="2" applyNumberFormat="1" applyFont="1" applyFill="1" applyBorder="1" applyAlignment="1" applyProtection="1">
      <alignment horizontal="right" vertical="center"/>
      <protection locked="0" hidden="1"/>
    </xf>
    <xf numFmtId="167" fontId="6" fillId="0" borderId="20" xfId="0" applyNumberFormat="1" applyFont="1" applyBorder="1" applyAlignment="1" applyProtection="1">
      <alignment vertical="center"/>
      <protection locked="0" hidden="1"/>
    </xf>
    <xf numFmtId="167" fontId="6" fillId="0" borderId="20" xfId="3" applyNumberFormat="1" applyFont="1" applyFill="1" applyBorder="1" applyAlignment="1" applyProtection="1">
      <alignment horizontal="right" vertical="center"/>
      <protection locked="0" hidden="1"/>
    </xf>
    <xf numFmtId="165" fontId="7" fillId="0" borderId="0" xfId="0" applyNumberFormat="1" applyFont="1" applyProtection="1">
      <protection locked="0" hidden="1"/>
    </xf>
    <xf numFmtId="6" fontId="6" fillId="0" borderId="0" xfId="2" applyNumberFormat="1" applyFont="1" applyFill="1" applyBorder="1" applyProtection="1">
      <protection locked="0" hidden="1"/>
    </xf>
    <xf numFmtId="6" fontId="13" fillId="0" borderId="0" xfId="2" applyNumberFormat="1" applyFont="1" applyFill="1" applyBorder="1" applyProtection="1">
      <protection locked="0" hidden="1"/>
    </xf>
    <xf numFmtId="167" fontId="6" fillId="0" borderId="0" xfId="3" applyNumberFormat="1" applyFont="1" applyFill="1" applyBorder="1" applyProtection="1">
      <protection locked="0" hidden="1"/>
    </xf>
    <xf numFmtId="9" fontId="35" fillId="8" borderId="0" xfId="3" applyFont="1" applyFill="1" applyProtection="1">
      <protection locked="0" hidden="1"/>
    </xf>
    <xf numFmtId="167" fontId="6" fillId="0" borderId="20" xfId="3" applyNumberFormat="1" applyFont="1" applyFill="1" applyBorder="1" applyAlignment="1" applyProtection="1">
      <alignment horizontal="right"/>
      <protection locked="0" hidden="1"/>
    </xf>
    <xf numFmtId="165" fontId="35" fillId="8" borderId="0" xfId="0" applyNumberFormat="1" applyFont="1" applyFill="1" applyAlignment="1" applyProtection="1">
      <alignment vertical="center"/>
      <protection locked="0" hidden="1"/>
    </xf>
    <xf numFmtId="6" fontId="36" fillId="8" borderId="0" xfId="2" applyNumberFormat="1" applyFont="1" applyFill="1" applyBorder="1" applyAlignment="1" applyProtection="1">
      <alignment horizontal="right" vertical="center"/>
      <protection locked="0" hidden="1"/>
    </xf>
    <xf numFmtId="167" fontId="36" fillId="8" borderId="0" xfId="3" applyNumberFormat="1" applyFont="1" applyFill="1" applyBorder="1" applyAlignment="1" applyProtection="1">
      <alignment horizontal="right" vertical="center"/>
      <protection locked="0" hidden="1"/>
    </xf>
    <xf numFmtId="6" fontId="35" fillId="8" borderId="0" xfId="0" applyNumberFormat="1" applyFont="1" applyFill="1" applyAlignment="1" applyProtection="1">
      <alignment vertical="center"/>
      <protection locked="0" hidden="1"/>
    </xf>
    <xf numFmtId="167" fontId="36" fillId="8" borderId="0" xfId="2" applyNumberFormat="1" applyFont="1" applyFill="1" applyBorder="1" applyAlignment="1" applyProtection="1">
      <alignment horizontal="right" vertical="center"/>
      <protection locked="0" hidden="1"/>
    </xf>
    <xf numFmtId="6" fontId="13" fillId="0" borderId="0" xfId="0" applyNumberFormat="1" applyFont="1" applyProtection="1">
      <protection locked="0" hidden="1"/>
    </xf>
    <xf numFmtId="0" fontId="6" fillId="0" borderId="14" xfId="0" applyFont="1" applyBorder="1" applyProtection="1">
      <protection locked="0" hidden="1"/>
    </xf>
    <xf numFmtId="6" fontId="6" fillId="0" borderId="15" xfId="0" applyNumberFormat="1" applyFont="1" applyBorder="1" applyProtection="1">
      <protection locked="0" hidden="1"/>
    </xf>
    <xf numFmtId="6" fontId="6" fillId="0" borderId="17" xfId="1" applyNumberFormat="1" applyFont="1" applyFill="1" applyBorder="1" applyProtection="1">
      <protection locked="0" hidden="1"/>
    </xf>
    <xf numFmtId="6" fontId="6" fillId="0" borderId="17" xfId="2" applyNumberFormat="1" applyFont="1" applyFill="1" applyBorder="1" applyProtection="1">
      <protection locked="0" hidden="1"/>
    </xf>
    <xf numFmtId="6" fontId="6" fillId="0" borderId="35" xfId="2" applyNumberFormat="1" applyFont="1" applyFill="1" applyBorder="1" applyProtection="1">
      <protection locked="0" hidden="1"/>
    </xf>
    <xf numFmtId="6" fontId="6" fillId="0" borderId="19" xfId="2" applyNumberFormat="1" applyFont="1" applyFill="1" applyBorder="1" applyAlignment="1" applyProtection="1">
      <alignment vertical="center"/>
      <protection locked="0" hidden="1"/>
    </xf>
    <xf numFmtId="167" fontId="6" fillId="0" borderId="20" xfId="0" applyNumberFormat="1" applyFont="1" applyBorder="1" applyAlignment="1" applyProtection="1">
      <alignment horizontal="right" vertical="center"/>
      <protection locked="0" hidden="1"/>
    </xf>
    <xf numFmtId="171" fontId="51" fillId="8" borderId="0" xfId="0" applyNumberFormat="1" applyFont="1" applyFill="1" applyAlignment="1" applyProtection="1">
      <alignment horizontal="center"/>
      <protection hidden="1"/>
    </xf>
    <xf numFmtId="166" fontId="51" fillId="8" borderId="0" xfId="0" applyNumberFormat="1" applyFont="1" applyFill="1" applyAlignment="1" applyProtection="1">
      <alignment horizontal="center"/>
      <protection hidden="1"/>
    </xf>
    <xf numFmtId="166" fontId="51" fillId="8" borderId="0" xfId="3" applyNumberFormat="1" applyFont="1" applyFill="1" applyAlignment="1" applyProtection="1">
      <alignment horizontal="center"/>
      <protection hidden="1"/>
    </xf>
    <xf numFmtId="9" fontId="51" fillId="8" borderId="0" xfId="3" applyFont="1" applyFill="1" applyAlignment="1" applyProtection="1">
      <alignment horizontal="center"/>
      <protection hidden="1"/>
    </xf>
    <xf numFmtId="167" fontId="51" fillId="8" borderId="0" xfId="3" applyNumberFormat="1" applyFont="1" applyFill="1" applyAlignment="1" applyProtection="1">
      <alignment horizontal="center"/>
      <protection hidden="1"/>
    </xf>
    <xf numFmtId="0" fontId="51" fillId="8" borderId="0" xfId="0" applyFont="1" applyFill="1" applyAlignment="1" applyProtection="1">
      <alignment horizontal="center"/>
      <protection hidden="1"/>
    </xf>
    <xf numFmtId="167" fontId="51" fillId="8" borderId="0" xfId="0" applyNumberFormat="1" applyFont="1" applyFill="1" applyAlignment="1" applyProtection="1">
      <alignment horizontal="center"/>
      <protection hidden="1"/>
    </xf>
    <xf numFmtId="167" fontId="54" fillId="8" borderId="0" xfId="0" applyNumberFormat="1" applyFont="1" applyFill="1" applyAlignment="1" applyProtection="1">
      <alignment horizontal="center"/>
      <protection hidden="1"/>
    </xf>
    <xf numFmtId="0" fontId="0" fillId="7" borderId="0" xfId="0" applyFill="1"/>
    <xf numFmtId="0" fontId="15" fillId="0" borderId="0" xfId="0" applyFont="1"/>
    <xf numFmtId="0" fontId="17" fillId="0" borderId="0" xfId="0" applyFont="1" applyAlignment="1">
      <alignment horizontal="left" wrapText="1"/>
    </xf>
    <xf numFmtId="0" fontId="18" fillId="0" borderId="0" xfId="0" applyFont="1" applyAlignment="1">
      <alignment horizontal="left" wrapText="1"/>
    </xf>
    <xf numFmtId="0" fontId="38" fillId="8" borderId="0" xfId="0" applyFont="1" applyFill="1"/>
    <xf numFmtId="0" fontId="24" fillId="0" borderId="0" xfId="0" applyFont="1" applyAlignment="1">
      <alignment vertical="top"/>
    </xf>
    <xf numFmtId="0" fontId="17" fillId="0" borderId="0" xfId="0" applyFont="1" applyAlignment="1">
      <alignment horizontal="left" vertical="top" wrapText="1"/>
    </xf>
    <xf numFmtId="0" fontId="32" fillId="0" borderId="0" xfId="0" applyFont="1" applyAlignment="1">
      <alignment vertical="top"/>
    </xf>
    <xf numFmtId="0" fontId="22" fillId="0" borderId="0" xfId="0" applyFont="1" applyAlignment="1">
      <alignment vertical="top" wrapText="1"/>
    </xf>
    <xf numFmtId="0" fontId="22" fillId="0" borderId="0" xfId="0" applyFont="1" applyAlignment="1">
      <alignment vertical="top"/>
    </xf>
    <xf numFmtId="0" fontId="15" fillId="8" borderId="0" xfId="0" applyFont="1" applyFill="1"/>
    <xf numFmtId="0" fontId="0" fillId="8" borderId="0" xfId="0" applyFill="1"/>
    <xf numFmtId="0" fontId="17" fillId="8" borderId="0" xfId="0" applyFont="1" applyFill="1" applyAlignment="1">
      <alignment horizontal="left" wrapText="1"/>
    </xf>
    <xf numFmtId="49" fontId="24" fillId="18" borderId="37" xfId="0" applyNumberFormat="1" applyFont="1" applyFill="1" applyBorder="1" applyAlignment="1" applyProtection="1">
      <alignment horizontal="center"/>
      <protection locked="0"/>
    </xf>
    <xf numFmtId="49" fontId="4" fillId="18" borderId="37" xfId="0" applyNumberFormat="1" applyFont="1" applyFill="1" applyBorder="1" applyAlignment="1" applyProtection="1">
      <alignment horizontal="center"/>
      <protection locked="0"/>
    </xf>
    <xf numFmtId="1" fontId="4" fillId="18" borderId="37" xfId="0" applyNumberFormat="1" applyFont="1" applyFill="1" applyBorder="1" applyAlignment="1" applyProtection="1">
      <alignment horizontal="center"/>
      <protection locked="0"/>
    </xf>
    <xf numFmtId="165" fontId="8" fillId="0" borderId="37" xfId="2" applyNumberFormat="1" applyFont="1" applyBorder="1" applyAlignment="1" applyProtection="1">
      <alignment horizontal="right"/>
      <protection hidden="1"/>
    </xf>
    <xf numFmtId="165" fontId="2" fillId="0" borderId="37" xfId="2" applyNumberFormat="1" applyFont="1" applyFill="1" applyBorder="1" applyAlignment="1" applyProtection="1">
      <alignment horizontal="right"/>
      <protection hidden="1"/>
    </xf>
    <xf numFmtId="166" fontId="33" fillId="0" borderId="37" xfId="0" quotePrefix="1" applyNumberFormat="1" applyFont="1" applyBorder="1" applyAlignment="1" applyProtection="1">
      <alignment horizontal="center"/>
      <protection hidden="1"/>
    </xf>
    <xf numFmtId="170" fontId="8" fillId="0" borderId="37" xfId="0" applyNumberFormat="1" applyFont="1" applyBorder="1" applyAlignment="1" applyProtection="1">
      <alignment horizontal="center"/>
      <protection hidden="1"/>
    </xf>
    <xf numFmtId="6" fontId="8" fillId="0" borderId="38" xfId="5" applyNumberFormat="1" applyFont="1" applyBorder="1" applyAlignment="1" applyProtection="1">
      <alignment horizontal="right"/>
      <protection hidden="1"/>
    </xf>
    <xf numFmtId="38" fontId="8" fillId="0" borderId="38" xfId="5" applyNumberFormat="1" applyFont="1" applyBorder="1" applyAlignment="1" applyProtection="1">
      <alignment horizontal="right"/>
      <protection hidden="1"/>
    </xf>
    <xf numFmtId="167" fontId="12" fillId="0" borderId="39" xfId="0" applyNumberFormat="1" applyFont="1" applyBorder="1" applyProtection="1">
      <protection locked="0" hidden="1"/>
    </xf>
    <xf numFmtId="167" fontId="6" fillId="0" borderId="39" xfId="3" applyNumberFormat="1" applyFont="1" applyFill="1" applyBorder="1" applyAlignment="1" applyProtection="1">
      <alignment horizontal="right"/>
      <protection locked="0" hidden="1"/>
    </xf>
    <xf numFmtId="167" fontId="6" fillId="0" borderId="39" xfId="0" applyNumberFormat="1" applyFont="1" applyBorder="1" applyAlignment="1" applyProtection="1">
      <alignment horizontal="right"/>
      <protection locked="0" hidden="1"/>
    </xf>
    <xf numFmtId="168" fontId="2" fillId="0" borderId="37" xfId="0" applyNumberFormat="1" applyFont="1" applyBorder="1" applyAlignment="1" applyProtection="1">
      <alignment horizontal="center"/>
      <protection hidden="1"/>
    </xf>
    <xf numFmtId="168" fontId="51" fillId="8" borderId="37" xfId="0" applyNumberFormat="1" applyFont="1" applyFill="1" applyBorder="1" applyAlignment="1" applyProtection="1">
      <alignment horizontal="center"/>
      <protection hidden="1"/>
    </xf>
    <xf numFmtId="9" fontId="51" fillId="8" borderId="37" xfId="3" applyFont="1" applyFill="1" applyBorder="1" applyAlignment="1" applyProtection="1">
      <alignment horizontal="center"/>
      <protection hidden="1"/>
    </xf>
    <xf numFmtId="0" fontId="2" fillId="0" borderId="37" xfId="0" applyFont="1" applyBorder="1" applyProtection="1">
      <protection hidden="1"/>
    </xf>
    <xf numFmtId="0" fontId="2" fillId="0" borderId="37" xfId="2" applyNumberFormat="1" applyFont="1" applyBorder="1" applyAlignment="1" applyProtection="1">
      <alignment horizontal="center"/>
      <protection hidden="1"/>
    </xf>
    <xf numFmtId="166" fontId="51" fillId="8" borderId="37" xfId="2" applyNumberFormat="1" applyFont="1" applyFill="1" applyBorder="1" applyAlignment="1" applyProtection="1">
      <alignment horizontal="center"/>
      <protection hidden="1"/>
    </xf>
    <xf numFmtId="1" fontId="2" fillId="0" borderId="37" xfId="0" applyNumberFormat="1" applyFont="1" applyBorder="1" applyAlignment="1" applyProtection="1">
      <alignment horizontal="center"/>
      <protection hidden="1"/>
    </xf>
    <xf numFmtId="1" fontId="51" fillId="8" borderId="37" xfId="0" applyNumberFormat="1" applyFont="1" applyFill="1" applyBorder="1" applyAlignment="1" applyProtection="1">
      <alignment horizontal="center"/>
      <protection hidden="1"/>
    </xf>
    <xf numFmtId="0" fontId="22" fillId="0" borderId="37" xfId="0" applyFont="1" applyBorder="1" applyAlignment="1" applyProtection="1">
      <alignment horizontal="left"/>
      <protection hidden="1"/>
    </xf>
    <xf numFmtId="3" fontId="2" fillId="0" borderId="37" xfId="1" applyNumberFormat="1" applyFont="1" applyFill="1" applyBorder="1" applyAlignment="1" applyProtection="1">
      <alignment horizontal="center"/>
      <protection hidden="1"/>
    </xf>
    <xf numFmtId="167" fontId="2" fillId="0" borderId="37" xfId="1" applyNumberFormat="1" applyFont="1" applyFill="1" applyBorder="1" applyAlignment="1" applyProtection="1">
      <alignment horizontal="center"/>
      <protection hidden="1"/>
    </xf>
    <xf numFmtId="1" fontId="2" fillId="0" borderId="37" xfId="3" applyNumberFormat="1" applyFont="1" applyBorder="1" applyAlignment="1" applyProtection="1">
      <alignment horizontal="center"/>
      <protection hidden="1"/>
    </xf>
    <xf numFmtId="167" fontId="12" fillId="0" borderId="40" xfId="0" applyNumberFormat="1" applyFont="1" applyBorder="1" applyAlignment="1" applyProtection="1">
      <alignment horizontal="center"/>
      <protection hidden="1"/>
    </xf>
    <xf numFmtId="0" fontId="22" fillId="0" borderId="41" xfId="0" applyFont="1" applyBorder="1" applyProtection="1">
      <protection hidden="1"/>
    </xf>
    <xf numFmtId="1" fontId="4" fillId="0" borderId="41" xfId="0" applyNumberFormat="1" applyFont="1" applyBorder="1" applyAlignment="1" applyProtection="1">
      <alignment horizontal="center"/>
      <protection hidden="1"/>
    </xf>
    <xf numFmtId="1" fontId="51" fillId="8" borderId="41" xfId="0" applyNumberFormat="1" applyFont="1" applyFill="1" applyBorder="1" applyAlignment="1" applyProtection="1">
      <alignment horizontal="center"/>
      <protection hidden="1"/>
    </xf>
    <xf numFmtId="167" fontId="2" fillId="0" borderId="41" xfId="3" applyNumberFormat="1" applyFont="1" applyBorder="1" applyAlignment="1" applyProtection="1">
      <alignment horizontal="center"/>
      <protection hidden="1"/>
    </xf>
    <xf numFmtId="167" fontId="51" fillId="8" borderId="41" xfId="3" applyNumberFormat="1" applyFont="1" applyFill="1" applyBorder="1" applyAlignment="1" applyProtection="1">
      <alignment horizontal="center"/>
      <protection hidden="1"/>
    </xf>
    <xf numFmtId="1" fontId="2" fillId="0" borderId="41" xfId="0" applyNumberFormat="1" applyFont="1" applyBorder="1" applyAlignment="1" applyProtection="1">
      <alignment horizontal="center"/>
      <protection hidden="1"/>
    </xf>
    <xf numFmtId="0" fontId="2" fillId="8" borderId="42" xfId="0" applyFont="1" applyFill="1" applyBorder="1" applyProtection="1">
      <protection hidden="1"/>
    </xf>
    <xf numFmtId="39" fontId="2" fillId="16" borderId="1" xfId="0" applyNumberFormat="1" applyFont="1" applyFill="1" applyBorder="1" applyAlignment="1" applyProtection="1">
      <alignment horizontal="right"/>
      <protection locked="0"/>
    </xf>
    <xf numFmtId="44" fontId="2" fillId="11" borderId="1" xfId="2" applyFont="1" applyFill="1" applyBorder="1" applyAlignment="1" applyProtection="1">
      <alignment horizontal="right"/>
      <protection locked="0"/>
    </xf>
    <xf numFmtId="2" fontId="2" fillId="11" borderId="1" xfId="3" applyNumberFormat="1" applyFont="1" applyFill="1" applyBorder="1" applyAlignment="1" applyProtection="1">
      <alignment horizontal="right"/>
      <protection locked="0"/>
    </xf>
    <xf numFmtId="0" fontId="64" fillId="0" borderId="0" xfId="0" applyFont="1" applyAlignment="1">
      <alignment horizontal="right" vertical="top" readingOrder="1"/>
    </xf>
    <xf numFmtId="0" fontId="64" fillId="0" borderId="0" xfId="0" applyFont="1" applyAlignment="1">
      <alignment horizontal="left" vertical="top" readingOrder="1"/>
    </xf>
    <xf numFmtId="0" fontId="65" fillId="0" borderId="0" xfId="0" applyFont="1" applyAlignment="1">
      <alignment vertical="top" readingOrder="1"/>
    </xf>
    <xf numFmtId="43" fontId="64" fillId="0" borderId="0" xfId="1" applyFont="1" applyAlignment="1">
      <alignment horizontal="right" vertical="top" readingOrder="1"/>
    </xf>
    <xf numFmtId="43" fontId="64" fillId="0" borderId="0" xfId="1" applyFont="1" applyAlignment="1">
      <alignment horizontal="right" vertical="top" wrapText="1" readingOrder="1"/>
    </xf>
    <xf numFmtId="43" fontId="0" fillId="0" borderId="0" xfId="1" applyFont="1"/>
    <xf numFmtId="43" fontId="65" fillId="0" borderId="0" xfId="1" applyFont="1" applyAlignment="1">
      <alignment vertical="top" readingOrder="1"/>
    </xf>
    <xf numFmtId="43" fontId="65" fillId="0" borderId="0" xfId="1" applyFont="1" applyAlignment="1">
      <alignment vertical="top" wrapText="1" readingOrder="1"/>
    </xf>
    <xf numFmtId="43" fontId="64" fillId="15" borderId="0" xfId="1" applyFont="1" applyFill="1" applyAlignment="1">
      <alignment horizontal="right" vertical="top" wrapText="1" readingOrder="1"/>
    </xf>
    <xf numFmtId="43" fontId="2" fillId="16" borderId="1" xfId="0" applyNumberFormat="1" applyFont="1" applyFill="1" applyBorder="1" applyAlignment="1" applyProtection="1">
      <alignment horizontal="right"/>
      <protection locked="0"/>
    </xf>
    <xf numFmtId="173" fontId="2" fillId="16" borderId="1" xfId="0" applyNumberFormat="1" applyFont="1" applyFill="1" applyBorder="1" applyAlignment="1" applyProtection="1">
      <alignment horizontal="right"/>
      <protection locked="0"/>
    </xf>
    <xf numFmtId="173" fontId="8" fillId="0" borderId="37" xfId="2" applyNumberFormat="1" applyFont="1" applyBorder="1" applyAlignment="1" applyProtection="1">
      <alignment horizontal="right"/>
      <protection hidden="1"/>
    </xf>
    <xf numFmtId="173" fontId="8" fillId="0" borderId="1" xfId="2" applyNumberFormat="1" applyFont="1" applyBorder="1" applyAlignment="1" applyProtection="1">
      <alignment horizontal="right"/>
      <protection hidden="1"/>
    </xf>
    <xf numFmtId="173" fontId="2" fillId="16" borderId="37" xfId="0" applyNumberFormat="1" applyFont="1" applyFill="1" applyBorder="1" applyAlignment="1" applyProtection="1">
      <alignment horizontal="right"/>
      <protection locked="0"/>
    </xf>
    <xf numFmtId="173" fontId="28" fillId="4" borderId="0" xfId="2" applyNumberFormat="1" applyFont="1" applyFill="1" applyBorder="1" applyAlignment="1" applyProtection="1">
      <alignment horizontal="right"/>
      <protection hidden="1"/>
    </xf>
    <xf numFmtId="173" fontId="28" fillId="0" borderId="1" xfId="2" applyNumberFormat="1" applyFont="1" applyBorder="1" applyAlignment="1" applyProtection="1">
      <alignment horizontal="right"/>
      <protection hidden="1"/>
    </xf>
    <xf numFmtId="173" fontId="28" fillId="0" borderId="0" xfId="2" applyNumberFormat="1" applyFont="1" applyBorder="1" applyAlignment="1" applyProtection="1">
      <alignment horizontal="right"/>
      <protection hidden="1"/>
    </xf>
    <xf numFmtId="173" fontId="22" fillId="0" borderId="0" xfId="2" applyNumberFormat="1" applyFont="1" applyFill="1" applyBorder="1" applyAlignment="1" applyProtection="1">
      <alignment horizontal="right"/>
      <protection hidden="1"/>
    </xf>
    <xf numFmtId="173" fontId="2" fillId="18" borderId="1" xfId="2" applyNumberFormat="1" applyFont="1" applyFill="1" applyBorder="1" applyAlignment="1" applyProtection="1">
      <alignment horizontal="right"/>
      <protection locked="0"/>
    </xf>
    <xf numFmtId="43" fontId="56" fillId="16" borderId="29" xfId="0" applyNumberFormat="1" applyFont="1" applyFill="1" applyBorder="1" applyAlignment="1" applyProtection="1">
      <alignment horizontal="right"/>
      <protection locked="0"/>
    </xf>
    <xf numFmtId="0" fontId="6" fillId="0" borderId="0" xfId="0" applyFont="1"/>
    <xf numFmtId="43" fontId="56" fillId="16" borderId="2" xfId="0" applyNumberFormat="1" applyFont="1" applyFill="1" applyBorder="1" applyAlignment="1" applyProtection="1">
      <alignment horizontal="right"/>
      <protection locked="0"/>
    </xf>
    <xf numFmtId="0" fontId="45" fillId="0" borderId="0" xfId="0" applyFont="1" applyAlignment="1">
      <alignment horizontal="center"/>
    </xf>
    <xf numFmtId="0" fontId="43" fillId="0" borderId="0" xfId="0" applyFont="1" applyAlignment="1">
      <alignment horizontal="center"/>
    </xf>
    <xf numFmtId="0" fontId="22" fillId="0" borderId="0" xfId="0" applyFont="1" applyAlignment="1">
      <alignment horizontal="left" vertical="top" wrapText="1"/>
    </xf>
    <xf numFmtId="0" fontId="25" fillId="15" borderId="0" xfId="0" applyFont="1" applyFill="1" applyAlignment="1">
      <alignment horizontal="left" vertical="top" wrapText="1"/>
    </xf>
    <xf numFmtId="0" fontId="21" fillId="0" borderId="0" xfId="0" applyFont="1" applyAlignment="1">
      <alignment horizontal="left" vertical="top" wrapText="1"/>
    </xf>
    <xf numFmtId="0" fontId="17" fillId="0" borderId="0" xfId="0" applyFont="1" applyAlignment="1">
      <alignment horizontal="left" wrapText="1"/>
    </xf>
    <xf numFmtId="0" fontId="17" fillId="0" borderId="0" xfId="0" applyFont="1" applyAlignment="1">
      <alignment horizontal="left" vertical="top" wrapText="1"/>
    </xf>
    <xf numFmtId="0" fontId="0" fillId="0" borderId="0" xfId="0" applyAlignment="1">
      <alignment horizontal="left" vertical="top" wrapText="1"/>
    </xf>
    <xf numFmtId="0" fontId="58" fillId="15" borderId="0" xfId="0" applyFont="1" applyFill="1" applyAlignment="1">
      <alignment horizontal="left" wrapText="1"/>
    </xf>
    <xf numFmtId="0" fontId="37" fillId="0" borderId="0" xfId="0" applyFont="1" applyAlignment="1">
      <alignment horizontal="center" vertical="center" wrapText="1"/>
    </xf>
    <xf numFmtId="0" fontId="15" fillId="0" borderId="0" xfId="0" applyFont="1" applyAlignment="1">
      <alignment horizontal="center"/>
    </xf>
    <xf numFmtId="0" fontId="18" fillId="6" borderId="0" xfId="0" applyFont="1" applyFill="1" applyAlignment="1">
      <alignment horizontal="left" wrapText="1"/>
    </xf>
    <xf numFmtId="0" fontId="16" fillId="0" borderId="0" xfId="0" applyFont="1" applyAlignment="1">
      <alignment horizontal="center" wrapText="1"/>
    </xf>
    <xf numFmtId="0" fontId="44" fillId="12" borderId="0" xfId="0" applyFont="1" applyFill="1" applyAlignment="1">
      <alignment horizontal="left" vertical="top" wrapText="1"/>
    </xf>
    <xf numFmtId="0" fontId="22" fillId="0" borderId="7" xfId="0" applyFont="1" applyBorder="1" applyAlignment="1">
      <alignment horizontal="left" vertical="top" wrapText="1"/>
    </xf>
    <xf numFmtId="0" fontId="60" fillId="15" borderId="0" xfId="0" applyFont="1" applyFill="1" applyAlignment="1">
      <alignment horizontal="left" wrapText="1"/>
    </xf>
    <xf numFmtId="0" fontId="19" fillId="0" borderId="0" xfId="0" applyFont="1" applyAlignment="1">
      <alignment horizontal="left"/>
    </xf>
    <xf numFmtId="0" fontId="58" fillId="15" borderId="0" xfId="0" applyFont="1" applyFill="1" applyAlignment="1">
      <alignment horizontal="left" vertical="top" wrapText="1"/>
    </xf>
    <xf numFmtId="0" fontId="59" fillId="15" borderId="0" xfId="0" applyFont="1" applyFill="1" applyAlignment="1">
      <alignment horizontal="left" vertical="top" wrapText="1"/>
    </xf>
    <xf numFmtId="49" fontId="0" fillId="0" borderId="0" xfId="0" applyNumberFormat="1" applyAlignment="1" applyProtection="1">
      <alignment horizontal="left" vertical="top" wrapText="1"/>
      <protection locked="0"/>
    </xf>
    <xf numFmtId="0" fontId="25" fillId="0" borderId="33" xfId="0" applyFont="1" applyBorder="1" applyAlignment="1" applyProtection="1">
      <alignment horizontal="center" vertical="center"/>
      <protection hidden="1"/>
    </xf>
    <xf numFmtId="0" fontId="25" fillId="0" borderId="0" xfId="0" applyFont="1" applyAlignment="1" applyProtection="1">
      <alignment horizontal="center" wrapText="1"/>
      <protection hidden="1"/>
    </xf>
    <xf numFmtId="0" fontId="24" fillId="2" borderId="4" xfId="0" applyFont="1" applyFill="1" applyBorder="1" applyProtection="1">
      <protection hidden="1"/>
    </xf>
    <xf numFmtId="0" fontId="24" fillId="2" borderId="5" xfId="0" applyFont="1" applyFill="1" applyBorder="1" applyProtection="1">
      <protection hidden="1"/>
    </xf>
    <xf numFmtId="0" fontId="22" fillId="0" borderId="7" xfId="0" applyFont="1" applyBorder="1" applyProtection="1">
      <protection hidden="1"/>
    </xf>
    <xf numFmtId="0" fontId="22" fillId="0" borderId="8" xfId="0" applyFont="1" applyBorder="1" applyProtection="1">
      <protection hidden="1"/>
    </xf>
    <xf numFmtId="0" fontId="22" fillId="0" borderId="34" xfId="0" applyFont="1" applyBorder="1" applyProtection="1">
      <protection hidden="1"/>
    </xf>
    <xf numFmtId="0" fontId="22" fillId="0" borderId="38" xfId="0" applyFont="1" applyBorder="1" applyProtection="1">
      <protection hidden="1"/>
    </xf>
    <xf numFmtId="0" fontId="24" fillId="2" borderId="15" xfId="0" applyFont="1" applyFill="1" applyBorder="1" applyProtection="1">
      <protection hidden="1"/>
    </xf>
    <xf numFmtId="0" fontId="24" fillId="2" borderId="28" xfId="0" applyFont="1" applyFill="1" applyBorder="1" applyProtection="1">
      <protection hidden="1"/>
    </xf>
    <xf numFmtId="37" fontId="22" fillId="0" borderId="17" xfId="1" applyNumberFormat="1" applyFont="1" applyBorder="1" applyAlignment="1" applyProtection="1">
      <alignment horizontal="left"/>
      <protection hidden="1"/>
    </xf>
    <xf numFmtId="37" fontId="22" fillId="0" borderId="8" xfId="1" applyNumberFormat="1" applyFont="1" applyBorder="1" applyAlignment="1" applyProtection="1">
      <alignment horizontal="left"/>
      <protection hidden="1"/>
    </xf>
    <xf numFmtId="0" fontId="22" fillId="0" borderId="17" xfId="0" applyFont="1" applyBorder="1" applyProtection="1">
      <protection hidden="1"/>
    </xf>
    <xf numFmtId="0" fontId="28" fillId="0" borderId="19" xfId="0" applyFont="1" applyBorder="1" applyProtection="1">
      <protection hidden="1"/>
    </xf>
    <xf numFmtId="0" fontId="28" fillId="0" borderId="25" xfId="0" applyFont="1" applyBorder="1" applyProtection="1">
      <protection hidden="1"/>
    </xf>
    <xf numFmtId="0" fontId="22" fillId="0" borderId="0" xfId="0" applyFont="1" applyAlignment="1" applyProtection="1">
      <alignment wrapText="1"/>
      <protection hidden="1"/>
    </xf>
    <xf numFmtId="0" fontId="22" fillId="0" borderId="8" xfId="0" applyFont="1" applyBorder="1" applyAlignment="1" applyProtection="1">
      <alignment wrapText="1"/>
      <protection hidden="1"/>
    </xf>
    <xf numFmtId="0" fontId="22" fillId="0" borderId="25" xfId="0" applyFont="1" applyBorder="1" applyAlignment="1" applyProtection="1">
      <alignment wrapText="1"/>
      <protection hidden="1"/>
    </xf>
    <xf numFmtId="0" fontId="22" fillId="0" borderId="30" xfId="0" applyFont="1" applyBorder="1" applyAlignment="1" applyProtection="1">
      <alignment wrapText="1"/>
      <protection hidden="1"/>
    </xf>
    <xf numFmtId="37" fontId="22" fillId="0" borderId="0" xfId="1" applyNumberFormat="1" applyFont="1" applyBorder="1" applyAlignment="1" applyProtection="1">
      <alignment horizontal="left"/>
      <protection hidden="1"/>
    </xf>
    <xf numFmtId="0" fontId="22" fillId="0" borderId="0" xfId="0" applyFont="1" applyProtection="1">
      <protection hidden="1"/>
    </xf>
    <xf numFmtId="0" fontId="28" fillId="0" borderId="0" xfId="0" applyFont="1" applyProtection="1">
      <protection hidden="1"/>
    </xf>
    <xf numFmtId="0" fontId="41" fillId="0" borderId="0" xfId="0" applyFont="1" applyAlignment="1" applyProtection="1">
      <alignment horizontal="center"/>
      <protection hidden="1"/>
    </xf>
    <xf numFmtId="0" fontId="28" fillId="0" borderId="34" xfId="0" applyFont="1" applyBorder="1" applyProtection="1">
      <protection hidden="1"/>
    </xf>
    <xf numFmtId="0" fontId="28" fillId="0" borderId="33" xfId="0" applyFont="1" applyBorder="1" applyProtection="1">
      <protection hidden="1"/>
    </xf>
    <xf numFmtId="0" fontId="22" fillId="0" borderId="17" xfId="0" applyFont="1" applyBorder="1" applyAlignment="1" applyProtection="1">
      <alignment wrapText="1"/>
      <protection hidden="1"/>
    </xf>
    <xf numFmtId="0" fontId="28" fillId="0" borderId="17" xfId="0" applyFont="1" applyBorder="1" applyProtection="1">
      <protection hidden="1"/>
    </xf>
    <xf numFmtId="0" fontId="19" fillId="0" borderId="0" xfId="0" applyFont="1" applyAlignment="1" applyProtection="1">
      <alignment horizontal="center"/>
      <protection hidden="1"/>
    </xf>
    <xf numFmtId="49" fontId="11" fillId="0" borderId="0" xfId="0" applyNumberFormat="1" applyFont="1" applyAlignment="1" applyProtection="1">
      <alignment horizontal="center"/>
      <protection locked="0" hidden="1"/>
    </xf>
    <xf numFmtId="0" fontId="11" fillId="0" borderId="0" xfId="0" applyFont="1" applyAlignment="1" applyProtection="1">
      <alignment horizontal="center"/>
      <protection locked="0" hidden="1"/>
    </xf>
    <xf numFmtId="0" fontId="5" fillId="0" borderId="0" xfId="0" applyFont="1" applyAlignment="1" applyProtection="1">
      <alignment horizontal="center"/>
      <protection locked="0" hidden="1"/>
    </xf>
    <xf numFmtId="0" fontId="7" fillId="0" borderId="12" xfId="0" applyFont="1" applyBorder="1" applyAlignment="1" applyProtection="1">
      <alignment horizontal="center" vertical="center"/>
      <protection locked="0" hidden="1"/>
    </xf>
    <xf numFmtId="0" fontId="6" fillId="0" borderId="13" xfId="0" applyFont="1" applyBorder="1" applyAlignment="1" applyProtection="1">
      <alignment horizontal="center" vertical="center"/>
      <protection locked="0" hidden="1"/>
    </xf>
    <xf numFmtId="0" fontId="14" fillId="0" borderId="15" xfId="0" applyFont="1" applyBorder="1" applyAlignment="1" applyProtection="1">
      <alignment horizontal="center" vertical="center" wrapText="1"/>
      <protection locked="0" hidden="1"/>
    </xf>
    <xf numFmtId="0" fontId="14" fillId="0" borderId="21" xfId="0" applyFont="1" applyBorder="1" applyAlignment="1" applyProtection="1">
      <alignment horizontal="center" vertical="center" wrapText="1"/>
      <protection locked="0" hidden="1"/>
    </xf>
    <xf numFmtId="0" fontId="14" fillId="0" borderId="17" xfId="0" applyFont="1" applyBorder="1" applyAlignment="1" applyProtection="1">
      <alignment horizontal="center" vertical="center" wrapText="1"/>
      <protection locked="0" hidden="1"/>
    </xf>
    <xf numFmtId="0" fontId="14" fillId="0" borderId="16" xfId="0" applyFont="1" applyBorder="1" applyAlignment="1" applyProtection="1">
      <alignment horizontal="center" vertical="center" wrapText="1"/>
      <protection locked="0" hidden="1"/>
    </xf>
    <xf numFmtId="0" fontId="5" fillId="0" borderId="0" xfId="0" applyFont="1" applyAlignment="1" applyProtection="1">
      <alignment horizontal="center"/>
      <protection hidden="1"/>
    </xf>
    <xf numFmtId="0" fontId="14" fillId="0" borderId="16" xfId="0" applyFont="1" applyBorder="1" applyAlignment="1" applyProtection="1">
      <alignment horizontal="center" vertical="center" wrapText="1"/>
      <protection hidden="1"/>
    </xf>
  </cellXfs>
  <cellStyles count="23">
    <cellStyle name="Comma" xfId="1" builtinId="3"/>
    <cellStyle name="Comma 2" xfId="9" xr:uid="{00000000-0005-0000-0000-000001000000}"/>
    <cellStyle name="Comma 3" xfId="8" xr:uid="{00000000-0005-0000-0000-000002000000}"/>
    <cellStyle name="Comma 4" xfId="20" xr:uid="{DB799D62-426D-4899-A811-0ECC13A65301}"/>
    <cellStyle name="Comma0" xfId="5" xr:uid="{00000000-0005-0000-0000-000003000000}"/>
    <cellStyle name="Comma0 2" xfId="10" xr:uid="{00000000-0005-0000-0000-000004000000}"/>
    <cellStyle name="Currency" xfId="2" builtinId="4"/>
    <cellStyle name="Currency 2" xfId="12" xr:uid="{00000000-0005-0000-0000-000006000000}"/>
    <cellStyle name="Currency 3" xfId="11" xr:uid="{00000000-0005-0000-0000-000007000000}"/>
    <cellStyle name="Currency 4" xfId="21" xr:uid="{548CE461-B10A-46A2-B292-725D77658005}"/>
    <cellStyle name="Currency0" xfId="6" xr:uid="{00000000-0005-0000-0000-000008000000}"/>
    <cellStyle name="Currency0 2" xfId="13" xr:uid="{00000000-0005-0000-0000-000009000000}"/>
    <cellStyle name="Hyperlink" xfId="4" builtinId="8"/>
    <cellStyle name="Hyperlink 2" xfId="14" xr:uid="{00000000-0005-0000-0000-00000B000000}"/>
    <cellStyle name="Normal" xfId="0" builtinId="0"/>
    <cellStyle name="Normal 2" xfId="7" xr:uid="{00000000-0005-0000-0000-00000D000000}"/>
    <cellStyle name="Normal 2 2" xfId="17" xr:uid="{3C711ED7-4210-46F7-BC02-DE6A2F18E179}"/>
    <cellStyle name="Normal 3" xfId="18" xr:uid="{0D4C2B08-E701-4AD7-8078-B1DD04A55A06}"/>
    <cellStyle name="Normal 4" xfId="19" xr:uid="{9C304F67-5996-4402-A6AC-A6A8F681F733}"/>
    <cellStyle name="Percent" xfId="3" builtinId="5"/>
    <cellStyle name="Percent 2" xfId="16" xr:uid="{00000000-0005-0000-0000-00000F000000}"/>
    <cellStyle name="Percent 3" xfId="15" xr:uid="{00000000-0005-0000-0000-000010000000}"/>
    <cellStyle name="Percent 4" xfId="22" xr:uid="{FAC3350D-DD34-41E8-860F-B0C2CD97C5B6}"/>
  </cellStyles>
  <dxfs count="102">
    <dxf>
      <font>
        <condense val="0"/>
        <extend val="0"/>
        <color indexed="9"/>
      </font>
    </dxf>
    <dxf>
      <font>
        <condense val="0"/>
        <extend val="0"/>
        <color indexed="9"/>
      </font>
    </dxf>
    <dxf>
      <font>
        <condense val="0"/>
        <extend val="0"/>
        <color indexed="9"/>
      </font>
    </dxf>
    <dxf>
      <font>
        <condense val="0"/>
        <extend val="0"/>
        <color indexed="9"/>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10"/>
      </font>
    </dxf>
    <dxf>
      <font>
        <condense val="0"/>
        <extend val="0"/>
        <color indexed="9"/>
      </font>
    </dxf>
    <dxf>
      <font>
        <condense val="0"/>
        <extend val="0"/>
        <color indexed="9"/>
      </font>
    </dxf>
    <dxf>
      <font>
        <condense val="0"/>
        <extend val="0"/>
        <color indexed="9"/>
      </font>
      <fill>
        <patternFill>
          <bgColor indexed="9"/>
        </patternFill>
      </fill>
    </dxf>
    <dxf>
      <font>
        <condense val="0"/>
        <extend val="0"/>
        <color indexed="9"/>
      </font>
    </dxf>
  </dxfs>
  <tableStyles count="0" defaultTableStyle="TableStyleMedium2" defaultPivotStyle="PivotStyleLight16"/>
  <colors>
    <mruColors>
      <color rgb="FFFFCCFF"/>
      <color rgb="FFFFFF99"/>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jpe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OneDrive/OneDrive%20-%20Currie%20Management%20Consultants/Currie%20Shared/Clark%20Financial%20Composite%202016/Q416/ClarkAllLiftQ41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EALER%20GROUP%20-%20GENERAL/Composite%20Masters/Agricultural%20Equipment/2015%20JD1%20Financial%20Composite%20Input%20Template.xl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OneDrive/OneDrive%20-%20Currie%20Management%20Consultants/Currie%20Shared/Clark%20Financial%20Composite%202016/Q416/ClarkMHIQ4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NOTES FOR CURRIE"/>
      <sheetName val="Sales, COGS, GP"/>
      <sheetName val="Expenses, Miscellaneous"/>
      <sheetName val="Balance Sheet"/>
      <sheetName val="Gap Analysis"/>
      <sheetName val="Composite Preview"/>
      <sheetName val="ClarkAllLiftQ416"/>
    </sheetNames>
    <sheetDataSet>
      <sheetData sheetId="0"/>
      <sheetData sheetId="1"/>
      <sheetData sheetId="2"/>
      <sheetData sheetId="3"/>
      <sheetData sheetId="4"/>
      <sheetData sheetId="5"/>
      <sheetData sheetId="6"/>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NOTES FOR CURRIE"/>
      <sheetName val="Sales, COGS, GP"/>
      <sheetName val="Expenses, Miscellaneous"/>
      <sheetName val="Balance Sheet"/>
      <sheetName val=" Gap Analysis without G &amp; A"/>
      <sheetName val="Gap Analysis"/>
      <sheetName val="Preview"/>
      <sheetName val="Currie"/>
    </sheetNames>
    <sheetDataSet>
      <sheetData sheetId="0"/>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NOTES FOR CURRIE"/>
      <sheetName val="Sales, COGS, GP"/>
      <sheetName val="Expenses, Miscellaneous"/>
      <sheetName val="Balance Sheet"/>
      <sheetName val="Gap Analysis"/>
      <sheetName val="Composite Preview"/>
      <sheetName val="ClarkMHIQ416"/>
    </sheetNames>
    <sheetDataSet>
      <sheetData sheetId="0"/>
      <sheetData sheetId="1"/>
      <sheetData sheetId="2"/>
      <sheetData sheetId="3"/>
      <sheetData sheetId="4"/>
      <sheetData sheetId="5"/>
      <sheetData sheetId="6"/>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vmlDrawing" Target="../drawings/vmlDrawing4.vml"/><Relationship Id="rId1" Type="http://schemas.openxmlformats.org/officeDocument/2006/relationships/printerSettings" Target="../printerSettings/printerSettings6.bin"/><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vmlDrawing" Target="../drawings/vmlDrawing6.vml"/><Relationship Id="rId1" Type="http://schemas.openxmlformats.org/officeDocument/2006/relationships/printerSettings" Target="../printerSettings/printerSettings7.bin"/><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I197"/>
  <sheetViews>
    <sheetView view="pageBreakPreview" topLeftCell="A89" zoomScaleNormal="100" zoomScaleSheetLayoutView="100" workbookViewId="0">
      <selection activeCell="A109" sqref="A109:I111"/>
    </sheetView>
  </sheetViews>
  <sheetFormatPr baseColWidth="10" defaultColWidth="9.1640625" defaultRowHeight="15"/>
  <cols>
    <col min="9" max="9" width="20.83203125" customWidth="1"/>
    <col min="10" max="16384" width="9.1640625" style="1"/>
  </cols>
  <sheetData>
    <row r="1" spans="1:9">
      <c r="A1" s="324"/>
      <c r="B1" s="324"/>
      <c r="C1" s="324"/>
      <c r="D1" s="324"/>
      <c r="E1" s="324"/>
      <c r="F1" s="324"/>
      <c r="G1" s="324"/>
      <c r="H1" s="324"/>
      <c r="I1" s="324"/>
    </row>
    <row r="2" spans="1:9" ht="18">
      <c r="A2" s="325" t="s">
        <v>0</v>
      </c>
    </row>
    <row r="3" spans="1:9" ht="18">
      <c r="A3" s="325"/>
    </row>
    <row r="4" spans="1:9" s="93" customFormat="1" ht="58.5" customHeight="1">
      <c r="A4" s="406" t="s">
        <v>1</v>
      </c>
      <c r="B4" s="406"/>
      <c r="C4" s="406"/>
      <c r="D4" s="406"/>
      <c r="E4" s="406"/>
      <c r="F4" s="406"/>
      <c r="G4" s="406"/>
      <c r="H4" s="406"/>
      <c r="I4" s="406"/>
    </row>
    <row r="5" spans="1:9" s="93" customFormat="1" ht="63" customHeight="1">
      <c r="A5" s="399" t="s">
        <v>2</v>
      </c>
      <c r="B5" s="399"/>
      <c r="C5" s="399"/>
      <c r="D5" s="399"/>
      <c r="E5" s="399"/>
      <c r="F5" s="399"/>
      <c r="G5" s="399"/>
      <c r="H5" s="399"/>
      <c r="I5" s="399"/>
    </row>
    <row r="7" spans="1:9" s="93" customFormat="1" ht="32.25" customHeight="1">
      <c r="A7" s="399" t="s">
        <v>3</v>
      </c>
      <c r="B7" s="399"/>
      <c r="C7" s="399"/>
      <c r="D7" s="399"/>
      <c r="E7" s="399"/>
      <c r="F7" s="399"/>
      <c r="G7" s="399"/>
      <c r="H7" s="399"/>
      <c r="I7" s="399"/>
    </row>
    <row r="9" spans="1:9" s="93" customFormat="1" ht="48.75" customHeight="1">
      <c r="A9" s="399" t="s">
        <v>4</v>
      </c>
      <c r="B9" s="399"/>
      <c r="C9" s="399"/>
      <c r="D9" s="399"/>
      <c r="E9" s="399"/>
      <c r="F9" s="399"/>
      <c r="G9" s="399"/>
      <c r="H9" s="399"/>
      <c r="I9" s="399"/>
    </row>
    <row r="11" spans="1:9" s="93" customFormat="1" ht="18" customHeight="1">
      <c r="A11" s="399" t="s">
        <v>5</v>
      </c>
      <c r="B11" s="399"/>
      <c r="C11" s="399"/>
      <c r="D11" s="399"/>
      <c r="E11" s="399"/>
      <c r="F11" s="399"/>
      <c r="G11" s="399"/>
      <c r="H11" s="399"/>
      <c r="I11" s="399"/>
    </row>
    <row r="12" spans="1:9" s="93" customFormat="1" ht="15" customHeight="1">
      <c r="A12" s="326"/>
      <c r="B12" s="326"/>
      <c r="C12" s="326"/>
      <c r="D12" s="326"/>
      <c r="E12" s="326"/>
      <c r="F12" s="326"/>
      <c r="G12" s="326"/>
      <c r="H12" s="326"/>
      <c r="I12" s="326"/>
    </row>
    <row r="13" spans="1:9">
      <c r="A13" s="405" t="s">
        <v>6</v>
      </c>
      <c r="B13" s="405"/>
      <c r="C13" s="405"/>
      <c r="D13" s="405"/>
      <c r="E13" s="405"/>
      <c r="F13" s="405"/>
      <c r="G13" s="405"/>
      <c r="H13" s="405"/>
      <c r="I13" s="405"/>
    </row>
    <row r="14" spans="1:9">
      <c r="A14" s="327"/>
      <c r="B14" s="327"/>
      <c r="C14" s="327"/>
      <c r="D14" s="327"/>
      <c r="E14" s="327"/>
      <c r="F14" s="327"/>
      <c r="G14" s="327"/>
      <c r="H14" s="327"/>
      <c r="I14" s="327"/>
    </row>
    <row r="15" spans="1:9">
      <c r="A15" s="324"/>
      <c r="B15" s="324"/>
      <c r="C15" s="324"/>
      <c r="D15" s="324"/>
      <c r="E15" s="324"/>
      <c r="F15" s="324"/>
      <c r="G15" s="324"/>
      <c r="H15" s="324"/>
      <c r="I15" s="324"/>
    </row>
    <row r="16" spans="1:9" ht="18">
      <c r="A16" s="325" t="s">
        <v>7</v>
      </c>
    </row>
    <row r="17" spans="1:9" s="94" customFormat="1" ht="35.25" customHeight="1">
      <c r="A17" s="407" t="s">
        <v>8</v>
      </c>
      <c r="B17" s="407"/>
      <c r="C17" s="407"/>
      <c r="D17" s="407"/>
      <c r="E17" s="407"/>
      <c r="F17" s="407"/>
      <c r="G17" s="407"/>
      <c r="H17" s="407"/>
      <c r="I17" s="407"/>
    </row>
    <row r="18" spans="1:9">
      <c r="A18" s="324"/>
      <c r="B18" s="324"/>
      <c r="C18" s="324"/>
      <c r="D18" s="324"/>
      <c r="E18" s="324"/>
      <c r="F18" s="324"/>
      <c r="G18" s="324"/>
      <c r="H18" s="324"/>
      <c r="I18" s="324"/>
    </row>
    <row r="19" spans="1:9" ht="18">
      <c r="A19" s="325" t="s">
        <v>9</v>
      </c>
    </row>
    <row r="20" spans="1:9" ht="51" customHeight="1">
      <c r="A20" s="396" t="s">
        <v>10</v>
      </c>
      <c r="B20" s="396"/>
      <c r="C20" s="396"/>
      <c r="D20" s="396"/>
      <c r="E20" s="396"/>
      <c r="F20" s="396"/>
      <c r="G20" s="396"/>
      <c r="H20" s="396"/>
      <c r="I20" s="396"/>
    </row>
    <row r="21" spans="1:9" ht="15" customHeight="1"/>
    <row r="22" spans="1:9" ht="47.25" customHeight="1">
      <c r="A22" s="402" t="s">
        <v>11</v>
      </c>
      <c r="B22" s="402"/>
      <c r="C22" s="402"/>
      <c r="D22" s="402"/>
      <c r="E22" s="402"/>
      <c r="F22" s="402"/>
      <c r="G22" s="402"/>
      <c r="H22" s="402"/>
      <c r="I22" s="402"/>
    </row>
    <row r="23" spans="1:9" ht="15" customHeight="1">
      <c r="A23" s="326"/>
      <c r="B23" s="326"/>
      <c r="C23" s="326"/>
      <c r="D23" s="326"/>
      <c r="E23" s="326"/>
      <c r="F23" s="326"/>
      <c r="G23" s="326"/>
      <c r="H23" s="326"/>
      <c r="I23" s="326"/>
    </row>
    <row r="24" spans="1:9" ht="81" customHeight="1">
      <c r="A24" s="408" t="s">
        <v>12</v>
      </c>
      <c r="B24" s="396"/>
      <c r="C24" s="396"/>
      <c r="D24" s="396"/>
      <c r="E24" s="396"/>
      <c r="F24" s="396"/>
      <c r="G24" s="396"/>
      <c r="H24" s="396"/>
      <c r="I24" s="396"/>
    </row>
    <row r="25" spans="1:9" s="93" customFormat="1" ht="15" customHeight="1">
      <c r="A25"/>
      <c r="B25"/>
      <c r="C25"/>
      <c r="D25"/>
      <c r="E25"/>
      <c r="F25"/>
      <c r="G25"/>
      <c r="H25"/>
      <c r="I25"/>
    </row>
    <row r="26" spans="1:9" s="93" customFormat="1" ht="48" customHeight="1">
      <c r="A26" s="396" t="s">
        <v>13</v>
      </c>
      <c r="B26" s="396"/>
      <c r="C26" s="396"/>
      <c r="D26" s="396"/>
      <c r="E26" s="396"/>
      <c r="F26" s="396"/>
      <c r="G26" s="396"/>
      <c r="H26" s="396"/>
      <c r="I26" s="396"/>
    </row>
    <row r="27" spans="1:9" ht="15" customHeight="1"/>
    <row r="28" spans="1:9" ht="82.5" customHeight="1">
      <c r="A28" s="396" t="s">
        <v>14</v>
      </c>
      <c r="B28" s="396"/>
      <c r="C28" s="396"/>
      <c r="D28" s="396"/>
      <c r="E28" s="396"/>
      <c r="F28" s="396"/>
      <c r="G28" s="396"/>
      <c r="H28" s="396"/>
      <c r="I28" s="396"/>
    </row>
    <row r="29" spans="1:9" ht="15" customHeight="1"/>
    <row r="30" spans="1:9" ht="33" customHeight="1">
      <c r="A30" s="396" t="s">
        <v>15</v>
      </c>
      <c r="B30" s="396"/>
      <c r="C30" s="396"/>
      <c r="D30" s="396"/>
      <c r="E30" s="396"/>
      <c r="F30" s="396"/>
      <c r="G30" s="396"/>
      <c r="H30" s="396"/>
      <c r="I30" s="396"/>
    </row>
    <row r="31" spans="1:9" ht="15" customHeight="1"/>
    <row r="32" spans="1:9" ht="33.75" customHeight="1">
      <c r="A32" s="396" t="s">
        <v>16</v>
      </c>
      <c r="B32" s="396"/>
      <c r="C32" s="396"/>
      <c r="D32" s="396"/>
      <c r="E32" s="396"/>
      <c r="F32" s="396"/>
      <c r="G32" s="396"/>
      <c r="H32" s="396"/>
      <c r="I32" s="396"/>
    </row>
    <row r="33" spans="1:9" ht="15" customHeight="1"/>
    <row r="34" spans="1:9" ht="34.5" customHeight="1">
      <c r="A34" s="396" t="s">
        <v>17</v>
      </c>
      <c r="B34" s="396"/>
      <c r="C34" s="396"/>
      <c r="D34" s="396"/>
      <c r="E34" s="396"/>
      <c r="F34" s="396"/>
      <c r="G34" s="396"/>
      <c r="H34" s="396"/>
      <c r="I34" s="396"/>
    </row>
    <row r="35" spans="1:9" ht="15" customHeight="1"/>
    <row r="36" spans="1:9" ht="34.5" customHeight="1">
      <c r="A36" s="396" t="s">
        <v>18</v>
      </c>
      <c r="B36" s="396"/>
      <c r="C36" s="396"/>
      <c r="D36" s="396"/>
      <c r="E36" s="396"/>
      <c r="F36" s="396"/>
      <c r="G36" s="396"/>
      <c r="H36" s="396"/>
      <c r="I36" s="396"/>
    </row>
    <row r="37" spans="1:9" ht="15" customHeight="1"/>
    <row r="38" spans="1:9" ht="33.75" customHeight="1">
      <c r="A38" s="396" t="s">
        <v>19</v>
      </c>
      <c r="B38" s="396"/>
      <c r="C38" s="396"/>
      <c r="D38" s="396"/>
      <c r="E38" s="396"/>
      <c r="F38" s="396"/>
      <c r="G38" s="396"/>
      <c r="H38" s="396"/>
      <c r="I38" s="396"/>
    </row>
    <row r="39" spans="1:9" ht="15" customHeight="1"/>
    <row r="40" spans="1:9" ht="105.75" customHeight="1">
      <c r="A40" s="396" t="s">
        <v>20</v>
      </c>
      <c r="B40" s="396"/>
      <c r="C40" s="396"/>
      <c r="D40" s="396"/>
      <c r="E40" s="396"/>
      <c r="F40" s="396"/>
      <c r="G40" s="396"/>
      <c r="H40" s="396"/>
      <c r="I40" s="396"/>
    </row>
    <row r="41" spans="1:9" ht="15" customHeight="1"/>
    <row r="42" spans="1:9" ht="18.75" customHeight="1">
      <c r="A42" s="396" t="s">
        <v>21</v>
      </c>
      <c r="B42" s="396"/>
      <c r="C42" s="396"/>
      <c r="D42" s="396"/>
      <c r="E42" s="396"/>
      <c r="F42" s="396"/>
      <c r="G42" s="396"/>
      <c r="H42" s="396"/>
      <c r="I42" s="396"/>
    </row>
    <row r="43" spans="1:9" ht="15" customHeight="1"/>
    <row r="44" spans="1:9" ht="33.75" customHeight="1">
      <c r="A44" s="397" t="s">
        <v>22</v>
      </c>
      <c r="B44" s="397"/>
      <c r="C44" s="397"/>
      <c r="D44" s="397"/>
      <c r="E44" s="397"/>
      <c r="F44" s="397"/>
      <c r="G44" s="397"/>
      <c r="H44" s="397"/>
      <c r="I44" s="397"/>
    </row>
    <row r="45" spans="1:9" ht="15" customHeight="1"/>
    <row r="46" spans="1:9" ht="50.25" customHeight="1">
      <c r="A46" s="396" t="s">
        <v>23</v>
      </c>
      <c r="B46" s="396"/>
      <c r="C46" s="396"/>
      <c r="D46" s="396"/>
      <c r="E46" s="396"/>
      <c r="F46" s="396"/>
      <c r="G46" s="396"/>
      <c r="H46" s="396"/>
      <c r="I46" s="396"/>
    </row>
    <row r="47" spans="1:9" ht="15" customHeight="1"/>
    <row r="48" spans="1:9" ht="32.25" customHeight="1">
      <c r="A48" s="396" t="s">
        <v>24</v>
      </c>
      <c r="B48" s="396"/>
      <c r="C48" s="396"/>
      <c r="D48" s="396"/>
      <c r="E48" s="396"/>
      <c r="F48" s="396"/>
      <c r="G48" s="396"/>
      <c r="H48" s="396"/>
      <c r="I48" s="396"/>
    </row>
    <row r="49" spans="1:9" ht="15" customHeight="1"/>
    <row r="50" spans="1:9" ht="34.5" customHeight="1">
      <c r="A50" s="396" t="s">
        <v>25</v>
      </c>
      <c r="B50" s="396"/>
      <c r="C50" s="396"/>
      <c r="D50" s="396"/>
      <c r="E50" s="396"/>
      <c r="F50" s="396"/>
      <c r="G50" s="396"/>
      <c r="H50" s="396"/>
      <c r="I50" s="396"/>
    </row>
    <row r="51" spans="1:9" ht="15" customHeight="1"/>
    <row r="52" spans="1:9" ht="18" customHeight="1">
      <c r="A52" s="396" t="s">
        <v>26</v>
      </c>
      <c r="B52" s="396"/>
      <c r="C52" s="396"/>
      <c r="D52" s="396"/>
      <c r="E52" s="396"/>
      <c r="F52" s="396"/>
      <c r="G52" s="396"/>
      <c r="H52" s="396"/>
      <c r="I52" s="396"/>
    </row>
    <row r="53" spans="1:9" ht="15" customHeight="1"/>
    <row r="54" spans="1:9" ht="34.5" customHeight="1">
      <c r="A54" s="396" t="s">
        <v>27</v>
      </c>
      <c r="B54" s="396"/>
      <c r="C54" s="396"/>
      <c r="D54" s="396"/>
      <c r="E54" s="396"/>
      <c r="F54" s="396"/>
      <c r="G54" s="396"/>
      <c r="H54" s="396"/>
      <c r="I54" s="396"/>
    </row>
    <row r="55" spans="1:9" ht="15" customHeight="1"/>
    <row r="56" spans="1:9" ht="33" customHeight="1">
      <c r="A56" s="397" t="s">
        <v>28</v>
      </c>
      <c r="B56" s="397"/>
      <c r="C56" s="397"/>
      <c r="D56" s="397"/>
      <c r="E56" s="397"/>
      <c r="F56" s="397"/>
      <c r="G56" s="397"/>
      <c r="H56" s="397"/>
      <c r="I56" s="397"/>
    </row>
    <row r="57" spans="1:9" ht="15" customHeight="1"/>
    <row r="58" spans="1:9" ht="48.75" customHeight="1">
      <c r="A58" s="396" t="s">
        <v>29</v>
      </c>
      <c r="B58" s="396"/>
      <c r="C58" s="396"/>
      <c r="D58" s="396"/>
      <c r="E58" s="396"/>
      <c r="F58" s="396"/>
      <c r="G58" s="396"/>
      <c r="H58" s="396"/>
      <c r="I58" s="396"/>
    </row>
    <row r="59" spans="1:9" ht="15" customHeight="1"/>
    <row r="60" spans="1:9" ht="48.75" customHeight="1">
      <c r="A60" s="396" t="s">
        <v>30</v>
      </c>
      <c r="B60" s="396"/>
      <c r="C60" s="396"/>
      <c r="D60" s="396"/>
      <c r="E60" s="396"/>
      <c r="F60" s="396"/>
      <c r="G60" s="396"/>
      <c r="H60" s="396"/>
      <c r="I60" s="396"/>
    </row>
    <row r="61" spans="1:9" ht="15" customHeight="1"/>
    <row r="62" spans="1:9" ht="36" customHeight="1">
      <c r="A62" s="396" t="s">
        <v>31</v>
      </c>
      <c r="B62" s="396"/>
      <c r="C62" s="396"/>
      <c r="D62" s="396"/>
      <c r="E62" s="396"/>
      <c r="F62" s="396"/>
      <c r="G62" s="396"/>
      <c r="H62" s="396"/>
      <c r="I62" s="396"/>
    </row>
    <row r="63" spans="1:9" ht="15" customHeight="1"/>
    <row r="64" spans="1:9" ht="36.75" customHeight="1">
      <c r="A64" s="396" t="s">
        <v>32</v>
      </c>
      <c r="B64" s="396"/>
      <c r="C64" s="396"/>
      <c r="D64" s="396"/>
      <c r="E64" s="396"/>
      <c r="F64" s="396"/>
      <c r="G64" s="396"/>
      <c r="H64" s="396"/>
      <c r="I64" s="396"/>
    </row>
    <row r="65" spans="1:9" ht="15" customHeight="1"/>
    <row r="66" spans="1:9" ht="33.75" customHeight="1">
      <c r="A66" s="396" t="s">
        <v>33</v>
      </c>
      <c r="B66" s="396"/>
      <c r="C66" s="396"/>
      <c r="D66" s="396"/>
      <c r="E66" s="396"/>
      <c r="F66" s="396"/>
      <c r="G66" s="396"/>
      <c r="H66" s="396"/>
      <c r="I66" s="396"/>
    </row>
    <row r="67" spans="1:9" ht="15" customHeight="1"/>
    <row r="68" spans="1:9" ht="48" customHeight="1">
      <c r="A68" s="396" t="s">
        <v>34</v>
      </c>
      <c r="B68" s="396"/>
      <c r="C68" s="396"/>
      <c r="D68" s="396"/>
      <c r="E68" s="396"/>
      <c r="F68" s="396"/>
      <c r="G68" s="396"/>
      <c r="H68" s="396"/>
      <c r="I68" s="396"/>
    </row>
    <row r="69" spans="1:9" ht="15" customHeight="1"/>
    <row r="70" spans="1:9" ht="51" customHeight="1">
      <c r="A70" s="396" t="s">
        <v>35</v>
      </c>
      <c r="B70" s="396"/>
      <c r="C70" s="396"/>
      <c r="D70" s="396"/>
      <c r="E70" s="396"/>
      <c r="F70" s="396"/>
      <c r="G70" s="396"/>
      <c r="H70" s="396"/>
      <c r="I70" s="396"/>
    </row>
    <row r="71" spans="1:9" ht="15" customHeight="1"/>
    <row r="72" spans="1:9" ht="18" customHeight="1">
      <c r="A72" s="396" t="s">
        <v>36</v>
      </c>
      <c r="B72" s="396"/>
      <c r="C72" s="396"/>
      <c r="D72" s="396"/>
      <c r="E72" s="396"/>
      <c r="F72" s="396"/>
      <c r="G72" s="396"/>
      <c r="H72" s="396"/>
      <c r="I72" s="396"/>
    </row>
    <row r="73" spans="1:9" ht="15" customHeight="1"/>
    <row r="74" spans="1:9" ht="33" customHeight="1">
      <c r="A74" s="396" t="s">
        <v>37</v>
      </c>
      <c r="B74" s="396"/>
      <c r="C74" s="396"/>
      <c r="D74" s="396"/>
      <c r="E74" s="396"/>
      <c r="F74" s="396"/>
      <c r="G74" s="396"/>
      <c r="H74" s="396"/>
      <c r="I74" s="396"/>
    </row>
    <row r="75" spans="1:9" ht="15" customHeight="1"/>
    <row r="76" spans="1:9" ht="36" customHeight="1">
      <c r="A76" s="397" t="s">
        <v>38</v>
      </c>
      <c r="B76" s="397"/>
      <c r="C76" s="397"/>
      <c r="D76" s="397"/>
      <c r="E76" s="397"/>
      <c r="F76" s="397"/>
      <c r="G76" s="397"/>
      <c r="H76" s="397"/>
      <c r="I76" s="397"/>
    </row>
    <row r="77" spans="1:9" ht="15" customHeight="1">
      <c r="A77" s="328"/>
      <c r="B77" s="328"/>
      <c r="C77" s="328"/>
      <c r="D77" s="328"/>
      <c r="E77" s="328"/>
      <c r="F77" s="328"/>
      <c r="G77" s="328"/>
      <c r="H77" s="328"/>
      <c r="I77" s="328"/>
    </row>
    <row r="78" spans="1:9" ht="22.5" customHeight="1">
      <c r="A78" s="325" t="s">
        <v>39</v>
      </c>
    </row>
    <row r="79" spans="1:9" s="95" customFormat="1" ht="31.5" customHeight="1">
      <c r="A79" s="399" t="s">
        <v>40</v>
      </c>
      <c r="B79" s="399"/>
      <c r="C79" s="399"/>
      <c r="D79" s="399"/>
      <c r="E79" s="399"/>
      <c r="F79" s="399"/>
      <c r="G79" s="399"/>
      <c r="H79" s="399"/>
      <c r="I79" s="399"/>
    </row>
    <row r="80" spans="1:9" ht="15" customHeight="1">
      <c r="H80" s="326"/>
      <c r="I80" s="326"/>
    </row>
    <row r="81" spans="1:9" s="95" customFormat="1" ht="18" customHeight="1">
      <c r="A81" s="329" t="s">
        <v>41</v>
      </c>
      <c r="B81" s="326"/>
      <c r="C81" s="326"/>
      <c r="D81" s="326"/>
      <c r="E81" s="326"/>
      <c r="F81" s="326"/>
      <c r="G81" s="326"/>
      <c r="H81" s="326"/>
      <c r="I81" s="326"/>
    </row>
    <row r="82" spans="1:9" ht="75.75" customHeight="1">
      <c r="A82" s="396" t="s">
        <v>42</v>
      </c>
      <c r="B82" s="396"/>
      <c r="C82" s="396"/>
      <c r="D82" s="396"/>
      <c r="E82" s="396"/>
      <c r="F82" s="396"/>
      <c r="G82" s="396"/>
      <c r="H82" s="396"/>
      <c r="I82" s="396"/>
    </row>
    <row r="83" spans="1:9" ht="15" customHeight="1">
      <c r="H83" s="326"/>
      <c r="I83" s="326"/>
    </row>
    <row r="84" spans="1:9" ht="19.5" customHeight="1">
      <c r="A84" s="396" t="s">
        <v>43</v>
      </c>
      <c r="B84" s="396"/>
      <c r="C84" s="396"/>
      <c r="D84" s="396"/>
      <c r="E84" s="396"/>
      <c r="F84" s="396"/>
      <c r="G84" s="396"/>
      <c r="H84" s="396"/>
      <c r="I84" s="396"/>
    </row>
    <row r="85" spans="1:9" ht="15" customHeight="1">
      <c r="H85" s="326"/>
      <c r="I85" s="326"/>
    </row>
    <row r="86" spans="1:9" ht="61.5" customHeight="1">
      <c r="A86" s="396" t="s">
        <v>44</v>
      </c>
      <c r="B86" s="396"/>
      <c r="C86" s="396"/>
      <c r="D86" s="396"/>
      <c r="E86" s="396"/>
      <c r="F86" s="396"/>
      <c r="G86" s="396"/>
      <c r="H86" s="396"/>
      <c r="I86" s="396"/>
    </row>
    <row r="87" spans="1:9" ht="15" customHeight="1">
      <c r="A87" s="330"/>
      <c r="B87" s="330"/>
      <c r="C87" s="330"/>
      <c r="D87" s="330"/>
      <c r="E87" s="330"/>
      <c r="F87" s="330"/>
      <c r="G87" s="330"/>
      <c r="H87" s="330"/>
      <c r="I87" s="330"/>
    </row>
    <row r="88" spans="1:9" s="95" customFormat="1" ht="22.5" customHeight="1">
      <c r="A88" s="329" t="s">
        <v>45</v>
      </c>
      <c r="B88" s="326"/>
      <c r="C88" s="326"/>
      <c r="D88" s="326"/>
      <c r="E88" s="326"/>
      <c r="F88" s="326"/>
      <c r="G88" s="326"/>
      <c r="H88" s="326"/>
      <c r="I88" s="326"/>
    </row>
    <row r="89" spans="1:9" ht="34.5" customHeight="1">
      <c r="A89" s="396" t="s">
        <v>46</v>
      </c>
      <c r="B89" s="396"/>
      <c r="C89" s="396"/>
      <c r="D89" s="396"/>
      <c r="E89" s="396"/>
      <c r="F89" s="396"/>
      <c r="G89" s="396"/>
      <c r="H89" s="396"/>
      <c r="I89" s="396"/>
    </row>
    <row r="90" spans="1:9" s="93" customFormat="1" ht="15" customHeight="1">
      <c r="A90"/>
      <c r="B90"/>
      <c r="C90"/>
      <c r="D90"/>
      <c r="E90"/>
      <c r="F90"/>
      <c r="G90"/>
      <c r="H90" s="326"/>
      <c r="I90" s="326"/>
    </row>
    <row r="91" spans="1:9" ht="34.5" customHeight="1">
      <c r="A91" s="397" t="s">
        <v>47</v>
      </c>
      <c r="B91" s="397"/>
      <c r="C91" s="397"/>
      <c r="D91" s="397"/>
      <c r="E91" s="397"/>
      <c r="F91" s="397"/>
      <c r="G91" s="397"/>
      <c r="H91" s="397"/>
      <c r="I91" s="397"/>
    </row>
    <row r="92" spans="1:9" s="93" customFormat="1" ht="15" customHeight="1">
      <c r="A92"/>
      <c r="B92"/>
      <c r="C92"/>
      <c r="D92"/>
      <c r="E92"/>
      <c r="F92"/>
      <c r="G92"/>
      <c r="H92" s="326"/>
      <c r="I92" s="326"/>
    </row>
    <row r="93" spans="1:9" ht="34.5" customHeight="1">
      <c r="A93" s="397" t="s">
        <v>48</v>
      </c>
      <c r="B93" s="397"/>
      <c r="C93" s="397"/>
      <c r="D93" s="397"/>
      <c r="E93" s="397"/>
      <c r="F93" s="397"/>
      <c r="G93" s="397"/>
      <c r="H93" s="397"/>
      <c r="I93" s="397"/>
    </row>
    <row r="94" spans="1:9" s="93" customFormat="1" ht="15" customHeight="1">
      <c r="A94"/>
      <c r="B94"/>
      <c r="C94"/>
      <c r="D94"/>
      <c r="E94"/>
      <c r="F94"/>
      <c r="G94"/>
      <c r="H94" s="326"/>
      <c r="I94" s="326"/>
    </row>
    <row r="95" spans="1:9" s="93" customFormat="1" ht="17.25" customHeight="1">
      <c r="A95" s="410" t="s">
        <v>49</v>
      </c>
      <c r="B95" s="410"/>
      <c r="C95" s="410"/>
      <c r="D95" s="410"/>
      <c r="E95" s="410"/>
      <c r="F95" s="410"/>
      <c r="G95" s="410"/>
      <c r="H95" s="410"/>
      <c r="I95" s="410"/>
    </row>
    <row r="96" spans="1:9" s="93" customFormat="1" ht="17.25" customHeight="1">
      <c r="A96" s="410" t="s">
        <v>50</v>
      </c>
      <c r="B96" s="410"/>
      <c r="C96" s="410"/>
      <c r="D96" s="410"/>
      <c r="E96" s="410"/>
      <c r="F96" s="410"/>
      <c r="G96" s="410"/>
      <c r="H96" s="410"/>
      <c r="I96" s="410"/>
    </row>
    <row r="97" spans="1:9" s="93" customFormat="1" ht="15" customHeight="1">
      <c r="A97" s="396" t="s">
        <v>51</v>
      </c>
      <c r="B97" s="396"/>
      <c r="C97" s="396"/>
      <c r="D97" s="396"/>
      <c r="E97" s="396"/>
      <c r="F97" s="396"/>
      <c r="G97" s="396"/>
      <c r="H97" s="396"/>
      <c r="I97" s="396"/>
    </row>
    <row r="98" spans="1:9" s="93" customFormat="1" ht="15" customHeight="1">
      <c r="A98" s="396" t="s">
        <v>52</v>
      </c>
      <c r="B98" s="396"/>
      <c r="C98" s="396"/>
      <c r="D98" s="396"/>
      <c r="E98" s="396"/>
      <c r="F98" s="396"/>
      <c r="G98" s="396"/>
      <c r="H98" s="396"/>
      <c r="I98" s="396"/>
    </row>
    <row r="99" spans="1:9" s="93" customFormat="1" ht="15" customHeight="1">
      <c r="A99" s="396" t="s">
        <v>53</v>
      </c>
      <c r="B99" s="396"/>
      <c r="C99" s="396"/>
      <c r="D99" s="396"/>
      <c r="E99" s="396"/>
      <c r="F99" s="396"/>
      <c r="G99" s="396"/>
      <c r="H99" s="396"/>
      <c r="I99" s="396"/>
    </row>
    <row r="100" spans="1:9" s="93" customFormat="1" ht="15" customHeight="1">
      <c r="A100" s="396" t="s">
        <v>54</v>
      </c>
      <c r="B100" s="396"/>
      <c r="C100" s="396"/>
      <c r="D100" s="396"/>
      <c r="E100" s="396"/>
      <c r="F100" s="396"/>
      <c r="G100" s="396"/>
      <c r="H100" s="396"/>
      <c r="I100" s="396"/>
    </row>
    <row r="101" spans="1:9" s="93" customFormat="1" ht="15" customHeight="1">
      <c r="A101"/>
      <c r="B101"/>
      <c r="C101"/>
      <c r="D101"/>
      <c r="E101"/>
      <c r="F101"/>
      <c r="G101"/>
      <c r="H101" s="326"/>
      <c r="I101" s="326"/>
    </row>
    <row r="102" spans="1:9" s="93" customFormat="1" ht="16.5" customHeight="1">
      <c r="A102" s="410" t="s">
        <v>55</v>
      </c>
      <c r="B102" s="410"/>
      <c r="C102" s="410"/>
      <c r="D102" s="410"/>
      <c r="E102" s="410"/>
      <c r="F102" s="410"/>
      <c r="G102" s="410"/>
      <c r="H102" s="410"/>
      <c r="I102" s="410"/>
    </row>
    <row r="103" spans="1:9" s="93" customFormat="1" ht="18.75" customHeight="1">
      <c r="A103" s="400" t="s">
        <v>56</v>
      </c>
      <c r="B103" s="401"/>
      <c r="C103" s="401"/>
      <c r="D103" s="401"/>
      <c r="E103" s="401"/>
      <c r="F103" s="401"/>
      <c r="G103" s="401"/>
      <c r="H103" s="401"/>
      <c r="I103" s="401"/>
    </row>
    <row r="104" spans="1:9" s="93" customFormat="1" ht="16.5" customHeight="1">
      <c r="A104" s="400" t="s">
        <v>57</v>
      </c>
      <c r="B104" s="401"/>
      <c r="C104" s="401"/>
      <c r="D104" s="401"/>
      <c r="E104" s="401"/>
      <c r="F104" s="401"/>
      <c r="G104" s="401"/>
      <c r="H104" s="401"/>
      <c r="I104" s="401"/>
    </row>
    <row r="105" spans="1:9" s="93" customFormat="1" ht="15.75" customHeight="1">
      <c r="A105" s="400" t="s">
        <v>58</v>
      </c>
      <c r="B105" s="401"/>
      <c r="C105" s="401"/>
      <c r="D105" s="401"/>
      <c r="E105" s="401"/>
      <c r="F105" s="401"/>
      <c r="G105" s="401"/>
      <c r="H105" s="401"/>
      <c r="I105" s="401"/>
    </row>
    <row r="106" spans="1:9" s="93" customFormat="1" ht="16.5" customHeight="1">
      <c r="A106" s="400" t="s">
        <v>59</v>
      </c>
      <c r="B106" s="401"/>
      <c r="C106" s="401"/>
      <c r="D106" s="401"/>
      <c r="E106" s="401"/>
      <c r="F106" s="401"/>
      <c r="G106" s="401"/>
      <c r="H106" s="401"/>
      <c r="I106" s="401"/>
    </row>
    <row r="107" spans="1:9" s="93" customFormat="1" ht="32.25" customHeight="1">
      <c r="A107"/>
      <c r="B107"/>
      <c r="C107"/>
      <c r="D107"/>
      <c r="E107"/>
      <c r="F107"/>
      <c r="G107"/>
      <c r="H107" s="326"/>
      <c r="I107" s="326"/>
    </row>
    <row r="108" spans="1:9" s="93" customFormat="1" ht="15" customHeight="1">
      <c r="A108" s="410" t="s">
        <v>60</v>
      </c>
      <c r="B108" s="410"/>
      <c r="C108" s="410"/>
      <c r="D108" s="410"/>
      <c r="E108" s="410"/>
      <c r="F108" s="410"/>
      <c r="G108" s="410"/>
      <c r="H108" s="410"/>
      <c r="I108" s="410"/>
    </row>
    <row r="109" spans="1:9" s="93" customFormat="1" ht="32.25" customHeight="1">
      <c r="A109" s="400" t="s">
        <v>61</v>
      </c>
      <c r="B109" s="401"/>
      <c r="C109" s="401"/>
      <c r="D109" s="401"/>
      <c r="E109" s="401"/>
      <c r="F109" s="401"/>
      <c r="G109" s="401"/>
      <c r="H109" s="401"/>
      <c r="I109" s="401"/>
    </row>
    <row r="110" spans="1:9" ht="16.5" customHeight="1">
      <c r="A110" s="400" t="s">
        <v>62</v>
      </c>
      <c r="B110" s="401"/>
      <c r="C110" s="401"/>
      <c r="D110" s="401"/>
      <c r="E110" s="401"/>
      <c r="F110" s="401"/>
      <c r="G110" s="401"/>
      <c r="H110" s="401"/>
      <c r="I110" s="401"/>
    </row>
    <row r="111" spans="1:9" ht="16.5" customHeight="1">
      <c r="A111" s="400" t="s">
        <v>63</v>
      </c>
      <c r="B111" s="401"/>
      <c r="C111" s="401"/>
      <c r="D111" s="401"/>
      <c r="E111" s="401"/>
      <c r="F111" s="401"/>
      <c r="G111" s="401"/>
      <c r="H111" s="401"/>
      <c r="I111" s="401"/>
    </row>
    <row r="112" spans="1:9" s="93" customFormat="1" ht="33.75" customHeight="1">
      <c r="A112"/>
      <c r="B112"/>
      <c r="C112"/>
      <c r="D112"/>
      <c r="E112"/>
      <c r="F112"/>
      <c r="G112"/>
      <c r="H112" s="326"/>
      <c r="I112" s="326"/>
    </row>
    <row r="113" spans="1:9" s="93" customFormat="1" ht="63" customHeight="1">
      <c r="A113" s="410" t="s">
        <v>64</v>
      </c>
      <c r="B113" s="410"/>
      <c r="C113" s="410"/>
      <c r="D113" s="410"/>
      <c r="E113" s="410"/>
      <c r="F113" s="410"/>
      <c r="G113" s="410"/>
      <c r="H113" s="410"/>
      <c r="I113" s="410"/>
    </row>
    <row r="114" spans="1:9" ht="18.75" customHeight="1">
      <c r="A114" s="396" t="s">
        <v>65</v>
      </c>
      <c r="B114" s="396"/>
      <c r="C114" s="396"/>
      <c r="D114" s="396"/>
      <c r="E114" s="396"/>
      <c r="F114" s="396"/>
      <c r="G114" s="396"/>
      <c r="H114" s="396"/>
      <c r="I114" s="396"/>
    </row>
    <row r="115" spans="1:9" ht="50.25" customHeight="1">
      <c r="A115" s="396" t="s">
        <v>66</v>
      </c>
      <c r="B115" s="396"/>
      <c r="C115" s="396"/>
      <c r="D115" s="396"/>
      <c r="E115" s="396"/>
      <c r="F115" s="396"/>
      <c r="G115" s="396"/>
      <c r="H115" s="396"/>
      <c r="I115" s="396"/>
    </row>
    <row r="116" spans="1:9" ht="36" customHeight="1">
      <c r="A116" s="396" t="s">
        <v>67</v>
      </c>
      <c r="B116" s="396"/>
      <c r="C116" s="396"/>
      <c r="D116" s="396"/>
      <c r="E116" s="396"/>
      <c r="F116" s="396"/>
      <c r="G116" s="396"/>
      <c r="H116" s="396"/>
      <c r="I116" s="396"/>
    </row>
    <row r="117" spans="1:9" s="93" customFormat="1" ht="18" customHeight="1">
      <c r="A117"/>
      <c r="B117"/>
      <c r="C117"/>
      <c r="D117"/>
      <c r="E117"/>
      <c r="F117"/>
      <c r="G117"/>
      <c r="H117" s="326"/>
      <c r="I117" s="326"/>
    </row>
    <row r="118" spans="1:9" s="93" customFormat="1" ht="27" customHeight="1">
      <c r="A118" s="410" t="s">
        <v>68</v>
      </c>
      <c r="B118" s="410"/>
      <c r="C118" s="410"/>
      <c r="D118" s="410"/>
      <c r="E118" s="410"/>
      <c r="F118" s="410"/>
      <c r="G118" s="410"/>
      <c r="H118" s="410"/>
      <c r="I118" s="410"/>
    </row>
    <row r="119" spans="1:9" ht="35.25" customHeight="1">
      <c r="A119" s="396" t="s">
        <v>69</v>
      </c>
      <c r="B119" s="396"/>
      <c r="C119" s="396"/>
      <c r="D119" s="396"/>
      <c r="E119" s="396"/>
      <c r="F119" s="396"/>
      <c r="G119" s="396"/>
      <c r="H119" s="396"/>
      <c r="I119" s="396"/>
    </row>
    <row r="120" spans="1:9" ht="35.25" customHeight="1">
      <c r="A120" s="396" t="s">
        <v>70</v>
      </c>
      <c r="B120" s="396"/>
      <c r="C120" s="396"/>
      <c r="D120" s="396"/>
      <c r="E120" s="396"/>
      <c r="F120" s="396"/>
      <c r="G120" s="396"/>
      <c r="H120" s="396"/>
      <c r="I120" s="396"/>
    </row>
    <row r="121" spans="1:9" ht="48" customHeight="1">
      <c r="A121" s="396" t="s">
        <v>71</v>
      </c>
      <c r="B121" s="396"/>
      <c r="C121" s="396"/>
      <c r="D121" s="396"/>
      <c r="E121" s="396"/>
      <c r="F121" s="396"/>
      <c r="G121" s="396"/>
      <c r="H121" s="396"/>
      <c r="I121" s="396"/>
    </row>
    <row r="122" spans="1:9" ht="50.25" customHeight="1">
      <c r="A122" s="396" t="s">
        <v>72</v>
      </c>
      <c r="B122" s="396"/>
      <c r="C122" s="396"/>
      <c r="D122" s="396"/>
      <c r="E122" s="396"/>
      <c r="F122" s="396"/>
      <c r="G122" s="396"/>
      <c r="H122" s="396"/>
      <c r="I122" s="396"/>
    </row>
    <row r="123" spans="1:9" ht="52.5" customHeight="1">
      <c r="A123" s="396" t="s">
        <v>73</v>
      </c>
      <c r="B123" s="396"/>
      <c r="C123" s="396"/>
      <c r="D123" s="396"/>
      <c r="E123" s="396"/>
      <c r="F123" s="396"/>
      <c r="G123" s="396"/>
      <c r="H123" s="396"/>
      <c r="I123" s="396"/>
    </row>
    <row r="124" spans="1:9" s="93" customFormat="1" ht="44.25" customHeight="1">
      <c r="A124"/>
      <c r="B124"/>
      <c r="C124"/>
      <c r="D124"/>
      <c r="E124"/>
      <c r="F124"/>
      <c r="G124"/>
      <c r="H124" s="326"/>
      <c r="I124" s="326"/>
    </row>
    <row r="125" spans="1:9" s="93" customFormat="1" ht="44.25" customHeight="1">
      <c r="A125" s="410" t="s">
        <v>74</v>
      </c>
      <c r="B125" s="410"/>
      <c r="C125" s="410"/>
      <c r="D125" s="410"/>
      <c r="E125" s="410"/>
      <c r="F125" s="410"/>
      <c r="G125" s="410"/>
      <c r="H125" s="410"/>
      <c r="I125" s="410"/>
    </row>
    <row r="126" spans="1:9" ht="18" customHeight="1">
      <c r="A126" s="396" t="s">
        <v>75</v>
      </c>
      <c r="B126" s="396"/>
      <c r="C126" s="396"/>
      <c r="D126" s="396"/>
      <c r="E126" s="396"/>
      <c r="F126" s="396"/>
      <c r="G126" s="396"/>
      <c r="H126" s="396"/>
      <c r="I126" s="396"/>
    </row>
    <row r="127" spans="1:9" ht="18" customHeight="1">
      <c r="A127" s="396" t="s">
        <v>76</v>
      </c>
      <c r="B127" s="396"/>
      <c r="C127" s="396"/>
      <c r="D127" s="396"/>
      <c r="E127" s="396"/>
      <c r="F127" s="396"/>
      <c r="G127" s="396"/>
      <c r="H127" s="396"/>
      <c r="I127" s="396"/>
    </row>
    <row r="128" spans="1:9" ht="64.5" customHeight="1">
      <c r="A128" s="396" t="s">
        <v>77</v>
      </c>
      <c r="B128" s="396"/>
      <c r="C128" s="396"/>
      <c r="D128" s="396"/>
      <c r="E128" s="396"/>
      <c r="F128" s="396"/>
      <c r="G128" s="396"/>
      <c r="H128" s="396"/>
      <c r="I128" s="396"/>
    </row>
    <row r="129" spans="1:9" ht="48.75" customHeight="1">
      <c r="A129" s="396" t="s">
        <v>78</v>
      </c>
      <c r="B129" s="396"/>
      <c r="C129" s="396"/>
      <c r="D129" s="396"/>
      <c r="E129" s="396"/>
      <c r="F129" s="396"/>
      <c r="G129" s="396"/>
      <c r="H129" s="396"/>
      <c r="I129" s="396"/>
    </row>
    <row r="130" spans="1:9" ht="33" customHeight="1">
      <c r="A130" s="396" t="s">
        <v>79</v>
      </c>
      <c r="B130" s="396"/>
      <c r="C130" s="396"/>
      <c r="D130" s="396"/>
      <c r="E130" s="396"/>
      <c r="F130" s="396"/>
      <c r="G130" s="396"/>
      <c r="H130" s="396"/>
      <c r="I130" s="396"/>
    </row>
    <row r="131" spans="1:9" s="93" customFormat="1" ht="15" customHeight="1">
      <c r="A131"/>
      <c r="B131"/>
      <c r="C131"/>
      <c r="D131"/>
      <c r="E131"/>
      <c r="F131"/>
      <c r="G131"/>
      <c r="H131" s="326"/>
      <c r="I131" s="326"/>
    </row>
    <row r="132" spans="1:9" ht="48.75" customHeight="1">
      <c r="A132" s="396" t="s">
        <v>80</v>
      </c>
      <c r="B132" s="396"/>
      <c r="C132" s="396"/>
      <c r="D132" s="396"/>
      <c r="E132" s="396"/>
      <c r="F132" s="396"/>
      <c r="G132" s="396"/>
      <c r="H132" s="396"/>
      <c r="I132" s="396"/>
    </row>
    <row r="133" spans="1:9" ht="34.5" customHeight="1">
      <c r="A133" s="396" t="s">
        <v>81</v>
      </c>
      <c r="B133" s="396"/>
      <c r="C133" s="396"/>
      <c r="D133" s="396"/>
      <c r="E133" s="396"/>
      <c r="F133" s="396"/>
      <c r="G133" s="396"/>
      <c r="H133" s="396"/>
      <c r="I133" s="396"/>
    </row>
    <row r="134" spans="1:9" s="93" customFormat="1" ht="54" customHeight="1">
      <c r="A134"/>
      <c r="B134"/>
      <c r="C134"/>
      <c r="D134"/>
      <c r="E134"/>
      <c r="F134"/>
      <c r="G134"/>
      <c r="H134" s="326"/>
      <c r="I134" s="326"/>
    </row>
    <row r="135" spans="1:9" s="93" customFormat="1" ht="31.5" customHeight="1">
      <c r="A135" s="410" t="s">
        <v>82</v>
      </c>
      <c r="B135" s="410"/>
      <c r="C135" s="410"/>
      <c r="D135" s="410"/>
      <c r="E135" s="410"/>
      <c r="F135" s="410"/>
      <c r="G135" s="410"/>
      <c r="H135" s="410"/>
      <c r="I135" s="410"/>
    </row>
    <row r="136" spans="1:9" s="95" customFormat="1" ht="51" customHeight="1">
      <c r="A136" s="411" t="s">
        <v>83</v>
      </c>
      <c r="B136" s="412"/>
      <c r="C136" s="412"/>
      <c r="D136" s="412"/>
      <c r="E136" s="412"/>
      <c r="F136" s="412"/>
      <c r="G136" s="412"/>
      <c r="H136" s="412"/>
      <c r="I136" s="412"/>
    </row>
    <row r="137" spans="1:9" s="93" customFormat="1" ht="18.75" customHeight="1">
      <c r="A137"/>
      <c r="B137"/>
      <c r="C137"/>
      <c r="D137"/>
      <c r="E137"/>
      <c r="F137"/>
      <c r="G137"/>
      <c r="H137" s="326"/>
      <c r="I137" s="326"/>
    </row>
    <row r="138" spans="1:9" s="95" customFormat="1" ht="17.25" customHeight="1">
      <c r="A138" s="400" t="s">
        <v>84</v>
      </c>
      <c r="B138" s="401"/>
      <c r="C138" s="401"/>
      <c r="D138" s="401"/>
      <c r="E138" s="401"/>
      <c r="F138" s="401"/>
      <c r="G138" s="401"/>
      <c r="H138" s="401"/>
      <c r="I138" s="401"/>
    </row>
    <row r="139" spans="1:9" s="93" customFormat="1" ht="23.25" customHeight="1">
      <c r="A139"/>
      <c r="B139"/>
      <c r="C139"/>
      <c r="D139"/>
      <c r="E139"/>
      <c r="F139"/>
      <c r="G139"/>
      <c r="H139" s="326"/>
      <c r="I139" s="326"/>
    </row>
    <row r="140" spans="1:9" s="95" customFormat="1" ht="15" customHeight="1">
      <c r="A140" s="400" t="s">
        <v>85</v>
      </c>
      <c r="B140" s="401"/>
      <c r="C140" s="401"/>
      <c r="D140" s="401"/>
      <c r="E140" s="401"/>
      <c r="F140" s="401"/>
      <c r="G140" s="401"/>
      <c r="H140" s="401"/>
      <c r="I140" s="401"/>
    </row>
    <row r="141" spans="1:9" s="93" customFormat="1" ht="21" customHeight="1">
      <c r="A141"/>
      <c r="B141"/>
      <c r="C141"/>
      <c r="D141"/>
      <c r="E141"/>
      <c r="F141"/>
      <c r="G141"/>
      <c r="H141" s="326"/>
      <c r="I141" s="326"/>
    </row>
    <row r="142" spans="1:9" s="93" customFormat="1" ht="27" customHeight="1">
      <c r="A142" s="410" t="s">
        <v>86</v>
      </c>
      <c r="B142" s="410"/>
      <c r="C142" s="410"/>
      <c r="D142" s="410"/>
      <c r="E142" s="410"/>
      <c r="F142" s="410"/>
      <c r="G142" s="410"/>
      <c r="H142" s="410"/>
      <c r="I142" s="410"/>
    </row>
    <row r="143" spans="1:9" s="95" customFormat="1" ht="18.75" customHeight="1">
      <c r="A143" s="400" t="s">
        <v>87</v>
      </c>
      <c r="B143" s="401"/>
      <c r="C143" s="401"/>
      <c r="D143" s="401"/>
      <c r="E143" s="401"/>
      <c r="F143" s="401"/>
      <c r="G143" s="401"/>
      <c r="H143" s="401"/>
      <c r="I143" s="401"/>
    </row>
    <row r="144" spans="1:9" s="93" customFormat="1" ht="33.75" customHeight="1">
      <c r="A144"/>
      <c r="B144"/>
      <c r="C144"/>
      <c r="D144"/>
      <c r="E144"/>
      <c r="F144"/>
      <c r="G144"/>
      <c r="H144" s="326"/>
      <c r="I144" s="326"/>
    </row>
    <row r="145" spans="1:9" s="93" customFormat="1" ht="14.25" customHeight="1">
      <c r="A145" s="410" t="s">
        <v>88</v>
      </c>
      <c r="B145" s="410"/>
      <c r="C145" s="410"/>
      <c r="D145" s="410"/>
      <c r="E145" s="410"/>
      <c r="F145" s="410"/>
      <c r="G145" s="410"/>
      <c r="H145" s="410"/>
      <c r="I145" s="410"/>
    </row>
    <row r="146" spans="1:9" s="95" customFormat="1" ht="19.5" customHeight="1">
      <c r="A146" s="400" t="s">
        <v>89</v>
      </c>
      <c r="B146" s="401"/>
      <c r="C146" s="401"/>
      <c r="D146" s="401"/>
      <c r="E146" s="401"/>
      <c r="F146" s="401"/>
      <c r="G146" s="401"/>
      <c r="H146" s="401"/>
      <c r="I146" s="401"/>
    </row>
    <row r="147" spans="1:9" s="95" customFormat="1" ht="14.25" customHeight="1">
      <c r="A147" s="324"/>
      <c r="B147" s="324"/>
      <c r="C147" s="324"/>
      <c r="D147" s="324"/>
      <c r="E147" s="324"/>
      <c r="F147" s="324"/>
      <c r="G147" s="324"/>
      <c r="H147" s="324"/>
      <c r="I147" s="324"/>
    </row>
    <row r="148" spans="1:9" ht="35.25" customHeight="1">
      <c r="A148" s="325" t="s">
        <v>90</v>
      </c>
    </row>
    <row r="149" spans="1:9" s="93" customFormat="1" ht="37.5" customHeight="1">
      <c r="A149"/>
      <c r="B149"/>
      <c r="C149"/>
      <c r="D149"/>
      <c r="E149"/>
      <c r="F149"/>
      <c r="G149"/>
      <c r="H149" s="326"/>
      <c r="I149" s="326"/>
    </row>
    <row r="150" spans="1:9" s="95" customFormat="1" ht="48" customHeight="1">
      <c r="A150" s="402" t="s">
        <v>91</v>
      </c>
      <c r="B150" s="402"/>
      <c r="C150" s="402"/>
      <c r="D150" s="402"/>
      <c r="E150" s="402"/>
      <c r="F150" s="402"/>
      <c r="G150" s="402"/>
      <c r="H150" s="402"/>
      <c r="I150" s="402"/>
    </row>
    <row r="151" spans="1:9" s="96" customFormat="1" ht="29.25" customHeight="1">
      <c r="A151" s="403" t="s">
        <v>92</v>
      </c>
      <c r="B151" s="403"/>
      <c r="C151" s="403"/>
      <c r="D151" s="403"/>
      <c r="E151" s="403"/>
      <c r="F151" s="403"/>
      <c r="G151" s="403"/>
      <c r="H151" s="403"/>
      <c r="I151" s="403"/>
    </row>
    <row r="152" spans="1:9" s="96" customFormat="1" ht="18" customHeight="1">
      <c r="A152" s="402" t="s">
        <v>93</v>
      </c>
      <c r="B152" s="402"/>
      <c r="C152" s="402"/>
      <c r="D152" s="402"/>
      <c r="E152" s="402"/>
      <c r="F152" s="402"/>
      <c r="G152" s="402"/>
      <c r="H152" s="402"/>
      <c r="I152" s="402"/>
    </row>
    <row r="153" spans="1:9" s="93" customFormat="1" ht="46.5" customHeight="1">
      <c r="A153"/>
      <c r="B153"/>
      <c r="C153"/>
      <c r="D153"/>
      <c r="E153"/>
      <c r="F153"/>
      <c r="G153"/>
      <c r="H153" s="326"/>
      <c r="I153" s="326"/>
    </row>
    <row r="154" spans="1:9" s="95" customFormat="1" ht="15.75" customHeight="1">
      <c r="A154" s="409" t="s">
        <v>94</v>
      </c>
      <c r="B154" s="409"/>
      <c r="C154" s="409"/>
      <c r="D154" s="409"/>
      <c r="E154" s="409"/>
      <c r="F154" s="409"/>
      <c r="G154" s="409"/>
      <c r="H154" s="409"/>
      <c r="I154" s="409"/>
    </row>
    <row r="155" spans="1:9" s="93" customFormat="1" ht="35.25" customHeight="1">
      <c r="A155"/>
      <c r="B155"/>
      <c r="C155"/>
      <c r="D155"/>
      <c r="E155"/>
      <c r="F155"/>
      <c r="G155"/>
      <c r="H155" s="326"/>
      <c r="I155" s="326"/>
    </row>
    <row r="156" spans="1:9" s="93" customFormat="1" ht="14.25" customHeight="1">
      <c r="A156" s="410" t="s">
        <v>95</v>
      </c>
      <c r="B156" s="410"/>
      <c r="C156" s="410"/>
      <c r="D156" s="410"/>
      <c r="E156" s="410"/>
      <c r="F156" s="410"/>
      <c r="G156" s="410"/>
      <c r="H156" s="410"/>
      <c r="I156" s="410"/>
    </row>
    <row r="157" spans="1:9" s="95" customFormat="1" ht="17.25" customHeight="1">
      <c r="A157" s="396" t="s">
        <v>96</v>
      </c>
      <c r="B157" s="396"/>
      <c r="C157" s="396"/>
      <c r="D157" s="396"/>
      <c r="E157" s="396"/>
      <c r="F157" s="396"/>
      <c r="G157" s="396"/>
      <c r="H157" s="396"/>
      <c r="I157" s="396"/>
    </row>
    <row r="158" spans="1:9" s="95" customFormat="1" ht="18" customHeight="1">
      <c r="A158" s="396" t="s">
        <v>97</v>
      </c>
      <c r="B158" s="396"/>
      <c r="C158" s="396"/>
      <c r="D158" s="396"/>
      <c r="E158" s="396"/>
      <c r="F158" s="396"/>
      <c r="G158" s="396"/>
      <c r="H158" s="396"/>
      <c r="I158" s="396"/>
    </row>
    <row r="159" spans="1:9" s="93" customFormat="1" ht="33.75" customHeight="1">
      <c r="A159"/>
      <c r="B159"/>
      <c r="C159"/>
      <c r="D159"/>
      <c r="E159"/>
      <c r="F159"/>
      <c r="G159"/>
      <c r="H159" s="326"/>
      <c r="I159" s="326"/>
    </row>
    <row r="160" spans="1:9" s="93" customFormat="1" ht="14.25" customHeight="1">
      <c r="A160" s="410" t="s">
        <v>98</v>
      </c>
      <c r="B160" s="410"/>
      <c r="C160" s="410"/>
      <c r="D160" s="410"/>
      <c r="E160" s="410"/>
      <c r="F160" s="410"/>
      <c r="G160" s="410"/>
      <c r="H160" s="410"/>
      <c r="I160" s="410"/>
    </row>
    <row r="161" spans="1:9" s="93" customFormat="1" ht="32.25" customHeight="1">
      <c r="A161"/>
      <c r="B161"/>
      <c r="C161"/>
      <c r="D161"/>
      <c r="E161"/>
      <c r="F161"/>
      <c r="G161"/>
      <c r="H161" s="326"/>
      <c r="I161" s="326"/>
    </row>
    <row r="162" spans="1:9" ht="32.25" customHeight="1">
      <c r="A162" s="397" t="s">
        <v>99</v>
      </c>
      <c r="B162" s="397"/>
      <c r="C162" s="397"/>
      <c r="D162" s="397"/>
      <c r="E162" s="397"/>
      <c r="F162" s="397"/>
      <c r="G162" s="397"/>
      <c r="H162" s="397"/>
      <c r="I162" s="397"/>
    </row>
    <row r="163" spans="1:9" s="93" customFormat="1" ht="22.5" customHeight="1">
      <c r="A163"/>
      <c r="B163"/>
      <c r="C163"/>
      <c r="D163"/>
      <c r="E163"/>
      <c r="F163"/>
      <c r="G163"/>
      <c r="H163" s="326"/>
      <c r="I163" s="326"/>
    </row>
    <row r="164" spans="1:9" ht="31.5" customHeight="1">
      <c r="A164" s="396" t="s">
        <v>100</v>
      </c>
      <c r="B164" s="396"/>
      <c r="C164" s="396"/>
      <c r="D164" s="396"/>
      <c r="E164" s="396"/>
      <c r="F164" s="396"/>
      <c r="G164" s="396"/>
      <c r="H164" s="396"/>
      <c r="I164" s="396"/>
    </row>
    <row r="165" spans="1:9" ht="33.75" customHeight="1">
      <c r="A165" s="396" t="s">
        <v>101</v>
      </c>
      <c r="B165" s="396"/>
      <c r="C165" s="396"/>
      <c r="D165" s="396"/>
      <c r="E165" s="396"/>
      <c r="F165" s="396"/>
      <c r="G165" s="396"/>
      <c r="H165" s="396"/>
      <c r="I165" s="396"/>
    </row>
    <row r="166" spans="1:9" s="95" customFormat="1" ht="33" customHeight="1">
      <c r="A166" s="396" t="s">
        <v>102</v>
      </c>
      <c r="B166" s="396"/>
      <c r="C166" s="396"/>
      <c r="D166" s="396"/>
      <c r="E166" s="396"/>
      <c r="F166" s="396"/>
      <c r="G166" s="396"/>
      <c r="H166" s="396"/>
      <c r="I166" s="396"/>
    </row>
    <row r="167" spans="1:9" ht="34.5" customHeight="1">
      <c r="A167" s="396" t="s">
        <v>103</v>
      </c>
      <c r="B167" s="396"/>
      <c r="C167" s="396"/>
      <c r="D167" s="396"/>
      <c r="E167" s="396"/>
      <c r="F167" s="396"/>
      <c r="G167" s="396"/>
      <c r="H167" s="396"/>
      <c r="I167" s="396"/>
    </row>
    <row r="168" spans="1:9" ht="35.25" customHeight="1">
      <c r="A168" s="396" t="s">
        <v>104</v>
      </c>
      <c r="B168" s="396"/>
      <c r="C168" s="396"/>
      <c r="D168" s="396"/>
      <c r="E168" s="396"/>
      <c r="F168" s="396"/>
      <c r="G168" s="396"/>
      <c r="H168" s="396"/>
      <c r="I168" s="396"/>
    </row>
    <row r="169" spans="1:9" ht="35.25" customHeight="1">
      <c r="A169" s="396" t="s">
        <v>105</v>
      </c>
      <c r="B169" s="396"/>
      <c r="C169" s="396"/>
      <c r="D169" s="396"/>
      <c r="E169" s="396"/>
      <c r="F169" s="396"/>
      <c r="G169" s="396"/>
      <c r="H169" s="396"/>
      <c r="I169" s="396"/>
    </row>
    <row r="170" spans="1:9" ht="51" customHeight="1">
      <c r="A170" s="396" t="s">
        <v>106</v>
      </c>
      <c r="B170" s="396"/>
      <c r="C170" s="396"/>
      <c r="D170" s="396"/>
      <c r="E170" s="396"/>
      <c r="F170" s="396"/>
      <c r="G170" s="396"/>
      <c r="H170" s="396"/>
      <c r="I170" s="396"/>
    </row>
    <row r="171" spans="1:9" s="93" customFormat="1" ht="51" customHeight="1">
      <c r="A171"/>
      <c r="B171"/>
      <c r="C171"/>
      <c r="D171"/>
      <c r="E171"/>
      <c r="F171"/>
      <c r="G171"/>
      <c r="H171" s="326"/>
      <c r="I171" s="326"/>
    </row>
    <row r="172" spans="1:9" ht="18" customHeight="1">
      <c r="A172" s="396" t="s">
        <v>107</v>
      </c>
      <c r="B172" s="396"/>
      <c r="C172" s="396"/>
      <c r="D172" s="396"/>
      <c r="E172" s="396"/>
      <c r="F172" s="396"/>
      <c r="G172" s="396"/>
      <c r="H172" s="396"/>
      <c r="I172" s="396"/>
    </row>
    <row r="173" spans="1:9" s="93" customFormat="1" ht="65.25" customHeight="1">
      <c r="A173"/>
      <c r="B173"/>
      <c r="C173"/>
      <c r="D173"/>
      <c r="E173"/>
      <c r="F173"/>
      <c r="G173"/>
      <c r="H173" s="326"/>
      <c r="I173" s="326"/>
    </row>
    <row r="174" spans="1:9" ht="17.25" customHeight="1">
      <c r="A174" s="396" t="s">
        <v>108</v>
      </c>
      <c r="B174" s="396"/>
      <c r="C174" s="396"/>
      <c r="D174" s="396"/>
      <c r="E174" s="396"/>
      <c r="F174" s="396"/>
      <c r="G174" s="396"/>
      <c r="H174" s="396"/>
      <c r="I174" s="396"/>
    </row>
    <row r="175" spans="1:9" s="93" customFormat="1" ht="16">
      <c r="A175"/>
      <c r="B175"/>
      <c r="C175"/>
      <c r="D175"/>
      <c r="E175"/>
      <c r="F175"/>
      <c r="G175"/>
      <c r="H175" s="326"/>
      <c r="I175" s="326"/>
    </row>
    <row r="176" spans="1:9" ht="16.5" customHeight="1">
      <c r="A176" s="331" t="s">
        <v>109</v>
      </c>
      <c r="B176" s="332"/>
      <c r="C176" s="332"/>
      <c r="D176" s="332"/>
      <c r="E176" s="332"/>
      <c r="F176" s="333"/>
      <c r="G176" s="333"/>
      <c r="H176" s="333"/>
      <c r="I176" s="333"/>
    </row>
    <row r="177" spans="1:9" ht="33.75" customHeight="1">
      <c r="A177" s="396" t="s">
        <v>110</v>
      </c>
      <c r="B177" s="396"/>
      <c r="C177" s="396"/>
      <c r="D177" s="396"/>
      <c r="E177" s="396"/>
      <c r="F177" s="396"/>
      <c r="G177" s="396"/>
      <c r="H177" s="396"/>
      <c r="I177" s="396"/>
    </row>
    <row r="178" spans="1:9" ht="34.5" customHeight="1">
      <c r="A178" s="396" t="s">
        <v>111</v>
      </c>
      <c r="B178" s="396"/>
      <c r="C178" s="396"/>
      <c r="D178" s="396"/>
      <c r="E178" s="396"/>
      <c r="F178" s="396"/>
      <c r="G178" s="396"/>
      <c r="H178" s="396"/>
      <c r="I178" s="396"/>
    </row>
    <row r="179" spans="1:9" s="93" customFormat="1" ht="19.5" customHeight="1">
      <c r="A179"/>
      <c r="B179"/>
      <c r="C179"/>
      <c r="D179"/>
      <c r="E179"/>
      <c r="F179"/>
      <c r="G179"/>
      <c r="H179" s="326"/>
      <c r="I179" s="326"/>
    </row>
    <row r="180" spans="1:9" s="93" customFormat="1" ht="16">
      <c r="A180" s="410" t="s">
        <v>112</v>
      </c>
      <c r="B180" s="410"/>
      <c r="C180" s="410"/>
      <c r="D180" s="410"/>
      <c r="E180" s="410"/>
      <c r="F180" s="410"/>
      <c r="G180" s="410"/>
      <c r="H180" s="410"/>
      <c r="I180" s="410"/>
    </row>
    <row r="181" spans="1:9" ht="35.25" customHeight="1">
      <c r="A181" s="396" t="s">
        <v>113</v>
      </c>
      <c r="B181" s="396"/>
      <c r="C181" s="396"/>
      <c r="D181" s="396"/>
      <c r="E181" s="396"/>
      <c r="F181" s="396"/>
      <c r="G181" s="396"/>
      <c r="H181" s="396"/>
      <c r="I181" s="396"/>
    </row>
    <row r="182" spans="1:9" ht="18.75" customHeight="1">
      <c r="A182" s="396" t="s">
        <v>114</v>
      </c>
      <c r="B182" s="396"/>
      <c r="C182" s="396"/>
      <c r="D182" s="396"/>
      <c r="E182" s="396"/>
      <c r="F182" s="396"/>
      <c r="G182" s="396"/>
      <c r="H182" s="396"/>
      <c r="I182" s="396"/>
    </row>
    <row r="183" spans="1:9" ht="32.25" customHeight="1">
      <c r="A183" s="396" t="s">
        <v>115</v>
      </c>
      <c r="B183" s="396"/>
      <c r="C183" s="396"/>
      <c r="D183" s="396"/>
      <c r="E183" s="396"/>
      <c r="F183" s="396"/>
      <c r="G183" s="396"/>
      <c r="H183" s="396"/>
      <c r="I183" s="396"/>
    </row>
    <row r="184" spans="1:9" ht="33.75" customHeight="1">
      <c r="A184" s="396" t="s">
        <v>116</v>
      </c>
      <c r="B184" s="396"/>
      <c r="C184" s="396"/>
      <c r="D184" s="396"/>
      <c r="E184" s="396"/>
      <c r="F184" s="396"/>
      <c r="G184" s="396"/>
      <c r="H184" s="396"/>
      <c r="I184" s="396"/>
    </row>
    <row r="185" spans="1:9" ht="33" customHeight="1">
      <c r="A185" s="396" t="s">
        <v>117</v>
      </c>
      <c r="B185" s="396"/>
      <c r="C185" s="396"/>
      <c r="D185" s="396"/>
      <c r="E185" s="396"/>
      <c r="F185" s="396"/>
      <c r="G185" s="396"/>
      <c r="H185" s="396"/>
      <c r="I185" s="396"/>
    </row>
    <row r="186" spans="1:9" s="93" customFormat="1" ht="33" customHeight="1">
      <c r="A186"/>
      <c r="B186"/>
      <c r="C186"/>
      <c r="D186"/>
      <c r="E186"/>
      <c r="F186"/>
      <c r="G186"/>
      <c r="H186" s="326"/>
      <c r="I186" s="326"/>
    </row>
    <row r="187" spans="1:9" ht="17.25" customHeight="1">
      <c r="A187" s="396" t="s">
        <v>118</v>
      </c>
      <c r="B187" s="396"/>
      <c r="C187" s="396"/>
      <c r="D187" s="396"/>
      <c r="E187" s="396"/>
      <c r="F187" s="396"/>
      <c r="G187" s="396"/>
      <c r="H187" s="396"/>
      <c r="I187" s="396"/>
    </row>
    <row r="188" spans="1:9" ht="18">
      <c r="A188" s="334"/>
      <c r="B188" s="335"/>
      <c r="C188" s="335"/>
      <c r="D188" s="335"/>
      <c r="E188" s="335"/>
      <c r="F188" s="335"/>
      <c r="G188" s="335"/>
      <c r="H188" s="336"/>
      <c r="I188" s="336"/>
    </row>
    <row r="189" spans="1:9" ht="18">
      <c r="A189" s="325" t="s">
        <v>119</v>
      </c>
    </row>
    <row r="190" spans="1:9" ht="66" customHeight="1">
      <c r="A190" s="398" t="s">
        <v>120</v>
      </c>
      <c r="B190" s="398"/>
      <c r="C190" s="398"/>
      <c r="D190" s="398"/>
      <c r="E190" s="398"/>
      <c r="F190" s="398"/>
      <c r="G190" s="398"/>
      <c r="H190" s="398"/>
      <c r="I190" s="398"/>
    </row>
    <row r="191" spans="1:9" ht="36" customHeight="1">
      <c r="A191" s="398" t="s">
        <v>121</v>
      </c>
      <c r="B191" s="398"/>
      <c r="C191" s="398"/>
      <c r="D191" s="398"/>
      <c r="E191" s="398"/>
      <c r="F191" s="398"/>
      <c r="G191" s="398"/>
      <c r="H191" s="398"/>
      <c r="I191" s="398"/>
    </row>
    <row r="192" spans="1:9" ht="16">
      <c r="A192" s="335"/>
      <c r="B192" s="335"/>
      <c r="C192" s="335"/>
      <c r="D192" s="335"/>
      <c r="E192" s="335"/>
      <c r="F192" s="335"/>
      <c r="G192" s="335"/>
      <c r="H192" s="336"/>
      <c r="I192" s="336"/>
    </row>
    <row r="193" spans="1:9" ht="25">
      <c r="A193" s="394" t="s">
        <v>122</v>
      </c>
      <c r="B193" s="394"/>
      <c r="C193" s="394"/>
      <c r="D193" s="394"/>
      <c r="E193" s="394"/>
      <c r="F193" s="394"/>
      <c r="G193" s="394"/>
      <c r="H193" s="394"/>
      <c r="I193" s="394"/>
    </row>
    <row r="194" spans="1:9" ht="18">
      <c r="A194" s="404" t="s">
        <v>123</v>
      </c>
      <c r="B194" s="404"/>
      <c r="C194" s="404"/>
      <c r="D194" s="404"/>
      <c r="E194" s="404"/>
      <c r="F194" s="404"/>
      <c r="G194" s="404"/>
      <c r="H194" s="404"/>
      <c r="I194" s="404"/>
    </row>
    <row r="195" spans="1:9" ht="18">
      <c r="A195" s="404" t="s">
        <v>124</v>
      </c>
      <c r="B195" s="404"/>
      <c r="C195" s="404"/>
      <c r="D195" s="404"/>
      <c r="E195" s="404"/>
      <c r="F195" s="404"/>
      <c r="G195" s="404"/>
      <c r="H195" s="404"/>
      <c r="I195" s="404"/>
    </row>
    <row r="196" spans="1:9" ht="18">
      <c r="A196" s="404" t="s">
        <v>125</v>
      </c>
      <c r="B196" s="404"/>
      <c r="C196" s="404"/>
      <c r="D196" s="404"/>
      <c r="E196" s="404"/>
      <c r="F196" s="404"/>
      <c r="G196" s="404"/>
      <c r="H196" s="404"/>
      <c r="I196" s="404"/>
    </row>
    <row r="197" spans="1:9" ht="21">
      <c r="A197" s="395" t="s">
        <v>126</v>
      </c>
      <c r="B197" s="395"/>
      <c r="C197" s="395"/>
      <c r="D197" s="395"/>
      <c r="E197" s="395"/>
      <c r="F197" s="395"/>
      <c r="G197" s="395"/>
      <c r="H197" s="395"/>
      <c r="I197" s="395"/>
    </row>
  </sheetData>
  <sheetProtection sheet="1" objects="1" scenarios="1"/>
  <mergeCells count="118">
    <mergeCell ref="A145:I145"/>
    <mergeCell ref="A46:I46"/>
    <mergeCell ref="A48:I48"/>
    <mergeCell ref="A50:I50"/>
    <mergeCell ref="A52:I52"/>
    <mergeCell ref="A119:I119"/>
    <mergeCell ref="A68:I68"/>
    <mergeCell ref="A99:I99"/>
    <mergeCell ref="A72:I72"/>
    <mergeCell ref="A74:I74"/>
    <mergeCell ref="A98:I98"/>
    <mergeCell ref="A113:I113"/>
    <mergeCell ref="A114:I114"/>
    <mergeCell ref="A105:I105"/>
    <mergeCell ref="A118:I118"/>
    <mergeCell ref="A108:I108"/>
    <mergeCell ref="A110:I110"/>
    <mergeCell ref="A111:I111"/>
    <mergeCell ref="A115:I115"/>
    <mergeCell ref="A116:I116"/>
    <mergeCell ref="A130:I130"/>
    <mergeCell ref="A100:I100"/>
    <mergeCell ref="A152:I152"/>
    <mergeCell ref="A95:I95"/>
    <mergeCell ref="A96:I96"/>
    <mergeCell ref="A102:I102"/>
    <mergeCell ref="A104:I104"/>
    <mergeCell ref="A106:I106"/>
    <mergeCell ref="A191:I191"/>
    <mergeCell ref="A177:I177"/>
    <mergeCell ref="A120:I120"/>
    <mergeCell ref="A125:I125"/>
    <mergeCell ref="A132:I132"/>
    <mergeCell ref="A133:I133"/>
    <mergeCell ref="A135:I135"/>
    <mergeCell ref="A136:I136"/>
    <mergeCell ref="A146:I146"/>
    <mergeCell ref="A156:I156"/>
    <mergeCell ref="A160:I160"/>
    <mergeCell ref="A180:I180"/>
    <mergeCell ref="A169:I169"/>
    <mergeCell ref="A172:I172"/>
    <mergeCell ref="A138:I138"/>
    <mergeCell ref="A140:I140"/>
    <mergeCell ref="A142:I142"/>
    <mergeCell ref="A143:I143"/>
    <mergeCell ref="A182:I182"/>
    <mergeCell ref="A196:I196"/>
    <mergeCell ref="A13:I13"/>
    <mergeCell ref="A22:I22"/>
    <mergeCell ref="A4:I4"/>
    <mergeCell ref="A5:I5"/>
    <mergeCell ref="A7:I7"/>
    <mergeCell ref="A9:I9"/>
    <mergeCell ref="A194:I194"/>
    <mergeCell ref="A195:I195"/>
    <mergeCell ref="A11:I11"/>
    <mergeCell ref="A56:I56"/>
    <mergeCell ref="A58:I58"/>
    <mergeCell ref="A60:I60"/>
    <mergeCell ref="A62:I62"/>
    <mergeCell ref="A66:I66"/>
    <mergeCell ref="A54:I54"/>
    <mergeCell ref="A17:I17"/>
    <mergeCell ref="A24:I24"/>
    <mergeCell ref="A34:I34"/>
    <mergeCell ref="A40:I40"/>
    <mergeCell ref="A154:I154"/>
    <mergeCell ref="A20:I20"/>
    <mergeCell ref="A28:I28"/>
    <mergeCell ref="A42:I42"/>
    <mergeCell ref="A26:I26"/>
    <mergeCell ref="A181:I181"/>
    <mergeCell ref="A64:I64"/>
    <mergeCell ref="A103:I103"/>
    <mergeCell ref="A109:I109"/>
    <mergeCell ref="A121:I121"/>
    <mergeCell ref="A126:I126"/>
    <mergeCell ref="A127:I127"/>
    <mergeCell ref="A122:I122"/>
    <mergeCell ref="A36:I36"/>
    <mergeCell ref="A44:I44"/>
    <mergeCell ref="A32:I32"/>
    <mergeCell ref="A91:I91"/>
    <mergeCell ref="A97:I97"/>
    <mergeCell ref="A93:I93"/>
    <mergeCell ref="A128:I128"/>
    <mergeCell ref="A129:I129"/>
    <mergeCell ref="A38:I38"/>
    <mergeCell ref="A178:I178"/>
    <mergeCell ref="A123:I123"/>
    <mergeCell ref="A166:I166"/>
    <mergeCell ref="A150:I150"/>
    <mergeCell ref="A151:I151"/>
    <mergeCell ref="A193:I193"/>
    <mergeCell ref="A197:I197"/>
    <mergeCell ref="A30:I30"/>
    <mergeCell ref="A70:I70"/>
    <mergeCell ref="A76:I76"/>
    <mergeCell ref="A158:I158"/>
    <mergeCell ref="A190:I190"/>
    <mergeCell ref="A185:I185"/>
    <mergeCell ref="A187:I187"/>
    <mergeCell ref="A79:I79"/>
    <mergeCell ref="A82:I82"/>
    <mergeCell ref="A84:I84"/>
    <mergeCell ref="A86:I86"/>
    <mergeCell ref="A89:I89"/>
    <mergeCell ref="A184:I184"/>
    <mergeCell ref="A183:I183"/>
    <mergeCell ref="A167:I167"/>
    <mergeCell ref="A168:I168"/>
    <mergeCell ref="A165:I165"/>
    <mergeCell ref="A170:I170"/>
    <mergeCell ref="A174:I174"/>
    <mergeCell ref="A164:I164"/>
    <mergeCell ref="A157:I157"/>
    <mergeCell ref="A162:I162"/>
  </mergeCells>
  <pageMargins left="0.7" right="0.7" top="0.75" bottom="0.75" header="0.3" footer="0.3"/>
  <pageSetup scale="82" orientation="portrait" r:id="rId1"/>
  <rowBreaks count="4" manualBreakCount="4">
    <brk id="14" max="8" man="1"/>
    <brk id="76" max="8" man="1"/>
    <brk id="175" max="8" man="1"/>
    <brk id="180" max="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0000"/>
  </sheetPr>
  <dimension ref="A1:L26"/>
  <sheetViews>
    <sheetView workbookViewId="0">
      <selection sqref="A1:L26"/>
    </sheetView>
  </sheetViews>
  <sheetFormatPr baseColWidth="10" defaultColWidth="8.83203125" defaultRowHeight="15"/>
  <sheetData>
    <row r="1" spans="1:12">
      <c r="A1" s="413" t="s">
        <v>1101</v>
      </c>
      <c r="B1" s="413"/>
      <c r="C1" s="413"/>
      <c r="D1" s="413"/>
      <c r="E1" s="413"/>
      <c r="F1" s="413"/>
      <c r="G1" s="413"/>
      <c r="H1" s="413"/>
      <c r="I1" s="413"/>
      <c r="J1" s="413"/>
      <c r="K1" s="413"/>
      <c r="L1" s="413"/>
    </row>
    <row r="2" spans="1:12">
      <c r="A2" s="413"/>
      <c r="B2" s="413"/>
      <c r="C2" s="413"/>
      <c r="D2" s="413"/>
      <c r="E2" s="413"/>
      <c r="F2" s="413"/>
      <c r="G2" s="413"/>
      <c r="H2" s="413"/>
      <c r="I2" s="413"/>
      <c r="J2" s="413"/>
      <c r="K2" s="413"/>
      <c r="L2" s="413"/>
    </row>
    <row r="3" spans="1:12">
      <c r="A3" s="413"/>
      <c r="B3" s="413"/>
      <c r="C3" s="413"/>
      <c r="D3" s="413"/>
      <c r="E3" s="413"/>
      <c r="F3" s="413"/>
      <c r="G3" s="413"/>
      <c r="H3" s="413"/>
      <c r="I3" s="413"/>
      <c r="J3" s="413"/>
      <c r="K3" s="413"/>
      <c r="L3" s="413"/>
    </row>
    <row r="4" spans="1:12">
      <c r="A4" s="413"/>
      <c r="B4" s="413"/>
      <c r="C4" s="413"/>
      <c r="D4" s="413"/>
      <c r="E4" s="413"/>
      <c r="F4" s="413"/>
      <c r="G4" s="413"/>
      <c r="H4" s="413"/>
      <c r="I4" s="413"/>
      <c r="J4" s="413"/>
      <c r="K4" s="413"/>
      <c r="L4" s="413"/>
    </row>
    <row r="5" spans="1:12">
      <c r="A5" s="413"/>
      <c r="B5" s="413"/>
      <c r="C5" s="413"/>
      <c r="D5" s="413"/>
      <c r="E5" s="413"/>
      <c r="F5" s="413"/>
      <c r="G5" s="413"/>
      <c r="H5" s="413"/>
      <c r="I5" s="413"/>
      <c r="J5" s="413"/>
      <c r="K5" s="413"/>
      <c r="L5" s="413"/>
    </row>
    <row r="6" spans="1:12">
      <c r="A6" s="413"/>
      <c r="B6" s="413"/>
      <c r="C6" s="413"/>
      <c r="D6" s="413"/>
      <c r="E6" s="413"/>
      <c r="F6" s="413"/>
      <c r="G6" s="413"/>
      <c r="H6" s="413"/>
      <c r="I6" s="413"/>
      <c r="J6" s="413"/>
      <c r="K6" s="413"/>
      <c r="L6" s="413"/>
    </row>
    <row r="7" spans="1:12">
      <c r="A7" s="413"/>
      <c r="B7" s="413"/>
      <c r="C7" s="413"/>
      <c r="D7" s="413"/>
      <c r="E7" s="413"/>
      <c r="F7" s="413"/>
      <c r="G7" s="413"/>
      <c r="H7" s="413"/>
      <c r="I7" s="413"/>
      <c r="J7" s="413"/>
      <c r="K7" s="413"/>
      <c r="L7" s="413"/>
    </row>
    <row r="8" spans="1:12">
      <c r="A8" s="413"/>
      <c r="B8" s="413"/>
      <c r="C8" s="413"/>
      <c r="D8" s="413"/>
      <c r="E8" s="413"/>
      <c r="F8" s="413"/>
      <c r="G8" s="413"/>
      <c r="H8" s="413"/>
      <c r="I8" s="413"/>
      <c r="J8" s="413"/>
      <c r="K8" s="413"/>
      <c r="L8" s="413"/>
    </row>
    <row r="9" spans="1:12">
      <c r="A9" s="413"/>
      <c r="B9" s="413"/>
      <c r="C9" s="413"/>
      <c r="D9" s="413"/>
      <c r="E9" s="413"/>
      <c r="F9" s="413"/>
      <c r="G9" s="413"/>
      <c r="H9" s="413"/>
      <c r="I9" s="413"/>
      <c r="J9" s="413"/>
      <c r="K9" s="413"/>
      <c r="L9" s="413"/>
    </row>
    <row r="10" spans="1:12">
      <c r="A10" s="413"/>
      <c r="B10" s="413"/>
      <c r="C10" s="413"/>
      <c r="D10" s="413"/>
      <c r="E10" s="413"/>
      <c r="F10" s="413"/>
      <c r="G10" s="413"/>
      <c r="H10" s="413"/>
      <c r="I10" s="413"/>
      <c r="J10" s="413"/>
      <c r="K10" s="413"/>
      <c r="L10" s="413"/>
    </row>
    <row r="11" spans="1:12">
      <c r="A11" s="413"/>
      <c r="B11" s="413"/>
      <c r="C11" s="413"/>
      <c r="D11" s="413"/>
      <c r="E11" s="413"/>
      <c r="F11" s="413"/>
      <c r="G11" s="413"/>
      <c r="H11" s="413"/>
      <c r="I11" s="413"/>
      <c r="J11" s="413"/>
      <c r="K11" s="413"/>
      <c r="L11" s="413"/>
    </row>
    <row r="12" spans="1:12">
      <c r="A12" s="413"/>
      <c r="B12" s="413"/>
      <c r="C12" s="413"/>
      <c r="D12" s="413"/>
      <c r="E12" s="413"/>
      <c r="F12" s="413"/>
      <c r="G12" s="413"/>
      <c r="H12" s="413"/>
      <c r="I12" s="413"/>
      <c r="J12" s="413"/>
      <c r="K12" s="413"/>
      <c r="L12" s="413"/>
    </row>
    <row r="13" spans="1:12">
      <c r="A13" s="413"/>
      <c r="B13" s="413"/>
      <c r="C13" s="413"/>
      <c r="D13" s="413"/>
      <c r="E13" s="413"/>
      <c r="F13" s="413"/>
      <c r="G13" s="413"/>
      <c r="H13" s="413"/>
      <c r="I13" s="413"/>
      <c r="J13" s="413"/>
      <c r="K13" s="413"/>
      <c r="L13" s="413"/>
    </row>
    <row r="14" spans="1:12">
      <c r="A14" s="413"/>
      <c r="B14" s="413"/>
      <c r="C14" s="413"/>
      <c r="D14" s="413"/>
      <c r="E14" s="413"/>
      <c r="F14" s="413"/>
      <c r="G14" s="413"/>
      <c r="H14" s="413"/>
      <c r="I14" s="413"/>
      <c r="J14" s="413"/>
      <c r="K14" s="413"/>
      <c r="L14" s="413"/>
    </row>
    <row r="15" spans="1:12">
      <c r="A15" s="413"/>
      <c r="B15" s="413"/>
      <c r="C15" s="413"/>
      <c r="D15" s="413"/>
      <c r="E15" s="413"/>
      <c r="F15" s="413"/>
      <c r="G15" s="413"/>
      <c r="H15" s="413"/>
      <c r="I15" s="413"/>
      <c r="J15" s="413"/>
      <c r="K15" s="413"/>
      <c r="L15" s="413"/>
    </row>
    <row r="16" spans="1:12">
      <c r="A16" s="413"/>
      <c r="B16" s="413"/>
      <c r="C16" s="413"/>
      <c r="D16" s="413"/>
      <c r="E16" s="413"/>
      <c r="F16" s="413"/>
      <c r="G16" s="413"/>
      <c r="H16" s="413"/>
      <c r="I16" s="413"/>
      <c r="J16" s="413"/>
      <c r="K16" s="413"/>
      <c r="L16" s="413"/>
    </row>
    <row r="17" spans="1:12">
      <c r="A17" s="413"/>
      <c r="B17" s="413"/>
      <c r="C17" s="413"/>
      <c r="D17" s="413"/>
      <c r="E17" s="413"/>
      <c r="F17" s="413"/>
      <c r="G17" s="413"/>
      <c r="H17" s="413"/>
      <c r="I17" s="413"/>
      <c r="J17" s="413"/>
      <c r="K17" s="413"/>
      <c r="L17" s="413"/>
    </row>
    <row r="18" spans="1:12">
      <c r="A18" s="413"/>
      <c r="B18" s="413"/>
      <c r="C18" s="413"/>
      <c r="D18" s="413"/>
      <c r="E18" s="413"/>
      <c r="F18" s="413"/>
      <c r="G18" s="413"/>
      <c r="H18" s="413"/>
      <c r="I18" s="413"/>
      <c r="J18" s="413"/>
      <c r="K18" s="413"/>
      <c r="L18" s="413"/>
    </row>
    <row r="19" spans="1:12">
      <c r="A19" s="413"/>
      <c r="B19" s="413"/>
      <c r="C19" s="413"/>
      <c r="D19" s="413"/>
      <c r="E19" s="413"/>
      <c r="F19" s="413"/>
      <c r="G19" s="413"/>
      <c r="H19" s="413"/>
      <c r="I19" s="413"/>
      <c r="J19" s="413"/>
      <c r="K19" s="413"/>
      <c r="L19" s="413"/>
    </row>
    <row r="20" spans="1:12">
      <c r="A20" s="413"/>
      <c r="B20" s="413"/>
      <c r="C20" s="413"/>
      <c r="D20" s="413"/>
      <c r="E20" s="413"/>
      <c r="F20" s="413"/>
      <c r="G20" s="413"/>
      <c r="H20" s="413"/>
      <c r="I20" s="413"/>
      <c r="J20" s="413"/>
      <c r="K20" s="413"/>
      <c r="L20" s="413"/>
    </row>
    <row r="21" spans="1:12">
      <c r="A21" s="413"/>
      <c r="B21" s="413"/>
      <c r="C21" s="413"/>
      <c r="D21" s="413"/>
      <c r="E21" s="413"/>
      <c r="F21" s="413"/>
      <c r="G21" s="413"/>
      <c r="H21" s="413"/>
      <c r="I21" s="413"/>
      <c r="J21" s="413"/>
      <c r="K21" s="413"/>
      <c r="L21" s="413"/>
    </row>
    <row r="22" spans="1:12">
      <c r="A22" s="413"/>
      <c r="B22" s="413"/>
      <c r="C22" s="413"/>
      <c r="D22" s="413"/>
      <c r="E22" s="413"/>
      <c r="F22" s="413"/>
      <c r="G22" s="413"/>
      <c r="H22" s="413"/>
      <c r="I22" s="413"/>
      <c r="J22" s="413"/>
      <c r="K22" s="413"/>
      <c r="L22" s="413"/>
    </row>
    <row r="23" spans="1:12">
      <c r="A23" s="413"/>
      <c r="B23" s="413"/>
      <c r="C23" s="413"/>
      <c r="D23" s="413"/>
      <c r="E23" s="413"/>
      <c r="F23" s="413"/>
      <c r="G23" s="413"/>
      <c r="H23" s="413"/>
      <c r="I23" s="413"/>
      <c r="J23" s="413"/>
      <c r="K23" s="413"/>
      <c r="L23" s="413"/>
    </row>
    <row r="24" spans="1:12">
      <c r="A24" s="413"/>
      <c r="B24" s="413"/>
      <c r="C24" s="413"/>
      <c r="D24" s="413"/>
      <c r="E24" s="413"/>
      <c r="F24" s="413"/>
      <c r="G24" s="413"/>
      <c r="H24" s="413"/>
      <c r="I24" s="413"/>
      <c r="J24" s="413"/>
      <c r="K24" s="413"/>
      <c r="L24" s="413"/>
    </row>
    <row r="25" spans="1:12">
      <c r="A25" s="413"/>
      <c r="B25" s="413"/>
      <c r="C25" s="413"/>
      <c r="D25" s="413"/>
      <c r="E25" s="413"/>
      <c r="F25" s="413"/>
      <c r="G25" s="413"/>
      <c r="H25" s="413"/>
      <c r="I25" s="413"/>
      <c r="J25" s="413"/>
      <c r="K25" s="413"/>
      <c r="L25" s="413"/>
    </row>
    <row r="26" spans="1:12">
      <c r="A26" s="413"/>
      <c r="B26" s="413"/>
      <c r="C26" s="413"/>
      <c r="D26" s="413"/>
      <c r="E26" s="413"/>
      <c r="F26" s="413"/>
      <c r="G26" s="413"/>
      <c r="H26" s="413"/>
      <c r="I26" s="413"/>
      <c r="J26" s="413"/>
      <c r="K26" s="413"/>
      <c r="L26" s="413"/>
    </row>
  </sheetData>
  <sheetProtection sheet="1" objects="1" scenarios="1" selectLockedCells="1"/>
  <mergeCells count="1">
    <mergeCell ref="A1:L26"/>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59999389629810485"/>
  </sheetPr>
  <dimension ref="A1:I49"/>
  <sheetViews>
    <sheetView tabSelected="1" view="pageBreakPreview" topLeftCell="A28" zoomScaleNormal="110" zoomScaleSheetLayoutView="100" workbookViewId="0">
      <selection activeCell="B7" sqref="B7"/>
    </sheetView>
  </sheetViews>
  <sheetFormatPr baseColWidth="10" defaultColWidth="8.83203125" defaultRowHeight="16"/>
  <cols>
    <col min="1" max="1" width="42.33203125" style="22" customWidth="1"/>
    <col min="2" max="2" width="23.5" style="22" customWidth="1"/>
    <col min="3" max="3" width="23.1640625" style="22" customWidth="1"/>
    <col min="4" max="4" width="24.33203125" style="22" customWidth="1"/>
    <col min="5" max="8" width="9.1640625" style="22"/>
    <col min="9" max="9" width="13.5" style="22" bestFit="1" customWidth="1"/>
    <col min="10" max="251" width="9.1640625" style="22"/>
    <col min="252" max="252" width="5.1640625" style="22" customWidth="1"/>
    <col min="253" max="253" width="34.5" style="22" customWidth="1"/>
    <col min="254" max="254" width="23.1640625" style="22" customWidth="1"/>
    <col min="255" max="255" width="24.33203125" style="22" customWidth="1"/>
    <col min="256" max="256" width="2.83203125" style="22" customWidth="1"/>
    <col min="257" max="257" width="4.83203125" style="22" customWidth="1"/>
    <col min="258" max="258" width="26" style="22" customWidth="1"/>
    <col min="259" max="259" width="14.5" style="22" customWidth="1"/>
    <col min="260" max="260" width="4.1640625" style="22" customWidth="1"/>
    <col min="261" max="507" width="9.1640625" style="22"/>
    <col min="508" max="508" width="5.1640625" style="22" customWidth="1"/>
    <col min="509" max="509" width="34.5" style="22" customWidth="1"/>
    <col min="510" max="510" width="23.1640625" style="22" customWidth="1"/>
    <col min="511" max="511" width="24.33203125" style="22" customWidth="1"/>
    <col min="512" max="512" width="2.83203125" style="22" customWidth="1"/>
    <col min="513" max="513" width="4.83203125" style="22" customWidth="1"/>
    <col min="514" max="514" width="26" style="22" customWidth="1"/>
    <col min="515" max="515" width="14.5" style="22" customWidth="1"/>
    <col min="516" max="516" width="4.1640625" style="22" customWidth="1"/>
    <col min="517" max="763" width="9.1640625" style="22"/>
    <col min="764" max="764" width="5.1640625" style="22" customWidth="1"/>
    <col min="765" max="765" width="34.5" style="22" customWidth="1"/>
    <col min="766" max="766" width="23.1640625" style="22" customWidth="1"/>
    <col min="767" max="767" width="24.33203125" style="22" customWidth="1"/>
    <col min="768" max="768" width="2.83203125" style="22" customWidth="1"/>
    <col min="769" max="769" width="4.83203125" style="22" customWidth="1"/>
    <col min="770" max="770" width="26" style="22" customWidth="1"/>
    <col min="771" max="771" width="14.5" style="22" customWidth="1"/>
    <col min="772" max="772" width="4.1640625" style="22" customWidth="1"/>
    <col min="773" max="1019" width="9.1640625" style="22"/>
    <col min="1020" max="1020" width="5.1640625" style="22" customWidth="1"/>
    <col min="1021" max="1021" width="34.5" style="22" customWidth="1"/>
    <col min="1022" max="1022" width="23.1640625" style="22" customWidth="1"/>
    <col min="1023" max="1023" width="24.33203125" style="22" customWidth="1"/>
    <col min="1024" max="1024" width="2.83203125" style="22" customWidth="1"/>
    <col min="1025" max="1025" width="4.83203125" style="22" customWidth="1"/>
    <col min="1026" max="1026" width="26" style="22" customWidth="1"/>
    <col min="1027" max="1027" width="14.5" style="22" customWidth="1"/>
    <col min="1028" max="1028" width="4.1640625" style="22" customWidth="1"/>
    <col min="1029" max="1275" width="9.1640625" style="22"/>
    <col min="1276" max="1276" width="5.1640625" style="22" customWidth="1"/>
    <col min="1277" max="1277" width="34.5" style="22" customWidth="1"/>
    <col min="1278" max="1278" width="23.1640625" style="22" customWidth="1"/>
    <col min="1279" max="1279" width="24.33203125" style="22" customWidth="1"/>
    <col min="1280" max="1280" width="2.83203125" style="22" customWidth="1"/>
    <col min="1281" max="1281" width="4.83203125" style="22" customWidth="1"/>
    <col min="1282" max="1282" width="26" style="22" customWidth="1"/>
    <col min="1283" max="1283" width="14.5" style="22" customWidth="1"/>
    <col min="1284" max="1284" width="4.1640625" style="22" customWidth="1"/>
    <col min="1285" max="1531" width="9.1640625" style="22"/>
    <col min="1532" max="1532" width="5.1640625" style="22" customWidth="1"/>
    <col min="1533" max="1533" width="34.5" style="22" customWidth="1"/>
    <col min="1534" max="1534" width="23.1640625" style="22" customWidth="1"/>
    <col min="1535" max="1535" width="24.33203125" style="22" customWidth="1"/>
    <col min="1536" max="1536" width="2.83203125" style="22" customWidth="1"/>
    <col min="1537" max="1537" width="4.83203125" style="22" customWidth="1"/>
    <col min="1538" max="1538" width="26" style="22" customWidth="1"/>
    <col min="1539" max="1539" width="14.5" style="22" customWidth="1"/>
    <col min="1540" max="1540" width="4.1640625" style="22" customWidth="1"/>
    <col min="1541" max="1787" width="9.1640625" style="22"/>
    <col min="1788" max="1788" width="5.1640625" style="22" customWidth="1"/>
    <col min="1789" max="1789" width="34.5" style="22" customWidth="1"/>
    <col min="1790" max="1790" width="23.1640625" style="22" customWidth="1"/>
    <col min="1791" max="1791" width="24.33203125" style="22" customWidth="1"/>
    <col min="1792" max="1792" width="2.83203125" style="22" customWidth="1"/>
    <col min="1793" max="1793" width="4.83203125" style="22" customWidth="1"/>
    <col min="1794" max="1794" width="26" style="22" customWidth="1"/>
    <col min="1795" max="1795" width="14.5" style="22" customWidth="1"/>
    <col min="1796" max="1796" width="4.1640625" style="22" customWidth="1"/>
    <col min="1797" max="2043" width="9.1640625" style="22"/>
    <col min="2044" max="2044" width="5.1640625" style="22" customWidth="1"/>
    <col min="2045" max="2045" width="34.5" style="22" customWidth="1"/>
    <col min="2046" max="2046" width="23.1640625" style="22" customWidth="1"/>
    <col min="2047" max="2047" width="24.33203125" style="22" customWidth="1"/>
    <col min="2048" max="2048" width="2.83203125" style="22" customWidth="1"/>
    <col min="2049" max="2049" width="4.83203125" style="22" customWidth="1"/>
    <col min="2050" max="2050" width="26" style="22" customWidth="1"/>
    <col min="2051" max="2051" width="14.5" style="22" customWidth="1"/>
    <col min="2052" max="2052" width="4.1640625" style="22" customWidth="1"/>
    <col min="2053" max="2299" width="9.1640625" style="22"/>
    <col min="2300" max="2300" width="5.1640625" style="22" customWidth="1"/>
    <col min="2301" max="2301" width="34.5" style="22" customWidth="1"/>
    <col min="2302" max="2302" width="23.1640625" style="22" customWidth="1"/>
    <col min="2303" max="2303" width="24.33203125" style="22" customWidth="1"/>
    <col min="2304" max="2304" width="2.83203125" style="22" customWidth="1"/>
    <col min="2305" max="2305" width="4.83203125" style="22" customWidth="1"/>
    <col min="2306" max="2306" width="26" style="22" customWidth="1"/>
    <col min="2307" max="2307" width="14.5" style="22" customWidth="1"/>
    <col min="2308" max="2308" width="4.1640625" style="22" customWidth="1"/>
    <col min="2309" max="2555" width="9.1640625" style="22"/>
    <col min="2556" max="2556" width="5.1640625" style="22" customWidth="1"/>
    <col min="2557" max="2557" width="34.5" style="22" customWidth="1"/>
    <col min="2558" max="2558" width="23.1640625" style="22" customWidth="1"/>
    <col min="2559" max="2559" width="24.33203125" style="22" customWidth="1"/>
    <col min="2560" max="2560" width="2.83203125" style="22" customWidth="1"/>
    <col min="2561" max="2561" width="4.83203125" style="22" customWidth="1"/>
    <col min="2562" max="2562" width="26" style="22" customWidth="1"/>
    <col min="2563" max="2563" width="14.5" style="22" customWidth="1"/>
    <col min="2564" max="2564" width="4.1640625" style="22" customWidth="1"/>
    <col min="2565" max="2811" width="9.1640625" style="22"/>
    <col min="2812" max="2812" width="5.1640625" style="22" customWidth="1"/>
    <col min="2813" max="2813" width="34.5" style="22" customWidth="1"/>
    <col min="2814" max="2814" width="23.1640625" style="22" customWidth="1"/>
    <col min="2815" max="2815" width="24.33203125" style="22" customWidth="1"/>
    <col min="2816" max="2816" width="2.83203125" style="22" customWidth="1"/>
    <col min="2817" max="2817" width="4.83203125" style="22" customWidth="1"/>
    <col min="2818" max="2818" width="26" style="22" customWidth="1"/>
    <col min="2819" max="2819" width="14.5" style="22" customWidth="1"/>
    <col min="2820" max="2820" width="4.1640625" style="22" customWidth="1"/>
    <col min="2821" max="3067" width="9.1640625" style="22"/>
    <col min="3068" max="3068" width="5.1640625" style="22" customWidth="1"/>
    <col min="3069" max="3069" width="34.5" style="22" customWidth="1"/>
    <col min="3070" max="3070" width="23.1640625" style="22" customWidth="1"/>
    <col min="3071" max="3071" width="24.33203125" style="22" customWidth="1"/>
    <col min="3072" max="3072" width="2.83203125" style="22" customWidth="1"/>
    <col min="3073" max="3073" width="4.83203125" style="22" customWidth="1"/>
    <col min="3074" max="3074" width="26" style="22" customWidth="1"/>
    <col min="3075" max="3075" width="14.5" style="22" customWidth="1"/>
    <col min="3076" max="3076" width="4.1640625" style="22" customWidth="1"/>
    <col min="3077" max="3323" width="9.1640625" style="22"/>
    <col min="3324" max="3324" width="5.1640625" style="22" customWidth="1"/>
    <col min="3325" max="3325" width="34.5" style="22" customWidth="1"/>
    <col min="3326" max="3326" width="23.1640625" style="22" customWidth="1"/>
    <col min="3327" max="3327" width="24.33203125" style="22" customWidth="1"/>
    <col min="3328" max="3328" width="2.83203125" style="22" customWidth="1"/>
    <col min="3329" max="3329" width="4.83203125" style="22" customWidth="1"/>
    <col min="3330" max="3330" width="26" style="22" customWidth="1"/>
    <col min="3331" max="3331" width="14.5" style="22" customWidth="1"/>
    <col min="3332" max="3332" width="4.1640625" style="22" customWidth="1"/>
    <col min="3333" max="3579" width="9.1640625" style="22"/>
    <col min="3580" max="3580" width="5.1640625" style="22" customWidth="1"/>
    <col min="3581" max="3581" width="34.5" style="22" customWidth="1"/>
    <col min="3582" max="3582" width="23.1640625" style="22" customWidth="1"/>
    <col min="3583" max="3583" width="24.33203125" style="22" customWidth="1"/>
    <col min="3584" max="3584" width="2.83203125" style="22" customWidth="1"/>
    <col min="3585" max="3585" width="4.83203125" style="22" customWidth="1"/>
    <col min="3586" max="3586" width="26" style="22" customWidth="1"/>
    <col min="3587" max="3587" width="14.5" style="22" customWidth="1"/>
    <col min="3588" max="3588" width="4.1640625" style="22" customWidth="1"/>
    <col min="3589" max="3835" width="9.1640625" style="22"/>
    <col min="3836" max="3836" width="5.1640625" style="22" customWidth="1"/>
    <col min="3837" max="3837" width="34.5" style="22" customWidth="1"/>
    <col min="3838" max="3838" width="23.1640625" style="22" customWidth="1"/>
    <col min="3839" max="3839" width="24.33203125" style="22" customWidth="1"/>
    <col min="3840" max="3840" width="2.83203125" style="22" customWidth="1"/>
    <col min="3841" max="3841" width="4.83203125" style="22" customWidth="1"/>
    <col min="3842" max="3842" width="26" style="22" customWidth="1"/>
    <col min="3843" max="3843" width="14.5" style="22" customWidth="1"/>
    <col min="3844" max="3844" width="4.1640625" style="22" customWidth="1"/>
    <col min="3845" max="4091" width="9.1640625" style="22"/>
    <col min="4092" max="4092" width="5.1640625" style="22" customWidth="1"/>
    <col min="4093" max="4093" width="34.5" style="22" customWidth="1"/>
    <col min="4094" max="4094" width="23.1640625" style="22" customWidth="1"/>
    <col min="4095" max="4095" width="24.33203125" style="22" customWidth="1"/>
    <col min="4096" max="4096" width="2.83203125" style="22" customWidth="1"/>
    <col min="4097" max="4097" width="4.83203125" style="22" customWidth="1"/>
    <col min="4098" max="4098" width="26" style="22" customWidth="1"/>
    <col min="4099" max="4099" width="14.5" style="22" customWidth="1"/>
    <col min="4100" max="4100" width="4.1640625" style="22" customWidth="1"/>
    <col min="4101" max="4347" width="9.1640625" style="22"/>
    <col min="4348" max="4348" width="5.1640625" style="22" customWidth="1"/>
    <col min="4349" max="4349" width="34.5" style="22" customWidth="1"/>
    <col min="4350" max="4350" width="23.1640625" style="22" customWidth="1"/>
    <col min="4351" max="4351" width="24.33203125" style="22" customWidth="1"/>
    <col min="4352" max="4352" width="2.83203125" style="22" customWidth="1"/>
    <col min="4353" max="4353" width="4.83203125" style="22" customWidth="1"/>
    <col min="4354" max="4354" width="26" style="22" customWidth="1"/>
    <col min="4355" max="4355" width="14.5" style="22" customWidth="1"/>
    <col min="4356" max="4356" width="4.1640625" style="22" customWidth="1"/>
    <col min="4357" max="4603" width="9.1640625" style="22"/>
    <col min="4604" max="4604" width="5.1640625" style="22" customWidth="1"/>
    <col min="4605" max="4605" width="34.5" style="22" customWidth="1"/>
    <col min="4606" max="4606" width="23.1640625" style="22" customWidth="1"/>
    <col min="4607" max="4607" width="24.33203125" style="22" customWidth="1"/>
    <col min="4608" max="4608" width="2.83203125" style="22" customWidth="1"/>
    <col min="4609" max="4609" width="4.83203125" style="22" customWidth="1"/>
    <col min="4610" max="4610" width="26" style="22" customWidth="1"/>
    <col min="4611" max="4611" width="14.5" style="22" customWidth="1"/>
    <col min="4612" max="4612" width="4.1640625" style="22" customWidth="1"/>
    <col min="4613" max="4859" width="9.1640625" style="22"/>
    <col min="4860" max="4860" width="5.1640625" style="22" customWidth="1"/>
    <col min="4861" max="4861" width="34.5" style="22" customWidth="1"/>
    <col min="4862" max="4862" width="23.1640625" style="22" customWidth="1"/>
    <col min="4863" max="4863" width="24.33203125" style="22" customWidth="1"/>
    <col min="4864" max="4864" width="2.83203125" style="22" customWidth="1"/>
    <col min="4865" max="4865" width="4.83203125" style="22" customWidth="1"/>
    <col min="4866" max="4866" width="26" style="22" customWidth="1"/>
    <col min="4867" max="4867" width="14.5" style="22" customWidth="1"/>
    <col min="4868" max="4868" width="4.1640625" style="22" customWidth="1"/>
    <col min="4869" max="5115" width="9.1640625" style="22"/>
    <col min="5116" max="5116" width="5.1640625" style="22" customWidth="1"/>
    <col min="5117" max="5117" width="34.5" style="22" customWidth="1"/>
    <col min="5118" max="5118" width="23.1640625" style="22" customWidth="1"/>
    <col min="5119" max="5119" width="24.33203125" style="22" customWidth="1"/>
    <col min="5120" max="5120" width="2.83203125" style="22" customWidth="1"/>
    <col min="5121" max="5121" width="4.83203125" style="22" customWidth="1"/>
    <col min="5122" max="5122" width="26" style="22" customWidth="1"/>
    <col min="5123" max="5123" width="14.5" style="22" customWidth="1"/>
    <col min="5124" max="5124" width="4.1640625" style="22" customWidth="1"/>
    <col min="5125" max="5371" width="9.1640625" style="22"/>
    <col min="5372" max="5372" width="5.1640625" style="22" customWidth="1"/>
    <col min="5373" max="5373" width="34.5" style="22" customWidth="1"/>
    <col min="5374" max="5374" width="23.1640625" style="22" customWidth="1"/>
    <col min="5375" max="5375" width="24.33203125" style="22" customWidth="1"/>
    <col min="5376" max="5376" width="2.83203125" style="22" customWidth="1"/>
    <col min="5377" max="5377" width="4.83203125" style="22" customWidth="1"/>
    <col min="5378" max="5378" width="26" style="22" customWidth="1"/>
    <col min="5379" max="5379" width="14.5" style="22" customWidth="1"/>
    <col min="5380" max="5380" width="4.1640625" style="22" customWidth="1"/>
    <col min="5381" max="5627" width="9.1640625" style="22"/>
    <col min="5628" max="5628" width="5.1640625" style="22" customWidth="1"/>
    <col min="5629" max="5629" width="34.5" style="22" customWidth="1"/>
    <col min="5630" max="5630" width="23.1640625" style="22" customWidth="1"/>
    <col min="5631" max="5631" width="24.33203125" style="22" customWidth="1"/>
    <col min="5632" max="5632" width="2.83203125" style="22" customWidth="1"/>
    <col min="5633" max="5633" width="4.83203125" style="22" customWidth="1"/>
    <col min="5634" max="5634" width="26" style="22" customWidth="1"/>
    <col min="5635" max="5635" width="14.5" style="22" customWidth="1"/>
    <col min="5636" max="5636" width="4.1640625" style="22" customWidth="1"/>
    <col min="5637" max="5883" width="9.1640625" style="22"/>
    <col min="5884" max="5884" width="5.1640625" style="22" customWidth="1"/>
    <col min="5885" max="5885" width="34.5" style="22" customWidth="1"/>
    <col min="5886" max="5886" width="23.1640625" style="22" customWidth="1"/>
    <col min="5887" max="5887" width="24.33203125" style="22" customWidth="1"/>
    <col min="5888" max="5888" width="2.83203125" style="22" customWidth="1"/>
    <col min="5889" max="5889" width="4.83203125" style="22" customWidth="1"/>
    <col min="5890" max="5890" width="26" style="22" customWidth="1"/>
    <col min="5891" max="5891" width="14.5" style="22" customWidth="1"/>
    <col min="5892" max="5892" width="4.1640625" style="22" customWidth="1"/>
    <col min="5893" max="6139" width="9.1640625" style="22"/>
    <col min="6140" max="6140" width="5.1640625" style="22" customWidth="1"/>
    <col min="6141" max="6141" width="34.5" style="22" customWidth="1"/>
    <col min="6142" max="6142" width="23.1640625" style="22" customWidth="1"/>
    <col min="6143" max="6143" width="24.33203125" style="22" customWidth="1"/>
    <col min="6144" max="6144" width="2.83203125" style="22" customWidth="1"/>
    <col min="6145" max="6145" width="4.83203125" style="22" customWidth="1"/>
    <col min="6146" max="6146" width="26" style="22" customWidth="1"/>
    <col min="6147" max="6147" width="14.5" style="22" customWidth="1"/>
    <col min="6148" max="6148" width="4.1640625" style="22" customWidth="1"/>
    <col min="6149" max="6395" width="9.1640625" style="22"/>
    <col min="6396" max="6396" width="5.1640625" style="22" customWidth="1"/>
    <col min="6397" max="6397" width="34.5" style="22" customWidth="1"/>
    <col min="6398" max="6398" width="23.1640625" style="22" customWidth="1"/>
    <col min="6399" max="6399" width="24.33203125" style="22" customWidth="1"/>
    <col min="6400" max="6400" width="2.83203125" style="22" customWidth="1"/>
    <col min="6401" max="6401" width="4.83203125" style="22" customWidth="1"/>
    <col min="6402" max="6402" width="26" style="22" customWidth="1"/>
    <col min="6403" max="6403" width="14.5" style="22" customWidth="1"/>
    <col min="6404" max="6404" width="4.1640625" style="22" customWidth="1"/>
    <col min="6405" max="6651" width="9.1640625" style="22"/>
    <col min="6652" max="6652" width="5.1640625" style="22" customWidth="1"/>
    <col min="6653" max="6653" width="34.5" style="22" customWidth="1"/>
    <col min="6654" max="6654" width="23.1640625" style="22" customWidth="1"/>
    <col min="6655" max="6655" width="24.33203125" style="22" customWidth="1"/>
    <col min="6656" max="6656" width="2.83203125" style="22" customWidth="1"/>
    <col min="6657" max="6657" width="4.83203125" style="22" customWidth="1"/>
    <col min="6658" max="6658" width="26" style="22" customWidth="1"/>
    <col min="6659" max="6659" width="14.5" style="22" customWidth="1"/>
    <col min="6660" max="6660" width="4.1640625" style="22" customWidth="1"/>
    <col min="6661" max="6907" width="9.1640625" style="22"/>
    <col min="6908" max="6908" width="5.1640625" style="22" customWidth="1"/>
    <col min="6909" max="6909" width="34.5" style="22" customWidth="1"/>
    <col min="6910" max="6910" width="23.1640625" style="22" customWidth="1"/>
    <col min="6911" max="6911" width="24.33203125" style="22" customWidth="1"/>
    <col min="6912" max="6912" width="2.83203125" style="22" customWidth="1"/>
    <col min="6913" max="6913" width="4.83203125" style="22" customWidth="1"/>
    <col min="6914" max="6914" width="26" style="22" customWidth="1"/>
    <col min="6915" max="6915" width="14.5" style="22" customWidth="1"/>
    <col min="6916" max="6916" width="4.1640625" style="22" customWidth="1"/>
    <col min="6917" max="7163" width="9.1640625" style="22"/>
    <col min="7164" max="7164" width="5.1640625" style="22" customWidth="1"/>
    <col min="7165" max="7165" width="34.5" style="22" customWidth="1"/>
    <col min="7166" max="7166" width="23.1640625" style="22" customWidth="1"/>
    <col min="7167" max="7167" width="24.33203125" style="22" customWidth="1"/>
    <col min="7168" max="7168" width="2.83203125" style="22" customWidth="1"/>
    <col min="7169" max="7169" width="4.83203125" style="22" customWidth="1"/>
    <col min="7170" max="7170" width="26" style="22" customWidth="1"/>
    <col min="7171" max="7171" width="14.5" style="22" customWidth="1"/>
    <col min="7172" max="7172" width="4.1640625" style="22" customWidth="1"/>
    <col min="7173" max="7419" width="9.1640625" style="22"/>
    <col min="7420" max="7420" width="5.1640625" style="22" customWidth="1"/>
    <col min="7421" max="7421" width="34.5" style="22" customWidth="1"/>
    <col min="7422" max="7422" width="23.1640625" style="22" customWidth="1"/>
    <col min="7423" max="7423" width="24.33203125" style="22" customWidth="1"/>
    <col min="7424" max="7424" width="2.83203125" style="22" customWidth="1"/>
    <col min="7425" max="7425" width="4.83203125" style="22" customWidth="1"/>
    <col min="7426" max="7426" width="26" style="22" customWidth="1"/>
    <col min="7427" max="7427" width="14.5" style="22" customWidth="1"/>
    <col min="7428" max="7428" width="4.1640625" style="22" customWidth="1"/>
    <col min="7429" max="7675" width="9.1640625" style="22"/>
    <col min="7676" max="7676" width="5.1640625" style="22" customWidth="1"/>
    <col min="7677" max="7677" width="34.5" style="22" customWidth="1"/>
    <col min="7678" max="7678" width="23.1640625" style="22" customWidth="1"/>
    <col min="7679" max="7679" width="24.33203125" style="22" customWidth="1"/>
    <col min="7680" max="7680" width="2.83203125" style="22" customWidth="1"/>
    <col min="7681" max="7681" width="4.83203125" style="22" customWidth="1"/>
    <col min="7682" max="7682" width="26" style="22" customWidth="1"/>
    <col min="7683" max="7683" width="14.5" style="22" customWidth="1"/>
    <col min="7684" max="7684" width="4.1640625" style="22" customWidth="1"/>
    <col min="7685" max="7931" width="9.1640625" style="22"/>
    <col min="7932" max="7932" width="5.1640625" style="22" customWidth="1"/>
    <col min="7933" max="7933" width="34.5" style="22" customWidth="1"/>
    <col min="7934" max="7934" width="23.1640625" style="22" customWidth="1"/>
    <col min="7935" max="7935" width="24.33203125" style="22" customWidth="1"/>
    <col min="7936" max="7936" width="2.83203125" style="22" customWidth="1"/>
    <col min="7937" max="7937" width="4.83203125" style="22" customWidth="1"/>
    <col min="7938" max="7938" width="26" style="22" customWidth="1"/>
    <col min="7939" max="7939" width="14.5" style="22" customWidth="1"/>
    <col min="7940" max="7940" width="4.1640625" style="22" customWidth="1"/>
    <col min="7941" max="8187" width="9.1640625" style="22"/>
    <col min="8188" max="8188" width="5.1640625" style="22" customWidth="1"/>
    <col min="8189" max="8189" width="34.5" style="22" customWidth="1"/>
    <col min="8190" max="8190" width="23.1640625" style="22" customWidth="1"/>
    <col min="8191" max="8191" width="24.33203125" style="22" customWidth="1"/>
    <col min="8192" max="8192" width="2.83203125" style="22" customWidth="1"/>
    <col min="8193" max="8193" width="4.83203125" style="22" customWidth="1"/>
    <col min="8194" max="8194" width="26" style="22" customWidth="1"/>
    <col min="8195" max="8195" width="14.5" style="22" customWidth="1"/>
    <col min="8196" max="8196" width="4.1640625" style="22" customWidth="1"/>
    <col min="8197" max="8443" width="9.1640625" style="22"/>
    <col min="8444" max="8444" width="5.1640625" style="22" customWidth="1"/>
    <col min="8445" max="8445" width="34.5" style="22" customWidth="1"/>
    <col min="8446" max="8446" width="23.1640625" style="22" customWidth="1"/>
    <col min="8447" max="8447" width="24.33203125" style="22" customWidth="1"/>
    <col min="8448" max="8448" width="2.83203125" style="22" customWidth="1"/>
    <col min="8449" max="8449" width="4.83203125" style="22" customWidth="1"/>
    <col min="8450" max="8450" width="26" style="22" customWidth="1"/>
    <col min="8451" max="8451" width="14.5" style="22" customWidth="1"/>
    <col min="8452" max="8452" width="4.1640625" style="22" customWidth="1"/>
    <col min="8453" max="8699" width="9.1640625" style="22"/>
    <col min="8700" max="8700" width="5.1640625" style="22" customWidth="1"/>
    <col min="8701" max="8701" width="34.5" style="22" customWidth="1"/>
    <col min="8702" max="8702" width="23.1640625" style="22" customWidth="1"/>
    <col min="8703" max="8703" width="24.33203125" style="22" customWidth="1"/>
    <col min="8704" max="8704" width="2.83203125" style="22" customWidth="1"/>
    <col min="8705" max="8705" width="4.83203125" style="22" customWidth="1"/>
    <col min="8706" max="8706" width="26" style="22" customWidth="1"/>
    <col min="8707" max="8707" width="14.5" style="22" customWidth="1"/>
    <col min="8708" max="8708" width="4.1640625" style="22" customWidth="1"/>
    <col min="8709" max="8955" width="9.1640625" style="22"/>
    <col min="8956" max="8956" width="5.1640625" style="22" customWidth="1"/>
    <col min="8957" max="8957" width="34.5" style="22" customWidth="1"/>
    <col min="8958" max="8958" width="23.1640625" style="22" customWidth="1"/>
    <col min="8959" max="8959" width="24.33203125" style="22" customWidth="1"/>
    <col min="8960" max="8960" width="2.83203125" style="22" customWidth="1"/>
    <col min="8961" max="8961" width="4.83203125" style="22" customWidth="1"/>
    <col min="8962" max="8962" width="26" style="22" customWidth="1"/>
    <col min="8963" max="8963" width="14.5" style="22" customWidth="1"/>
    <col min="8964" max="8964" width="4.1640625" style="22" customWidth="1"/>
    <col min="8965" max="9211" width="9.1640625" style="22"/>
    <col min="9212" max="9212" width="5.1640625" style="22" customWidth="1"/>
    <col min="9213" max="9213" width="34.5" style="22" customWidth="1"/>
    <col min="9214" max="9214" width="23.1640625" style="22" customWidth="1"/>
    <col min="9215" max="9215" width="24.33203125" style="22" customWidth="1"/>
    <col min="9216" max="9216" width="2.83203125" style="22" customWidth="1"/>
    <col min="9217" max="9217" width="4.83203125" style="22" customWidth="1"/>
    <col min="9218" max="9218" width="26" style="22" customWidth="1"/>
    <col min="9219" max="9219" width="14.5" style="22" customWidth="1"/>
    <col min="9220" max="9220" width="4.1640625" style="22" customWidth="1"/>
    <col min="9221" max="9467" width="9.1640625" style="22"/>
    <col min="9468" max="9468" width="5.1640625" style="22" customWidth="1"/>
    <col min="9469" max="9469" width="34.5" style="22" customWidth="1"/>
    <col min="9470" max="9470" width="23.1640625" style="22" customWidth="1"/>
    <col min="9471" max="9471" width="24.33203125" style="22" customWidth="1"/>
    <col min="9472" max="9472" width="2.83203125" style="22" customWidth="1"/>
    <col min="9473" max="9473" width="4.83203125" style="22" customWidth="1"/>
    <col min="9474" max="9474" width="26" style="22" customWidth="1"/>
    <col min="9475" max="9475" width="14.5" style="22" customWidth="1"/>
    <col min="9476" max="9476" width="4.1640625" style="22" customWidth="1"/>
    <col min="9477" max="9723" width="9.1640625" style="22"/>
    <col min="9724" max="9724" width="5.1640625" style="22" customWidth="1"/>
    <col min="9725" max="9725" width="34.5" style="22" customWidth="1"/>
    <col min="9726" max="9726" width="23.1640625" style="22" customWidth="1"/>
    <col min="9727" max="9727" width="24.33203125" style="22" customWidth="1"/>
    <col min="9728" max="9728" width="2.83203125" style="22" customWidth="1"/>
    <col min="9729" max="9729" width="4.83203125" style="22" customWidth="1"/>
    <col min="9730" max="9730" width="26" style="22" customWidth="1"/>
    <col min="9731" max="9731" width="14.5" style="22" customWidth="1"/>
    <col min="9732" max="9732" width="4.1640625" style="22" customWidth="1"/>
    <col min="9733" max="9979" width="9.1640625" style="22"/>
    <col min="9980" max="9980" width="5.1640625" style="22" customWidth="1"/>
    <col min="9981" max="9981" width="34.5" style="22" customWidth="1"/>
    <col min="9982" max="9982" width="23.1640625" style="22" customWidth="1"/>
    <col min="9983" max="9983" width="24.33203125" style="22" customWidth="1"/>
    <col min="9984" max="9984" width="2.83203125" style="22" customWidth="1"/>
    <col min="9985" max="9985" width="4.83203125" style="22" customWidth="1"/>
    <col min="9986" max="9986" width="26" style="22" customWidth="1"/>
    <col min="9987" max="9987" width="14.5" style="22" customWidth="1"/>
    <col min="9988" max="9988" width="4.1640625" style="22" customWidth="1"/>
    <col min="9989" max="10235" width="9.1640625" style="22"/>
    <col min="10236" max="10236" width="5.1640625" style="22" customWidth="1"/>
    <col min="10237" max="10237" width="34.5" style="22" customWidth="1"/>
    <col min="10238" max="10238" width="23.1640625" style="22" customWidth="1"/>
    <col min="10239" max="10239" width="24.33203125" style="22" customWidth="1"/>
    <col min="10240" max="10240" width="2.83203125" style="22" customWidth="1"/>
    <col min="10241" max="10241" width="4.83203125" style="22" customWidth="1"/>
    <col min="10242" max="10242" width="26" style="22" customWidth="1"/>
    <col min="10243" max="10243" width="14.5" style="22" customWidth="1"/>
    <col min="10244" max="10244" width="4.1640625" style="22" customWidth="1"/>
    <col min="10245" max="10491" width="9.1640625" style="22"/>
    <col min="10492" max="10492" width="5.1640625" style="22" customWidth="1"/>
    <col min="10493" max="10493" width="34.5" style="22" customWidth="1"/>
    <col min="10494" max="10494" width="23.1640625" style="22" customWidth="1"/>
    <col min="10495" max="10495" width="24.33203125" style="22" customWidth="1"/>
    <col min="10496" max="10496" width="2.83203125" style="22" customWidth="1"/>
    <col min="10497" max="10497" width="4.83203125" style="22" customWidth="1"/>
    <col min="10498" max="10498" width="26" style="22" customWidth="1"/>
    <col min="10499" max="10499" width="14.5" style="22" customWidth="1"/>
    <col min="10500" max="10500" width="4.1640625" style="22" customWidth="1"/>
    <col min="10501" max="10747" width="9.1640625" style="22"/>
    <col min="10748" max="10748" width="5.1640625" style="22" customWidth="1"/>
    <col min="10749" max="10749" width="34.5" style="22" customWidth="1"/>
    <col min="10750" max="10750" width="23.1640625" style="22" customWidth="1"/>
    <col min="10751" max="10751" width="24.33203125" style="22" customWidth="1"/>
    <col min="10752" max="10752" width="2.83203125" style="22" customWidth="1"/>
    <col min="10753" max="10753" width="4.83203125" style="22" customWidth="1"/>
    <col min="10754" max="10754" width="26" style="22" customWidth="1"/>
    <col min="10755" max="10755" width="14.5" style="22" customWidth="1"/>
    <col min="10756" max="10756" width="4.1640625" style="22" customWidth="1"/>
    <col min="10757" max="11003" width="9.1640625" style="22"/>
    <col min="11004" max="11004" width="5.1640625" style="22" customWidth="1"/>
    <col min="11005" max="11005" width="34.5" style="22" customWidth="1"/>
    <col min="11006" max="11006" width="23.1640625" style="22" customWidth="1"/>
    <col min="11007" max="11007" width="24.33203125" style="22" customWidth="1"/>
    <col min="11008" max="11008" width="2.83203125" style="22" customWidth="1"/>
    <col min="11009" max="11009" width="4.83203125" style="22" customWidth="1"/>
    <col min="11010" max="11010" width="26" style="22" customWidth="1"/>
    <col min="11011" max="11011" width="14.5" style="22" customWidth="1"/>
    <col min="11012" max="11012" width="4.1640625" style="22" customWidth="1"/>
    <col min="11013" max="11259" width="9.1640625" style="22"/>
    <col min="11260" max="11260" width="5.1640625" style="22" customWidth="1"/>
    <col min="11261" max="11261" width="34.5" style="22" customWidth="1"/>
    <col min="11262" max="11262" width="23.1640625" style="22" customWidth="1"/>
    <col min="11263" max="11263" width="24.33203125" style="22" customWidth="1"/>
    <col min="11264" max="11264" width="2.83203125" style="22" customWidth="1"/>
    <col min="11265" max="11265" width="4.83203125" style="22" customWidth="1"/>
    <col min="11266" max="11266" width="26" style="22" customWidth="1"/>
    <col min="11267" max="11267" width="14.5" style="22" customWidth="1"/>
    <col min="11268" max="11268" width="4.1640625" style="22" customWidth="1"/>
    <col min="11269" max="11515" width="9.1640625" style="22"/>
    <col min="11516" max="11516" width="5.1640625" style="22" customWidth="1"/>
    <col min="11517" max="11517" width="34.5" style="22" customWidth="1"/>
    <col min="11518" max="11518" width="23.1640625" style="22" customWidth="1"/>
    <col min="11519" max="11519" width="24.33203125" style="22" customWidth="1"/>
    <col min="11520" max="11520" width="2.83203125" style="22" customWidth="1"/>
    <col min="11521" max="11521" width="4.83203125" style="22" customWidth="1"/>
    <col min="11522" max="11522" width="26" style="22" customWidth="1"/>
    <col min="11523" max="11523" width="14.5" style="22" customWidth="1"/>
    <col min="11524" max="11524" width="4.1640625" style="22" customWidth="1"/>
    <col min="11525" max="11771" width="9.1640625" style="22"/>
    <col min="11772" max="11772" width="5.1640625" style="22" customWidth="1"/>
    <col min="11773" max="11773" width="34.5" style="22" customWidth="1"/>
    <col min="11774" max="11774" width="23.1640625" style="22" customWidth="1"/>
    <col min="11775" max="11775" width="24.33203125" style="22" customWidth="1"/>
    <col min="11776" max="11776" width="2.83203125" style="22" customWidth="1"/>
    <col min="11777" max="11777" width="4.83203125" style="22" customWidth="1"/>
    <col min="11778" max="11778" width="26" style="22" customWidth="1"/>
    <col min="11779" max="11779" width="14.5" style="22" customWidth="1"/>
    <col min="11780" max="11780" width="4.1640625" style="22" customWidth="1"/>
    <col min="11781" max="12027" width="9.1640625" style="22"/>
    <col min="12028" max="12028" width="5.1640625" style="22" customWidth="1"/>
    <col min="12029" max="12029" width="34.5" style="22" customWidth="1"/>
    <col min="12030" max="12030" width="23.1640625" style="22" customWidth="1"/>
    <col min="12031" max="12031" width="24.33203125" style="22" customWidth="1"/>
    <col min="12032" max="12032" width="2.83203125" style="22" customWidth="1"/>
    <col min="12033" max="12033" width="4.83203125" style="22" customWidth="1"/>
    <col min="12034" max="12034" width="26" style="22" customWidth="1"/>
    <col min="12035" max="12035" width="14.5" style="22" customWidth="1"/>
    <col min="12036" max="12036" width="4.1640625" style="22" customWidth="1"/>
    <col min="12037" max="12283" width="9.1640625" style="22"/>
    <col min="12284" max="12284" width="5.1640625" style="22" customWidth="1"/>
    <col min="12285" max="12285" width="34.5" style="22" customWidth="1"/>
    <col min="12286" max="12286" width="23.1640625" style="22" customWidth="1"/>
    <col min="12287" max="12287" width="24.33203125" style="22" customWidth="1"/>
    <col min="12288" max="12288" width="2.83203125" style="22" customWidth="1"/>
    <col min="12289" max="12289" width="4.83203125" style="22" customWidth="1"/>
    <col min="12290" max="12290" width="26" style="22" customWidth="1"/>
    <col min="12291" max="12291" width="14.5" style="22" customWidth="1"/>
    <col min="12292" max="12292" width="4.1640625" style="22" customWidth="1"/>
    <col min="12293" max="12539" width="9.1640625" style="22"/>
    <col min="12540" max="12540" width="5.1640625" style="22" customWidth="1"/>
    <col min="12541" max="12541" width="34.5" style="22" customWidth="1"/>
    <col min="12542" max="12542" width="23.1640625" style="22" customWidth="1"/>
    <col min="12543" max="12543" width="24.33203125" style="22" customWidth="1"/>
    <col min="12544" max="12544" width="2.83203125" style="22" customWidth="1"/>
    <col min="12545" max="12545" width="4.83203125" style="22" customWidth="1"/>
    <col min="12546" max="12546" width="26" style="22" customWidth="1"/>
    <col min="12547" max="12547" width="14.5" style="22" customWidth="1"/>
    <col min="12548" max="12548" width="4.1640625" style="22" customWidth="1"/>
    <col min="12549" max="12795" width="9.1640625" style="22"/>
    <col min="12796" max="12796" width="5.1640625" style="22" customWidth="1"/>
    <col min="12797" max="12797" width="34.5" style="22" customWidth="1"/>
    <col min="12798" max="12798" width="23.1640625" style="22" customWidth="1"/>
    <col min="12799" max="12799" width="24.33203125" style="22" customWidth="1"/>
    <col min="12800" max="12800" width="2.83203125" style="22" customWidth="1"/>
    <col min="12801" max="12801" width="4.83203125" style="22" customWidth="1"/>
    <col min="12802" max="12802" width="26" style="22" customWidth="1"/>
    <col min="12803" max="12803" width="14.5" style="22" customWidth="1"/>
    <col min="12804" max="12804" width="4.1640625" style="22" customWidth="1"/>
    <col min="12805" max="13051" width="9.1640625" style="22"/>
    <col min="13052" max="13052" width="5.1640625" style="22" customWidth="1"/>
    <col min="13053" max="13053" width="34.5" style="22" customWidth="1"/>
    <col min="13054" max="13054" width="23.1640625" style="22" customWidth="1"/>
    <col min="13055" max="13055" width="24.33203125" style="22" customWidth="1"/>
    <col min="13056" max="13056" width="2.83203125" style="22" customWidth="1"/>
    <col min="13057" max="13057" width="4.83203125" style="22" customWidth="1"/>
    <col min="13058" max="13058" width="26" style="22" customWidth="1"/>
    <col min="13059" max="13059" width="14.5" style="22" customWidth="1"/>
    <col min="13060" max="13060" width="4.1640625" style="22" customWidth="1"/>
    <col min="13061" max="13307" width="9.1640625" style="22"/>
    <col min="13308" max="13308" width="5.1640625" style="22" customWidth="1"/>
    <col min="13309" max="13309" width="34.5" style="22" customWidth="1"/>
    <col min="13310" max="13310" width="23.1640625" style="22" customWidth="1"/>
    <col min="13311" max="13311" width="24.33203125" style="22" customWidth="1"/>
    <col min="13312" max="13312" width="2.83203125" style="22" customWidth="1"/>
    <col min="13313" max="13313" width="4.83203125" style="22" customWidth="1"/>
    <col min="13314" max="13314" width="26" style="22" customWidth="1"/>
    <col min="13315" max="13315" width="14.5" style="22" customWidth="1"/>
    <col min="13316" max="13316" width="4.1640625" style="22" customWidth="1"/>
    <col min="13317" max="13563" width="9.1640625" style="22"/>
    <col min="13564" max="13564" width="5.1640625" style="22" customWidth="1"/>
    <col min="13565" max="13565" width="34.5" style="22" customWidth="1"/>
    <col min="13566" max="13566" width="23.1640625" style="22" customWidth="1"/>
    <col min="13567" max="13567" width="24.33203125" style="22" customWidth="1"/>
    <col min="13568" max="13568" width="2.83203125" style="22" customWidth="1"/>
    <col min="13569" max="13569" width="4.83203125" style="22" customWidth="1"/>
    <col min="13570" max="13570" width="26" style="22" customWidth="1"/>
    <col min="13571" max="13571" width="14.5" style="22" customWidth="1"/>
    <col min="13572" max="13572" width="4.1640625" style="22" customWidth="1"/>
    <col min="13573" max="13819" width="9.1640625" style="22"/>
    <col min="13820" max="13820" width="5.1640625" style="22" customWidth="1"/>
    <col min="13821" max="13821" width="34.5" style="22" customWidth="1"/>
    <col min="13822" max="13822" width="23.1640625" style="22" customWidth="1"/>
    <col min="13823" max="13823" width="24.33203125" style="22" customWidth="1"/>
    <col min="13824" max="13824" width="2.83203125" style="22" customWidth="1"/>
    <col min="13825" max="13825" width="4.83203125" style="22" customWidth="1"/>
    <col min="13826" max="13826" width="26" style="22" customWidth="1"/>
    <col min="13827" max="13827" width="14.5" style="22" customWidth="1"/>
    <col min="13828" max="13828" width="4.1640625" style="22" customWidth="1"/>
    <col min="13829" max="14075" width="9.1640625" style="22"/>
    <col min="14076" max="14076" width="5.1640625" style="22" customWidth="1"/>
    <col min="14077" max="14077" width="34.5" style="22" customWidth="1"/>
    <col min="14078" max="14078" width="23.1640625" style="22" customWidth="1"/>
    <col min="14079" max="14079" width="24.33203125" style="22" customWidth="1"/>
    <col min="14080" max="14080" width="2.83203125" style="22" customWidth="1"/>
    <col min="14081" max="14081" width="4.83203125" style="22" customWidth="1"/>
    <col min="14082" max="14082" width="26" style="22" customWidth="1"/>
    <col min="14083" max="14083" width="14.5" style="22" customWidth="1"/>
    <col min="14084" max="14084" width="4.1640625" style="22" customWidth="1"/>
    <col min="14085" max="14331" width="9.1640625" style="22"/>
    <col min="14332" max="14332" width="5.1640625" style="22" customWidth="1"/>
    <col min="14333" max="14333" width="34.5" style="22" customWidth="1"/>
    <col min="14334" max="14334" width="23.1640625" style="22" customWidth="1"/>
    <col min="14335" max="14335" width="24.33203125" style="22" customWidth="1"/>
    <col min="14336" max="14336" width="2.83203125" style="22" customWidth="1"/>
    <col min="14337" max="14337" width="4.83203125" style="22" customWidth="1"/>
    <col min="14338" max="14338" width="26" style="22" customWidth="1"/>
    <col min="14339" max="14339" width="14.5" style="22" customWidth="1"/>
    <col min="14340" max="14340" width="4.1640625" style="22" customWidth="1"/>
    <col min="14341" max="14587" width="9.1640625" style="22"/>
    <col min="14588" max="14588" width="5.1640625" style="22" customWidth="1"/>
    <col min="14589" max="14589" width="34.5" style="22" customWidth="1"/>
    <col min="14590" max="14590" width="23.1640625" style="22" customWidth="1"/>
    <col min="14591" max="14591" width="24.33203125" style="22" customWidth="1"/>
    <col min="14592" max="14592" width="2.83203125" style="22" customWidth="1"/>
    <col min="14593" max="14593" width="4.83203125" style="22" customWidth="1"/>
    <col min="14594" max="14594" width="26" style="22" customWidth="1"/>
    <col min="14595" max="14595" width="14.5" style="22" customWidth="1"/>
    <col min="14596" max="14596" width="4.1640625" style="22" customWidth="1"/>
    <col min="14597" max="14843" width="9.1640625" style="22"/>
    <col min="14844" max="14844" width="5.1640625" style="22" customWidth="1"/>
    <col min="14845" max="14845" width="34.5" style="22" customWidth="1"/>
    <col min="14846" max="14846" width="23.1640625" style="22" customWidth="1"/>
    <col min="14847" max="14847" width="24.33203125" style="22" customWidth="1"/>
    <col min="14848" max="14848" width="2.83203125" style="22" customWidth="1"/>
    <col min="14849" max="14849" width="4.83203125" style="22" customWidth="1"/>
    <col min="14850" max="14850" width="26" style="22" customWidth="1"/>
    <col min="14851" max="14851" width="14.5" style="22" customWidth="1"/>
    <col min="14852" max="14852" width="4.1640625" style="22" customWidth="1"/>
    <col min="14853" max="15099" width="9.1640625" style="22"/>
    <col min="15100" max="15100" width="5.1640625" style="22" customWidth="1"/>
    <col min="15101" max="15101" width="34.5" style="22" customWidth="1"/>
    <col min="15102" max="15102" width="23.1640625" style="22" customWidth="1"/>
    <col min="15103" max="15103" width="24.33203125" style="22" customWidth="1"/>
    <col min="15104" max="15104" width="2.83203125" style="22" customWidth="1"/>
    <col min="15105" max="15105" width="4.83203125" style="22" customWidth="1"/>
    <col min="15106" max="15106" width="26" style="22" customWidth="1"/>
    <col min="15107" max="15107" width="14.5" style="22" customWidth="1"/>
    <col min="15108" max="15108" width="4.1640625" style="22" customWidth="1"/>
    <col min="15109" max="15355" width="9.1640625" style="22"/>
    <col min="15356" max="15356" width="5.1640625" style="22" customWidth="1"/>
    <col min="15357" max="15357" width="34.5" style="22" customWidth="1"/>
    <col min="15358" max="15358" width="23.1640625" style="22" customWidth="1"/>
    <col min="15359" max="15359" width="24.33203125" style="22" customWidth="1"/>
    <col min="15360" max="15360" width="2.83203125" style="22" customWidth="1"/>
    <col min="15361" max="15361" width="4.83203125" style="22" customWidth="1"/>
    <col min="15362" max="15362" width="26" style="22" customWidth="1"/>
    <col min="15363" max="15363" width="14.5" style="22" customWidth="1"/>
    <col min="15364" max="15364" width="4.1640625" style="22" customWidth="1"/>
    <col min="15365" max="15611" width="9.1640625" style="22"/>
    <col min="15612" max="15612" width="5.1640625" style="22" customWidth="1"/>
    <col min="15613" max="15613" width="34.5" style="22" customWidth="1"/>
    <col min="15614" max="15614" width="23.1640625" style="22" customWidth="1"/>
    <col min="15615" max="15615" width="24.33203125" style="22" customWidth="1"/>
    <col min="15616" max="15616" width="2.83203125" style="22" customWidth="1"/>
    <col min="15617" max="15617" width="4.83203125" style="22" customWidth="1"/>
    <col min="15618" max="15618" width="26" style="22" customWidth="1"/>
    <col min="15619" max="15619" width="14.5" style="22" customWidth="1"/>
    <col min="15620" max="15620" width="4.1640625" style="22" customWidth="1"/>
    <col min="15621" max="15867" width="9.1640625" style="22"/>
    <col min="15868" max="15868" width="5.1640625" style="22" customWidth="1"/>
    <col min="15869" max="15869" width="34.5" style="22" customWidth="1"/>
    <col min="15870" max="15870" width="23.1640625" style="22" customWidth="1"/>
    <col min="15871" max="15871" width="24.33203125" style="22" customWidth="1"/>
    <col min="15872" max="15872" width="2.83203125" style="22" customWidth="1"/>
    <col min="15873" max="15873" width="4.83203125" style="22" customWidth="1"/>
    <col min="15874" max="15874" width="26" style="22" customWidth="1"/>
    <col min="15875" max="15875" width="14.5" style="22" customWidth="1"/>
    <col min="15876" max="15876" width="4.1640625" style="22" customWidth="1"/>
    <col min="15877" max="16123" width="9.1640625" style="22"/>
    <col min="16124" max="16124" width="5.1640625" style="22" customWidth="1"/>
    <col min="16125" max="16125" width="34.5" style="22" customWidth="1"/>
    <col min="16126" max="16126" width="23.1640625" style="22" customWidth="1"/>
    <col min="16127" max="16127" width="24.33203125" style="22" customWidth="1"/>
    <col min="16128" max="16128" width="2.83203125" style="22" customWidth="1"/>
    <col min="16129" max="16129" width="4.83203125" style="22" customWidth="1"/>
    <col min="16130" max="16130" width="26" style="22" customWidth="1"/>
    <col min="16131" max="16131" width="14.5" style="22" customWidth="1"/>
    <col min="16132" max="16132" width="4.1640625" style="22" customWidth="1"/>
    <col min="16133" max="16384" width="9.1640625" style="22"/>
  </cols>
  <sheetData>
    <row r="1" spans="1:9" ht="15" customHeight="1">
      <c r="A1" s="35"/>
      <c r="B1" s="35"/>
      <c r="C1" s="35"/>
      <c r="D1" s="35"/>
    </row>
    <row r="2" spans="1:9" ht="48" customHeight="1">
      <c r="A2" s="414" t="s">
        <v>127</v>
      </c>
      <c r="B2" s="414"/>
      <c r="C2" s="415" t="s">
        <v>128</v>
      </c>
      <c r="D2" s="415"/>
    </row>
    <row r="3" spans="1:9">
      <c r="A3" s="11" t="s">
        <v>129</v>
      </c>
      <c r="B3" s="255" t="s">
        <v>454</v>
      </c>
      <c r="C3" s="133" t="str">
        <f>IF(ISBLANK('Composite Preview'!G1),"NOT REVIEWED",'Composite Preview'!G1)</f>
        <v>NOT REVIEWED</v>
      </c>
      <c r="D3" s="9"/>
    </row>
    <row r="4" spans="1:9">
      <c r="A4" s="168" t="s">
        <v>130</v>
      </c>
      <c r="B4" s="337" t="s">
        <v>489</v>
      </c>
      <c r="C4" s="21"/>
      <c r="D4" s="9"/>
    </row>
    <row r="5" spans="1:9">
      <c r="A5" s="168" t="s">
        <v>131</v>
      </c>
      <c r="B5" s="338" t="s">
        <v>1097</v>
      </c>
      <c r="C5" s="21"/>
      <c r="D5" s="9"/>
    </row>
    <row r="6" spans="1:9">
      <c r="A6" s="168" t="s">
        <v>132</v>
      </c>
      <c r="B6" s="339">
        <v>1</v>
      </c>
      <c r="C6" s="21"/>
      <c r="D6" s="9"/>
    </row>
    <row r="7" spans="1:9">
      <c r="A7" s="168" t="s">
        <v>133</v>
      </c>
      <c r="B7" s="339">
        <v>3</v>
      </c>
      <c r="C7" s="21"/>
      <c r="D7" s="9"/>
    </row>
    <row r="8" spans="1:9">
      <c r="A8" s="12"/>
      <c r="B8" s="9" t="s">
        <v>134</v>
      </c>
      <c r="C8" s="9" t="s">
        <v>135</v>
      </c>
      <c r="D8" s="9" t="s">
        <v>136</v>
      </c>
    </row>
    <row r="9" spans="1:9">
      <c r="A9" s="24" t="s">
        <v>137</v>
      </c>
      <c r="B9" s="33">
        <f>IF(B7=0,"Please enter Number of Months",B41/B7)</f>
        <v>1362534.1366666667</v>
      </c>
      <c r="C9" s="13"/>
      <c r="D9" s="34">
        <f>IF(B7=0,"Please enter Number of Months",D41/B7)</f>
        <v>444203.89666666678</v>
      </c>
      <c r="E9" s="23"/>
    </row>
    <row r="10" spans="1:9">
      <c r="A10" s="26" t="s">
        <v>138</v>
      </c>
      <c r="B10" s="382">
        <f>-'New TB'!O122-'New TB'!O142</f>
        <v>1135635</v>
      </c>
      <c r="C10" s="382">
        <f>'New TB'!O184+'New TB'!O208</f>
        <v>940317.64</v>
      </c>
      <c r="D10" s="101">
        <f>B10-C10</f>
        <v>195317.36</v>
      </c>
      <c r="E10" s="106"/>
    </row>
    <row r="11" spans="1:9">
      <c r="A11" s="26" t="s">
        <v>139</v>
      </c>
      <c r="B11" s="382"/>
      <c r="C11" s="382"/>
      <c r="D11" s="101">
        <f>B11-C11</f>
        <v>0</v>
      </c>
      <c r="E11" s="106"/>
    </row>
    <row r="12" spans="1:9">
      <c r="A12" s="26" t="s">
        <v>140</v>
      </c>
      <c r="B12" s="382">
        <f>-'New TB'!O120</f>
        <v>13295</v>
      </c>
      <c r="C12" s="382">
        <f>'New TB'!O182</f>
        <v>10848.720000000001</v>
      </c>
      <c r="D12" s="101">
        <f t="shared" ref="D12" si="0">B12-C12</f>
        <v>2446.2799999999988</v>
      </c>
      <c r="E12" s="106"/>
    </row>
    <row r="13" spans="1:9">
      <c r="A13" s="26" t="s">
        <v>141</v>
      </c>
      <c r="B13" s="382">
        <f>-SUM('New TB'!O106,'New TB'!O153,'New TB'!O179)</f>
        <v>14400.18</v>
      </c>
      <c r="C13" s="382">
        <f>SUM('New TB'!O168,'New TB'!O219,'New TB'!O225,'New TB'!O206,'New TB'!O190,'New TB'!O236)</f>
        <v>48766.710000000006</v>
      </c>
      <c r="D13" s="101">
        <f>B13-C13</f>
        <v>-34366.530000000006</v>
      </c>
      <c r="E13" s="106"/>
      <c r="I13" s="44"/>
    </row>
    <row r="14" spans="1:9">
      <c r="A14" s="169" t="s">
        <v>142</v>
      </c>
      <c r="B14" s="383">
        <f>SUM(B10:B13)</f>
        <v>1163330.18</v>
      </c>
      <c r="C14" s="383">
        <f>SUM(C10:C13)</f>
        <v>999933.07</v>
      </c>
      <c r="D14" s="340">
        <f t="shared" ref="D14:D26" si="1">B14-C14</f>
        <v>163397.10999999999</v>
      </c>
    </row>
    <row r="15" spans="1:9">
      <c r="A15" s="26" t="s">
        <v>143</v>
      </c>
      <c r="B15" s="382"/>
      <c r="C15" s="382"/>
      <c r="D15" s="341">
        <f>B15-C15</f>
        <v>0</v>
      </c>
      <c r="E15" s="106"/>
    </row>
    <row r="16" spans="1:9">
      <c r="A16" s="26" t="s">
        <v>144</v>
      </c>
      <c r="B16" s="382">
        <f>-SUM('New TB'!O107,'New TB'!O130)</f>
        <v>13063.880000000001</v>
      </c>
      <c r="C16" s="382">
        <f>SUM('New TB'!O169,'New TB'!O191)</f>
        <v>2998.98</v>
      </c>
      <c r="D16" s="101">
        <f t="shared" ref="D16:D19" si="2">B16-C16</f>
        <v>10064.900000000001</v>
      </c>
      <c r="E16" s="106"/>
    </row>
    <row r="17" spans="1:6">
      <c r="A17" s="26" t="s">
        <v>145</v>
      </c>
      <c r="B17" s="382"/>
      <c r="C17" s="382"/>
      <c r="D17" s="341">
        <f t="shared" si="2"/>
        <v>0</v>
      </c>
      <c r="E17" s="106"/>
    </row>
    <row r="18" spans="1:6">
      <c r="A18" s="26" t="s">
        <v>146</v>
      </c>
      <c r="B18" s="382"/>
      <c r="C18" s="382"/>
      <c r="D18" s="341">
        <f t="shared" si="2"/>
        <v>0</v>
      </c>
      <c r="E18" s="106"/>
    </row>
    <row r="19" spans="1:6">
      <c r="A19" s="26" t="s">
        <v>147</v>
      </c>
      <c r="B19" s="382">
        <f>-SUM('New TB'!O124,'New TB'!O125)</f>
        <v>36664.5</v>
      </c>
      <c r="C19" s="382">
        <f>SUM('New TB'!O186,'New TB'!O187)</f>
        <v>89307.140000000014</v>
      </c>
      <c r="D19" s="341">
        <f t="shared" si="2"/>
        <v>-52642.640000000014</v>
      </c>
      <c r="E19" s="106"/>
    </row>
    <row r="20" spans="1:6">
      <c r="A20" s="27" t="s">
        <v>148</v>
      </c>
      <c r="B20" s="384">
        <f>SUM(B14:B19)</f>
        <v>1213058.5599999998</v>
      </c>
      <c r="C20" s="384">
        <f>SUM(C14:C19)</f>
        <v>1092239.19</v>
      </c>
      <c r="D20" s="340">
        <f t="shared" si="1"/>
        <v>120819.36999999988</v>
      </c>
      <c r="E20" s="106"/>
      <c r="F20" s="158"/>
    </row>
    <row r="21" spans="1:6">
      <c r="A21" s="26" t="s">
        <v>149</v>
      </c>
      <c r="B21" s="382">
        <f>-SUM('New TB'!O112,'New TB'!O119,'New TB'!O126,'New TB'!O127,'New TB'!O128)</f>
        <v>1124830.3599999999</v>
      </c>
      <c r="C21" s="384">
        <f>'Expenses, Miscellaneous'!F37</f>
        <v>563827.04999999993</v>
      </c>
      <c r="D21" s="340">
        <f t="shared" si="1"/>
        <v>561003.30999999994</v>
      </c>
    </row>
    <row r="22" spans="1:6">
      <c r="A22" s="26" t="s">
        <v>150</v>
      </c>
      <c r="B22" s="382"/>
      <c r="C22" s="384">
        <f>'Expenses, Miscellaneous'!I37</f>
        <v>0</v>
      </c>
      <c r="D22" s="340">
        <f t="shared" si="1"/>
        <v>0</v>
      </c>
    </row>
    <row r="23" spans="1:6">
      <c r="A23" s="26" t="s">
        <v>151</v>
      </c>
      <c r="B23" s="382"/>
      <c r="C23" s="382">
        <f>'New TB'!O243</f>
        <v>55962</v>
      </c>
      <c r="D23" s="101">
        <f>B23-C23</f>
        <v>-55962</v>
      </c>
    </row>
    <row r="24" spans="1:6">
      <c r="A24" s="25" t="s">
        <v>152</v>
      </c>
      <c r="B24" s="382">
        <f>-SUM('New TB'!O132,'New TB'!O133,'New TB'!O134,'New TB'!O135,'New TB'!O118,'New TB'!O110,'New TB'!O109,'New TB'!O148,'New TB'!O111)</f>
        <v>723569.22000000009</v>
      </c>
      <c r="C24" s="382">
        <f>SUM('New TB'!O171:O173,'New TB'!O192:O195,'New TB'!O196,'New TB'!O200,'New TB'!O212:O213,'New TB'!O227)</f>
        <v>381120.08999999997</v>
      </c>
      <c r="D24" s="101">
        <f t="shared" si="1"/>
        <v>342449.13000000012</v>
      </c>
    </row>
    <row r="25" spans="1:6">
      <c r="A25" s="26" t="s">
        <v>153</v>
      </c>
      <c r="B25" s="382">
        <f>-SUM('New TB'!O139,'New TB'!O141)</f>
        <v>176766.39</v>
      </c>
      <c r="C25" s="382">
        <f>SUM('New TB'!O205,'New TB'!O202:O203)</f>
        <v>162180</v>
      </c>
      <c r="D25" s="101">
        <f t="shared" si="1"/>
        <v>14586.390000000014</v>
      </c>
    </row>
    <row r="26" spans="1:6">
      <c r="A26" s="170" t="s">
        <v>154</v>
      </c>
      <c r="B26" s="382">
        <f>-'New TB'!O161-'New TB'!O162-'New TB'!O163-'New TB'!O160</f>
        <v>2475</v>
      </c>
      <c r="C26" s="382">
        <f>'New TB'!O228+'New TB'!O229+'New TB'!O231+'New TB'!O232</f>
        <v>5460.37</v>
      </c>
      <c r="D26" s="101">
        <f t="shared" si="1"/>
        <v>-2985.37</v>
      </c>
    </row>
    <row r="27" spans="1:6">
      <c r="A27" s="26" t="s">
        <v>155</v>
      </c>
      <c r="B27" s="382">
        <f>-'New TB'!O151</f>
        <v>52547.3</v>
      </c>
      <c r="C27" s="382">
        <f>'New TB'!O217</f>
        <v>41346.639999999999</v>
      </c>
      <c r="D27" s="101">
        <f>B27-C27</f>
        <v>11200.660000000003</v>
      </c>
    </row>
    <row r="28" spans="1:6">
      <c r="A28" s="28" t="s">
        <v>156</v>
      </c>
      <c r="B28" s="382">
        <f>-'New TB'!O145</f>
        <v>0</v>
      </c>
      <c r="C28" s="382">
        <f>'New TB'!O211</f>
        <v>0</v>
      </c>
      <c r="D28" s="101">
        <f t="shared" ref="D28:D38" si="3">B28-C28</f>
        <v>0</v>
      </c>
    </row>
    <row r="29" spans="1:6">
      <c r="A29" s="169" t="s">
        <v>157</v>
      </c>
      <c r="B29" s="383">
        <f>SUM(B24:B28)</f>
        <v>955357.91000000015</v>
      </c>
      <c r="C29" s="383">
        <f>SUM(C24:C28)</f>
        <v>590107.1</v>
      </c>
      <c r="D29" s="340">
        <f t="shared" si="3"/>
        <v>365250.81000000017</v>
      </c>
    </row>
    <row r="30" spans="1:6">
      <c r="A30" s="25" t="s">
        <v>158</v>
      </c>
      <c r="B30" s="382">
        <f>-SUM('New TB'!O108,'New TB'!O167,'New TB'!O152)</f>
        <v>207109.65</v>
      </c>
      <c r="C30" s="382">
        <f>SUM('New TB'!O170,'New TB'!O218)</f>
        <v>120580.95000000001</v>
      </c>
      <c r="D30" s="101">
        <f t="shared" si="3"/>
        <v>86528.699999999983</v>
      </c>
    </row>
    <row r="31" spans="1:6">
      <c r="A31" s="26" t="s">
        <v>159</v>
      </c>
      <c r="B31" s="382"/>
      <c r="C31" s="382"/>
      <c r="D31" s="101">
        <f t="shared" si="3"/>
        <v>0</v>
      </c>
    </row>
    <row r="32" spans="1:6">
      <c r="A32" s="26" t="s">
        <v>160</v>
      </c>
      <c r="B32" s="382">
        <f>-SUM('New TB'!O115,'New TB'!O117,'New TB'!O146)</f>
        <v>396048.14999999997</v>
      </c>
      <c r="C32" s="382">
        <f>SUM('New TB'!O177,'New TB'!O201,'New TB'!O213,'New TB'!O178,'New TB'!O180)</f>
        <v>246666.21</v>
      </c>
      <c r="D32" s="101">
        <f t="shared" si="3"/>
        <v>149381.93999999997</v>
      </c>
    </row>
    <row r="33" spans="1:7">
      <c r="A33" s="26" t="s">
        <v>161</v>
      </c>
      <c r="B33" s="382"/>
      <c r="C33" s="382"/>
      <c r="D33" s="101">
        <f t="shared" si="3"/>
        <v>0</v>
      </c>
    </row>
    <row r="34" spans="1:7">
      <c r="A34" s="26" t="s">
        <v>162</v>
      </c>
      <c r="B34" s="382">
        <f>-SUM('New TB'!O139,'New TB'!O148)</f>
        <v>154539.44</v>
      </c>
      <c r="C34" s="382">
        <f>SUM('New TB'!O204,'New TB'!O214,'New TB'!O240,'New TB'!O241)</f>
        <v>49607.69</v>
      </c>
      <c r="D34" s="101">
        <f t="shared" si="3"/>
        <v>104931.75</v>
      </c>
    </row>
    <row r="35" spans="1:7">
      <c r="A35" s="26" t="s">
        <v>163</v>
      </c>
      <c r="B35" s="382">
        <f>-'New TB'!O116</f>
        <v>9337.68</v>
      </c>
      <c r="C35" s="382">
        <f>'New TB'!O179</f>
        <v>9336.82</v>
      </c>
      <c r="D35" s="101">
        <f t="shared" si="3"/>
        <v>0.86000000000058208</v>
      </c>
    </row>
    <row r="36" spans="1:7">
      <c r="A36" s="26" t="s">
        <v>164</v>
      </c>
      <c r="B36" s="385"/>
      <c r="C36" s="385"/>
      <c r="D36" s="101">
        <f t="shared" si="3"/>
        <v>0</v>
      </c>
    </row>
    <row r="37" spans="1:7">
      <c r="A37" s="169" t="s">
        <v>165</v>
      </c>
      <c r="B37" s="383">
        <f>SUM(B30:B36)</f>
        <v>767034.92</v>
      </c>
      <c r="C37" s="383">
        <f>SUM(C30:C36)</f>
        <v>426191.67000000004</v>
      </c>
      <c r="D37" s="340">
        <f t="shared" si="3"/>
        <v>340843.25</v>
      </c>
    </row>
    <row r="38" spans="1:7">
      <c r="A38" s="26" t="s">
        <v>166</v>
      </c>
      <c r="B38" s="382">
        <f>'New TB'!O156</f>
        <v>0</v>
      </c>
      <c r="C38" s="383">
        <f>'Expenses, Miscellaneous'!C38</f>
        <v>1718.9099999999999</v>
      </c>
      <c r="D38" s="340">
        <f t="shared" si="3"/>
        <v>-1718.9099999999999</v>
      </c>
    </row>
    <row r="39" spans="1:7" ht="6" customHeight="1">
      <c r="A39" s="29"/>
      <c r="B39" s="386"/>
      <c r="C39" s="386"/>
      <c r="D39" s="14"/>
    </row>
    <row r="40" spans="1:7">
      <c r="A40" s="30" t="s">
        <v>167</v>
      </c>
      <c r="B40" s="384">
        <f>B21+B22+B23+B29+B37+'Expenses, Miscellaneous'!E25</f>
        <v>2874543.85</v>
      </c>
      <c r="C40" s="387">
        <f>C21+C22+C23+C29+C37+'Expenses, Miscellaneous'!E26</f>
        <v>1661032.6199999999</v>
      </c>
      <c r="D40" s="100">
        <f>B40-C40</f>
        <v>1213511.2300000002</v>
      </c>
    </row>
    <row r="41" spans="1:7">
      <c r="A41" s="31" t="s">
        <v>168</v>
      </c>
      <c r="B41" s="384">
        <f>B20+B38+B40</f>
        <v>4087602.41</v>
      </c>
      <c r="C41" s="387">
        <f>C20+C38+C40</f>
        <v>2754990.7199999997</v>
      </c>
      <c r="D41" s="100">
        <f>B41-C41</f>
        <v>1332611.6900000004</v>
      </c>
      <c r="G41" s="62"/>
    </row>
    <row r="42" spans="1:7">
      <c r="A42" s="31" t="s">
        <v>169</v>
      </c>
      <c r="B42" s="384">
        <f>'Expenses, Miscellaneous'!K7</f>
        <v>500093.04</v>
      </c>
      <c r="C42" s="388"/>
      <c r="D42" s="15"/>
    </row>
    <row r="43" spans="1:7">
      <c r="A43" s="32" t="s">
        <v>170</v>
      </c>
      <c r="B43" s="382">
        <f>-SUM('New TB'!O267,'New TB'!O281,'New TB'!O294,'New TB'!O303,'New TB'!O311)</f>
        <v>-4.7</v>
      </c>
      <c r="C43" s="389"/>
      <c r="D43" s="16"/>
    </row>
    <row r="44" spans="1:7">
      <c r="A44" s="32" t="s">
        <v>171</v>
      </c>
      <c r="B44" s="382">
        <f>-'New TB'!O271</f>
        <v>-38454.22</v>
      </c>
      <c r="C44" s="389"/>
      <c r="D44" s="16"/>
    </row>
    <row r="45" spans="1:7">
      <c r="A45" s="31" t="s">
        <v>172</v>
      </c>
      <c r="B45" s="384">
        <f>(D41-B42)+B43+B44</f>
        <v>794059.73000000045</v>
      </c>
      <c r="C45" s="388"/>
      <c r="D45" s="16"/>
    </row>
    <row r="46" spans="1:7">
      <c r="A46" s="32" t="s">
        <v>173</v>
      </c>
      <c r="B46" s="390"/>
      <c r="C46" s="389"/>
      <c r="D46" s="17"/>
    </row>
    <row r="47" spans="1:7">
      <c r="A47" s="171" t="s">
        <v>174</v>
      </c>
      <c r="B47" s="100">
        <f>B45+B46</f>
        <v>794059.73000000045</v>
      </c>
      <c r="C47" s="18"/>
      <c r="D47" s="159"/>
    </row>
    <row r="49" spans="2:3">
      <c r="B49" s="20"/>
      <c r="C49" s="20"/>
    </row>
  </sheetData>
  <sheetProtection selectLockedCells="1"/>
  <mergeCells count="2">
    <mergeCell ref="A2:B2"/>
    <mergeCell ref="C2:D2"/>
  </mergeCells>
  <conditionalFormatting sqref="D42">
    <cfRule type="cellIs" dxfId="101" priority="1" stopIfTrue="1" operator="equal">
      <formula>-$D$41</formula>
    </cfRule>
  </conditionalFormatting>
  <conditionalFormatting sqref="D47">
    <cfRule type="expression" dxfId="100" priority="3" stopIfTrue="1">
      <formula>ROUND($B$47,2)</formula>
    </cfRule>
  </conditionalFormatting>
  <printOptions horizontalCentered="1" verticalCentered="1"/>
  <pageMargins left="0.7" right="0.7" top="0.75" bottom="0.75" header="0.3" footer="0.3"/>
  <pageSetup scale="79" orientation="portrait" r:id="rId1"/>
  <headerFooter>
    <oddHeader>&amp;C&amp;"Times New Roman,Regular"&amp;12Currie Financial Composite Input Template
Material Handling Equipment&amp;R&amp;G</oddHeader>
    <oddFooter>&amp;C&amp;"Times New Roman,Regular"&amp;12Sales, COGS, Gross Profit&amp;"-,Regular"&amp;11
&amp;"BergamoSmCaps,Bold"&amp;9&amp;K002060www.curriemanagement.com</oddFooter>
  </headerFooter>
  <legacyDrawingHF r:id="rId2"/>
  <extLst>
    <ext xmlns:x14="http://schemas.microsoft.com/office/spreadsheetml/2009/9/main" uri="{CCE6A557-97BC-4b89-ADB6-D9C93CAAB3DF}">
      <x14:dataValidations xmlns:xm="http://schemas.microsoft.com/office/excel/2006/main" count="1">
        <x14:dataValidation type="list" showErrorMessage="1" xr:uid="{00000000-0002-0000-0200-000000000000}">
          <x14:formula1>
            <xm:f>NumberOfMonths!$A$1:$A$12</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59999389629810485"/>
    <pageSetUpPr fitToPage="1"/>
  </sheetPr>
  <dimension ref="A1:M40"/>
  <sheetViews>
    <sheetView view="pageBreakPreview" topLeftCell="A19" zoomScale="70" zoomScaleNormal="80" zoomScaleSheetLayoutView="70" workbookViewId="0">
      <selection activeCell="C38" sqref="C38"/>
    </sheetView>
  </sheetViews>
  <sheetFormatPr baseColWidth="10" defaultColWidth="8.83203125" defaultRowHeight="16"/>
  <cols>
    <col min="1" max="1" width="28.6640625" style="22" bestFit="1" customWidth="1"/>
    <col min="2" max="2" width="16.6640625" style="22" customWidth="1"/>
    <col min="3" max="3" width="13.33203125" style="22" bestFit="1" customWidth="1"/>
    <col min="4" max="4" width="23.33203125" style="22" customWidth="1"/>
    <col min="5" max="5" width="19" style="22" bestFit="1" customWidth="1"/>
    <col min="6" max="6" width="15.5" style="22" customWidth="1"/>
    <col min="7" max="7" width="20.1640625" style="22" customWidth="1"/>
    <col min="8" max="8" width="22.6640625" style="22" customWidth="1"/>
    <col min="9" max="9" width="19.5" style="22" bestFit="1" customWidth="1"/>
    <col min="10" max="10" width="15.1640625" style="22" bestFit="1" customWidth="1"/>
    <col min="11" max="11" width="23.6640625" style="22" customWidth="1"/>
    <col min="12" max="12" width="13.5" style="22" customWidth="1"/>
    <col min="13" max="13" width="9.5" style="22" bestFit="1" customWidth="1"/>
    <col min="14" max="257" width="9.1640625" style="22"/>
    <col min="258" max="258" width="15.5" style="22" customWidth="1"/>
    <col min="259" max="259" width="23.1640625" style="22" customWidth="1"/>
    <col min="260" max="263" width="15.5" style="22" customWidth="1"/>
    <col min="264" max="264" width="13.5" style="22" customWidth="1"/>
    <col min="265" max="265" width="14.5" style="22" customWidth="1"/>
    <col min="266" max="266" width="17" style="22" customWidth="1"/>
    <col min="267" max="513" width="9.1640625" style="22"/>
    <col min="514" max="514" width="15.5" style="22" customWidth="1"/>
    <col min="515" max="515" width="23.1640625" style="22" customWidth="1"/>
    <col min="516" max="519" width="15.5" style="22" customWidth="1"/>
    <col min="520" max="520" width="13.5" style="22" customWidth="1"/>
    <col min="521" max="521" width="14.5" style="22" customWidth="1"/>
    <col min="522" max="522" width="17" style="22" customWidth="1"/>
    <col min="523" max="769" width="9.1640625" style="22"/>
    <col min="770" max="770" width="15.5" style="22" customWidth="1"/>
    <col min="771" max="771" width="23.1640625" style="22" customWidth="1"/>
    <col min="772" max="775" width="15.5" style="22" customWidth="1"/>
    <col min="776" max="776" width="13.5" style="22" customWidth="1"/>
    <col min="777" max="777" width="14.5" style="22" customWidth="1"/>
    <col min="778" max="778" width="17" style="22" customWidth="1"/>
    <col min="779" max="1025" width="9.1640625" style="22"/>
    <col min="1026" max="1026" width="15.5" style="22" customWidth="1"/>
    <col min="1027" max="1027" width="23.1640625" style="22" customWidth="1"/>
    <col min="1028" max="1031" width="15.5" style="22" customWidth="1"/>
    <col min="1032" max="1032" width="13.5" style="22" customWidth="1"/>
    <col min="1033" max="1033" width="14.5" style="22" customWidth="1"/>
    <col min="1034" max="1034" width="17" style="22" customWidth="1"/>
    <col min="1035" max="1281" width="9.1640625" style="22"/>
    <col min="1282" max="1282" width="15.5" style="22" customWidth="1"/>
    <col min="1283" max="1283" width="23.1640625" style="22" customWidth="1"/>
    <col min="1284" max="1287" width="15.5" style="22" customWidth="1"/>
    <col min="1288" max="1288" width="13.5" style="22" customWidth="1"/>
    <col min="1289" max="1289" width="14.5" style="22" customWidth="1"/>
    <col min="1290" max="1290" width="17" style="22" customWidth="1"/>
    <col min="1291" max="1537" width="9.1640625" style="22"/>
    <col min="1538" max="1538" width="15.5" style="22" customWidth="1"/>
    <col min="1539" max="1539" width="23.1640625" style="22" customWidth="1"/>
    <col min="1540" max="1543" width="15.5" style="22" customWidth="1"/>
    <col min="1544" max="1544" width="13.5" style="22" customWidth="1"/>
    <col min="1545" max="1545" width="14.5" style="22" customWidth="1"/>
    <col min="1546" max="1546" width="17" style="22" customWidth="1"/>
    <col min="1547" max="1793" width="9.1640625" style="22"/>
    <col min="1794" max="1794" width="15.5" style="22" customWidth="1"/>
    <col min="1795" max="1795" width="23.1640625" style="22" customWidth="1"/>
    <col min="1796" max="1799" width="15.5" style="22" customWidth="1"/>
    <col min="1800" max="1800" width="13.5" style="22" customWidth="1"/>
    <col min="1801" max="1801" width="14.5" style="22" customWidth="1"/>
    <col min="1802" max="1802" width="17" style="22" customWidth="1"/>
    <col min="1803" max="2049" width="9.1640625" style="22"/>
    <col min="2050" max="2050" width="15.5" style="22" customWidth="1"/>
    <col min="2051" max="2051" width="23.1640625" style="22" customWidth="1"/>
    <col min="2052" max="2055" width="15.5" style="22" customWidth="1"/>
    <col min="2056" max="2056" width="13.5" style="22" customWidth="1"/>
    <col min="2057" max="2057" width="14.5" style="22" customWidth="1"/>
    <col min="2058" max="2058" width="17" style="22" customWidth="1"/>
    <col min="2059" max="2305" width="9.1640625" style="22"/>
    <col min="2306" max="2306" width="15.5" style="22" customWidth="1"/>
    <col min="2307" max="2307" width="23.1640625" style="22" customWidth="1"/>
    <col min="2308" max="2311" width="15.5" style="22" customWidth="1"/>
    <col min="2312" max="2312" width="13.5" style="22" customWidth="1"/>
    <col min="2313" max="2313" width="14.5" style="22" customWidth="1"/>
    <col min="2314" max="2314" width="17" style="22" customWidth="1"/>
    <col min="2315" max="2561" width="9.1640625" style="22"/>
    <col min="2562" max="2562" width="15.5" style="22" customWidth="1"/>
    <col min="2563" max="2563" width="23.1640625" style="22" customWidth="1"/>
    <col min="2564" max="2567" width="15.5" style="22" customWidth="1"/>
    <col min="2568" max="2568" width="13.5" style="22" customWidth="1"/>
    <col min="2569" max="2569" width="14.5" style="22" customWidth="1"/>
    <col min="2570" max="2570" width="17" style="22" customWidth="1"/>
    <col min="2571" max="2817" width="9.1640625" style="22"/>
    <col min="2818" max="2818" width="15.5" style="22" customWidth="1"/>
    <col min="2819" max="2819" width="23.1640625" style="22" customWidth="1"/>
    <col min="2820" max="2823" width="15.5" style="22" customWidth="1"/>
    <col min="2824" max="2824" width="13.5" style="22" customWidth="1"/>
    <col min="2825" max="2825" width="14.5" style="22" customWidth="1"/>
    <col min="2826" max="2826" width="17" style="22" customWidth="1"/>
    <col min="2827" max="3073" width="9.1640625" style="22"/>
    <col min="3074" max="3074" width="15.5" style="22" customWidth="1"/>
    <col min="3075" max="3075" width="23.1640625" style="22" customWidth="1"/>
    <col min="3076" max="3079" width="15.5" style="22" customWidth="1"/>
    <col min="3080" max="3080" width="13.5" style="22" customWidth="1"/>
    <col min="3081" max="3081" width="14.5" style="22" customWidth="1"/>
    <col min="3082" max="3082" width="17" style="22" customWidth="1"/>
    <col min="3083" max="3329" width="9.1640625" style="22"/>
    <col min="3330" max="3330" width="15.5" style="22" customWidth="1"/>
    <col min="3331" max="3331" width="23.1640625" style="22" customWidth="1"/>
    <col min="3332" max="3335" width="15.5" style="22" customWidth="1"/>
    <col min="3336" max="3336" width="13.5" style="22" customWidth="1"/>
    <col min="3337" max="3337" width="14.5" style="22" customWidth="1"/>
    <col min="3338" max="3338" width="17" style="22" customWidth="1"/>
    <col min="3339" max="3585" width="9.1640625" style="22"/>
    <col min="3586" max="3586" width="15.5" style="22" customWidth="1"/>
    <col min="3587" max="3587" width="23.1640625" style="22" customWidth="1"/>
    <col min="3588" max="3591" width="15.5" style="22" customWidth="1"/>
    <col min="3592" max="3592" width="13.5" style="22" customWidth="1"/>
    <col min="3593" max="3593" width="14.5" style="22" customWidth="1"/>
    <col min="3594" max="3594" width="17" style="22" customWidth="1"/>
    <col min="3595" max="3841" width="9.1640625" style="22"/>
    <col min="3842" max="3842" width="15.5" style="22" customWidth="1"/>
    <col min="3843" max="3843" width="23.1640625" style="22" customWidth="1"/>
    <col min="3844" max="3847" width="15.5" style="22" customWidth="1"/>
    <col min="3848" max="3848" width="13.5" style="22" customWidth="1"/>
    <col min="3849" max="3849" width="14.5" style="22" customWidth="1"/>
    <col min="3850" max="3850" width="17" style="22" customWidth="1"/>
    <col min="3851" max="4097" width="9.1640625" style="22"/>
    <col min="4098" max="4098" width="15.5" style="22" customWidth="1"/>
    <col min="4099" max="4099" width="23.1640625" style="22" customWidth="1"/>
    <col min="4100" max="4103" width="15.5" style="22" customWidth="1"/>
    <col min="4104" max="4104" width="13.5" style="22" customWidth="1"/>
    <col min="4105" max="4105" width="14.5" style="22" customWidth="1"/>
    <col min="4106" max="4106" width="17" style="22" customWidth="1"/>
    <col min="4107" max="4353" width="9.1640625" style="22"/>
    <col min="4354" max="4354" width="15.5" style="22" customWidth="1"/>
    <col min="4355" max="4355" width="23.1640625" style="22" customWidth="1"/>
    <col min="4356" max="4359" width="15.5" style="22" customWidth="1"/>
    <col min="4360" max="4360" width="13.5" style="22" customWidth="1"/>
    <col min="4361" max="4361" width="14.5" style="22" customWidth="1"/>
    <col min="4362" max="4362" width="17" style="22" customWidth="1"/>
    <col min="4363" max="4609" width="9.1640625" style="22"/>
    <col min="4610" max="4610" width="15.5" style="22" customWidth="1"/>
    <col min="4611" max="4611" width="23.1640625" style="22" customWidth="1"/>
    <col min="4612" max="4615" width="15.5" style="22" customWidth="1"/>
    <col min="4616" max="4616" width="13.5" style="22" customWidth="1"/>
    <col min="4617" max="4617" width="14.5" style="22" customWidth="1"/>
    <col min="4618" max="4618" width="17" style="22" customWidth="1"/>
    <col min="4619" max="4865" width="9.1640625" style="22"/>
    <col min="4866" max="4866" width="15.5" style="22" customWidth="1"/>
    <col min="4867" max="4867" width="23.1640625" style="22" customWidth="1"/>
    <col min="4868" max="4871" width="15.5" style="22" customWidth="1"/>
    <col min="4872" max="4872" width="13.5" style="22" customWidth="1"/>
    <col min="4873" max="4873" width="14.5" style="22" customWidth="1"/>
    <col min="4874" max="4874" width="17" style="22" customWidth="1"/>
    <col min="4875" max="5121" width="9.1640625" style="22"/>
    <col min="5122" max="5122" width="15.5" style="22" customWidth="1"/>
    <col min="5123" max="5123" width="23.1640625" style="22" customWidth="1"/>
    <col min="5124" max="5127" width="15.5" style="22" customWidth="1"/>
    <col min="5128" max="5128" width="13.5" style="22" customWidth="1"/>
    <col min="5129" max="5129" width="14.5" style="22" customWidth="1"/>
    <col min="5130" max="5130" width="17" style="22" customWidth="1"/>
    <col min="5131" max="5377" width="9.1640625" style="22"/>
    <col min="5378" max="5378" width="15.5" style="22" customWidth="1"/>
    <col min="5379" max="5379" width="23.1640625" style="22" customWidth="1"/>
    <col min="5380" max="5383" width="15.5" style="22" customWidth="1"/>
    <col min="5384" max="5384" width="13.5" style="22" customWidth="1"/>
    <col min="5385" max="5385" width="14.5" style="22" customWidth="1"/>
    <col min="5386" max="5386" width="17" style="22" customWidth="1"/>
    <col min="5387" max="5633" width="9.1640625" style="22"/>
    <col min="5634" max="5634" width="15.5" style="22" customWidth="1"/>
    <col min="5635" max="5635" width="23.1640625" style="22" customWidth="1"/>
    <col min="5636" max="5639" width="15.5" style="22" customWidth="1"/>
    <col min="5640" max="5640" width="13.5" style="22" customWidth="1"/>
    <col min="5641" max="5641" width="14.5" style="22" customWidth="1"/>
    <col min="5642" max="5642" width="17" style="22" customWidth="1"/>
    <col min="5643" max="5889" width="9.1640625" style="22"/>
    <col min="5890" max="5890" width="15.5" style="22" customWidth="1"/>
    <col min="5891" max="5891" width="23.1640625" style="22" customWidth="1"/>
    <col min="5892" max="5895" width="15.5" style="22" customWidth="1"/>
    <col min="5896" max="5896" width="13.5" style="22" customWidth="1"/>
    <col min="5897" max="5897" width="14.5" style="22" customWidth="1"/>
    <col min="5898" max="5898" width="17" style="22" customWidth="1"/>
    <col min="5899" max="6145" width="9.1640625" style="22"/>
    <col min="6146" max="6146" width="15.5" style="22" customWidth="1"/>
    <col min="6147" max="6147" width="23.1640625" style="22" customWidth="1"/>
    <col min="6148" max="6151" width="15.5" style="22" customWidth="1"/>
    <col min="6152" max="6152" width="13.5" style="22" customWidth="1"/>
    <col min="6153" max="6153" width="14.5" style="22" customWidth="1"/>
    <col min="6154" max="6154" width="17" style="22" customWidth="1"/>
    <col min="6155" max="6401" width="9.1640625" style="22"/>
    <col min="6402" max="6402" width="15.5" style="22" customWidth="1"/>
    <col min="6403" max="6403" width="23.1640625" style="22" customWidth="1"/>
    <col min="6404" max="6407" width="15.5" style="22" customWidth="1"/>
    <col min="6408" max="6408" width="13.5" style="22" customWidth="1"/>
    <col min="6409" max="6409" width="14.5" style="22" customWidth="1"/>
    <col min="6410" max="6410" width="17" style="22" customWidth="1"/>
    <col min="6411" max="6657" width="9.1640625" style="22"/>
    <col min="6658" max="6658" width="15.5" style="22" customWidth="1"/>
    <col min="6659" max="6659" width="23.1640625" style="22" customWidth="1"/>
    <col min="6660" max="6663" width="15.5" style="22" customWidth="1"/>
    <col min="6664" max="6664" width="13.5" style="22" customWidth="1"/>
    <col min="6665" max="6665" width="14.5" style="22" customWidth="1"/>
    <col min="6666" max="6666" width="17" style="22" customWidth="1"/>
    <col min="6667" max="6913" width="9.1640625" style="22"/>
    <col min="6914" max="6914" width="15.5" style="22" customWidth="1"/>
    <col min="6915" max="6915" width="23.1640625" style="22" customWidth="1"/>
    <col min="6916" max="6919" width="15.5" style="22" customWidth="1"/>
    <col min="6920" max="6920" width="13.5" style="22" customWidth="1"/>
    <col min="6921" max="6921" width="14.5" style="22" customWidth="1"/>
    <col min="6922" max="6922" width="17" style="22" customWidth="1"/>
    <col min="6923" max="7169" width="9.1640625" style="22"/>
    <col min="7170" max="7170" width="15.5" style="22" customWidth="1"/>
    <col min="7171" max="7171" width="23.1640625" style="22" customWidth="1"/>
    <col min="7172" max="7175" width="15.5" style="22" customWidth="1"/>
    <col min="7176" max="7176" width="13.5" style="22" customWidth="1"/>
    <col min="7177" max="7177" width="14.5" style="22" customWidth="1"/>
    <col min="7178" max="7178" width="17" style="22" customWidth="1"/>
    <col min="7179" max="7425" width="9.1640625" style="22"/>
    <col min="7426" max="7426" width="15.5" style="22" customWidth="1"/>
    <col min="7427" max="7427" width="23.1640625" style="22" customWidth="1"/>
    <col min="7428" max="7431" width="15.5" style="22" customWidth="1"/>
    <col min="7432" max="7432" width="13.5" style="22" customWidth="1"/>
    <col min="7433" max="7433" width="14.5" style="22" customWidth="1"/>
    <col min="7434" max="7434" width="17" style="22" customWidth="1"/>
    <col min="7435" max="7681" width="9.1640625" style="22"/>
    <col min="7682" max="7682" width="15.5" style="22" customWidth="1"/>
    <col min="7683" max="7683" width="23.1640625" style="22" customWidth="1"/>
    <col min="7684" max="7687" width="15.5" style="22" customWidth="1"/>
    <col min="7688" max="7688" width="13.5" style="22" customWidth="1"/>
    <col min="7689" max="7689" width="14.5" style="22" customWidth="1"/>
    <col min="7690" max="7690" width="17" style="22" customWidth="1"/>
    <col min="7691" max="7937" width="9.1640625" style="22"/>
    <col min="7938" max="7938" width="15.5" style="22" customWidth="1"/>
    <col min="7939" max="7939" width="23.1640625" style="22" customWidth="1"/>
    <col min="7940" max="7943" width="15.5" style="22" customWidth="1"/>
    <col min="7944" max="7944" width="13.5" style="22" customWidth="1"/>
    <col min="7945" max="7945" width="14.5" style="22" customWidth="1"/>
    <col min="7946" max="7946" width="17" style="22" customWidth="1"/>
    <col min="7947" max="8193" width="9.1640625" style="22"/>
    <col min="8194" max="8194" width="15.5" style="22" customWidth="1"/>
    <col min="8195" max="8195" width="23.1640625" style="22" customWidth="1"/>
    <col min="8196" max="8199" width="15.5" style="22" customWidth="1"/>
    <col min="8200" max="8200" width="13.5" style="22" customWidth="1"/>
    <col min="8201" max="8201" width="14.5" style="22" customWidth="1"/>
    <col min="8202" max="8202" width="17" style="22" customWidth="1"/>
    <col min="8203" max="8449" width="9.1640625" style="22"/>
    <col min="8450" max="8450" width="15.5" style="22" customWidth="1"/>
    <col min="8451" max="8451" width="23.1640625" style="22" customWidth="1"/>
    <col min="8452" max="8455" width="15.5" style="22" customWidth="1"/>
    <col min="8456" max="8456" width="13.5" style="22" customWidth="1"/>
    <col min="8457" max="8457" width="14.5" style="22" customWidth="1"/>
    <col min="8458" max="8458" width="17" style="22" customWidth="1"/>
    <col min="8459" max="8705" width="9.1640625" style="22"/>
    <col min="8706" max="8706" width="15.5" style="22" customWidth="1"/>
    <col min="8707" max="8707" width="23.1640625" style="22" customWidth="1"/>
    <col min="8708" max="8711" width="15.5" style="22" customWidth="1"/>
    <col min="8712" max="8712" width="13.5" style="22" customWidth="1"/>
    <col min="8713" max="8713" width="14.5" style="22" customWidth="1"/>
    <col min="8714" max="8714" width="17" style="22" customWidth="1"/>
    <col min="8715" max="8961" width="9.1640625" style="22"/>
    <col min="8962" max="8962" width="15.5" style="22" customWidth="1"/>
    <col min="8963" max="8963" width="23.1640625" style="22" customWidth="1"/>
    <col min="8964" max="8967" width="15.5" style="22" customWidth="1"/>
    <col min="8968" max="8968" width="13.5" style="22" customWidth="1"/>
    <col min="8969" max="8969" width="14.5" style="22" customWidth="1"/>
    <col min="8970" max="8970" width="17" style="22" customWidth="1"/>
    <col min="8971" max="9217" width="9.1640625" style="22"/>
    <col min="9218" max="9218" width="15.5" style="22" customWidth="1"/>
    <col min="9219" max="9219" width="23.1640625" style="22" customWidth="1"/>
    <col min="9220" max="9223" width="15.5" style="22" customWidth="1"/>
    <col min="9224" max="9224" width="13.5" style="22" customWidth="1"/>
    <col min="9225" max="9225" width="14.5" style="22" customWidth="1"/>
    <col min="9226" max="9226" width="17" style="22" customWidth="1"/>
    <col min="9227" max="9473" width="9.1640625" style="22"/>
    <col min="9474" max="9474" width="15.5" style="22" customWidth="1"/>
    <col min="9475" max="9475" width="23.1640625" style="22" customWidth="1"/>
    <col min="9476" max="9479" width="15.5" style="22" customWidth="1"/>
    <col min="9480" max="9480" width="13.5" style="22" customWidth="1"/>
    <col min="9481" max="9481" width="14.5" style="22" customWidth="1"/>
    <col min="9482" max="9482" width="17" style="22" customWidth="1"/>
    <col min="9483" max="9729" width="9.1640625" style="22"/>
    <col min="9730" max="9730" width="15.5" style="22" customWidth="1"/>
    <col min="9731" max="9731" width="23.1640625" style="22" customWidth="1"/>
    <col min="9732" max="9735" width="15.5" style="22" customWidth="1"/>
    <col min="9736" max="9736" width="13.5" style="22" customWidth="1"/>
    <col min="9737" max="9737" width="14.5" style="22" customWidth="1"/>
    <col min="9738" max="9738" width="17" style="22" customWidth="1"/>
    <col min="9739" max="9985" width="9.1640625" style="22"/>
    <col min="9986" max="9986" width="15.5" style="22" customWidth="1"/>
    <col min="9987" max="9987" width="23.1640625" style="22" customWidth="1"/>
    <col min="9988" max="9991" width="15.5" style="22" customWidth="1"/>
    <col min="9992" max="9992" width="13.5" style="22" customWidth="1"/>
    <col min="9993" max="9993" width="14.5" style="22" customWidth="1"/>
    <col min="9994" max="9994" width="17" style="22" customWidth="1"/>
    <col min="9995" max="10241" width="9.1640625" style="22"/>
    <col min="10242" max="10242" width="15.5" style="22" customWidth="1"/>
    <col min="10243" max="10243" width="23.1640625" style="22" customWidth="1"/>
    <col min="10244" max="10247" width="15.5" style="22" customWidth="1"/>
    <col min="10248" max="10248" width="13.5" style="22" customWidth="1"/>
    <col min="10249" max="10249" width="14.5" style="22" customWidth="1"/>
    <col min="10250" max="10250" width="17" style="22" customWidth="1"/>
    <col min="10251" max="10497" width="9.1640625" style="22"/>
    <col min="10498" max="10498" width="15.5" style="22" customWidth="1"/>
    <col min="10499" max="10499" width="23.1640625" style="22" customWidth="1"/>
    <col min="10500" max="10503" width="15.5" style="22" customWidth="1"/>
    <col min="10504" max="10504" width="13.5" style="22" customWidth="1"/>
    <col min="10505" max="10505" width="14.5" style="22" customWidth="1"/>
    <col min="10506" max="10506" width="17" style="22" customWidth="1"/>
    <col min="10507" max="10753" width="9.1640625" style="22"/>
    <col min="10754" max="10754" width="15.5" style="22" customWidth="1"/>
    <col min="10755" max="10755" width="23.1640625" style="22" customWidth="1"/>
    <col min="10756" max="10759" width="15.5" style="22" customWidth="1"/>
    <col min="10760" max="10760" width="13.5" style="22" customWidth="1"/>
    <col min="10761" max="10761" width="14.5" style="22" customWidth="1"/>
    <col min="10762" max="10762" width="17" style="22" customWidth="1"/>
    <col min="10763" max="11009" width="9.1640625" style="22"/>
    <col min="11010" max="11010" width="15.5" style="22" customWidth="1"/>
    <col min="11011" max="11011" width="23.1640625" style="22" customWidth="1"/>
    <col min="11012" max="11015" width="15.5" style="22" customWidth="1"/>
    <col min="11016" max="11016" width="13.5" style="22" customWidth="1"/>
    <col min="11017" max="11017" width="14.5" style="22" customWidth="1"/>
    <col min="11018" max="11018" width="17" style="22" customWidth="1"/>
    <col min="11019" max="11265" width="9.1640625" style="22"/>
    <col min="11266" max="11266" width="15.5" style="22" customWidth="1"/>
    <col min="11267" max="11267" width="23.1640625" style="22" customWidth="1"/>
    <col min="11268" max="11271" width="15.5" style="22" customWidth="1"/>
    <col min="11272" max="11272" width="13.5" style="22" customWidth="1"/>
    <col min="11273" max="11273" width="14.5" style="22" customWidth="1"/>
    <col min="11274" max="11274" width="17" style="22" customWidth="1"/>
    <col min="11275" max="11521" width="9.1640625" style="22"/>
    <col min="11522" max="11522" width="15.5" style="22" customWidth="1"/>
    <col min="11523" max="11523" width="23.1640625" style="22" customWidth="1"/>
    <col min="11524" max="11527" width="15.5" style="22" customWidth="1"/>
    <col min="11528" max="11528" width="13.5" style="22" customWidth="1"/>
    <col min="11529" max="11529" width="14.5" style="22" customWidth="1"/>
    <col min="11530" max="11530" width="17" style="22" customWidth="1"/>
    <col min="11531" max="11777" width="9.1640625" style="22"/>
    <col min="11778" max="11778" width="15.5" style="22" customWidth="1"/>
    <col min="11779" max="11779" width="23.1640625" style="22" customWidth="1"/>
    <col min="11780" max="11783" width="15.5" style="22" customWidth="1"/>
    <col min="11784" max="11784" width="13.5" style="22" customWidth="1"/>
    <col min="11785" max="11785" width="14.5" style="22" customWidth="1"/>
    <col min="11786" max="11786" width="17" style="22" customWidth="1"/>
    <col min="11787" max="12033" width="9.1640625" style="22"/>
    <col min="12034" max="12034" width="15.5" style="22" customWidth="1"/>
    <col min="12035" max="12035" width="23.1640625" style="22" customWidth="1"/>
    <col min="12036" max="12039" width="15.5" style="22" customWidth="1"/>
    <col min="12040" max="12040" width="13.5" style="22" customWidth="1"/>
    <col min="12041" max="12041" width="14.5" style="22" customWidth="1"/>
    <col min="12042" max="12042" width="17" style="22" customWidth="1"/>
    <col min="12043" max="12289" width="9.1640625" style="22"/>
    <col min="12290" max="12290" width="15.5" style="22" customWidth="1"/>
    <col min="12291" max="12291" width="23.1640625" style="22" customWidth="1"/>
    <col min="12292" max="12295" width="15.5" style="22" customWidth="1"/>
    <col min="12296" max="12296" width="13.5" style="22" customWidth="1"/>
    <col min="12297" max="12297" width="14.5" style="22" customWidth="1"/>
    <col min="12298" max="12298" width="17" style="22" customWidth="1"/>
    <col min="12299" max="12545" width="9.1640625" style="22"/>
    <col min="12546" max="12546" width="15.5" style="22" customWidth="1"/>
    <col min="12547" max="12547" width="23.1640625" style="22" customWidth="1"/>
    <col min="12548" max="12551" width="15.5" style="22" customWidth="1"/>
    <col min="12552" max="12552" width="13.5" style="22" customWidth="1"/>
    <col min="12553" max="12553" width="14.5" style="22" customWidth="1"/>
    <col min="12554" max="12554" width="17" style="22" customWidth="1"/>
    <col min="12555" max="12801" width="9.1640625" style="22"/>
    <col min="12802" max="12802" width="15.5" style="22" customWidth="1"/>
    <col min="12803" max="12803" width="23.1640625" style="22" customWidth="1"/>
    <col min="12804" max="12807" width="15.5" style="22" customWidth="1"/>
    <col min="12808" max="12808" width="13.5" style="22" customWidth="1"/>
    <col min="12809" max="12809" width="14.5" style="22" customWidth="1"/>
    <col min="12810" max="12810" width="17" style="22" customWidth="1"/>
    <col min="12811" max="13057" width="9.1640625" style="22"/>
    <col min="13058" max="13058" width="15.5" style="22" customWidth="1"/>
    <col min="13059" max="13059" width="23.1640625" style="22" customWidth="1"/>
    <col min="13060" max="13063" width="15.5" style="22" customWidth="1"/>
    <col min="13064" max="13064" width="13.5" style="22" customWidth="1"/>
    <col min="13065" max="13065" width="14.5" style="22" customWidth="1"/>
    <col min="13066" max="13066" width="17" style="22" customWidth="1"/>
    <col min="13067" max="13313" width="9.1640625" style="22"/>
    <col min="13314" max="13314" width="15.5" style="22" customWidth="1"/>
    <col min="13315" max="13315" width="23.1640625" style="22" customWidth="1"/>
    <col min="13316" max="13319" width="15.5" style="22" customWidth="1"/>
    <col min="13320" max="13320" width="13.5" style="22" customWidth="1"/>
    <col min="13321" max="13321" width="14.5" style="22" customWidth="1"/>
    <col min="13322" max="13322" width="17" style="22" customWidth="1"/>
    <col min="13323" max="13569" width="9.1640625" style="22"/>
    <col min="13570" max="13570" width="15.5" style="22" customWidth="1"/>
    <col min="13571" max="13571" width="23.1640625" style="22" customWidth="1"/>
    <col min="13572" max="13575" width="15.5" style="22" customWidth="1"/>
    <col min="13576" max="13576" width="13.5" style="22" customWidth="1"/>
    <col min="13577" max="13577" width="14.5" style="22" customWidth="1"/>
    <col min="13578" max="13578" width="17" style="22" customWidth="1"/>
    <col min="13579" max="13825" width="9.1640625" style="22"/>
    <col min="13826" max="13826" width="15.5" style="22" customWidth="1"/>
    <col min="13827" max="13827" width="23.1640625" style="22" customWidth="1"/>
    <col min="13828" max="13831" width="15.5" style="22" customWidth="1"/>
    <col min="13832" max="13832" width="13.5" style="22" customWidth="1"/>
    <col min="13833" max="13833" width="14.5" style="22" customWidth="1"/>
    <col min="13834" max="13834" width="17" style="22" customWidth="1"/>
    <col min="13835" max="14081" width="9.1640625" style="22"/>
    <col min="14082" max="14082" width="15.5" style="22" customWidth="1"/>
    <col min="14083" max="14083" width="23.1640625" style="22" customWidth="1"/>
    <col min="14084" max="14087" width="15.5" style="22" customWidth="1"/>
    <col min="14088" max="14088" width="13.5" style="22" customWidth="1"/>
    <col min="14089" max="14089" width="14.5" style="22" customWidth="1"/>
    <col min="14090" max="14090" width="17" style="22" customWidth="1"/>
    <col min="14091" max="14337" width="9.1640625" style="22"/>
    <col min="14338" max="14338" width="15.5" style="22" customWidth="1"/>
    <col min="14339" max="14339" width="23.1640625" style="22" customWidth="1"/>
    <col min="14340" max="14343" width="15.5" style="22" customWidth="1"/>
    <col min="14344" max="14344" width="13.5" style="22" customWidth="1"/>
    <col min="14345" max="14345" width="14.5" style="22" customWidth="1"/>
    <col min="14346" max="14346" width="17" style="22" customWidth="1"/>
    <col min="14347" max="14593" width="9.1640625" style="22"/>
    <col min="14594" max="14594" width="15.5" style="22" customWidth="1"/>
    <col min="14595" max="14595" width="23.1640625" style="22" customWidth="1"/>
    <col min="14596" max="14599" width="15.5" style="22" customWidth="1"/>
    <col min="14600" max="14600" width="13.5" style="22" customWidth="1"/>
    <col min="14601" max="14601" width="14.5" style="22" customWidth="1"/>
    <col min="14602" max="14602" width="17" style="22" customWidth="1"/>
    <col min="14603" max="14849" width="9.1640625" style="22"/>
    <col min="14850" max="14850" width="15.5" style="22" customWidth="1"/>
    <col min="14851" max="14851" width="23.1640625" style="22" customWidth="1"/>
    <col min="14852" max="14855" width="15.5" style="22" customWidth="1"/>
    <col min="14856" max="14856" width="13.5" style="22" customWidth="1"/>
    <col min="14857" max="14857" width="14.5" style="22" customWidth="1"/>
    <col min="14858" max="14858" width="17" style="22" customWidth="1"/>
    <col min="14859" max="15105" width="9.1640625" style="22"/>
    <col min="15106" max="15106" width="15.5" style="22" customWidth="1"/>
    <col min="15107" max="15107" width="23.1640625" style="22" customWidth="1"/>
    <col min="15108" max="15111" width="15.5" style="22" customWidth="1"/>
    <col min="15112" max="15112" width="13.5" style="22" customWidth="1"/>
    <col min="15113" max="15113" width="14.5" style="22" customWidth="1"/>
    <col min="15114" max="15114" width="17" style="22" customWidth="1"/>
    <col min="15115" max="15361" width="9.1640625" style="22"/>
    <col min="15362" max="15362" width="15.5" style="22" customWidth="1"/>
    <col min="15363" max="15363" width="23.1640625" style="22" customWidth="1"/>
    <col min="15364" max="15367" width="15.5" style="22" customWidth="1"/>
    <col min="15368" max="15368" width="13.5" style="22" customWidth="1"/>
    <col min="15369" max="15369" width="14.5" style="22" customWidth="1"/>
    <col min="15370" max="15370" width="17" style="22" customWidth="1"/>
    <col min="15371" max="15617" width="9.1640625" style="22"/>
    <col min="15618" max="15618" width="15.5" style="22" customWidth="1"/>
    <col min="15619" max="15619" width="23.1640625" style="22" customWidth="1"/>
    <col min="15620" max="15623" width="15.5" style="22" customWidth="1"/>
    <col min="15624" max="15624" width="13.5" style="22" customWidth="1"/>
    <col min="15625" max="15625" width="14.5" style="22" customWidth="1"/>
    <col min="15626" max="15626" width="17" style="22" customWidth="1"/>
    <col min="15627" max="15873" width="9.1640625" style="22"/>
    <col min="15874" max="15874" width="15.5" style="22" customWidth="1"/>
    <col min="15875" max="15875" width="23.1640625" style="22" customWidth="1"/>
    <col min="15876" max="15879" width="15.5" style="22" customWidth="1"/>
    <col min="15880" max="15880" width="13.5" style="22" customWidth="1"/>
    <col min="15881" max="15881" width="14.5" style="22" customWidth="1"/>
    <col min="15882" max="15882" width="17" style="22" customWidth="1"/>
    <col min="15883" max="16129" width="9.1640625" style="22"/>
    <col min="16130" max="16130" width="15.5" style="22" customWidth="1"/>
    <col min="16131" max="16131" width="23.1640625" style="22" customWidth="1"/>
    <col min="16132" max="16135" width="15.5" style="22" customWidth="1"/>
    <col min="16136" max="16136" width="13.5" style="22" customWidth="1"/>
    <col min="16137" max="16137" width="14.5" style="22" customWidth="1"/>
    <col min="16138" max="16138" width="17" style="22" customWidth="1"/>
    <col min="16139" max="16384" width="9.1640625" style="22"/>
  </cols>
  <sheetData>
    <row r="1" spans="1:13" ht="15" customHeight="1">
      <c r="A1" s="35"/>
      <c r="B1" s="35"/>
      <c r="C1" s="35"/>
      <c r="D1" s="35"/>
      <c r="E1" s="35"/>
      <c r="F1" s="35"/>
      <c r="G1" s="35"/>
      <c r="H1" s="35"/>
      <c r="I1" s="35"/>
      <c r="J1" s="35"/>
      <c r="K1" s="35"/>
      <c r="L1" s="35"/>
      <c r="M1" s="35"/>
    </row>
    <row r="2" spans="1:13">
      <c r="A2" s="10" t="s">
        <v>175</v>
      </c>
      <c r="B2" s="39"/>
      <c r="C2" s="39"/>
      <c r="D2" s="39"/>
    </row>
    <row r="3" spans="1:13">
      <c r="A3" s="40"/>
      <c r="B3" s="41" t="s">
        <v>176</v>
      </c>
      <c r="C3" s="41" t="s">
        <v>177</v>
      </c>
      <c r="D3" s="41" t="s">
        <v>178</v>
      </c>
      <c r="E3" s="41" t="s">
        <v>179</v>
      </c>
      <c r="F3" s="42" t="s">
        <v>180</v>
      </c>
      <c r="G3" s="41" t="s">
        <v>181</v>
      </c>
      <c r="H3" s="41" t="s">
        <v>182</v>
      </c>
      <c r="I3" s="41" t="s">
        <v>183</v>
      </c>
      <c r="J3" s="42" t="s">
        <v>184</v>
      </c>
      <c r="K3" s="41" t="s">
        <v>185</v>
      </c>
    </row>
    <row r="4" spans="1:13">
      <c r="A4" s="43" t="s">
        <v>186</v>
      </c>
      <c r="B4" s="381">
        <f>'New TB'!O315</f>
        <v>18634.490000000002</v>
      </c>
      <c r="C4" s="381">
        <f>'New TB'!O316</f>
        <v>1258.46</v>
      </c>
      <c r="D4" s="130">
        <f>B4+C4</f>
        <v>19892.95</v>
      </c>
      <c r="E4" s="381">
        <f>'New TB'!O318</f>
        <v>5145.5899999999992</v>
      </c>
      <c r="F4" s="381">
        <f>'New TB'!O319</f>
        <v>5864.0400000000009</v>
      </c>
      <c r="G4" s="381">
        <f>'New TB'!O317</f>
        <v>8115.4500000000007</v>
      </c>
      <c r="H4" s="258"/>
      <c r="I4" s="381">
        <f>'New TB'!O320</f>
        <v>198.82000000000005</v>
      </c>
      <c r="J4" s="381">
        <f>'New TB'!O321</f>
        <v>0</v>
      </c>
      <c r="K4" s="52">
        <f>SUM(D4:J4)</f>
        <v>39216.85</v>
      </c>
      <c r="L4" s="44"/>
    </row>
    <row r="5" spans="1:13">
      <c r="A5" s="43" t="s">
        <v>187</v>
      </c>
      <c r="B5" s="381">
        <f>'New TB'!O323</f>
        <v>135756.84000000003</v>
      </c>
      <c r="C5" s="381">
        <f>'New TB'!O324</f>
        <v>9168.16</v>
      </c>
      <c r="D5" s="53">
        <f>B5+C5</f>
        <v>144925.00000000003</v>
      </c>
      <c r="E5" s="381">
        <f>'New TB'!O326</f>
        <v>37486.92</v>
      </c>
      <c r="F5" s="381">
        <f>'New TB'!O327</f>
        <v>42720.959999999999</v>
      </c>
      <c r="G5" s="381">
        <f>'New TB'!O325</f>
        <v>59123.090000000004</v>
      </c>
      <c r="H5" s="258"/>
      <c r="I5" s="381">
        <f>'New TB'!O328</f>
        <v>1448.51</v>
      </c>
      <c r="J5" s="381">
        <f>'New TB'!O329</f>
        <v>0</v>
      </c>
      <c r="K5" s="52">
        <f>SUM(D5:J5)</f>
        <v>285704.48000000004</v>
      </c>
      <c r="L5" s="45"/>
    </row>
    <row r="6" spans="1:13">
      <c r="A6" s="43" t="s">
        <v>188</v>
      </c>
      <c r="B6" s="381">
        <f>'New TB'!O331</f>
        <v>83235.5</v>
      </c>
      <c r="C6" s="381">
        <f>'New TB'!O332</f>
        <v>5621.2000000000007</v>
      </c>
      <c r="D6" s="53">
        <f>B6+C6</f>
        <v>88856.7</v>
      </c>
      <c r="E6" s="381">
        <f>'New TB'!O334</f>
        <v>22984.050000000003</v>
      </c>
      <c r="F6" s="381">
        <f>'New TB'!O335</f>
        <v>26193.17</v>
      </c>
      <c r="G6" s="381">
        <f>'New TB'!O333</f>
        <v>36249.67</v>
      </c>
      <c r="H6" s="258"/>
      <c r="I6" s="369">
        <f>'New TB'!O336</f>
        <v>888.12</v>
      </c>
      <c r="J6" s="381">
        <f>'New TB'!O337</f>
        <v>0</v>
      </c>
      <c r="K6" s="52">
        <f>SUM(D6:J6)</f>
        <v>175171.70999999996</v>
      </c>
      <c r="L6" s="44"/>
    </row>
    <row r="7" spans="1:13">
      <c r="A7" s="46" t="s">
        <v>185</v>
      </c>
      <c r="B7" s="53">
        <f>SUM(B4:B6)</f>
        <v>237626.83000000002</v>
      </c>
      <c r="C7" s="53">
        <f t="shared" ref="C7" si="0">SUM(C4:C6)</f>
        <v>16047.82</v>
      </c>
      <c r="D7" s="53">
        <f>B7+C7</f>
        <v>253674.65000000002</v>
      </c>
      <c r="E7" s="53">
        <f t="shared" ref="E7:K7" si="1">SUM(E4:E6)</f>
        <v>65616.56</v>
      </c>
      <c r="F7" s="54">
        <f t="shared" si="1"/>
        <v>74778.17</v>
      </c>
      <c r="G7" s="53">
        <f t="shared" si="1"/>
        <v>103488.21</v>
      </c>
      <c r="H7" s="150">
        <f t="shared" si="1"/>
        <v>0</v>
      </c>
      <c r="I7" s="53">
        <f t="shared" si="1"/>
        <v>2535.4499999999998</v>
      </c>
      <c r="J7" s="54">
        <f>SUM(J4:J6)</f>
        <v>0</v>
      </c>
      <c r="K7" s="48">
        <f t="shared" si="1"/>
        <v>500093.04</v>
      </c>
      <c r="L7" s="125"/>
    </row>
    <row r="8" spans="1:13">
      <c r="A8" s="19"/>
      <c r="B8" s="22" t="s">
        <v>189</v>
      </c>
      <c r="L8" s="62"/>
    </row>
    <row r="9" spans="1:13">
      <c r="A9" s="10" t="s">
        <v>190</v>
      </c>
      <c r="B9" s="39"/>
      <c r="C9" s="39"/>
      <c r="D9" s="39"/>
    </row>
    <row r="10" spans="1:13">
      <c r="A10" s="40"/>
      <c r="B10" s="41" t="s">
        <v>176</v>
      </c>
      <c r="C10" s="41" t="s">
        <v>177</v>
      </c>
      <c r="D10" s="41" t="s">
        <v>146</v>
      </c>
      <c r="E10" s="41" t="s">
        <v>191</v>
      </c>
      <c r="F10" s="41" t="s">
        <v>179</v>
      </c>
      <c r="G10" s="42" t="s">
        <v>180</v>
      </c>
      <c r="H10" s="41" t="s">
        <v>181</v>
      </c>
      <c r="I10" s="41" t="s">
        <v>182</v>
      </c>
      <c r="J10" s="41" t="s">
        <v>183</v>
      </c>
      <c r="K10" s="42" t="s">
        <v>184</v>
      </c>
      <c r="L10" s="41" t="s">
        <v>185</v>
      </c>
    </row>
    <row r="11" spans="1:13">
      <c r="A11" s="43" t="s">
        <v>192</v>
      </c>
      <c r="B11" s="259">
        <v>1</v>
      </c>
      <c r="C11" s="259"/>
      <c r="D11" s="251"/>
      <c r="E11" s="135">
        <f>B11+C11+D11</f>
        <v>1</v>
      </c>
      <c r="F11" s="259">
        <v>0.5</v>
      </c>
      <c r="G11" s="259">
        <v>1.5</v>
      </c>
      <c r="H11" s="259">
        <v>1</v>
      </c>
      <c r="I11" s="259"/>
      <c r="J11" s="259"/>
      <c r="K11" s="259"/>
      <c r="L11" s="49">
        <f>SUM(E11:K11)</f>
        <v>4</v>
      </c>
    </row>
    <row r="12" spans="1:13">
      <c r="A12" s="43" t="s">
        <v>193</v>
      </c>
      <c r="B12" s="259">
        <v>3.5</v>
      </c>
      <c r="C12" s="259">
        <v>0.5</v>
      </c>
      <c r="D12" s="251"/>
      <c r="E12" s="135">
        <f>B12+C12+D12</f>
        <v>4</v>
      </c>
      <c r="F12" s="259"/>
      <c r="G12" s="259"/>
      <c r="H12" s="259"/>
      <c r="I12" s="259"/>
      <c r="J12" s="259"/>
      <c r="K12" s="254"/>
      <c r="L12" s="49">
        <f>SUM(E12:K12)</f>
        <v>4</v>
      </c>
    </row>
    <row r="13" spans="1:13">
      <c r="A13" s="26" t="s">
        <v>194</v>
      </c>
      <c r="B13" s="252"/>
      <c r="C13" s="253"/>
      <c r="D13" s="253"/>
      <c r="E13" s="135"/>
      <c r="F13" s="259">
        <v>2</v>
      </c>
      <c r="G13" s="259">
        <v>20</v>
      </c>
      <c r="H13" s="259"/>
      <c r="I13" s="259"/>
      <c r="J13" s="259"/>
      <c r="K13" s="342"/>
      <c r="L13" s="49">
        <f>SUM(E13:K13)</f>
        <v>22</v>
      </c>
    </row>
    <row r="14" spans="1:13">
      <c r="A14" s="26" t="s">
        <v>195</v>
      </c>
      <c r="B14" s="259"/>
      <c r="C14" s="253"/>
      <c r="D14" s="253"/>
      <c r="E14" s="135">
        <f>B14</f>
        <v>0</v>
      </c>
      <c r="F14" s="270"/>
      <c r="G14" s="270"/>
      <c r="H14" s="270"/>
      <c r="I14" s="270"/>
      <c r="J14" s="270"/>
      <c r="K14" s="342"/>
      <c r="L14" s="49">
        <f>SUM(E14:K14)</f>
        <v>0</v>
      </c>
    </row>
    <row r="15" spans="1:13">
      <c r="A15" s="43" t="s">
        <v>196</v>
      </c>
      <c r="B15" s="259"/>
      <c r="C15" s="259"/>
      <c r="D15" s="251"/>
      <c r="E15" s="135">
        <f>B15+C15+D15</f>
        <v>0</v>
      </c>
      <c r="F15" s="259"/>
      <c r="G15" s="259"/>
      <c r="H15" s="259"/>
      <c r="I15" s="259"/>
      <c r="J15" s="259"/>
      <c r="K15" s="259">
        <v>1.5</v>
      </c>
      <c r="L15" s="343">
        <f>SUM(E15:K15)</f>
        <v>1.5</v>
      </c>
    </row>
    <row r="16" spans="1:13">
      <c r="A16" s="46" t="s">
        <v>185</v>
      </c>
      <c r="B16" s="50">
        <f>SUM(B11:B15)</f>
        <v>4.5</v>
      </c>
      <c r="C16" s="50">
        <f>SUM(C11:C15)</f>
        <v>0.5</v>
      </c>
      <c r="D16" s="50">
        <f>SUM(D11:D15)</f>
        <v>0</v>
      </c>
      <c r="E16" s="50">
        <f>B16+C16+D16</f>
        <v>5</v>
      </c>
      <c r="F16" s="50">
        <f t="shared" ref="F16" si="2">SUM(F11:F15)</f>
        <v>2.5</v>
      </c>
      <c r="G16" s="50">
        <f>SUM(G11:G15)</f>
        <v>21.5</v>
      </c>
      <c r="H16" s="50">
        <f t="shared" ref="H16:K16" si="3">SUM(H11:H15)</f>
        <v>1</v>
      </c>
      <c r="I16" s="50">
        <f t="shared" ref="I16:J16" si="4">SUM(I11:I15)</f>
        <v>0</v>
      </c>
      <c r="J16" s="50">
        <f t="shared" si="4"/>
        <v>0</v>
      </c>
      <c r="K16" s="50">
        <f t="shared" si="3"/>
        <v>1.5</v>
      </c>
      <c r="L16" s="51">
        <f>SUM(L11:L15)</f>
        <v>31.5</v>
      </c>
      <c r="M16" s="103"/>
    </row>
    <row r="17" spans="1:13">
      <c r="A17" s="47"/>
      <c r="B17" s="22" t="s">
        <v>197</v>
      </c>
      <c r="C17" s="47"/>
      <c r="D17" s="47"/>
      <c r="E17" s="47"/>
      <c r="F17" s="47"/>
      <c r="G17" s="47"/>
      <c r="H17" s="47"/>
    </row>
    <row r="18" spans="1:13">
      <c r="A18" s="47"/>
      <c r="C18" s="47"/>
      <c r="D18" s="47"/>
      <c r="E18" s="47"/>
      <c r="F18" s="47"/>
      <c r="G18" s="47"/>
      <c r="H18" s="47"/>
    </row>
    <row r="19" spans="1:13" ht="18">
      <c r="A19" s="436" t="s">
        <v>198</v>
      </c>
      <c r="B19" s="436"/>
      <c r="C19" s="436"/>
      <c r="D19" s="436"/>
      <c r="E19" s="436"/>
      <c r="F19" s="436"/>
      <c r="G19" s="436"/>
      <c r="H19" s="436"/>
      <c r="I19" s="436"/>
    </row>
    <row r="20" spans="1:13" ht="6" customHeight="1">
      <c r="A20" s="102"/>
      <c r="B20" s="102"/>
      <c r="C20" s="102"/>
      <c r="D20" s="102"/>
      <c r="E20" s="102"/>
      <c r="F20" s="102"/>
      <c r="G20" s="102"/>
      <c r="H20" s="102"/>
      <c r="I20" s="102"/>
      <c r="J20" s="102"/>
      <c r="K20" s="102"/>
      <c r="L20" s="102"/>
      <c r="M20" s="102"/>
    </row>
    <row r="21" spans="1:13">
      <c r="A21" s="64" t="s">
        <v>199</v>
      </c>
      <c r="B21" s="65"/>
      <c r="C21"/>
      <c r="D21" s="64" t="s">
        <v>60</v>
      </c>
      <c r="E21" s="65"/>
      <c r="F21" s="36"/>
      <c r="G21" s="416" t="s">
        <v>200</v>
      </c>
      <c r="H21" s="417"/>
      <c r="I21" s="65"/>
      <c r="K21" s="64" t="s">
        <v>201</v>
      </c>
      <c r="L21" s="65"/>
    </row>
    <row r="22" spans="1:13">
      <c r="A22" s="26" t="s">
        <v>202</v>
      </c>
      <c r="B22" s="256">
        <v>1590245.83</v>
      </c>
      <c r="C22"/>
      <c r="D22" s="26" t="s">
        <v>203</v>
      </c>
      <c r="E22" s="261">
        <v>0.73</v>
      </c>
      <c r="F22" s="36"/>
      <c r="G22" s="418" t="s">
        <v>204</v>
      </c>
      <c r="H22" s="419"/>
      <c r="I22" s="266"/>
      <c r="K22" s="26" t="s">
        <v>205</v>
      </c>
      <c r="L22" s="268"/>
    </row>
    <row r="23" spans="1:13">
      <c r="A23" s="26" t="s">
        <v>206</v>
      </c>
      <c r="B23" s="256">
        <v>300263.15999999997</v>
      </c>
      <c r="C23"/>
      <c r="D23" s="26" t="s">
        <v>207</v>
      </c>
      <c r="E23" s="261"/>
      <c r="F23" s="36"/>
      <c r="G23" s="418" t="s">
        <v>208</v>
      </c>
      <c r="H23" s="419"/>
      <c r="I23" s="267"/>
      <c r="K23" s="170" t="s">
        <v>209</v>
      </c>
      <c r="L23" s="268"/>
    </row>
    <row r="24" spans="1:13">
      <c r="A24" s="26" t="s">
        <v>210</v>
      </c>
      <c r="B24" s="256">
        <v>196052.85</v>
      </c>
      <c r="C24"/>
      <c r="D24" s="43" t="s">
        <v>211</v>
      </c>
      <c r="E24" s="261"/>
      <c r="F24" s="36"/>
      <c r="G24" s="418" t="s">
        <v>212</v>
      </c>
      <c r="H24" s="419"/>
      <c r="I24" s="267"/>
    </row>
    <row r="25" spans="1:13">
      <c r="A25" s="26" t="s">
        <v>213</v>
      </c>
      <c r="B25" s="256">
        <f>54746.94+99356.37+71829.99</f>
        <v>225933.3</v>
      </c>
      <c r="C25"/>
      <c r="D25" s="43" t="s">
        <v>214</v>
      </c>
      <c r="E25" s="381">
        <f>-'New TB'!O131</f>
        <v>27320.660000000003</v>
      </c>
      <c r="F25" s="36"/>
      <c r="G25" s="26" t="s">
        <v>215</v>
      </c>
      <c r="H25" s="136"/>
      <c r="I25" s="266"/>
    </row>
    <row r="26" spans="1:13">
      <c r="A26" s="169" t="s">
        <v>216</v>
      </c>
      <c r="B26" s="344">
        <f>SUM(B22:B25)</f>
        <v>2312495.14</v>
      </c>
      <c r="C26"/>
      <c r="D26" s="227" t="s">
        <v>217</v>
      </c>
      <c r="E26" s="381">
        <f>'New TB'!O192</f>
        <v>24944.799999999999</v>
      </c>
      <c r="F26" s="36"/>
      <c r="G26" s="26" t="s">
        <v>218</v>
      </c>
      <c r="H26" s="136"/>
      <c r="I26" s="266"/>
    </row>
    <row r="27" spans="1:13">
      <c r="C27"/>
      <c r="D27"/>
      <c r="E27"/>
      <c r="F27" s="36"/>
      <c r="G27" s="418" t="s">
        <v>219</v>
      </c>
      <c r="H27" s="419"/>
      <c r="I27" s="266"/>
      <c r="K27" s="416" t="s">
        <v>220</v>
      </c>
      <c r="L27" s="417"/>
      <c r="M27" s="65"/>
    </row>
    <row r="28" spans="1:13">
      <c r="C28"/>
      <c r="D28" s="64" t="s">
        <v>64</v>
      </c>
      <c r="E28" s="151"/>
      <c r="F28" s="36"/>
      <c r="G28" s="437" t="s">
        <v>221</v>
      </c>
      <c r="H28" s="438"/>
      <c r="I28" s="345">
        <f>SUM(I26:I27)</f>
        <v>0</v>
      </c>
      <c r="K28" s="418" t="s">
        <v>222</v>
      </c>
      <c r="L28" s="419"/>
      <c r="M28" s="269"/>
    </row>
    <row r="29" spans="1:13">
      <c r="A29" s="66"/>
      <c r="B29" s="19"/>
      <c r="C29" s="19"/>
      <c r="D29" s="67" t="s">
        <v>223</v>
      </c>
      <c r="E29" s="262"/>
      <c r="F29" s="36"/>
      <c r="K29" s="418" t="s">
        <v>224</v>
      </c>
      <c r="L29" s="419"/>
      <c r="M29" s="269"/>
    </row>
    <row r="30" spans="1:13">
      <c r="A30" s="19"/>
      <c r="B30" s="19"/>
      <c r="C30" s="19"/>
      <c r="D30" s="67" t="s">
        <v>225</v>
      </c>
      <c r="E30" s="262"/>
      <c r="F30" s="36"/>
      <c r="K30" s="420" t="s">
        <v>226</v>
      </c>
      <c r="L30" s="421"/>
      <c r="M30" s="257"/>
    </row>
    <row r="31" spans="1:13">
      <c r="C31"/>
      <c r="D31" s="172" t="s">
        <v>227</v>
      </c>
      <c r="E31" s="262"/>
      <c r="G31" s="434"/>
      <c r="H31" s="434"/>
    </row>
    <row r="32" spans="1:13" ht="17" thickBot="1">
      <c r="C32"/>
      <c r="G32"/>
    </row>
    <row r="33" spans="1:12">
      <c r="A33" s="422" t="s">
        <v>55</v>
      </c>
      <c r="B33" s="423"/>
      <c r="C33" s="153"/>
      <c r="D33" s="422" t="s">
        <v>228</v>
      </c>
      <c r="E33" s="423"/>
      <c r="F33" s="118"/>
      <c r="G33" s="423" t="s">
        <v>229</v>
      </c>
      <c r="H33" s="423"/>
      <c r="I33" s="118"/>
      <c r="K33" s="64" t="s">
        <v>86</v>
      </c>
      <c r="L33" s="65"/>
    </row>
    <row r="34" spans="1:12" ht="15" customHeight="1">
      <c r="A34" s="424" t="s">
        <v>230</v>
      </c>
      <c r="B34" s="425"/>
      <c r="C34" s="260"/>
      <c r="D34" s="424" t="s">
        <v>231</v>
      </c>
      <c r="E34" s="425"/>
      <c r="F34" s="391">
        <f>'New TB'!O235</f>
        <v>477734.07999999996</v>
      </c>
      <c r="G34" s="433" t="s">
        <v>231</v>
      </c>
      <c r="H34" s="425"/>
      <c r="I34" s="119"/>
      <c r="K34" s="227" t="s">
        <v>232</v>
      </c>
      <c r="L34" s="370">
        <f>'New TB'!O250</f>
        <v>917.84999999999991</v>
      </c>
    </row>
    <row r="35" spans="1:12" ht="15" customHeight="1">
      <c r="A35" s="424" t="s">
        <v>233</v>
      </c>
      <c r="B35" s="425"/>
      <c r="C35" s="154"/>
      <c r="D35" s="426" t="s">
        <v>234</v>
      </c>
      <c r="E35" s="419"/>
      <c r="F35" s="391">
        <f>'New TB'!O237</f>
        <v>62143.97</v>
      </c>
      <c r="G35" s="434" t="s">
        <v>234</v>
      </c>
      <c r="H35" s="419"/>
      <c r="I35" s="120"/>
    </row>
    <row r="36" spans="1:12">
      <c r="A36" s="426" t="s">
        <v>235</v>
      </c>
      <c r="B36" s="419"/>
      <c r="C36" s="260"/>
      <c r="D36" s="426" t="s">
        <v>230</v>
      </c>
      <c r="E36" s="419"/>
      <c r="F36" s="391">
        <f>SUM('New TB'!O181,'New TB'!O174,'New TB'!O188,'New TB'!O189,'New TB'!O197)</f>
        <v>23949</v>
      </c>
      <c r="G36" s="434" t="s">
        <v>230</v>
      </c>
      <c r="H36" s="419"/>
      <c r="I36" s="121"/>
      <c r="K36" s="64" t="s">
        <v>88</v>
      </c>
      <c r="L36" s="65"/>
    </row>
    <row r="37" spans="1:12">
      <c r="A37" s="426" t="s">
        <v>236</v>
      </c>
      <c r="B37" s="419"/>
      <c r="C37" s="393">
        <f>SUM('New TB'!O175,'New TB'!O198,'New TB'!O222,'New TB'!O224)</f>
        <v>1718.9099999999999</v>
      </c>
      <c r="D37" s="440" t="s">
        <v>237</v>
      </c>
      <c r="E37" s="435"/>
      <c r="F37" s="122">
        <f>SUM(F34:F36)</f>
        <v>563827.04999999993</v>
      </c>
      <c r="G37" s="435" t="s">
        <v>237</v>
      </c>
      <c r="H37" s="435"/>
      <c r="I37" s="122">
        <f>SUM(I34:I36)</f>
        <v>0</v>
      </c>
      <c r="K37" s="227" t="s">
        <v>238</v>
      </c>
      <c r="L37" s="371"/>
    </row>
    <row r="38" spans="1:12" ht="15.75" customHeight="1" thickBot="1">
      <c r="A38" s="427" t="s">
        <v>239</v>
      </c>
      <c r="B38" s="428"/>
      <c r="C38" s="155">
        <f>SUM(C34:C37)</f>
        <v>1718.9099999999999</v>
      </c>
      <c r="D38" s="439" t="s">
        <v>240</v>
      </c>
      <c r="E38" s="429"/>
      <c r="F38" s="263">
        <v>440</v>
      </c>
      <c r="G38" s="429" t="s">
        <v>241</v>
      </c>
      <c r="H38" s="430"/>
      <c r="I38" s="123"/>
    </row>
    <row r="39" spans="1:12" ht="16.5" customHeight="1" thickBot="1">
      <c r="D39" s="439" t="s">
        <v>242</v>
      </c>
      <c r="E39" s="429"/>
      <c r="F39" s="264"/>
      <c r="G39" s="431" t="s">
        <v>243</v>
      </c>
      <c r="H39" s="432"/>
      <c r="I39" s="124"/>
    </row>
    <row r="40" spans="1:12" ht="17" thickBot="1">
      <c r="D40" s="156" t="s">
        <v>244</v>
      </c>
      <c r="E40" s="157"/>
      <c r="F40" s="265">
        <f>F38*0.8</f>
        <v>352</v>
      </c>
    </row>
  </sheetData>
  <sheetProtection selectLockedCells="1"/>
  <mergeCells count="32">
    <mergeCell ref="D39:E39"/>
    <mergeCell ref="D33:E33"/>
    <mergeCell ref="D34:E34"/>
    <mergeCell ref="D35:E35"/>
    <mergeCell ref="D36:E36"/>
    <mergeCell ref="D37:E37"/>
    <mergeCell ref="D38:E38"/>
    <mergeCell ref="G22:H22"/>
    <mergeCell ref="A19:I19"/>
    <mergeCell ref="G27:H27"/>
    <mergeCell ref="G28:H28"/>
    <mergeCell ref="G31:H31"/>
    <mergeCell ref="G21:H21"/>
    <mergeCell ref="G23:H23"/>
    <mergeCell ref="G24:H24"/>
    <mergeCell ref="G39:H39"/>
    <mergeCell ref="G33:H33"/>
    <mergeCell ref="G34:H34"/>
    <mergeCell ref="G35:H35"/>
    <mergeCell ref="G36:H36"/>
    <mergeCell ref="G37:H37"/>
    <mergeCell ref="A34:B34"/>
    <mergeCell ref="A36:B36"/>
    <mergeCell ref="A37:B37"/>
    <mergeCell ref="A38:B38"/>
    <mergeCell ref="G38:H38"/>
    <mergeCell ref="A35:B35"/>
    <mergeCell ref="K27:L27"/>
    <mergeCell ref="K28:L28"/>
    <mergeCell ref="K29:L29"/>
    <mergeCell ref="K30:L30"/>
    <mergeCell ref="A33:B33"/>
  </mergeCells>
  <printOptions horizontalCentered="1" verticalCentered="1"/>
  <pageMargins left="0.7" right="0.7" top="0.75" bottom="0.75" header="0.3" footer="0.3"/>
  <pageSetup scale="47" orientation="landscape" r:id="rId1"/>
  <headerFooter>
    <oddHeader>&amp;C&amp;"Times New Roman,Regular"&amp;12Currie Financial Composite Input Template
Material Handling Equipment&amp;R&amp;G</oddHeader>
    <oddFooter>&amp;C&amp;"Times New Roman,Regular"Expenses and Miscellaneous&amp;"-,Regular"
&amp;"BergamoSmCaps,Bold"&amp;9&amp;K002060www.curriemanagement.com</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tint="0.59999389629810485"/>
    <pageSetUpPr fitToPage="1"/>
  </sheetPr>
  <dimension ref="A1:H31"/>
  <sheetViews>
    <sheetView view="pageBreakPreview" zoomScaleNormal="100" zoomScaleSheetLayoutView="100" workbookViewId="0">
      <selection activeCell="D25" sqref="D25"/>
    </sheetView>
  </sheetViews>
  <sheetFormatPr baseColWidth="10" defaultColWidth="9.1640625" defaultRowHeight="16"/>
  <cols>
    <col min="1" max="1" width="33.5" style="22" customWidth="1"/>
    <col min="2" max="2" width="15.1640625" style="62" customWidth="1"/>
    <col min="3" max="3" width="9.1640625" style="22"/>
    <col min="4" max="4" width="33.83203125" style="22" customWidth="1"/>
    <col min="5" max="5" width="16.5" style="62" customWidth="1"/>
    <col min="6" max="6" width="13.5" style="22" customWidth="1"/>
    <col min="7" max="7" width="9.1640625" style="22"/>
    <col min="8" max="8" width="13.33203125" style="22" bestFit="1" customWidth="1"/>
    <col min="9" max="16384" width="9.1640625" style="22"/>
  </cols>
  <sheetData>
    <row r="1" spans="1:8">
      <c r="A1" s="35"/>
      <c r="B1" s="55"/>
      <c r="C1" s="35"/>
      <c r="D1" s="35"/>
      <c r="E1" s="55"/>
    </row>
    <row r="2" spans="1:8">
      <c r="A2" s="441" t="s">
        <v>245</v>
      </c>
      <c r="B2" s="441"/>
      <c r="C2" s="441"/>
      <c r="D2" s="441"/>
      <c r="E2" s="441"/>
    </row>
    <row r="3" spans="1:8">
      <c r="A3" s="19"/>
      <c r="B3" s="56"/>
      <c r="C3" s="8"/>
      <c r="D3" s="19"/>
      <c r="E3" s="56"/>
    </row>
    <row r="4" spans="1:8">
      <c r="A4" s="9" t="s">
        <v>95</v>
      </c>
      <c r="B4" s="57"/>
      <c r="C4" s="36"/>
      <c r="D4" s="9" t="s">
        <v>112</v>
      </c>
      <c r="E4" s="57"/>
    </row>
    <row r="5" spans="1:8">
      <c r="A5" s="10" t="s">
        <v>246</v>
      </c>
      <c r="B5" s="58"/>
      <c r="C5" s="9"/>
      <c r="D5" s="10" t="s">
        <v>247</v>
      </c>
      <c r="E5" s="58"/>
    </row>
    <row r="6" spans="1:8">
      <c r="A6" s="19" t="s">
        <v>248</v>
      </c>
      <c r="B6" s="272">
        <v>919273</v>
      </c>
      <c r="C6" s="19"/>
      <c r="D6" s="10"/>
      <c r="E6" s="58"/>
    </row>
    <row r="7" spans="1:8">
      <c r="A7" s="19" t="s">
        <v>249</v>
      </c>
      <c r="B7" s="272">
        <v>1850797</v>
      </c>
      <c r="C7" s="19"/>
      <c r="D7" s="19" t="s">
        <v>250</v>
      </c>
      <c r="E7" s="272">
        <v>417887</v>
      </c>
    </row>
    <row r="8" spans="1:8">
      <c r="A8" s="19" t="s">
        <v>251</v>
      </c>
      <c r="B8" s="272">
        <f>8321-16280</f>
        <v>-7959</v>
      </c>
      <c r="C8" s="19"/>
      <c r="D8" s="19" t="s">
        <v>252</v>
      </c>
      <c r="E8" s="272"/>
    </row>
    <row r="9" spans="1:8">
      <c r="A9" s="19"/>
      <c r="B9" s="60"/>
      <c r="C9" s="19"/>
      <c r="D9" s="19" t="s">
        <v>253</v>
      </c>
      <c r="E9" s="272">
        <v>127123</v>
      </c>
    </row>
    <row r="10" spans="1:8">
      <c r="A10" s="37" t="s">
        <v>254</v>
      </c>
      <c r="B10" s="60"/>
      <c r="C10" s="19"/>
      <c r="D10" s="19" t="s">
        <v>255</v>
      </c>
      <c r="E10" s="272"/>
    </row>
    <row r="11" spans="1:8">
      <c r="A11" s="271" t="s">
        <v>256</v>
      </c>
      <c r="B11" s="272">
        <v>862817.87</v>
      </c>
      <c r="C11" s="19"/>
      <c r="D11" s="19" t="s">
        <v>257</v>
      </c>
      <c r="E11" s="272"/>
      <c r="H11" s="62"/>
    </row>
    <row r="12" spans="1:8">
      <c r="A12" s="271" t="s">
        <v>258</v>
      </c>
      <c r="B12" s="272"/>
      <c r="C12" s="19"/>
      <c r="D12" s="19" t="s">
        <v>259</v>
      </c>
      <c r="E12" s="272">
        <f>716262+19652+48403+21816</f>
        <v>806133</v>
      </c>
    </row>
    <row r="13" spans="1:8">
      <c r="A13" s="271" t="s">
        <v>260</v>
      </c>
      <c r="B13" s="272">
        <v>6869.49</v>
      </c>
      <c r="C13" s="19"/>
      <c r="D13" s="37" t="s">
        <v>261</v>
      </c>
      <c r="E13" s="60">
        <f>SUM(E7:E12)</f>
        <v>1351143</v>
      </c>
    </row>
    <row r="14" spans="1:8">
      <c r="A14" s="271" t="s">
        <v>141</v>
      </c>
      <c r="B14" s="272"/>
      <c r="C14" s="19"/>
      <c r="D14" s="37"/>
      <c r="E14" s="60"/>
    </row>
    <row r="15" spans="1:8">
      <c r="A15" s="271" t="s">
        <v>262</v>
      </c>
      <c r="B15" s="272">
        <v>179137.27</v>
      </c>
      <c r="C15" s="19"/>
      <c r="D15" s="19" t="s">
        <v>263</v>
      </c>
      <c r="E15" s="272">
        <v>6709519</v>
      </c>
    </row>
    <row r="16" spans="1:8" s="38" customFormat="1">
      <c r="A16" s="271" t="s">
        <v>264</v>
      </c>
      <c r="B16" s="272">
        <v>829308.9</v>
      </c>
      <c r="C16" s="19"/>
      <c r="D16" s="19" t="s">
        <v>265</v>
      </c>
      <c r="E16" s="272"/>
    </row>
    <row r="17" spans="1:8">
      <c r="A17" s="271" t="s">
        <v>266</v>
      </c>
      <c r="B17" s="272">
        <v>104791.49</v>
      </c>
      <c r="C17" s="19"/>
      <c r="D17" s="19" t="s">
        <v>267</v>
      </c>
      <c r="E17" s="272"/>
    </row>
    <row r="18" spans="1:8">
      <c r="A18" s="271" t="s">
        <v>268</v>
      </c>
      <c r="B18" s="272">
        <f>-4000-7613.6-61378.77</f>
        <v>-72992.37</v>
      </c>
      <c r="C18" s="19"/>
      <c r="D18" s="19" t="s">
        <v>269</v>
      </c>
      <c r="E18" s="272"/>
    </row>
    <row r="19" spans="1:8">
      <c r="A19" s="21" t="s">
        <v>270</v>
      </c>
      <c r="B19" s="60">
        <f>SUM(B11:B18)</f>
        <v>1909932.65</v>
      </c>
      <c r="C19" s="19"/>
      <c r="D19" s="37" t="s">
        <v>271</v>
      </c>
      <c r="E19" s="63">
        <f>SUM(E15:E18)</f>
        <v>6709519</v>
      </c>
    </row>
    <row r="20" spans="1:8">
      <c r="A20" s="21"/>
      <c r="B20" s="60"/>
      <c r="C20" s="19"/>
      <c r="D20" s="37"/>
      <c r="E20" s="63"/>
    </row>
    <row r="21" spans="1:8">
      <c r="A21" s="19" t="s">
        <v>272</v>
      </c>
      <c r="B21" s="59">
        <v>154585</v>
      </c>
      <c r="C21" s="19"/>
      <c r="D21" s="37"/>
      <c r="E21" s="63"/>
    </row>
    <row r="22" spans="1:8" ht="15.75" customHeight="1">
      <c r="A22" s="21"/>
      <c r="B22" s="60"/>
      <c r="C22" s="19"/>
      <c r="D22" s="37"/>
      <c r="E22" s="63"/>
    </row>
    <row r="23" spans="1:8">
      <c r="A23" s="19" t="s">
        <v>273</v>
      </c>
      <c r="B23" s="272">
        <f>48886.08+86948+3671.45+20100</f>
        <v>159605.53000000003</v>
      </c>
      <c r="C23" s="19"/>
      <c r="D23" s="19" t="s">
        <v>274</v>
      </c>
      <c r="E23" s="272">
        <f>-159450+60853</f>
        <v>-98597</v>
      </c>
    </row>
    <row r="24" spans="1:8">
      <c r="A24" s="37" t="s">
        <v>275</v>
      </c>
      <c r="B24" s="60">
        <f>B6+B7+B8+B19+B23+B21</f>
        <v>4986234.1800000006</v>
      </c>
      <c r="D24" s="19" t="s">
        <v>276</v>
      </c>
      <c r="E24" s="56">
        <f>E13+E19+E23</f>
        <v>7962065</v>
      </c>
    </row>
    <row r="25" spans="1:8">
      <c r="A25" s="19"/>
      <c r="B25" s="56"/>
      <c r="D25" s="37"/>
      <c r="E25" s="63"/>
      <c r="F25" s="97"/>
      <c r="H25" s="62"/>
    </row>
    <row r="26" spans="1:8">
      <c r="A26" s="37" t="s">
        <v>277</v>
      </c>
      <c r="B26" s="56"/>
      <c r="D26" s="37" t="s">
        <v>278</v>
      </c>
      <c r="E26" s="63"/>
    </row>
    <row r="27" spans="1:8">
      <c r="A27" s="271" t="s">
        <v>279</v>
      </c>
      <c r="B27" s="272">
        <v>4439391</v>
      </c>
      <c r="D27" s="10" t="s">
        <v>280</v>
      </c>
      <c r="E27" s="272" t="e">
        <f>-#REF!-#REF!-#REF!</f>
        <v>#REF!</v>
      </c>
    </row>
    <row r="28" spans="1:8">
      <c r="A28" s="271" t="s">
        <v>281</v>
      </c>
      <c r="B28" s="272">
        <f>5551769-4439391</f>
        <v>1112378</v>
      </c>
      <c r="D28" s="10" t="s">
        <v>282</v>
      </c>
      <c r="E28" s="272">
        <v>4233644</v>
      </c>
    </row>
    <row r="29" spans="1:8">
      <c r="A29" s="37" t="s">
        <v>283</v>
      </c>
      <c r="B29" s="272">
        <v>1691206</v>
      </c>
      <c r="D29" s="104" t="s">
        <v>284</v>
      </c>
      <c r="E29" s="56" t="e">
        <f>SUM(E27:E28)</f>
        <v>#REF!</v>
      </c>
      <c r="F29" s="97"/>
    </row>
    <row r="30" spans="1:8" ht="17" thickBot="1">
      <c r="A30" s="10" t="s">
        <v>285</v>
      </c>
      <c r="B30" s="61">
        <f>B24+B27+B28+B29</f>
        <v>12229209.18</v>
      </c>
      <c r="D30" s="10" t="s">
        <v>286</v>
      </c>
      <c r="E30" s="61" t="e">
        <f>E24+E29</f>
        <v>#REF!</v>
      </c>
    </row>
    <row r="31" spans="1:8" ht="17" thickTop="1">
      <c r="B31" s="60"/>
      <c r="D31" s="19"/>
      <c r="E31" s="129" t="e">
        <f>IF(E30=B30,"","Not Balanced")</f>
        <v>#REF!</v>
      </c>
    </row>
  </sheetData>
  <sheetProtection selectLockedCells="1"/>
  <mergeCells count="1">
    <mergeCell ref="A2:E2"/>
  </mergeCells>
  <printOptions horizontalCentered="1" verticalCentered="1"/>
  <pageMargins left="0.7" right="0.7" top="0.75" bottom="0.75" header="0.3" footer="0.3"/>
  <pageSetup orientation="landscape" r:id="rId1"/>
  <headerFooter>
    <oddHeader>&amp;C&amp;"Times New Roman,Regular"&amp;12Currie Financial Composite Input Template
Material Handling Equipment&amp;"-,Regular"&amp;11
&amp;R&amp;G</oddHeader>
    <oddFooter>&amp;C&amp;"Times New Roman,Regular"&amp;12Balance Sheet&amp;"-,Regular"&amp;11
&amp;"BergamoSmCaps,Bold"&amp;9&amp;K002060www.curriemanagement.com</oddFooter>
  </headerFooter>
  <legacyDrawingHF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S52"/>
  <sheetViews>
    <sheetView topLeftCell="A9" zoomScale="75" zoomScaleNormal="75" workbookViewId="0">
      <selection activeCell="H30" sqref="H30"/>
    </sheetView>
  </sheetViews>
  <sheetFormatPr baseColWidth="10" defaultColWidth="8.83203125" defaultRowHeight="15"/>
  <cols>
    <col min="1" max="1" width="16.1640625" style="3" customWidth="1"/>
    <col min="2" max="2" width="12.83203125" style="68" customWidth="1"/>
    <col min="3" max="3" width="8.6640625" style="69" bestFit="1" customWidth="1"/>
    <col min="4" max="4" width="13.33203125" style="68" customWidth="1"/>
    <col min="5" max="5" width="8.6640625" style="69" bestFit="1" customWidth="1"/>
    <col min="6" max="6" width="11.83203125" style="68" customWidth="1"/>
    <col min="7" max="7" width="8.83203125" style="69" bestFit="1" customWidth="1"/>
    <col min="8" max="8" width="12.83203125" style="68" customWidth="1"/>
    <col min="9" max="9" width="8.83203125" style="69" bestFit="1" customWidth="1"/>
    <col min="10" max="10" width="12.83203125" style="68" customWidth="1"/>
    <col min="11" max="11" width="8.83203125" style="69" bestFit="1" customWidth="1"/>
    <col min="12" max="12" width="12.83203125" style="68" customWidth="1"/>
    <col min="13" max="13" width="8.83203125" style="69" bestFit="1" customWidth="1"/>
    <col min="14" max="14" width="12.6640625" style="68" bestFit="1" customWidth="1"/>
    <col min="15" max="15" width="9" style="69" bestFit="1" customWidth="1"/>
    <col min="16" max="16" width="16.33203125" style="68" customWidth="1"/>
    <col min="17" max="17" width="9" style="69" bestFit="1" customWidth="1"/>
    <col min="18" max="18" width="9.1640625" style="1"/>
    <col min="19" max="19" width="11.5" style="1" bestFit="1" customWidth="1"/>
    <col min="20" max="260" width="9.1640625" style="1"/>
    <col min="261" max="261" width="16.1640625" style="1" customWidth="1"/>
    <col min="262" max="262" width="12.83203125" style="1" customWidth="1"/>
    <col min="263" max="263" width="8.6640625" style="1" bestFit="1" customWidth="1"/>
    <col min="264" max="264" width="13.33203125" style="1" customWidth="1"/>
    <col min="265" max="265" width="8.6640625" style="1" bestFit="1" customWidth="1"/>
    <col min="266" max="266" width="11.83203125" style="1" customWidth="1"/>
    <col min="267" max="267" width="8.83203125" style="1" bestFit="1" customWidth="1"/>
    <col min="268" max="268" width="12.83203125" style="1" customWidth="1"/>
    <col min="269" max="269" width="8.83203125" style="1" bestFit="1" customWidth="1"/>
    <col min="270" max="270" width="12.6640625" style="1" bestFit="1" customWidth="1"/>
    <col min="271" max="271" width="9" style="1" bestFit="1" customWidth="1"/>
    <col min="272" max="272" width="13" style="1" customWidth="1"/>
    <col min="273" max="273" width="9" style="1" bestFit="1" customWidth="1"/>
    <col min="274" max="516" width="9.1640625" style="1"/>
    <col min="517" max="517" width="16.1640625" style="1" customWidth="1"/>
    <col min="518" max="518" width="12.83203125" style="1" customWidth="1"/>
    <col min="519" max="519" width="8.6640625" style="1" bestFit="1" customWidth="1"/>
    <col min="520" max="520" width="13.33203125" style="1" customWidth="1"/>
    <col min="521" max="521" width="8.6640625" style="1" bestFit="1" customWidth="1"/>
    <col min="522" max="522" width="11.83203125" style="1" customWidth="1"/>
    <col min="523" max="523" width="8.83203125" style="1" bestFit="1" customWidth="1"/>
    <col min="524" max="524" width="12.83203125" style="1" customWidth="1"/>
    <col min="525" max="525" width="8.83203125" style="1" bestFit="1" customWidth="1"/>
    <col min="526" max="526" width="12.6640625" style="1" bestFit="1" customWidth="1"/>
    <col min="527" max="527" width="9" style="1" bestFit="1" customWidth="1"/>
    <col min="528" max="528" width="13" style="1" customWidth="1"/>
    <col min="529" max="529" width="9" style="1" bestFit="1" customWidth="1"/>
    <col min="530" max="772" width="9.1640625" style="1"/>
    <col min="773" max="773" width="16.1640625" style="1" customWidth="1"/>
    <col min="774" max="774" width="12.83203125" style="1" customWidth="1"/>
    <col min="775" max="775" width="8.6640625" style="1" bestFit="1" customWidth="1"/>
    <col min="776" max="776" width="13.33203125" style="1" customWidth="1"/>
    <col min="777" max="777" width="8.6640625" style="1" bestFit="1" customWidth="1"/>
    <col min="778" max="778" width="11.83203125" style="1" customWidth="1"/>
    <col min="779" max="779" width="8.83203125" style="1" bestFit="1" customWidth="1"/>
    <col min="780" max="780" width="12.83203125" style="1" customWidth="1"/>
    <col min="781" max="781" width="8.83203125" style="1" bestFit="1" customWidth="1"/>
    <col min="782" max="782" width="12.6640625" style="1" bestFit="1" customWidth="1"/>
    <col min="783" max="783" width="9" style="1" bestFit="1" customWidth="1"/>
    <col min="784" max="784" width="13" style="1" customWidth="1"/>
    <col min="785" max="785" width="9" style="1" bestFit="1" customWidth="1"/>
    <col min="786" max="1028" width="9.1640625" style="1"/>
    <col min="1029" max="1029" width="16.1640625" style="1" customWidth="1"/>
    <col min="1030" max="1030" width="12.83203125" style="1" customWidth="1"/>
    <col min="1031" max="1031" width="8.6640625" style="1" bestFit="1" customWidth="1"/>
    <col min="1032" max="1032" width="13.33203125" style="1" customWidth="1"/>
    <col min="1033" max="1033" width="8.6640625" style="1" bestFit="1" customWidth="1"/>
    <col min="1034" max="1034" width="11.83203125" style="1" customWidth="1"/>
    <col min="1035" max="1035" width="8.83203125" style="1" bestFit="1" customWidth="1"/>
    <col min="1036" max="1036" width="12.83203125" style="1" customWidth="1"/>
    <col min="1037" max="1037" width="8.83203125" style="1" bestFit="1" customWidth="1"/>
    <col min="1038" max="1038" width="12.6640625" style="1" bestFit="1" customWidth="1"/>
    <col min="1039" max="1039" width="9" style="1" bestFit="1" customWidth="1"/>
    <col min="1040" max="1040" width="13" style="1" customWidth="1"/>
    <col min="1041" max="1041" width="9" style="1" bestFit="1" customWidth="1"/>
    <col min="1042" max="1284" width="9.1640625" style="1"/>
    <col min="1285" max="1285" width="16.1640625" style="1" customWidth="1"/>
    <col min="1286" max="1286" width="12.83203125" style="1" customWidth="1"/>
    <col min="1287" max="1287" width="8.6640625" style="1" bestFit="1" customWidth="1"/>
    <col min="1288" max="1288" width="13.33203125" style="1" customWidth="1"/>
    <col min="1289" max="1289" width="8.6640625" style="1" bestFit="1" customWidth="1"/>
    <col min="1290" max="1290" width="11.83203125" style="1" customWidth="1"/>
    <col min="1291" max="1291" width="8.83203125" style="1" bestFit="1" customWidth="1"/>
    <col min="1292" max="1292" width="12.83203125" style="1" customWidth="1"/>
    <col min="1293" max="1293" width="8.83203125" style="1" bestFit="1" customWidth="1"/>
    <col min="1294" max="1294" width="12.6640625" style="1" bestFit="1" customWidth="1"/>
    <col min="1295" max="1295" width="9" style="1" bestFit="1" customWidth="1"/>
    <col min="1296" max="1296" width="13" style="1" customWidth="1"/>
    <col min="1297" max="1297" width="9" style="1" bestFit="1" customWidth="1"/>
    <col min="1298" max="1540" width="9.1640625" style="1"/>
    <col min="1541" max="1541" width="16.1640625" style="1" customWidth="1"/>
    <col min="1542" max="1542" width="12.83203125" style="1" customWidth="1"/>
    <col min="1543" max="1543" width="8.6640625" style="1" bestFit="1" customWidth="1"/>
    <col min="1544" max="1544" width="13.33203125" style="1" customWidth="1"/>
    <col min="1545" max="1545" width="8.6640625" style="1" bestFit="1" customWidth="1"/>
    <col min="1546" max="1546" width="11.83203125" style="1" customWidth="1"/>
    <col min="1547" max="1547" width="8.83203125" style="1" bestFit="1" customWidth="1"/>
    <col min="1548" max="1548" width="12.83203125" style="1" customWidth="1"/>
    <col min="1549" max="1549" width="8.83203125" style="1" bestFit="1" customWidth="1"/>
    <col min="1550" max="1550" width="12.6640625" style="1" bestFit="1" customWidth="1"/>
    <col min="1551" max="1551" width="9" style="1" bestFit="1" customWidth="1"/>
    <col min="1552" max="1552" width="13" style="1" customWidth="1"/>
    <col min="1553" max="1553" width="9" style="1" bestFit="1" customWidth="1"/>
    <col min="1554" max="1796" width="9.1640625" style="1"/>
    <col min="1797" max="1797" width="16.1640625" style="1" customWidth="1"/>
    <col min="1798" max="1798" width="12.83203125" style="1" customWidth="1"/>
    <col min="1799" max="1799" width="8.6640625" style="1" bestFit="1" customWidth="1"/>
    <col min="1800" max="1800" width="13.33203125" style="1" customWidth="1"/>
    <col min="1801" max="1801" width="8.6640625" style="1" bestFit="1" customWidth="1"/>
    <col min="1802" max="1802" width="11.83203125" style="1" customWidth="1"/>
    <col min="1803" max="1803" width="8.83203125" style="1" bestFit="1" customWidth="1"/>
    <col min="1804" max="1804" width="12.83203125" style="1" customWidth="1"/>
    <col min="1805" max="1805" width="8.83203125" style="1" bestFit="1" customWidth="1"/>
    <col min="1806" max="1806" width="12.6640625" style="1" bestFit="1" customWidth="1"/>
    <col min="1807" max="1807" width="9" style="1" bestFit="1" customWidth="1"/>
    <col min="1808" max="1808" width="13" style="1" customWidth="1"/>
    <col min="1809" max="1809" width="9" style="1" bestFit="1" customWidth="1"/>
    <col min="1810" max="2052" width="9.1640625" style="1"/>
    <col min="2053" max="2053" width="16.1640625" style="1" customWidth="1"/>
    <col min="2054" max="2054" width="12.83203125" style="1" customWidth="1"/>
    <col min="2055" max="2055" width="8.6640625" style="1" bestFit="1" customWidth="1"/>
    <col min="2056" max="2056" width="13.33203125" style="1" customWidth="1"/>
    <col min="2057" max="2057" width="8.6640625" style="1" bestFit="1" customWidth="1"/>
    <col min="2058" max="2058" width="11.83203125" style="1" customWidth="1"/>
    <col min="2059" max="2059" width="8.83203125" style="1" bestFit="1" customWidth="1"/>
    <col min="2060" max="2060" width="12.83203125" style="1" customWidth="1"/>
    <col min="2061" max="2061" width="8.83203125" style="1" bestFit="1" customWidth="1"/>
    <col min="2062" max="2062" width="12.6640625" style="1" bestFit="1" customWidth="1"/>
    <col min="2063" max="2063" width="9" style="1" bestFit="1" customWidth="1"/>
    <col min="2064" max="2064" width="13" style="1" customWidth="1"/>
    <col min="2065" max="2065" width="9" style="1" bestFit="1" customWidth="1"/>
    <col min="2066" max="2308" width="9.1640625" style="1"/>
    <col min="2309" max="2309" width="16.1640625" style="1" customWidth="1"/>
    <col min="2310" max="2310" width="12.83203125" style="1" customWidth="1"/>
    <col min="2311" max="2311" width="8.6640625" style="1" bestFit="1" customWidth="1"/>
    <col min="2312" max="2312" width="13.33203125" style="1" customWidth="1"/>
    <col min="2313" max="2313" width="8.6640625" style="1" bestFit="1" customWidth="1"/>
    <col min="2314" max="2314" width="11.83203125" style="1" customWidth="1"/>
    <col min="2315" max="2315" width="8.83203125" style="1" bestFit="1" customWidth="1"/>
    <col min="2316" max="2316" width="12.83203125" style="1" customWidth="1"/>
    <col min="2317" max="2317" width="8.83203125" style="1" bestFit="1" customWidth="1"/>
    <col min="2318" max="2318" width="12.6640625" style="1" bestFit="1" customWidth="1"/>
    <col min="2319" max="2319" width="9" style="1" bestFit="1" customWidth="1"/>
    <col min="2320" max="2320" width="13" style="1" customWidth="1"/>
    <col min="2321" max="2321" width="9" style="1" bestFit="1" customWidth="1"/>
    <col min="2322" max="2564" width="9.1640625" style="1"/>
    <col min="2565" max="2565" width="16.1640625" style="1" customWidth="1"/>
    <col min="2566" max="2566" width="12.83203125" style="1" customWidth="1"/>
    <col min="2567" max="2567" width="8.6640625" style="1" bestFit="1" customWidth="1"/>
    <col min="2568" max="2568" width="13.33203125" style="1" customWidth="1"/>
    <col min="2569" max="2569" width="8.6640625" style="1" bestFit="1" customWidth="1"/>
    <col min="2570" max="2570" width="11.83203125" style="1" customWidth="1"/>
    <col min="2571" max="2571" width="8.83203125" style="1" bestFit="1" customWidth="1"/>
    <col min="2572" max="2572" width="12.83203125" style="1" customWidth="1"/>
    <col min="2573" max="2573" width="8.83203125" style="1" bestFit="1" customWidth="1"/>
    <col min="2574" max="2574" width="12.6640625" style="1" bestFit="1" customWidth="1"/>
    <col min="2575" max="2575" width="9" style="1" bestFit="1" customWidth="1"/>
    <col min="2576" max="2576" width="13" style="1" customWidth="1"/>
    <col min="2577" max="2577" width="9" style="1" bestFit="1" customWidth="1"/>
    <col min="2578" max="2820" width="9.1640625" style="1"/>
    <col min="2821" max="2821" width="16.1640625" style="1" customWidth="1"/>
    <col min="2822" max="2822" width="12.83203125" style="1" customWidth="1"/>
    <col min="2823" max="2823" width="8.6640625" style="1" bestFit="1" customWidth="1"/>
    <col min="2824" max="2824" width="13.33203125" style="1" customWidth="1"/>
    <col min="2825" max="2825" width="8.6640625" style="1" bestFit="1" customWidth="1"/>
    <col min="2826" max="2826" width="11.83203125" style="1" customWidth="1"/>
    <col min="2827" max="2827" width="8.83203125" style="1" bestFit="1" customWidth="1"/>
    <col min="2828" max="2828" width="12.83203125" style="1" customWidth="1"/>
    <col min="2829" max="2829" width="8.83203125" style="1" bestFit="1" customWidth="1"/>
    <col min="2830" max="2830" width="12.6640625" style="1" bestFit="1" customWidth="1"/>
    <col min="2831" max="2831" width="9" style="1" bestFit="1" customWidth="1"/>
    <col min="2832" max="2832" width="13" style="1" customWidth="1"/>
    <col min="2833" max="2833" width="9" style="1" bestFit="1" customWidth="1"/>
    <col min="2834" max="3076" width="9.1640625" style="1"/>
    <col min="3077" max="3077" width="16.1640625" style="1" customWidth="1"/>
    <col min="3078" max="3078" width="12.83203125" style="1" customWidth="1"/>
    <col min="3079" max="3079" width="8.6640625" style="1" bestFit="1" customWidth="1"/>
    <col min="3080" max="3080" width="13.33203125" style="1" customWidth="1"/>
    <col min="3081" max="3081" width="8.6640625" style="1" bestFit="1" customWidth="1"/>
    <col min="3082" max="3082" width="11.83203125" style="1" customWidth="1"/>
    <col min="3083" max="3083" width="8.83203125" style="1" bestFit="1" customWidth="1"/>
    <col min="3084" max="3084" width="12.83203125" style="1" customWidth="1"/>
    <col min="3085" max="3085" width="8.83203125" style="1" bestFit="1" customWidth="1"/>
    <col min="3086" max="3086" width="12.6640625" style="1" bestFit="1" customWidth="1"/>
    <col min="3087" max="3087" width="9" style="1" bestFit="1" customWidth="1"/>
    <col min="3088" max="3088" width="13" style="1" customWidth="1"/>
    <col min="3089" max="3089" width="9" style="1" bestFit="1" customWidth="1"/>
    <col min="3090" max="3332" width="9.1640625" style="1"/>
    <col min="3333" max="3333" width="16.1640625" style="1" customWidth="1"/>
    <col min="3334" max="3334" width="12.83203125" style="1" customWidth="1"/>
    <col min="3335" max="3335" width="8.6640625" style="1" bestFit="1" customWidth="1"/>
    <col min="3336" max="3336" width="13.33203125" style="1" customWidth="1"/>
    <col min="3337" max="3337" width="8.6640625" style="1" bestFit="1" customWidth="1"/>
    <col min="3338" max="3338" width="11.83203125" style="1" customWidth="1"/>
    <col min="3339" max="3339" width="8.83203125" style="1" bestFit="1" customWidth="1"/>
    <col min="3340" max="3340" width="12.83203125" style="1" customWidth="1"/>
    <col min="3341" max="3341" width="8.83203125" style="1" bestFit="1" customWidth="1"/>
    <col min="3342" max="3342" width="12.6640625" style="1" bestFit="1" customWidth="1"/>
    <col min="3343" max="3343" width="9" style="1" bestFit="1" customWidth="1"/>
    <col min="3344" max="3344" width="13" style="1" customWidth="1"/>
    <col min="3345" max="3345" width="9" style="1" bestFit="1" customWidth="1"/>
    <col min="3346" max="3588" width="9.1640625" style="1"/>
    <col min="3589" max="3589" width="16.1640625" style="1" customWidth="1"/>
    <col min="3590" max="3590" width="12.83203125" style="1" customWidth="1"/>
    <col min="3591" max="3591" width="8.6640625" style="1" bestFit="1" customWidth="1"/>
    <col min="3592" max="3592" width="13.33203125" style="1" customWidth="1"/>
    <col min="3593" max="3593" width="8.6640625" style="1" bestFit="1" customWidth="1"/>
    <col min="3594" max="3594" width="11.83203125" style="1" customWidth="1"/>
    <col min="3595" max="3595" width="8.83203125" style="1" bestFit="1" customWidth="1"/>
    <col min="3596" max="3596" width="12.83203125" style="1" customWidth="1"/>
    <col min="3597" max="3597" width="8.83203125" style="1" bestFit="1" customWidth="1"/>
    <col min="3598" max="3598" width="12.6640625" style="1" bestFit="1" customWidth="1"/>
    <col min="3599" max="3599" width="9" style="1" bestFit="1" customWidth="1"/>
    <col min="3600" max="3600" width="13" style="1" customWidth="1"/>
    <col min="3601" max="3601" width="9" style="1" bestFit="1" customWidth="1"/>
    <col min="3602" max="3844" width="9.1640625" style="1"/>
    <col min="3845" max="3845" width="16.1640625" style="1" customWidth="1"/>
    <col min="3846" max="3846" width="12.83203125" style="1" customWidth="1"/>
    <col min="3847" max="3847" width="8.6640625" style="1" bestFit="1" customWidth="1"/>
    <col min="3848" max="3848" width="13.33203125" style="1" customWidth="1"/>
    <col min="3849" max="3849" width="8.6640625" style="1" bestFit="1" customWidth="1"/>
    <col min="3850" max="3850" width="11.83203125" style="1" customWidth="1"/>
    <col min="3851" max="3851" width="8.83203125" style="1" bestFit="1" customWidth="1"/>
    <col min="3852" max="3852" width="12.83203125" style="1" customWidth="1"/>
    <col min="3853" max="3853" width="8.83203125" style="1" bestFit="1" customWidth="1"/>
    <col min="3854" max="3854" width="12.6640625" style="1" bestFit="1" customWidth="1"/>
    <col min="3855" max="3855" width="9" style="1" bestFit="1" customWidth="1"/>
    <col min="3856" max="3856" width="13" style="1" customWidth="1"/>
    <col min="3857" max="3857" width="9" style="1" bestFit="1" customWidth="1"/>
    <col min="3858" max="4100" width="9.1640625" style="1"/>
    <col min="4101" max="4101" width="16.1640625" style="1" customWidth="1"/>
    <col min="4102" max="4102" width="12.83203125" style="1" customWidth="1"/>
    <col min="4103" max="4103" width="8.6640625" style="1" bestFit="1" customWidth="1"/>
    <col min="4104" max="4104" width="13.33203125" style="1" customWidth="1"/>
    <col min="4105" max="4105" width="8.6640625" style="1" bestFit="1" customWidth="1"/>
    <col min="4106" max="4106" width="11.83203125" style="1" customWidth="1"/>
    <col min="4107" max="4107" width="8.83203125" style="1" bestFit="1" customWidth="1"/>
    <col min="4108" max="4108" width="12.83203125" style="1" customWidth="1"/>
    <col min="4109" max="4109" width="8.83203125" style="1" bestFit="1" customWidth="1"/>
    <col min="4110" max="4110" width="12.6640625" style="1" bestFit="1" customWidth="1"/>
    <col min="4111" max="4111" width="9" style="1" bestFit="1" customWidth="1"/>
    <col min="4112" max="4112" width="13" style="1" customWidth="1"/>
    <col min="4113" max="4113" width="9" style="1" bestFit="1" customWidth="1"/>
    <col min="4114" max="4356" width="9.1640625" style="1"/>
    <col min="4357" max="4357" width="16.1640625" style="1" customWidth="1"/>
    <col min="4358" max="4358" width="12.83203125" style="1" customWidth="1"/>
    <col min="4359" max="4359" width="8.6640625" style="1" bestFit="1" customWidth="1"/>
    <col min="4360" max="4360" width="13.33203125" style="1" customWidth="1"/>
    <col min="4361" max="4361" width="8.6640625" style="1" bestFit="1" customWidth="1"/>
    <col min="4362" max="4362" width="11.83203125" style="1" customWidth="1"/>
    <col min="4363" max="4363" width="8.83203125" style="1" bestFit="1" customWidth="1"/>
    <col min="4364" max="4364" width="12.83203125" style="1" customWidth="1"/>
    <col min="4365" max="4365" width="8.83203125" style="1" bestFit="1" customWidth="1"/>
    <col min="4366" max="4366" width="12.6640625" style="1" bestFit="1" customWidth="1"/>
    <col min="4367" max="4367" width="9" style="1" bestFit="1" customWidth="1"/>
    <col min="4368" max="4368" width="13" style="1" customWidth="1"/>
    <col min="4369" max="4369" width="9" style="1" bestFit="1" customWidth="1"/>
    <col min="4370" max="4612" width="9.1640625" style="1"/>
    <col min="4613" max="4613" width="16.1640625" style="1" customWidth="1"/>
    <col min="4614" max="4614" width="12.83203125" style="1" customWidth="1"/>
    <col min="4615" max="4615" width="8.6640625" style="1" bestFit="1" customWidth="1"/>
    <col min="4616" max="4616" width="13.33203125" style="1" customWidth="1"/>
    <col min="4617" max="4617" width="8.6640625" style="1" bestFit="1" customWidth="1"/>
    <col min="4618" max="4618" width="11.83203125" style="1" customWidth="1"/>
    <col min="4619" max="4619" width="8.83203125" style="1" bestFit="1" customWidth="1"/>
    <col min="4620" max="4620" width="12.83203125" style="1" customWidth="1"/>
    <col min="4621" max="4621" width="8.83203125" style="1" bestFit="1" customWidth="1"/>
    <col min="4622" max="4622" width="12.6640625" style="1" bestFit="1" customWidth="1"/>
    <col min="4623" max="4623" width="9" style="1" bestFit="1" customWidth="1"/>
    <col min="4624" max="4624" width="13" style="1" customWidth="1"/>
    <col min="4625" max="4625" width="9" style="1" bestFit="1" customWidth="1"/>
    <col min="4626" max="4868" width="9.1640625" style="1"/>
    <col min="4869" max="4869" width="16.1640625" style="1" customWidth="1"/>
    <col min="4870" max="4870" width="12.83203125" style="1" customWidth="1"/>
    <col min="4871" max="4871" width="8.6640625" style="1" bestFit="1" customWidth="1"/>
    <col min="4872" max="4872" width="13.33203125" style="1" customWidth="1"/>
    <col min="4873" max="4873" width="8.6640625" style="1" bestFit="1" customWidth="1"/>
    <col min="4874" max="4874" width="11.83203125" style="1" customWidth="1"/>
    <col min="4875" max="4875" width="8.83203125" style="1" bestFit="1" customWidth="1"/>
    <col min="4876" max="4876" width="12.83203125" style="1" customWidth="1"/>
    <col min="4877" max="4877" width="8.83203125" style="1" bestFit="1" customWidth="1"/>
    <col min="4878" max="4878" width="12.6640625" style="1" bestFit="1" customWidth="1"/>
    <col min="4879" max="4879" width="9" style="1" bestFit="1" customWidth="1"/>
    <col min="4880" max="4880" width="13" style="1" customWidth="1"/>
    <col min="4881" max="4881" width="9" style="1" bestFit="1" customWidth="1"/>
    <col min="4882" max="5124" width="9.1640625" style="1"/>
    <col min="5125" max="5125" width="16.1640625" style="1" customWidth="1"/>
    <col min="5126" max="5126" width="12.83203125" style="1" customWidth="1"/>
    <col min="5127" max="5127" width="8.6640625" style="1" bestFit="1" customWidth="1"/>
    <col min="5128" max="5128" width="13.33203125" style="1" customWidth="1"/>
    <col min="5129" max="5129" width="8.6640625" style="1" bestFit="1" customWidth="1"/>
    <col min="5130" max="5130" width="11.83203125" style="1" customWidth="1"/>
    <col min="5131" max="5131" width="8.83203125" style="1" bestFit="1" customWidth="1"/>
    <col min="5132" max="5132" width="12.83203125" style="1" customWidth="1"/>
    <col min="5133" max="5133" width="8.83203125" style="1" bestFit="1" customWidth="1"/>
    <col min="5134" max="5134" width="12.6640625" style="1" bestFit="1" customWidth="1"/>
    <col min="5135" max="5135" width="9" style="1" bestFit="1" customWidth="1"/>
    <col min="5136" max="5136" width="13" style="1" customWidth="1"/>
    <col min="5137" max="5137" width="9" style="1" bestFit="1" customWidth="1"/>
    <col min="5138" max="5380" width="9.1640625" style="1"/>
    <col min="5381" max="5381" width="16.1640625" style="1" customWidth="1"/>
    <col min="5382" max="5382" width="12.83203125" style="1" customWidth="1"/>
    <col min="5383" max="5383" width="8.6640625" style="1" bestFit="1" customWidth="1"/>
    <col min="5384" max="5384" width="13.33203125" style="1" customWidth="1"/>
    <col min="5385" max="5385" width="8.6640625" style="1" bestFit="1" customWidth="1"/>
    <col min="5386" max="5386" width="11.83203125" style="1" customWidth="1"/>
    <col min="5387" max="5387" width="8.83203125" style="1" bestFit="1" customWidth="1"/>
    <col min="5388" max="5388" width="12.83203125" style="1" customWidth="1"/>
    <col min="5389" max="5389" width="8.83203125" style="1" bestFit="1" customWidth="1"/>
    <col min="5390" max="5390" width="12.6640625" style="1" bestFit="1" customWidth="1"/>
    <col min="5391" max="5391" width="9" style="1" bestFit="1" customWidth="1"/>
    <col min="5392" max="5392" width="13" style="1" customWidth="1"/>
    <col min="5393" max="5393" width="9" style="1" bestFit="1" customWidth="1"/>
    <col min="5394" max="5636" width="9.1640625" style="1"/>
    <col min="5637" max="5637" width="16.1640625" style="1" customWidth="1"/>
    <col min="5638" max="5638" width="12.83203125" style="1" customWidth="1"/>
    <col min="5639" max="5639" width="8.6640625" style="1" bestFit="1" customWidth="1"/>
    <col min="5640" max="5640" width="13.33203125" style="1" customWidth="1"/>
    <col min="5641" max="5641" width="8.6640625" style="1" bestFit="1" customWidth="1"/>
    <col min="5642" max="5642" width="11.83203125" style="1" customWidth="1"/>
    <col min="5643" max="5643" width="8.83203125" style="1" bestFit="1" customWidth="1"/>
    <col min="5644" max="5644" width="12.83203125" style="1" customWidth="1"/>
    <col min="5645" max="5645" width="8.83203125" style="1" bestFit="1" customWidth="1"/>
    <col min="5646" max="5646" width="12.6640625" style="1" bestFit="1" customWidth="1"/>
    <col min="5647" max="5647" width="9" style="1" bestFit="1" customWidth="1"/>
    <col min="5648" max="5648" width="13" style="1" customWidth="1"/>
    <col min="5649" max="5649" width="9" style="1" bestFit="1" customWidth="1"/>
    <col min="5650" max="5892" width="9.1640625" style="1"/>
    <col min="5893" max="5893" width="16.1640625" style="1" customWidth="1"/>
    <col min="5894" max="5894" width="12.83203125" style="1" customWidth="1"/>
    <col min="5895" max="5895" width="8.6640625" style="1" bestFit="1" customWidth="1"/>
    <col min="5896" max="5896" width="13.33203125" style="1" customWidth="1"/>
    <col min="5897" max="5897" width="8.6640625" style="1" bestFit="1" customWidth="1"/>
    <col min="5898" max="5898" width="11.83203125" style="1" customWidth="1"/>
    <col min="5899" max="5899" width="8.83203125" style="1" bestFit="1" customWidth="1"/>
    <col min="5900" max="5900" width="12.83203125" style="1" customWidth="1"/>
    <col min="5901" max="5901" width="8.83203125" style="1" bestFit="1" customWidth="1"/>
    <col min="5902" max="5902" width="12.6640625" style="1" bestFit="1" customWidth="1"/>
    <col min="5903" max="5903" width="9" style="1" bestFit="1" customWidth="1"/>
    <col min="5904" max="5904" width="13" style="1" customWidth="1"/>
    <col min="5905" max="5905" width="9" style="1" bestFit="1" customWidth="1"/>
    <col min="5906" max="6148" width="9.1640625" style="1"/>
    <col min="6149" max="6149" width="16.1640625" style="1" customWidth="1"/>
    <col min="6150" max="6150" width="12.83203125" style="1" customWidth="1"/>
    <col min="6151" max="6151" width="8.6640625" style="1" bestFit="1" customWidth="1"/>
    <col min="6152" max="6152" width="13.33203125" style="1" customWidth="1"/>
    <col min="6153" max="6153" width="8.6640625" style="1" bestFit="1" customWidth="1"/>
    <col min="6154" max="6154" width="11.83203125" style="1" customWidth="1"/>
    <col min="6155" max="6155" width="8.83203125" style="1" bestFit="1" customWidth="1"/>
    <col min="6156" max="6156" width="12.83203125" style="1" customWidth="1"/>
    <col min="6157" max="6157" width="8.83203125" style="1" bestFit="1" customWidth="1"/>
    <col min="6158" max="6158" width="12.6640625" style="1" bestFit="1" customWidth="1"/>
    <col min="6159" max="6159" width="9" style="1" bestFit="1" customWidth="1"/>
    <col min="6160" max="6160" width="13" style="1" customWidth="1"/>
    <col min="6161" max="6161" width="9" style="1" bestFit="1" customWidth="1"/>
    <col min="6162" max="6404" width="9.1640625" style="1"/>
    <col min="6405" max="6405" width="16.1640625" style="1" customWidth="1"/>
    <col min="6406" max="6406" width="12.83203125" style="1" customWidth="1"/>
    <col min="6407" max="6407" width="8.6640625" style="1" bestFit="1" customWidth="1"/>
    <col min="6408" max="6408" width="13.33203125" style="1" customWidth="1"/>
    <col min="6409" max="6409" width="8.6640625" style="1" bestFit="1" customWidth="1"/>
    <col min="6410" max="6410" width="11.83203125" style="1" customWidth="1"/>
    <col min="6411" max="6411" width="8.83203125" style="1" bestFit="1" customWidth="1"/>
    <col min="6412" max="6412" width="12.83203125" style="1" customWidth="1"/>
    <col min="6413" max="6413" width="8.83203125" style="1" bestFit="1" customWidth="1"/>
    <col min="6414" max="6414" width="12.6640625" style="1" bestFit="1" customWidth="1"/>
    <col min="6415" max="6415" width="9" style="1" bestFit="1" customWidth="1"/>
    <col min="6416" max="6416" width="13" style="1" customWidth="1"/>
    <col min="6417" max="6417" width="9" style="1" bestFit="1" customWidth="1"/>
    <col min="6418" max="6660" width="9.1640625" style="1"/>
    <col min="6661" max="6661" width="16.1640625" style="1" customWidth="1"/>
    <col min="6662" max="6662" width="12.83203125" style="1" customWidth="1"/>
    <col min="6663" max="6663" width="8.6640625" style="1" bestFit="1" customWidth="1"/>
    <col min="6664" max="6664" width="13.33203125" style="1" customWidth="1"/>
    <col min="6665" max="6665" width="8.6640625" style="1" bestFit="1" customWidth="1"/>
    <col min="6666" max="6666" width="11.83203125" style="1" customWidth="1"/>
    <col min="6667" max="6667" width="8.83203125" style="1" bestFit="1" customWidth="1"/>
    <col min="6668" max="6668" width="12.83203125" style="1" customWidth="1"/>
    <col min="6669" max="6669" width="8.83203125" style="1" bestFit="1" customWidth="1"/>
    <col min="6670" max="6670" width="12.6640625" style="1" bestFit="1" customWidth="1"/>
    <col min="6671" max="6671" width="9" style="1" bestFit="1" customWidth="1"/>
    <col min="6672" max="6672" width="13" style="1" customWidth="1"/>
    <col min="6673" max="6673" width="9" style="1" bestFit="1" customWidth="1"/>
    <col min="6674" max="6916" width="9.1640625" style="1"/>
    <col min="6917" max="6917" width="16.1640625" style="1" customWidth="1"/>
    <col min="6918" max="6918" width="12.83203125" style="1" customWidth="1"/>
    <col min="6919" max="6919" width="8.6640625" style="1" bestFit="1" customWidth="1"/>
    <col min="6920" max="6920" width="13.33203125" style="1" customWidth="1"/>
    <col min="6921" max="6921" width="8.6640625" style="1" bestFit="1" customWidth="1"/>
    <col min="6922" max="6922" width="11.83203125" style="1" customWidth="1"/>
    <col min="6923" max="6923" width="8.83203125" style="1" bestFit="1" customWidth="1"/>
    <col min="6924" max="6924" width="12.83203125" style="1" customWidth="1"/>
    <col min="6925" max="6925" width="8.83203125" style="1" bestFit="1" customWidth="1"/>
    <col min="6926" max="6926" width="12.6640625" style="1" bestFit="1" customWidth="1"/>
    <col min="6927" max="6927" width="9" style="1" bestFit="1" customWidth="1"/>
    <col min="6928" max="6928" width="13" style="1" customWidth="1"/>
    <col min="6929" max="6929" width="9" style="1" bestFit="1" customWidth="1"/>
    <col min="6930" max="7172" width="9.1640625" style="1"/>
    <col min="7173" max="7173" width="16.1640625" style="1" customWidth="1"/>
    <col min="7174" max="7174" width="12.83203125" style="1" customWidth="1"/>
    <col min="7175" max="7175" width="8.6640625" style="1" bestFit="1" customWidth="1"/>
    <col min="7176" max="7176" width="13.33203125" style="1" customWidth="1"/>
    <col min="7177" max="7177" width="8.6640625" style="1" bestFit="1" customWidth="1"/>
    <col min="7178" max="7178" width="11.83203125" style="1" customWidth="1"/>
    <col min="7179" max="7179" width="8.83203125" style="1" bestFit="1" customWidth="1"/>
    <col min="7180" max="7180" width="12.83203125" style="1" customWidth="1"/>
    <col min="7181" max="7181" width="8.83203125" style="1" bestFit="1" customWidth="1"/>
    <col min="7182" max="7182" width="12.6640625" style="1" bestFit="1" customWidth="1"/>
    <col min="7183" max="7183" width="9" style="1" bestFit="1" customWidth="1"/>
    <col min="7184" max="7184" width="13" style="1" customWidth="1"/>
    <col min="7185" max="7185" width="9" style="1" bestFit="1" customWidth="1"/>
    <col min="7186" max="7428" width="9.1640625" style="1"/>
    <col min="7429" max="7429" width="16.1640625" style="1" customWidth="1"/>
    <col min="7430" max="7430" width="12.83203125" style="1" customWidth="1"/>
    <col min="7431" max="7431" width="8.6640625" style="1" bestFit="1" customWidth="1"/>
    <col min="7432" max="7432" width="13.33203125" style="1" customWidth="1"/>
    <col min="7433" max="7433" width="8.6640625" style="1" bestFit="1" customWidth="1"/>
    <col min="7434" max="7434" width="11.83203125" style="1" customWidth="1"/>
    <col min="7435" max="7435" width="8.83203125" style="1" bestFit="1" customWidth="1"/>
    <col min="7436" max="7436" width="12.83203125" style="1" customWidth="1"/>
    <col min="7437" max="7437" width="8.83203125" style="1" bestFit="1" customWidth="1"/>
    <col min="7438" max="7438" width="12.6640625" style="1" bestFit="1" customWidth="1"/>
    <col min="7439" max="7439" width="9" style="1" bestFit="1" customWidth="1"/>
    <col min="7440" max="7440" width="13" style="1" customWidth="1"/>
    <col min="7441" max="7441" width="9" style="1" bestFit="1" customWidth="1"/>
    <col min="7442" max="7684" width="9.1640625" style="1"/>
    <col min="7685" max="7685" width="16.1640625" style="1" customWidth="1"/>
    <col min="7686" max="7686" width="12.83203125" style="1" customWidth="1"/>
    <col min="7687" max="7687" width="8.6640625" style="1" bestFit="1" customWidth="1"/>
    <col min="7688" max="7688" width="13.33203125" style="1" customWidth="1"/>
    <col min="7689" max="7689" width="8.6640625" style="1" bestFit="1" customWidth="1"/>
    <col min="7690" max="7690" width="11.83203125" style="1" customWidth="1"/>
    <col min="7691" max="7691" width="8.83203125" style="1" bestFit="1" customWidth="1"/>
    <col min="7692" max="7692" width="12.83203125" style="1" customWidth="1"/>
    <col min="7693" max="7693" width="8.83203125" style="1" bestFit="1" customWidth="1"/>
    <col min="7694" max="7694" width="12.6640625" style="1" bestFit="1" customWidth="1"/>
    <col min="7695" max="7695" width="9" style="1" bestFit="1" customWidth="1"/>
    <col min="7696" max="7696" width="13" style="1" customWidth="1"/>
    <col min="7697" max="7697" width="9" style="1" bestFit="1" customWidth="1"/>
    <col min="7698" max="7940" width="9.1640625" style="1"/>
    <col min="7941" max="7941" width="16.1640625" style="1" customWidth="1"/>
    <col min="7942" max="7942" width="12.83203125" style="1" customWidth="1"/>
    <col min="7943" max="7943" width="8.6640625" style="1" bestFit="1" customWidth="1"/>
    <col min="7944" max="7944" width="13.33203125" style="1" customWidth="1"/>
    <col min="7945" max="7945" width="8.6640625" style="1" bestFit="1" customWidth="1"/>
    <col min="7946" max="7946" width="11.83203125" style="1" customWidth="1"/>
    <col min="7947" max="7947" width="8.83203125" style="1" bestFit="1" customWidth="1"/>
    <col min="7948" max="7948" width="12.83203125" style="1" customWidth="1"/>
    <col min="7949" max="7949" width="8.83203125" style="1" bestFit="1" customWidth="1"/>
    <col min="7950" max="7950" width="12.6640625" style="1" bestFit="1" customWidth="1"/>
    <col min="7951" max="7951" width="9" style="1" bestFit="1" customWidth="1"/>
    <col min="7952" max="7952" width="13" style="1" customWidth="1"/>
    <col min="7953" max="7953" width="9" style="1" bestFit="1" customWidth="1"/>
    <col min="7954" max="8196" width="9.1640625" style="1"/>
    <col min="8197" max="8197" width="16.1640625" style="1" customWidth="1"/>
    <col min="8198" max="8198" width="12.83203125" style="1" customWidth="1"/>
    <col min="8199" max="8199" width="8.6640625" style="1" bestFit="1" customWidth="1"/>
    <col min="8200" max="8200" width="13.33203125" style="1" customWidth="1"/>
    <col min="8201" max="8201" width="8.6640625" style="1" bestFit="1" customWidth="1"/>
    <col min="8202" max="8202" width="11.83203125" style="1" customWidth="1"/>
    <col min="8203" max="8203" width="8.83203125" style="1" bestFit="1" customWidth="1"/>
    <col min="8204" max="8204" width="12.83203125" style="1" customWidth="1"/>
    <col min="8205" max="8205" width="8.83203125" style="1" bestFit="1" customWidth="1"/>
    <col min="8206" max="8206" width="12.6640625" style="1" bestFit="1" customWidth="1"/>
    <col min="8207" max="8207" width="9" style="1" bestFit="1" customWidth="1"/>
    <col min="8208" max="8208" width="13" style="1" customWidth="1"/>
    <col min="8209" max="8209" width="9" style="1" bestFit="1" customWidth="1"/>
    <col min="8210" max="8452" width="9.1640625" style="1"/>
    <col min="8453" max="8453" width="16.1640625" style="1" customWidth="1"/>
    <col min="8454" max="8454" width="12.83203125" style="1" customWidth="1"/>
    <col min="8455" max="8455" width="8.6640625" style="1" bestFit="1" customWidth="1"/>
    <col min="8456" max="8456" width="13.33203125" style="1" customWidth="1"/>
    <col min="8457" max="8457" width="8.6640625" style="1" bestFit="1" customWidth="1"/>
    <col min="8458" max="8458" width="11.83203125" style="1" customWidth="1"/>
    <col min="8459" max="8459" width="8.83203125" style="1" bestFit="1" customWidth="1"/>
    <col min="8460" max="8460" width="12.83203125" style="1" customWidth="1"/>
    <col min="8461" max="8461" width="8.83203125" style="1" bestFit="1" customWidth="1"/>
    <col min="8462" max="8462" width="12.6640625" style="1" bestFit="1" customWidth="1"/>
    <col min="8463" max="8463" width="9" style="1" bestFit="1" customWidth="1"/>
    <col min="8464" max="8464" width="13" style="1" customWidth="1"/>
    <col min="8465" max="8465" width="9" style="1" bestFit="1" customWidth="1"/>
    <col min="8466" max="8708" width="9.1640625" style="1"/>
    <col min="8709" max="8709" width="16.1640625" style="1" customWidth="1"/>
    <col min="8710" max="8710" width="12.83203125" style="1" customWidth="1"/>
    <col min="8711" max="8711" width="8.6640625" style="1" bestFit="1" customWidth="1"/>
    <col min="8712" max="8712" width="13.33203125" style="1" customWidth="1"/>
    <col min="8713" max="8713" width="8.6640625" style="1" bestFit="1" customWidth="1"/>
    <col min="8714" max="8714" width="11.83203125" style="1" customWidth="1"/>
    <col min="8715" max="8715" width="8.83203125" style="1" bestFit="1" customWidth="1"/>
    <col min="8716" max="8716" width="12.83203125" style="1" customWidth="1"/>
    <col min="8717" max="8717" width="8.83203125" style="1" bestFit="1" customWidth="1"/>
    <col min="8718" max="8718" width="12.6640625" style="1" bestFit="1" customWidth="1"/>
    <col min="8719" max="8719" width="9" style="1" bestFit="1" customWidth="1"/>
    <col min="8720" max="8720" width="13" style="1" customWidth="1"/>
    <col min="8721" max="8721" width="9" style="1" bestFit="1" customWidth="1"/>
    <col min="8722" max="8964" width="9.1640625" style="1"/>
    <col min="8965" max="8965" width="16.1640625" style="1" customWidth="1"/>
    <col min="8966" max="8966" width="12.83203125" style="1" customWidth="1"/>
    <col min="8967" max="8967" width="8.6640625" style="1" bestFit="1" customWidth="1"/>
    <col min="8968" max="8968" width="13.33203125" style="1" customWidth="1"/>
    <col min="8969" max="8969" width="8.6640625" style="1" bestFit="1" customWidth="1"/>
    <col min="8970" max="8970" width="11.83203125" style="1" customWidth="1"/>
    <col min="8971" max="8971" width="8.83203125" style="1" bestFit="1" customWidth="1"/>
    <col min="8972" max="8972" width="12.83203125" style="1" customWidth="1"/>
    <col min="8973" max="8973" width="8.83203125" style="1" bestFit="1" customWidth="1"/>
    <col min="8974" max="8974" width="12.6640625" style="1" bestFit="1" customWidth="1"/>
    <col min="8975" max="8975" width="9" style="1" bestFit="1" customWidth="1"/>
    <col min="8976" max="8976" width="13" style="1" customWidth="1"/>
    <col min="8977" max="8977" width="9" style="1" bestFit="1" customWidth="1"/>
    <col min="8978" max="9220" width="9.1640625" style="1"/>
    <col min="9221" max="9221" width="16.1640625" style="1" customWidth="1"/>
    <col min="9222" max="9222" width="12.83203125" style="1" customWidth="1"/>
    <col min="9223" max="9223" width="8.6640625" style="1" bestFit="1" customWidth="1"/>
    <col min="9224" max="9224" width="13.33203125" style="1" customWidth="1"/>
    <col min="9225" max="9225" width="8.6640625" style="1" bestFit="1" customWidth="1"/>
    <col min="9226" max="9226" width="11.83203125" style="1" customWidth="1"/>
    <col min="9227" max="9227" width="8.83203125" style="1" bestFit="1" customWidth="1"/>
    <col min="9228" max="9228" width="12.83203125" style="1" customWidth="1"/>
    <col min="9229" max="9229" width="8.83203125" style="1" bestFit="1" customWidth="1"/>
    <col min="9230" max="9230" width="12.6640625" style="1" bestFit="1" customWidth="1"/>
    <col min="9231" max="9231" width="9" style="1" bestFit="1" customWidth="1"/>
    <col min="9232" max="9232" width="13" style="1" customWidth="1"/>
    <col min="9233" max="9233" width="9" style="1" bestFit="1" customWidth="1"/>
    <col min="9234" max="9476" width="9.1640625" style="1"/>
    <col min="9477" max="9477" width="16.1640625" style="1" customWidth="1"/>
    <col min="9478" max="9478" width="12.83203125" style="1" customWidth="1"/>
    <col min="9479" max="9479" width="8.6640625" style="1" bestFit="1" customWidth="1"/>
    <col min="9480" max="9480" width="13.33203125" style="1" customWidth="1"/>
    <col min="9481" max="9481" width="8.6640625" style="1" bestFit="1" customWidth="1"/>
    <col min="9482" max="9482" width="11.83203125" style="1" customWidth="1"/>
    <col min="9483" max="9483" width="8.83203125" style="1" bestFit="1" customWidth="1"/>
    <col min="9484" max="9484" width="12.83203125" style="1" customWidth="1"/>
    <col min="9485" max="9485" width="8.83203125" style="1" bestFit="1" customWidth="1"/>
    <col min="9486" max="9486" width="12.6640625" style="1" bestFit="1" customWidth="1"/>
    <col min="9487" max="9487" width="9" style="1" bestFit="1" customWidth="1"/>
    <col min="9488" max="9488" width="13" style="1" customWidth="1"/>
    <col min="9489" max="9489" width="9" style="1" bestFit="1" customWidth="1"/>
    <col min="9490" max="9732" width="9.1640625" style="1"/>
    <col min="9733" max="9733" width="16.1640625" style="1" customWidth="1"/>
    <col min="9734" max="9734" width="12.83203125" style="1" customWidth="1"/>
    <col min="9735" max="9735" width="8.6640625" style="1" bestFit="1" customWidth="1"/>
    <col min="9736" max="9736" width="13.33203125" style="1" customWidth="1"/>
    <col min="9737" max="9737" width="8.6640625" style="1" bestFit="1" customWidth="1"/>
    <col min="9738" max="9738" width="11.83203125" style="1" customWidth="1"/>
    <col min="9739" max="9739" width="8.83203125" style="1" bestFit="1" customWidth="1"/>
    <col min="9740" max="9740" width="12.83203125" style="1" customWidth="1"/>
    <col min="9741" max="9741" width="8.83203125" style="1" bestFit="1" customWidth="1"/>
    <col min="9742" max="9742" width="12.6640625" style="1" bestFit="1" customWidth="1"/>
    <col min="9743" max="9743" width="9" style="1" bestFit="1" customWidth="1"/>
    <col min="9744" max="9744" width="13" style="1" customWidth="1"/>
    <col min="9745" max="9745" width="9" style="1" bestFit="1" customWidth="1"/>
    <col min="9746" max="9988" width="9.1640625" style="1"/>
    <col min="9989" max="9989" width="16.1640625" style="1" customWidth="1"/>
    <col min="9990" max="9990" width="12.83203125" style="1" customWidth="1"/>
    <col min="9991" max="9991" width="8.6640625" style="1" bestFit="1" customWidth="1"/>
    <col min="9992" max="9992" width="13.33203125" style="1" customWidth="1"/>
    <col min="9993" max="9993" width="8.6640625" style="1" bestFit="1" customWidth="1"/>
    <col min="9994" max="9994" width="11.83203125" style="1" customWidth="1"/>
    <col min="9995" max="9995" width="8.83203125" style="1" bestFit="1" customWidth="1"/>
    <col min="9996" max="9996" width="12.83203125" style="1" customWidth="1"/>
    <col min="9997" max="9997" width="8.83203125" style="1" bestFit="1" customWidth="1"/>
    <col min="9998" max="9998" width="12.6640625" style="1" bestFit="1" customWidth="1"/>
    <col min="9999" max="9999" width="9" style="1" bestFit="1" customWidth="1"/>
    <col min="10000" max="10000" width="13" style="1" customWidth="1"/>
    <col min="10001" max="10001" width="9" style="1" bestFit="1" customWidth="1"/>
    <col min="10002" max="10244" width="9.1640625" style="1"/>
    <col min="10245" max="10245" width="16.1640625" style="1" customWidth="1"/>
    <col min="10246" max="10246" width="12.83203125" style="1" customWidth="1"/>
    <col min="10247" max="10247" width="8.6640625" style="1" bestFit="1" customWidth="1"/>
    <col min="10248" max="10248" width="13.33203125" style="1" customWidth="1"/>
    <col min="10249" max="10249" width="8.6640625" style="1" bestFit="1" customWidth="1"/>
    <col min="10250" max="10250" width="11.83203125" style="1" customWidth="1"/>
    <col min="10251" max="10251" width="8.83203125" style="1" bestFit="1" customWidth="1"/>
    <col min="10252" max="10252" width="12.83203125" style="1" customWidth="1"/>
    <col min="10253" max="10253" width="8.83203125" style="1" bestFit="1" customWidth="1"/>
    <col min="10254" max="10254" width="12.6640625" style="1" bestFit="1" customWidth="1"/>
    <col min="10255" max="10255" width="9" style="1" bestFit="1" customWidth="1"/>
    <col min="10256" max="10256" width="13" style="1" customWidth="1"/>
    <col min="10257" max="10257" width="9" style="1" bestFit="1" customWidth="1"/>
    <col min="10258" max="10500" width="9.1640625" style="1"/>
    <col min="10501" max="10501" width="16.1640625" style="1" customWidth="1"/>
    <col min="10502" max="10502" width="12.83203125" style="1" customWidth="1"/>
    <col min="10503" max="10503" width="8.6640625" style="1" bestFit="1" customWidth="1"/>
    <col min="10504" max="10504" width="13.33203125" style="1" customWidth="1"/>
    <col min="10505" max="10505" width="8.6640625" style="1" bestFit="1" customWidth="1"/>
    <col min="10506" max="10506" width="11.83203125" style="1" customWidth="1"/>
    <col min="10507" max="10507" width="8.83203125" style="1" bestFit="1" customWidth="1"/>
    <col min="10508" max="10508" width="12.83203125" style="1" customWidth="1"/>
    <col min="10509" max="10509" width="8.83203125" style="1" bestFit="1" customWidth="1"/>
    <col min="10510" max="10510" width="12.6640625" style="1" bestFit="1" customWidth="1"/>
    <col min="10511" max="10511" width="9" style="1" bestFit="1" customWidth="1"/>
    <col min="10512" max="10512" width="13" style="1" customWidth="1"/>
    <col min="10513" max="10513" width="9" style="1" bestFit="1" customWidth="1"/>
    <col min="10514" max="10756" width="9.1640625" style="1"/>
    <col min="10757" max="10757" width="16.1640625" style="1" customWidth="1"/>
    <col min="10758" max="10758" width="12.83203125" style="1" customWidth="1"/>
    <col min="10759" max="10759" width="8.6640625" style="1" bestFit="1" customWidth="1"/>
    <col min="10760" max="10760" width="13.33203125" style="1" customWidth="1"/>
    <col min="10761" max="10761" width="8.6640625" style="1" bestFit="1" customWidth="1"/>
    <col min="10762" max="10762" width="11.83203125" style="1" customWidth="1"/>
    <col min="10763" max="10763" width="8.83203125" style="1" bestFit="1" customWidth="1"/>
    <col min="10764" max="10764" width="12.83203125" style="1" customWidth="1"/>
    <col min="10765" max="10765" width="8.83203125" style="1" bestFit="1" customWidth="1"/>
    <col min="10766" max="10766" width="12.6640625" style="1" bestFit="1" customWidth="1"/>
    <col min="10767" max="10767" width="9" style="1" bestFit="1" customWidth="1"/>
    <col min="10768" max="10768" width="13" style="1" customWidth="1"/>
    <col min="10769" max="10769" width="9" style="1" bestFit="1" customWidth="1"/>
    <col min="10770" max="11012" width="9.1640625" style="1"/>
    <col min="11013" max="11013" width="16.1640625" style="1" customWidth="1"/>
    <col min="11014" max="11014" width="12.83203125" style="1" customWidth="1"/>
    <col min="11015" max="11015" width="8.6640625" style="1" bestFit="1" customWidth="1"/>
    <col min="11016" max="11016" width="13.33203125" style="1" customWidth="1"/>
    <col min="11017" max="11017" width="8.6640625" style="1" bestFit="1" customWidth="1"/>
    <col min="11018" max="11018" width="11.83203125" style="1" customWidth="1"/>
    <col min="11019" max="11019" width="8.83203125" style="1" bestFit="1" customWidth="1"/>
    <col min="11020" max="11020" width="12.83203125" style="1" customWidth="1"/>
    <col min="11021" max="11021" width="8.83203125" style="1" bestFit="1" customWidth="1"/>
    <col min="11022" max="11022" width="12.6640625" style="1" bestFit="1" customWidth="1"/>
    <col min="11023" max="11023" width="9" style="1" bestFit="1" customWidth="1"/>
    <col min="11024" max="11024" width="13" style="1" customWidth="1"/>
    <col min="11025" max="11025" width="9" style="1" bestFit="1" customWidth="1"/>
    <col min="11026" max="11268" width="9.1640625" style="1"/>
    <col min="11269" max="11269" width="16.1640625" style="1" customWidth="1"/>
    <col min="11270" max="11270" width="12.83203125" style="1" customWidth="1"/>
    <col min="11271" max="11271" width="8.6640625" style="1" bestFit="1" customWidth="1"/>
    <col min="11272" max="11272" width="13.33203125" style="1" customWidth="1"/>
    <col min="11273" max="11273" width="8.6640625" style="1" bestFit="1" customWidth="1"/>
    <col min="11274" max="11274" width="11.83203125" style="1" customWidth="1"/>
    <col min="11275" max="11275" width="8.83203125" style="1" bestFit="1" customWidth="1"/>
    <col min="11276" max="11276" width="12.83203125" style="1" customWidth="1"/>
    <col min="11277" max="11277" width="8.83203125" style="1" bestFit="1" customWidth="1"/>
    <col min="11278" max="11278" width="12.6640625" style="1" bestFit="1" customWidth="1"/>
    <col min="11279" max="11279" width="9" style="1" bestFit="1" customWidth="1"/>
    <col min="11280" max="11280" width="13" style="1" customWidth="1"/>
    <col min="11281" max="11281" width="9" style="1" bestFit="1" customWidth="1"/>
    <col min="11282" max="11524" width="9.1640625" style="1"/>
    <col min="11525" max="11525" width="16.1640625" style="1" customWidth="1"/>
    <col min="11526" max="11526" width="12.83203125" style="1" customWidth="1"/>
    <col min="11527" max="11527" width="8.6640625" style="1" bestFit="1" customWidth="1"/>
    <col min="11528" max="11528" width="13.33203125" style="1" customWidth="1"/>
    <col min="11529" max="11529" width="8.6640625" style="1" bestFit="1" customWidth="1"/>
    <col min="11530" max="11530" width="11.83203125" style="1" customWidth="1"/>
    <col min="11531" max="11531" width="8.83203125" style="1" bestFit="1" customWidth="1"/>
    <col min="11532" max="11532" width="12.83203125" style="1" customWidth="1"/>
    <col min="11533" max="11533" width="8.83203125" style="1" bestFit="1" customWidth="1"/>
    <col min="11534" max="11534" width="12.6640625" style="1" bestFit="1" customWidth="1"/>
    <col min="11535" max="11535" width="9" style="1" bestFit="1" customWidth="1"/>
    <col min="11536" max="11536" width="13" style="1" customWidth="1"/>
    <col min="11537" max="11537" width="9" style="1" bestFit="1" customWidth="1"/>
    <col min="11538" max="11780" width="9.1640625" style="1"/>
    <col min="11781" max="11781" width="16.1640625" style="1" customWidth="1"/>
    <col min="11782" max="11782" width="12.83203125" style="1" customWidth="1"/>
    <col min="11783" max="11783" width="8.6640625" style="1" bestFit="1" customWidth="1"/>
    <col min="11784" max="11784" width="13.33203125" style="1" customWidth="1"/>
    <col min="11785" max="11785" width="8.6640625" style="1" bestFit="1" customWidth="1"/>
    <col min="11786" max="11786" width="11.83203125" style="1" customWidth="1"/>
    <col min="11787" max="11787" width="8.83203125" style="1" bestFit="1" customWidth="1"/>
    <col min="11788" max="11788" width="12.83203125" style="1" customWidth="1"/>
    <col min="11789" max="11789" width="8.83203125" style="1" bestFit="1" customWidth="1"/>
    <col min="11790" max="11790" width="12.6640625" style="1" bestFit="1" customWidth="1"/>
    <col min="11791" max="11791" width="9" style="1" bestFit="1" customWidth="1"/>
    <col min="11792" max="11792" width="13" style="1" customWidth="1"/>
    <col min="11793" max="11793" width="9" style="1" bestFit="1" customWidth="1"/>
    <col min="11794" max="12036" width="9.1640625" style="1"/>
    <col min="12037" max="12037" width="16.1640625" style="1" customWidth="1"/>
    <col min="12038" max="12038" width="12.83203125" style="1" customWidth="1"/>
    <col min="12039" max="12039" width="8.6640625" style="1" bestFit="1" customWidth="1"/>
    <col min="12040" max="12040" width="13.33203125" style="1" customWidth="1"/>
    <col min="12041" max="12041" width="8.6640625" style="1" bestFit="1" customWidth="1"/>
    <col min="12042" max="12042" width="11.83203125" style="1" customWidth="1"/>
    <col min="12043" max="12043" width="8.83203125" style="1" bestFit="1" customWidth="1"/>
    <col min="12044" max="12044" width="12.83203125" style="1" customWidth="1"/>
    <col min="12045" max="12045" width="8.83203125" style="1" bestFit="1" customWidth="1"/>
    <col min="12046" max="12046" width="12.6640625" style="1" bestFit="1" customWidth="1"/>
    <col min="12047" max="12047" width="9" style="1" bestFit="1" customWidth="1"/>
    <col min="12048" max="12048" width="13" style="1" customWidth="1"/>
    <col min="12049" max="12049" width="9" style="1" bestFit="1" customWidth="1"/>
    <col min="12050" max="12292" width="9.1640625" style="1"/>
    <col min="12293" max="12293" width="16.1640625" style="1" customWidth="1"/>
    <col min="12294" max="12294" width="12.83203125" style="1" customWidth="1"/>
    <col min="12295" max="12295" width="8.6640625" style="1" bestFit="1" customWidth="1"/>
    <col min="12296" max="12296" width="13.33203125" style="1" customWidth="1"/>
    <col min="12297" max="12297" width="8.6640625" style="1" bestFit="1" customWidth="1"/>
    <col min="12298" max="12298" width="11.83203125" style="1" customWidth="1"/>
    <col min="12299" max="12299" width="8.83203125" style="1" bestFit="1" customWidth="1"/>
    <col min="12300" max="12300" width="12.83203125" style="1" customWidth="1"/>
    <col min="12301" max="12301" width="8.83203125" style="1" bestFit="1" customWidth="1"/>
    <col min="12302" max="12302" width="12.6640625" style="1" bestFit="1" customWidth="1"/>
    <col min="12303" max="12303" width="9" style="1" bestFit="1" customWidth="1"/>
    <col min="12304" max="12304" width="13" style="1" customWidth="1"/>
    <col min="12305" max="12305" width="9" style="1" bestFit="1" customWidth="1"/>
    <col min="12306" max="12548" width="9.1640625" style="1"/>
    <col min="12549" max="12549" width="16.1640625" style="1" customWidth="1"/>
    <col min="12550" max="12550" width="12.83203125" style="1" customWidth="1"/>
    <col min="12551" max="12551" width="8.6640625" style="1" bestFit="1" customWidth="1"/>
    <col min="12552" max="12552" width="13.33203125" style="1" customWidth="1"/>
    <col min="12553" max="12553" width="8.6640625" style="1" bestFit="1" customWidth="1"/>
    <col min="12554" max="12554" width="11.83203125" style="1" customWidth="1"/>
    <col min="12555" max="12555" width="8.83203125" style="1" bestFit="1" customWidth="1"/>
    <col min="12556" max="12556" width="12.83203125" style="1" customWidth="1"/>
    <col min="12557" max="12557" width="8.83203125" style="1" bestFit="1" customWidth="1"/>
    <col min="12558" max="12558" width="12.6640625" style="1" bestFit="1" customWidth="1"/>
    <col min="12559" max="12559" width="9" style="1" bestFit="1" customWidth="1"/>
    <col min="12560" max="12560" width="13" style="1" customWidth="1"/>
    <col min="12561" max="12561" width="9" style="1" bestFit="1" customWidth="1"/>
    <col min="12562" max="12804" width="9.1640625" style="1"/>
    <col min="12805" max="12805" width="16.1640625" style="1" customWidth="1"/>
    <col min="12806" max="12806" width="12.83203125" style="1" customWidth="1"/>
    <col min="12807" max="12807" width="8.6640625" style="1" bestFit="1" customWidth="1"/>
    <col min="12808" max="12808" width="13.33203125" style="1" customWidth="1"/>
    <col min="12809" max="12809" width="8.6640625" style="1" bestFit="1" customWidth="1"/>
    <col min="12810" max="12810" width="11.83203125" style="1" customWidth="1"/>
    <col min="12811" max="12811" width="8.83203125" style="1" bestFit="1" customWidth="1"/>
    <col min="12812" max="12812" width="12.83203125" style="1" customWidth="1"/>
    <col min="12813" max="12813" width="8.83203125" style="1" bestFit="1" customWidth="1"/>
    <col min="12814" max="12814" width="12.6640625" style="1" bestFit="1" customWidth="1"/>
    <col min="12815" max="12815" width="9" style="1" bestFit="1" customWidth="1"/>
    <col min="12816" max="12816" width="13" style="1" customWidth="1"/>
    <col min="12817" max="12817" width="9" style="1" bestFit="1" customWidth="1"/>
    <col min="12818" max="13060" width="9.1640625" style="1"/>
    <col min="13061" max="13061" width="16.1640625" style="1" customWidth="1"/>
    <col min="13062" max="13062" width="12.83203125" style="1" customWidth="1"/>
    <col min="13063" max="13063" width="8.6640625" style="1" bestFit="1" customWidth="1"/>
    <col min="13064" max="13064" width="13.33203125" style="1" customWidth="1"/>
    <col min="13065" max="13065" width="8.6640625" style="1" bestFit="1" customWidth="1"/>
    <col min="13066" max="13066" width="11.83203125" style="1" customWidth="1"/>
    <col min="13067" max="13067" width="8.83203125" style="1" bestFit="1" customWidth="1"/>
    <col min="13068" max="13068" width="12.83203125" style="1" customWidth="1"/>
    <col min="13069" max="13069" width="8.83203125" style="1" bestFit="1" customWidth="1"/>
    <col min="13070" max="13070" width="12.6640625" style="1" bestFit="1" customWidth="1"/>
    <col min="13071" max="13071" width="9" style="1" bestFit="1" customWidth="1"/>
    <col min="13072" max="13072" width="13" style="1" customWidth="1"/>
    <col min="13073" max="13073" width="9" style="1" bestFit="1" customWidth="1"/>
    <col min="13074" max="13316" width="9.1640625" style="1"/>
    <col min="13317" max="13317" width="16.1640625" style="1" customWidth="1"/>
    <col min="13318" max="13318" width="12.83203125" style="1" customWidth="1"/>
    <col min="13319" max="13319" width="8.6640625" style="1" bestFit="1" customWidth="1"/>
    <col min="13320" max="13320" width="13.33203125" style="1" customWidth="1"/>
    <col min="13321" max="13321" width="8.6640625" style="1" bestFit="1" customWidth="1"/>
    <col min="13322" max="13322" width="11.83203125" style="1" customWidth="1"/>
    <col min="13323" max="13323" width="8.83203125" style="1" bestFit="1" customWidth="1"/>
    <col min="13324" max="13324" width="12.83203125" style="1" customWidth="1"/>
    <col min="13325" max="13325" width="8.83203125" style="1" bestFit="1" customWidth="1"/>
    <col min="13326" max="13326" width="12.6640625" style="1" bestFit="1" customWidth="1"/>
    <col min="13327" max="13327" width="9" style="1" bestFit="1" customWidth="1"/>
    <col min="13328" max="13328" width="13" style="1" customWidth="1"/>
    <col min="13329" max="13329" width="9" style="1" bestFit="1" customWidth="1"/>
    <col min="13330" max="13572" width="9.1640625" style="1"/>
    <col min="13573" max="13573" width="16.1640625" style="1" customWidth="1"/>
    <col min="13574" max="13574" width="12.83203125" style="1" customWidth="1"/>
    <col min="13575" max="13575" width="8.6640625" style="1" bestFit="1" customWidth="1"/>
    <col min="13576" max="13576" width="13.33203125" style="1" customWidth="1"/>
    <col min="13577" max="13577" width="8.6640625" style="1" bestFit="1" customWidth="1"/>
    <col min="13578" max="13578" width="11.83203125" style="1" customWidth="1"/>
    <col min="13579" max="13579" width="8.83203125" style="1" bestFit="1" customWidth="1"/>
    <col min="13580" max="13580" width="12.83203125" style="1" customWidth="1"/>
    <col min="13581" max="13581" width="8.83203125" style="1" bestFit="1" customWidth="1"/>
    <col min="13582" max="13582" width="12.6640625" style="1" bestFit="1" customWidth="1"/>
    <col min="13583" max="13583" width="9" style="1" bestFit="1" customWidth="1"/>
    <col min="13584" max="13584" width="13" style="1" customWidth="1"/>
    <col min="13585" max="13585" width="9" style="1" bestFit="1" customWidth="1"/>
    <col min="13586" max="13828" width="9.1640625" style="1"/>
    <col min="13829" max="13829" width="16.1640625" style="1" customWidth="1"/>
    <col min="13830" max="13830" width="12.83203125" style="1" customWidth="1"/>
    <col min="13831" max="13831" width="8.6640625" style="1" bestFit="1" customWidth="1"/>
    <col min="13832" max="13832" width="13.33203125" style="1" customWidth="1"/>
    <col min="13833" max="13833" width="8.6640625" style="1" bestFit="1" customWidth="1"/>
    <col min="13834" max="13834" width="11.83203125" style="1" customWidth="1"/>
    <col min="13835" max="13835" width="8.83203125" style="1" bestFit="1" customWidth="1"/>
    <col min="13836" max="13836" width="12.83203125" style="1" customWidth="1"/>
    <col min="13837" max="13837" width="8.83203125" style="1" bestFit="1" customWidth="1"/>
    <col min="13838" max="13838" width="12.6640625" style="1" bestFit="1" customWidth="1"/>
    <col min="13839" max="13839" width="9" style="1" bestFit="1" customWidth="1"/>
    <col min="13840" max="13840" width="13" style="1" customWidth="1"/>
    <col min="13841" max="13841" width="9" style="1" bestFit="1" customWidth="1"/>
    <col min="13842" max="14084" width="9.1640625" style="1"/>
    <col min="14085" max="14085" width="16.1640625" style="1" customWidth="1"/>
    <col min="14086" max="14086" width="12.83203125" style="1" customWidth="1"/>
    <col min="14087" max="14087" width="8.6640625" style="1" bestFit="1" customWidth="1"/>
    <col min="14088" max="14088" width="13.33203125" style="1" customWidth="1"/>
    <col min="14089" max="14089" width="8.6640625" style="1" bestFit="1" customWidth="1"/>
    <col min="14090" max="14090" width="11.83203125" style="1" customWidth="1"/>
    <col min="14091" max="14091" width="8.83203125" style="1" bestFit="1" customWidth="1"/>
    <col min="14092" max="14092" width="12.83203125" style="1" customWidth="1"/>
    <col min="14093" max="14093" width="8.83203125" style="1" bestFit="1" customWidth="1"/>
    <col min="14094" max="14094" width="12.6640625" style="1" bestFit="1" customWidth="1"/>
    <col min="14095" max="14095" width="9" style="1" bestFit="1" customWidth="1"/>
    <col min="14096" max="14096" width="13" style="1" customWidth="1"/>
    <col min="14097" max="14097" width="9" style="1" bestFit="1" customWidth="1"/>
    <col min="14098" max="14340" width="9.1640625" style="1"/>
    <col min="14341" max="14341" width="16.1640625" style="1" customWidth="1"/>
    <col min="14342" max="14342" width="12.83203125" style="1" customWidth="1"/>
    <col min="14343" max="14343" width="8.6640625" style="1" bestFit="1" customWidth="1"/>
    <col min="14344" max="14344" width="13.33203125" style="1" customWidth="1"/>
    <col min="14345" max="14345" width="8.6640625" style="1" bestFit="1" customWidth="1"/>
    <col min="14346" max="14346" width="11.83203125" style="1" customWidth="1"/>
    <col min="14347" max="14347" width="8.83203125" style="1" bestFit="1" customWidth="1"/>
    <col min="14348" max="14348" width="12.83203125" style="1" customWidth="1"/>
    <col min="14349" max="14349" width="8.83203125" style="1" bestFit="1" customWidth="1"/>
    <col min="14350" max="14350" width="12.6640625" style="1" bestFit="1" customWidth="1"/>
    <col min="14351" max="14351" width="9" style="1" bestFit="1" customWidth="1"/>
    <col min="14352" max="14352" width="13" style="1" customWidth="1"/>
    <col min="14353" max="14353" width="9" style="1" bestFit="1" customWidth="1"/>
    <col min="14354" max="14596" width="9.1640625" style="1"/>
    <col min="14597" max="14597" width="16.1640625" style="1" customWidth="1"/>
    <col min="14598" max="14598" width="12.83203125" style="1" customWidth="1"/>
    <col min="14599" max="14599" width="8.6640625" style="1" bestFit="1" customWidth="1"/>
    <col min="14600" max="14600" width="13.33203125" style="1" customWidth="1"/>
    <col min="14601" max="14601" width="8.6640625" style="1" bestFit="1" customWidth="1"/>
    <col min="14602" max="14602" width="11.83203125" style="1" customWidth="1"/>
    <col min="14603" max="14603" width="8.83203125" style="1" bestFit="1" customWidth="1"/>
    <col min="14604" max="14604" width="12.83203125" style="1" customWidth="1"/>
    <col min="14605" max="14605" width="8.83203125" style="1" bestFit="1" customWidth="1"/>
    <col min="14606" max="14606" width="12.6640625" style="1" bestFit="1" customWidth="1"/>
    <col min="14607" max="14607" width="9" style="1" bestFit="1" customWidth="1"/>
    <col min="14608" max="14608" width="13" style="1" customWidth="1"/>
    <col min="14609" max="14609" width="9" style="1" bestFit="1" customWidth="1"/>
    <col min="14610" max="14852" width="9.1640625" style="1"/>
    <col min="14853" max="14853" width="16.1640625" style="1" customWidth="1"/>
    <col min="14854" max="14854" width="12.83203125" style="1" customWidth="1"/>
    <col min="14855" max="14855" width="8.6640625" style="1" bestFit="1" customWidth="1"/>
    <col min="14856" max="14856" width="13.33203125" style="1" customWidth="1"/>
    <col min="14857" max="14857" width="8.6640625" style="1" bestFit="1" customWidth="1"/>
    <col min="14858" max="14858" width="11.83203125" style="1" customWidth="1"/>
    <col min="14859" max="14859" width="8.83203125" style="1" bestFit="1" customWidth="1"/>
    <col min="14860" max="14860" width="12.83203125" style="1" customWidth="1"/>
    <col min="14861" max="14861" width="8.83203125" style="1" bestFit="1" customWidth="1"/>
    <col min="14862" max="14862" width="12.6640625" style="1" bestFit="1" customWidth="1"/>
    <col min="14863" max="14863" width="9" style="1" bestFit="1" customWidth="1"/>
    <col min="14864" max="14864" width="13" style="1" customWidth="1"/>
    <col min="14865" max="14865" width="9" style="1" bestFit="1" customWidth="1"/>
    <col min="14866" max="15108" width="9.1640625" style="1"/>
    <col min="15109" max="15109" width="16.1640625" style="1" customWidth="1"/>
    <col min="15110" max="15110" width="12.83203125" style="1" customWidth="1"/>
    <col min="15111" max="15111" width="8.6640625" style="1" bestFit="1" customWidth="1"/>
    <col min="15112" max="15112" width="13.33203125" style="1" customWidth="1"/>
    <col min="15113" max="15113" width="8.6640625" style="1" bestFit="1" customWidth="1"/>
    <col min="15114" max="15114" width="11.83203125" style="1" customWidth="1"/>
    <col min="15115" max="15115" width="8.83203125" style="1" bestFit="1" customWidth="1"/>
    <col min="15116" max="15116" width="12.83203125" style="1" customWidth="1"/>
    <col min="15117" max="15117" width="8.83203125" style="1" bestFit="1" customWidth="1"/>
    <col min="15118" max="15118" width="12.6640625" style="1" bestFit="1" customWidth="1"/>
    <col min="15119" max="15119" width="9" style="1" bestFit="1" customWidth="1"/>
    <col min="15120" max="15120" width="13" style="1" customWidth="1"/>
    <col min="15121" max="15121" width="9" style="1" bestFit="1" customWidth="1"/>
    <col min="15122" max="15364" width="9.1640625" style="1"/>
    <col min="15365" max="15365" width="16.1640625" style="1" customWidth="1"/>
    <col min="15366" max="15366" width="12.83203125" style="1" customWidth="1"/>
    <col min="15367" max="15367" width="8.6640625" style="1" bestFit="1" customWidth="1"/>
    <col min="15368" max="15368" width="13.33203125" style="1" customWidth="1"/>
    <col min="15369" max="15369" width="8.6640625" style="1" bestFit="1" customWidth="1"/>
    <col min="15370" max="15370" width="11.83203125" style="1" customWidth="1"/>
    <col min="15371" max="15371" width="8.83203125" style="1" bestFit="1" customWidth="1"/>
    <col min="15372" max="15372" width="12.83203125" style="1" customWidth="1"/>
    <col min="15373" max="15373" width="8.83203125" style="1" bestFit="1" customWidth="1"/>
    <col min="15374" max="15374" width="12.6640625" style="1" bestFit="1" customWidth="1"/>
    <col min="15375" max="15375" width="9" style="1" bestFit="1" customWidth="1"/>
    <col min="15376" max="15376" width="13" style="1" customWidth="1"/>
    <col min="15377" max="15377" width="9" style="1" bestFit="1" customWidth="1"/>
    <col min="15378" max="15620" width="9.1640625" style="1"/>
    <col min="15621" max="15621" width="16.1640625" style="1" customWidth="1"/>
    <col min="15622" max="15622" width="12.83203125" style="1" customWidth="1"/>
    <col min="15623" max="15623" width="8.6640625" style="1" bestFit="1" customWidth="1"/>
    <col min="15624" max="15624" width="13.33203125" style="1" customWidth="1"/>
    <col min="15625" max="15625" width="8.6640625" style="1" bestFit="1" customWidth="1"/>
    <col min="15626" max="15626" width="11.83203125" style="1" customWidth="1"/>
    <col min="15627" max="15627" width="8.83203125" style="1" bestFit="1" customWidth="1"/>
    <col min="15628" max="15628" width="12.83203125" style="1" customWidth="1"/>
    <col min="15629" max="15629" width="8.83203125" style="1" bestFit="1" customWidth="1"/>
    <col min="15630" max="15630" width="12.6640625" style="1" bestFit="1" customWidth="1"/>
    <col min="15631" max="15631" width="9" style="1" bestFit="1" customWidth="1"/>
    <col min="15632" max="15632" width="13" style="1" customWidth="1"/>
    <col min="15633" max="15633" width="9" style="1" bestFit="1" customWidth="1"/>
    <col min="15634" max="15876" width="9.1640625" style="1"/>
    <col min="15877" max="15877" width="16.1640625" style="1" customWidth="1"/>
    <col min="15878" max="15878" width="12.83203125" style="1" customWidth="1"/>
    <col min="15879" max="15879" width="8.6640625" style="1" bestFit="1" customWidth="1"/>
    <col min="15880" max="15880" width="13.33203125" style="1" customWidth="1"/>
    <col min="15881" max="15881" width="8.6640625" style="1" bestFit="1" customWidth="1"/>
    <col min="15882" max="15882" width="11.83203125" style="1" customWidth="1"/>
    <col min="15883" max="15883" width="8.83203125" style="1" bestFit="1" customWidth="1"/>
    <col min="15884" max="15884" width="12.83203125" style="1" customWidth="1"/>
    <col min="15885" max="15885" width="8.83203125" style="1" bestFit="1" customWidth="1"/>
    <col min="15886" max="15886" width="12.6640625" style="1" bestFit="1" customWidth="1"/>
    <col min="15887" max="15887" width="9" style="1" bestFit="1" customWidth="1"/>
    <col min="15888" max="15888" width="13" style="1" customWidth="1"/>
    <col min="15889" max="15889" width="9" style="1" bestFit="1" customWidth="1"/>
    <col min="15890" max="16132" width="9.1640625" style="1"/>
    <col min="16133" max="16133" width="16.1640625" style="1" customWidth="1"/>
    <col min="16134" max="16134" width="12.83203125" style="1" customWidth="1"/>
    <col min="16135" max="16135" width="8.6640625" style="1" bestFit="1" customWidth="1"/>
    <col min="16136" max="16136" width="13.33203125" style="1" customWidth="1"/>
    <col min="16137" max="16137" width="8.6640625" style="1" bestFit="1" customWidth="1"/>
    <col min="16138" max="16138" width="11.83203125" style="1" customWidth="1"/>
    <col min="16139" max="16139" width="8.83203125" style="1" bestFit="1" customWidth="1"/>
    <col min="16140" max="16140" width="12.83203125" style="1" customWidth="1"/>
    <col min="16141" max="16141" width="8.83203125" style="1" bestFit="1" customWidth="1"/>
    <col min="16142" max="16142" width="12.6640625" style="1" bestFit="1" customWidth="1"/>
    <col min="16143" max="16143" width="9" style="1" bestFit="1" customWidth="1"/>
    <col min="16144" max="16144" width="13" style="1" customWidth="1"/>
    <col min="16145" max="16145" width="9" style="1" bestFit="1" customWidth="1"/>
    <col min="16146" max="16384" width="9.1640625" style="1"/>
  </cols>
  <sheetData>
    <row r="1" spans="1:19" ht="18">
      <c r="A1" s="442" t="str">
        <f>'Sales, COGS, GP'!B3</f>
        <v>Bennett Material Handling</v>
      </c>
      <c r="B1" s="443"/>
      <c r="C1" s="443"/>
      <c r="D1" s="443"/>
      <c r="E1" s="443"/>
      <c r="F1" s="443"/>
      <c r="G1" s="443"/>
      <c r="H1" s="443"/>
      <c r="I1" s="443"/>
      <c r="J1" s="443"/>
      <c r="K1" s="443"/>
      <c r="L1" s="443"/>
      <c r="M1" s="443"/>
      <c r="N1" s="443"/>
      <c r="O1" s="443"/>
      <c r="P1" s="443"/>
      <c r="Q1" s="443"/>
    </row>
    <row r="2" spans="1:19" ht="16">
      <c r="A2" s="444" t="s">
        <v>287</v>
      </c>
      <c r="B2" s="444"/>
      <c r="C2" s="444"/>
      <c r="D2" s="444"/>
      <c r="E2" s="444"/>
      <c r="F2" s="444"/>
      <c r="G2" s="444"/>
      <c r="H2" s="444"/>
      <c r="I2" s="444"/>
      <c r="J2" s="444"/>
      <c r="K2" s="444"/>
      <c r="L2" s="444"/>
      <c r="M2" s="444"/>
      <c r="N2" s="444"/>
      <c r="O2" s="444"/>
      <c r="P2" s="444"/>
      <c r="Q2" s="444"/>
    </row>
    <row r="3" spans="1:19">
      <c r="A3" s="273"/>
      <c r="B3" s="274"/>
      <c r="C3" s="275"/>
      <c r="D3" s="274"/>
      <c r="E3" s="275"/>
      <c r="F3" s="274"/>
      <c r="G3" s="275"/>
      <c r="H3" s="274"/>
      <c r="I3" s="275"/>
      <c r="J3" s="274"/>
      <c r="K3" s="275"/>
      <c r="L3" s="274"/>
      <c r="M3" s="275"/>
      <c r="N3" s="274"/>
      <c r="O3" s="275"/>
      <c r="P3" s="274"/>
      <c r="Q3" s="275"/>
    </row>
    <row r="4" spans="1:19" ht="16" thickBot="1">
      <c r="A4" s="276" t="s">
        <v>288</v>
      </c>
      <c r="B4" s="277" t="s">
        <v>289</v>
      </c>
      <c r="C4" s="278">
        <f>IFERROR(B6/P6,"")</f>
        <v>0.29676530110471283</v>
      </c>
      <c r="D4" s="277" t="s">
        <v>290</v>
      </c>
      <c r="E4" s="278">
        <f>IFERROR(D6/P6,"")</f>
        <v>0.18764910161602533</v>
      </c>
      <c r="F4" s="277" t="s">
        <v>291</v>
      </c>
      <c r="G4" s="278">
        <f>IFERROR(F6/P6,"")</f>
        <v>0.23372085006672655</v>
      </c>
      <c r="H4" s="277" t="s">
        <v>292</v>
      </c>
      <c r="I4" s="278">
        <f>IFERROR(H6/P6,"")</f>
        <v>0.27518096115419399</v>
      </c>
      <c r="J4" s="277" t="s">
        <v>292</v>
      </c>
      <c r="K4" s="278">
        <f>IFERROR(J6/P6,"")</f>
        <v>0</v>
      </c>
      <c r="L4" s="277" t="s">
        <v>183</v>
      </c>
      <c r="M4" s="278">
        <f>IFERROR(L6/P6,"")</f>
        <v>0</v>
      </c>
      <c r="N4" s="277"/>
      <c r="O4" s="278"/>
      <c r="P4" s="277" t="s">
        <v>293</v>
      </c>
      <c r="Q4" s="279">
        <f>IFERROR((D8+F8+H8)/P14,"")</f>
        <v>1.4260218481776663</v>
      </c>
    </row>
    <row r="5" spans="1:19" ht="16" thickBot="1">
      <c r="A5" s="280"/>
      <c r="B5" s="445" t="s">
        <v>289</v>
      </c>
      <c r="C5" s="446"/>
      <c r="D5" s="445" t="s">
        <v>290</v>
      </c>
      <c r="E5" s="446"/>
      <c r="F5" s="445" t="s">
        <v>291</v>
      </c>
      <c r="G5" s="446"/>
      <c r="H5" s="445" t="s">
        <v>181</v>
      </c>
      <c r="I5" s="446"/>
      <c r="J5" s="445" t="s">
        <v>182</v>
      </c>
      <c r="K5" s="446"/>
      <c r="L5" s="445" t="s">
        <v>183</v>
      </c>
      <c r="M5" s="446"/>
      <c r="N5" s="445" t="s">
        <v>294</v>
      </c>
      <c r="O5" s="446"/>
      <c r="P5" s="445" t="s">
        <v>185</v>
      </c>
      <c r="Q5" s="446"/>
    </row>
    <row r="6" spans="1:19" ht="12.75" customHeight="1">
      <c r="A6" s="281" t="s">
        <v>295</v>
      </c>
      <c r="B6" s="282">
        <f>B23</f>
        <v>1213058.5599999998</v>
      </c>
      <c r="C6" s="283"/>
      <c r="D6" s="282">
        <f>+D23</f>
        <v>767034.92</v>
      </c>
      <c r="E6" s="284">
        <v>1</v>
      </c>
      <c r="F6" s="282">
        <f>+F23</f>
        <v>955357.91000000015</v>
      </c>
      <c r="G6" s="284">
        <v>1</v>
      </c>
      <c r="H6" s="282">
        <f>+H23</f>
        <v>1124830.3599999999</v>
      </c>
      <c r="I6" s="284">
        <v>1</v>
      </c>
      <c r="J6" s="282">
        <f>+J23</f>
        <v>0</v>
      </c>
      <c r="K6" s="284">
        <v>1</v>
      </c>
      <c r="L6" s="282">
        <f>+L23</f>
        <v>0</v>
      </c>
      <c r="M6" s="284">
        <v>1</v>
      </c>
      <c r="N6" s="447" t="s">
        <v>296</v>
      </c>
      <c r="O6" s="448"/>
      <c r="P6" s="282">
        <f>P23</f>
        <v>4087602.41</v>
      </c>
      <c r="Q6" s="284">
        <v>1</v>
      </c>
    </row>
    <row r="7" spans="1:19">
      <c r="A7" s="281"/>
      <c r="B7" s="285"/>
      <c r="C7" s="283"/>
      <c r="D7" s="285"/>
      <c r="E7" s="283"/>
      <c r="F7" s="285"/>
      <c r="G7" s="283"/>
      <c r="H7" s="285"/>
      <c r="I7" s="283"/>
      <c r="J7" s="285"/>
      <c r="K7" s="283"/>
      <c r="L7" s="285"/>
      <c r="M7" s="283"/>
      <c r="N7" s="449"/>
      <c r="O7" s="450"/>
      <c r="P7" s="285"/>
      <c r="Q7" s="284"/>
    </row>
    <row r="8" spans="1:19">
      <c r="A8" s="281" t="s">
        <v>297</v>
      </c>
      <c r="B8" s="285">
        <f>+B25</f>
        <v>120819.36999999988</v>
      </c>
      <c r="C8" s="286">
        <f>+C25</f>
        <v>9.9598959179678759E-2</v>
      </c>
      <c r="D8" s="285">
        <f>E8*D6</f>
        <v>306813.96800000005</v>
      </c>
      <c r="E8" s="287">
        <f>MODELS!$C$4</f>
        <v>0.4</v>
      </c>
      <c r="F8" s="285">
        <f>G8*F6</f>
        <v>620982.64150000014</v>
      </c>
      <c r="G8" s="287">
        <f>MODELS!$D$4</f>
        <v>0.65</v>
      </c>
      <c r="H8" s="285">
        <f>I8*H6</f>
        <v>506173.66199999995</v>
      </c>
      <c r="I8" s="287">
        <f>MODELS!E4</f>
        <v>0.45</v>
      </c>
      <c r="J8" s="285">
        <f>K8*J6</f>
        <v>0</v>
      </c>
      <c r="K8" s="287">
        <f>MODELS!F4</f>
        <v>0.2</v>
      </c>
      <c r="L8" s="285">
        <f>M8*L6</f>
        <v>0</v>
      </c>
      <c r="M8" s="287">
        <f>MODELS!$G$4</f>
        <v>0.45</v>
      </c>
      <c r="N8" s="449"/>
      <c r="O8" s="450"/>
      <c r="P8" s="285">
        <f>B8+D8+F8+H8+J8+L8+('Expenses, Miscellaneous'!E25-'Expenses, Miscellaneous'!E26)</f>
        <v>1557165.5015000002</v>
      </c>
      <c r="Q8" s="284">
        <f>P8/P6</f>
        <v>0.38094837641021945</v>
      </c>
    </row>
    <row r="9" spans="1:19">
      <c r="A9" s="281"/>
      <c r="B9" s="285"/>
      <c r="C9" s="286">
        <v>1</v>
      </c>
      <c r="D9" s="285"/>
      <c r="E9" s="283"/>
      <c r="F9" s="285"/>
      <c r="G9" s="283"/>
      <c r="H9" s="285"/>
      <c r="I9" s="283"/>
      <c r="J9" s="285"/>
      <c r="K9" s="283"/>
      <c r="L9" s="285"/>
      <c r="M9" s="283"/>
      <c r="N9" s="449"/>
      <c r="O9" s="450"/>
      <c r="P9" s="285"/>
      <c r="Q9" s="284"/>
    </row>
    <row r="10" spans="1:19">
      <c r="A10" s="288" t="s">
        <v>298</v>
      </c>
      <c r="B10" s="285"/>
      <c r="C10" s="283"/>
      <c r="D10" s="285"/>
      <c r="E10" s="283"/>
      <c r="F10" s="285"/>
      <c r="G10" s="283"/>
      <c r="H10" s="285"/>
      <c r="I10" s="283"/>
      <c r="J10" s="285"/>
      <c r="K10" s="283"/>
      <c r="L10" s="285"/>
      <c r="M10" s="283"/>
      <c r="N10" s="289"/>
      <c r="O10" s="283"/>
      <c r="P10" s="285"/>
      <c r="Q10" s="284"/>
    </row>
    <row r="11" spans="1:19">
      <c r="A11" s="281" t="s">
        <v>299</v>
      </c>
      <c r="B11" s="285">
        <f>C11*B$8</f>
        <v>60409.684999999939</v>
      </c>
      <c r="C11" s="287">
        <f>MODELS!B7</f>
        <v>0.5</v>
      </c>
      <c r="D11" s="285">
        <f>E11*D6</f>
        <v>76703.492000000013</v>
      </c>
      <c r="E11" s="287">
        <f>MODELS!C7</f>
        <v>0.1</v>
      </c>
      <c r="F11" s="285">
        <f>G11*F6</f>
        <v>191071.58200000005</v>
      </c>
      <c r="G11" s="287">
        <f>MODELS!D7</f>
        <v>0.2</v>
      </c>
      <c r="H11" s="285">
        <f>I11*H6</f>
        <v>112483.03599999999</v>
      </c>
      <c r="I11" s="287">
        <f>MODELS!E7</f>
        <v>0.1</v>
      </c>
      <c r="J11" s="285">
        <f>K11*J6</f>
        <v>0</v>
      </c>
      <c r="K11" s="287">
        <f>MODELS!F7</f>
        <v>7.0000000000000007E-2</v>
      </c>
      <c r="L11" s="285">
        <f>M11*L6</f>
        <v>0</v>
      </c>
      <c r="M11" s="287"/>
      <c r="N11" s="285">
        <f>O11*N17</f>
        <v>142361.15950000001</v>
      </c>
      <c r="O11" s="287">
        <f>MODELS!H7</f>
        <v>0.05</v>
      </c>
      <c r="P11" s="285">
        <f>B11+D11+F11+H11+J11+L11+N11</f>
        <v>583028.95449999999</v>
      </c>
      <c r="Q11" s="284">
        <f>P11/P6</f>
        <v>0.14263347948755123</v>
      </c>
    </row>
    <row r="12" spans="1:19">
      <c r="A12" s="281" t="s">
        <v>300</v>
      </c>
      <c r="B12" s="285">
        <f t="shared" ref="B12:B14" si="0">C12*B$8</f>
        <v>30204.84249999997</v>
      </c>
      <c r="C12" s="287">
        <f>MODELS!B8</f>
        <v>0.25</v>
      </c>
      <c r="D12" s="285">
        <f>E12*D6</f>
        <v>23011.047600000002</v>
      </c>
      <c r="E12" s="287">
        <f>MODELS!C8</f>
        <v>0.03</v>
      </c>
      <c r="F12" s="285">
        <f>G12*F6</f>
        <v>95535.791000000027</v>
      </c>
      <c r="G12" s="287">
        <f>MODELS!D8</f>
        <v>0.1</v>
      </c>
      <c r="H12" s="285">
        <f>I12*H6</f>
        <v>33744.910799999998</v>
      </c>
      <c r="I12" s="287">
        <f>MODELS!E8</f>
        <v>0.03</v>
      </c>
      <c r="J12" s="285">
        <f>K12*J6</f>
        <v>0</v>
      </c>
      <c r="K12" s="287">
        <f>MODELS!F8</f>
        <v>0.02</v>
      </c>
      <c r="L12" s="285">
        <f>M12*L6</f>
        <v>0</v>
      </c>
      <c r="M12" s="287"/>
      <c r="N12" s="285">
        <f>O12*N17</f>
        <v>85416.695699999997</v>
      </c>
      <c r="O12" s="287">
        <f>MODELS!H8</f>
        <v>0.03</v>
      </c>
      <c r="P12" s="285">
        <f>B12+D12+F12+H12+J12+L12+N12</f>
        <v>267913.28759999998</v>
      </c>
      <c r="Q12" s="284">
        <f>P12/P6</f>
        <v>6.5542893052555951E-2</v>
      </c>
    </row>
    <row r="13" spans="1:19">
      <c r="A13" s="290" t="s">
        <v>301</v>
      </c>
      <c r="B13" s="291">
        <f t="shared" si="0"/>
        <v>12081.936999999989</v>
      </c>
      <c r="C13" s="346">
        <f>MODELS!B9</f>
        <v>0.1</v>
      </c>
      <c r="D13" s="291">
        <f>E13*D6</f>
        <v>15340.698400000001</v>
      </c>
      <c r="E13" s="346">
        <f>MODELS!C9</f>
        <v>0.02</v>
      </c>
      <c r="F13" s="291">
        <f>G13*F6</f>
        <v>47767.895500000013</v>
      </c>
      <c r="G13" s="346">
        <f>MODELS!D9</f>
        <v>0.05</v>
      </c>
      <c r="H13" s="291">
        <f>I13*H6</f>
        <v>22496.607199999999</v>
      </c>
      <c r="I13" s="346">
        <f>MODELS!E9</f>
        <v>0.02</v>
      </c>
      <c r="J13" s="291">
        <f>K13*J6</f>
        <v>0</v>
      </c>
      <c r="K13" s="346">
        <f>MODELS!F9</f>
        <v>0.01</v>
      </c>
      <c r="L13" s="291">
        <f>M13*L6</f>
        <v>0</v>
      </c>
      <c r="M13" s="346"/>
      <c r="N13" s="291">
        <f>O13*N17</f>
        <v>56944.463799999998</v>
      </c>
      <c r="O13" s="346">
        <f>MODELS!H9</f>
        <v>0.02</v>
      </c>
      <c r="P13" s="291">
        <f>B13+D13+F13+H13+J13+L13+N13</f>
        <v>154631.60190000001</v>
      </c>
      <c r="Q13" s="347">
        <f>P13/P6</f>
        <v>3.7829413526546972E-2</v>
      </c>
    </row>
    <row r="14" spans="1:19">
      <c r="A14" s="281" t="s">
        <v>302</v>
      </c>
      <c r="B14" s="285">
        <f t="shared" si="0"/>
        <v>102696.4644999999</v>
      </c>
      <c r="C14" s="283">
        <f>MODELS!B10</f>
        <v>0.85</v>
      </c>
      <c r="D14" s="285">
        <f t="shared" ref="D14:P14" si="1">SUM(D11:D13)</f>
        <v>115055.23800000001</v>
      </c>
      <c r="E14" s="283">
        <f>MODELS!C10</f>
        <v>0.15</v>
      </c>
      <c r="F14" s="285">
        <f t="shared" si="1"/>
        <v>334375.26850000012</v>
      </c>
      <c r="G14" s="283">
        <f>MODELS!D10</f>
        <v>0.35000000000000003</v>
      </c>
      <c r="H14" s="285">
        <f t="shared" si="1"/>
        <v>168724.55399999997</v>
      </c>
      <c r="I14" s="283">
        <f>MODELS!E10</f>
        <v>0.15</v>
      </c>
      <c r="J14" s="285">
        <f t="shared" ref="J14" si="2">SUM(J11:J13)</f>
        <v>0</v>
      </c>
      <c r="K14" s="283">
        <f>MODELS!F10</f>
        <v>0.1</v>
      </c>
      <c r="L14" s="285">
        <f t="shared" ref="L14" si="3">SUM(L11:L13)</f>
        <v>0</v>
      </c>
      <c r="M14" s="283"/>
      <c r="N14" s="285">
        <f t="shared" si="1"/>
        <v>284722.31900000002</v>
      </c>
      <c r="O14" s="283">
        <f>MODELS!H10</f>
        <v>0.1</v>
      </c>
      <c r="P14" s="285">
        <f t="shared" si="1"/>
        <v>1005573.8439999999</v>
      </c>
      <c r="Q14" s="292">
        <f>P14/P6</f>
        <v>0.24600578606665413</v>
      </c>
    </row>
    <row r="15" spans="1:19">
      <c r="A15" s="281"/>
      <c r="B15" s="285"/>
      <c r="C15" s="283"/>
      <c r="D15" s="285"/>
      <c r="E15" s="283"/>
      <c r="F15" s="285"/>
      <c r="G15" s="283"/>
      <c r="H15" s="285"/>
      <c r="I15" s="283"/>
      <c r="J15" s="285"/>
      <c r="K15" s="283"/>
      <c r="L15" s="285"/>
      <c r="M15" s="283"/>
      <c r="N15" s="285"/>
      <c r="O15" s="283"/>
      <c r="P15" s="285"/>
      <c r="Q15" s="292"/>
    </row>
    <row r="16" spans="1:19" ht="16" thickBot="1">
      <c r="A16" s="293" t="s">
        <v>303</v>
      </c>
      <c r="B16" s="294">
        <f>B8-B14</f>
        <v>18122.905499999979</v>
      </c>
      <c r="C16" s="295">
        <f>MODELS!B12</f>
        <v>0.15000000000000002</v>
      </c>
      <c r="D16" s="294">
        <f t="shared" ref="D16:H16" si="4">D8-D14</f>
        <v>191758.73000000004</v>
      </c>
      <c r="E16" s="295">
        <f>MODELS!C12</f>
        <v>0.25</v>
      </c>
      <c r="F16" s="294">
        <f t="shared" si="4"/>
        <v>286607.37300000002</v>
      </c>
      <c r="G16" s="295">
        <f>MODELS!D12</f>
        <v>0.3</v>
      </c>
      <c r="H16" s="294">
        <f t="shared" si="4"/>
        <v>337449.10800000001</v>
      </c>
      <c r="I16" s="295">
        <f>MODELS!E12</f>
        <v>0.30000000000000004</v>
      </c>
      <c r="J16" s="294">
        <f t="shared" ref="J16" si="5">J8-J14</f>
        <v>0</v>
      </c>
      <c r="K16" s="295">
        <f>MODELS!F12</f>
        <v>0.1</v>
      </c>
      <c r="L16" s="294">
        <f t="shared" ref="L16" si="6">L8-L14</f>
        <v>0</v>
      </c>
      <c r="M16" s="295"/>
      <c r="N16" s="294">
        <f>N14*-1</f>
        <v>-284722.31900000002</v>
      </c>
      <c r="O16" s="295">
        <f>MODELS!H12</f>
        <v>-0.1</v>
      </c>
      <c r="P16" s="294">
        <f>B16+D16+F16+H16+J16+L16+N16</f>
        <v>549215.79749999999</v>
      </c>
      <c r="Q16" s="296">
        <f>P16/P6</f>
        <v>0.13436135475318892</v>
      </c>
      <c r="S16" s="152"/>
    </row>
    <row r="17" spans="1:17" ht="23.25" customHeight="1">
      <c r="A17" s="297"/>
      <c r="B17" s="298"/>
      <c r="C17" s="275"/>
      <c r="D17" s="298"/>
      <c r="E17" s="275"/>
      <c r="F17" s="298"/>
      <c r="G17" s="275"/>
      <c r="H17" s="298"/>
      <c r="I17" s="275"/>
      <c r="J17" s="298"/>
      <c r="K17" s="275"/>
      <c r="L17" s="298"/>
      <c r="M17" s="275"/>
      <c r="N17" s="299">
        <f>D6+F6+H6</f>
        <v>2847223.19</v>
      </c>
      <c r="O17" s="275"/>
      <c r="P17" s="298"/>
      <c r="Q17" s="300"/>
    </row>
    <row r="18" spans="1:17" ht="30.75" customHeight="1">
      <c r="A18" s="443" t="str">
        <f>A1</f>
        <v>Bennett Material Handling</v>
      </c>
      <c r="B18" s="443"/>
      <c r="C18" s="443"/>
      <c r="D18" s="443"/>
      <c r="E18" s="443"/>
      <c r="F18" s="443"/>
      <c r="G18" s="443"/>
      <c r="H18" s="443"/>
      <c r="I18" s="443"/>
      <c r="J18" s="443"/>
      <c r="K18" s="443"/>
      <c r="L18" s="443"/>
      <c r="M18" s="443"/>
      <c r="N18" s="443"/>
      <c r="O18" s="443"/>
      <c r="P18" s="443"/>
      <c r="Q18" s="443"/>
    </row>
    <row r="19" spans="1:17" ht="16">
      <c r="A19" s="444" t="s">
        <v>304</v>
      </c>
      <c r="B19" s="444"/>
      <c r="C19" s="444"/>
      <c r="D19" s="444"/>
      <c r="E19" s="444"/>
      <c r="F19" s="444"/>
      <c r="G19" s="444"/>
      <c r="H19" s="444"/>
      <c r="I19" s="444"/>
      <c r="J19" s="444"/>
      <c r="K19" s="444"/>
      <c r="L19" s="444"/>
      <c r="M19" s="444"/>
      <c r="N19" s="444"/>
      <c r="O19" s="444"/>
      <c r="P19" s="444"/>
      <c r="Q19" s="444"/>
    </row>
    <row r="20" spans="1:17">
      <c r="A20" s="273"/>
      <c r="B20" s="274"/>
      <c r="C20" s="275"/>
      <c r="D20" s="274"/>
      <c r="E20" s="275"/>
      <c r="F20" s="274"/>
      <c r="G20" s="275"/>
      <c r="H20" s="274"/>
      <c r="I20" s="275"/>
      <c r="J20" s="274"/>
      <c r="K20" s="275"/>
      <c r="L20" s="274"/>
      <c r="M20" s="275"/>
      <c r="N20" s="274"/>
      <c r="O20" s="275"/>
      <c r="P20" s="274"/>
      <c r="Q20" s="275"/>
    </row>
    <row r="21" spans="1:17" ht="16" thickBot="1">
      <c r="A21" s="276" t="s">
        <v>288</v>
      </c>
      <c r="B21" s="277" t="s">
        <v>289</v>
      </c>
      <c r="C21" s="278">
        <f>IFERROR('Sales, COGS, GP'!B20/'Sales, COGS, GP'!B41,"")</f>
        <v>0.29676530110471283</v>
      </c>
      <c r="D21" s="277" t="s">
        <v>290</v>
      </c>
      <c r="E21" s="278">
        <f>IFERROR('Sales, COGS, GP'!B37/'Sales, COGS, GP'!B41,"")</f>
        <v>0.18764910161602533</v>
      </c>
      <c r="F21" s="277" t="s">
        <v>291</v>
      </c>
      <c r="G21" s="278">
        <f>IFERROR('Sales, COGS, GP'!B29/'Sales, COGS, GP'!B41,"")</f>
        <v>0.23372085006672655</v>
      </c>
      <c r="H21" s="277" t="s">
        <v>292</v>
      </c>
      <c r="I21" s="301">
        <f>IFERROR(('Sales, COGS, GP'!B21+'Sales, COGS, GP'!B23)/'Sales, COGS, GP'!B41,"")</f>
        <v>0.27518096115419399</v>
      </c>
      <c r="J21" s="277" t="s">
        <v>292</v>
      </c>
      <c r="K21" s="301">
        <f>IFERROR(('Sales, COGS, GP'!B22)/'Sales, COGS, GP'!D41,"")</f>
        <v>0</v>
      </c>
      <c r="L21" s="277" t="s">
        <v>183</v>
      </c>
      <c r="M21" s="301" t="str">
        <f>IFERROR(('Sales, COGS, GP'!B38)/'Sales, COGS, GP'!F41,"")</f>
        <v/>
      </c>
      <c r="N21" s="277"/>
      <c r="O21" s="278"/>
      <c r="P21" s="277" t="s">
        <v>305</v>
      </c>
      <c r="Q21" s="279">
        <f>IFERROR((D25+F25+H25)/P31,"")</f>
        <v>2.4218200877180776</v>
      </c>
    </row>
    <row r="22" spans="1:17" ht="16" thickBot="1">
      <c r="A22" s="280"/>
      <c r="B22" s="445" t="s">
        <v>289</v>
      </c>
      <c r="C22" s="446"/>
      <c r="D22" s="445" t="s">
        <v>290</v>
      </c>
      <c r="E22" s="446"/>
      <c r="F22" s="445" t="s">
        <v>291</v>
      </c>
      <c r="G22" s="446"/>
      <c r="H22" s="445" t="s">
        <v>181</v>
      </c>
      <c r="I22" s="446"/>
      <c r="J22" s="445" t="s">
        <v>182</v>
      </c>
      <c r="K22" s="446"/>
      <c r="L22" s="445" t="s">
        <v>183</v>
      </c>
      <c r="M22" s="446"/>
      <c r="N22" s="445" t="s">
        <v>294</v>
      </c>
      <c r="O22" s="446"/>
      <c r="P22" s="445" t="s">
        <v>185</v>
      </c>
      <c r="Q22" s="446"/>
    </row>
    <row r="23" spans="1:17" ht="12.75" customHeight="1">
      <c r="A23" s="281" t="s">
        <v>295</v>
      </c>
      <c r="B23" s="282">
        <f>'Sales, COGS, GP'!B20</f>
        <v>1213058.5599999998</v>
      </c>
      <c r="C23" s="283"/>
      <c r="D23" s="282">
        <f>'Sales, COGS, GP'!B37</f>
        <v>767034.92</v>
      </c>
      <c r="E23" s="284">
        <v>1</v>
      </c>
      <c r="F23" s="282">
        <f>'Sales, COGS, GP'!B29</f>
        <v>955357.91000000015</v>
      </c>
      <c r="G23" s="284">
        <v>1</v>
      </c>
      <c r="H23" s="282">
        <f>'Sales, COGS, GP'!B21+'Sales, COGS, GP'!B23</f>
        <v>1124830.3599999999</v>
      </c>
      <c r="I23" s="284">
        <v>1</v>
      </c>
      <c r="J23" s="282">
        <f>'Sales, COGS, GP'!B22</f>
        <v>0</v>
      </c>
      <c r="K23" s="284">
        <v>1</v>
      </c>
      <c r="L23" s="282">
        <f>'Sales, COGS, GP'!B38</f>
        <v>0</v>
      </c>
      <c r="M23" s="284">
        <v>1</v>
      </c>
      <c r="N23" s="447" t="s">
        <v>296</v>
      </c>
      <c r="O23" s="448"/>
      <c r="P23" s="282">
        <f>B23+D23+F23+H23+J23+L23+'Expenses, Miscellaneous'!E25</f>
        <v>4087602.41</v>
      </c>
      <c r="Q23" s="284">
        <v>1</v>
      </c>
    </row>
    <row r="24" spans="1:17">
      <c r="A24" s="281"/>
      <c r="B24" s="285"/>
      <c r="C24" s="283"/>
      <c r="D24" s="285"/>
      <c r="E24" s="284"/>
      <c r="F24" s="285"/>
      <c r="G24" s="284"/>
      <c r="H24" s="285"/>
      <c r="I24" s="284"/>
      <c r="J24" s="285"/>
      <c r="K24" s="284"/>
      <c r="L24" s="285"/>
      <c r="M24" s="284"/>
      <c r="N24" s="449"/>
      <c r="O24" s="450"/>
      <c r="P24" s="285"/>
      <c r="Q24" s="284"/>
    </row>
    <row r="25" spans="1:17">
      <c r="A25" s="281" t="s">
        <v>297</v>
      </c>
      <c r="B25" s="285">
        <f>'Sales, COGS, GP'!D20</f>
        <v>120819.36999999988</v>
      </c>
      <c r="C25" s="292">
        <f>+B25/B23</f>
        <v>9.9598959179678759E-2</v>
      </c>
      <c r="D25" s="285">
        <f>'Sales, COGS, GP'!D37</f>
        <v>340843.25</v>
      </c>
      <c r="E25" s="292">
        <f>+D25/D23</f>
        <v>0.44436471027942248</v>
      </c>
      <c r="F25" s="285">
        <f>'Sales, COGS, GP'!D29</f>
        <v>365250.81000000017</v>
      </c>
      <c r="G25" s="292">
        <f>+F25/F23</f>
        <v>0.38231829786179311</v>
      </c>
      <c r="H25" s="285">
        <f>'Sales, COGS, GP'!D21+'Sales, COGS, GP'!D23</f>
        <v>505041.30999999994</v>
      </c>
      <c r="I25" s="292">
        <f>+H25/H23</f>
        <v>0.44899331308945112</v>
      </c>
      <c r="J25" s="285">
        <f>'Sales, COGS, GP'!D22</f>
        <v>0</v>
      </c>
      <c r="K25" s="292" t="e">
        <f>+J25/J23</f>
        <v>#DIV/0!</v>
      </c>
      <c r="L25" s="285">
        <f>'Sales, COGS, GP'!D38</f>
        <v>-1718.9099999999999</v>
      </c>
      <c r="M25" s="292" t="e">
        <f>+L25/L23</f>
        <v>#DIV/0!</v>
      </c>
      <c r="N25" s="449"/>
      <c r="O25" s="450"/>
      <c r="P25" s="285">
        <f>B25+D25+F25+H25+J25+L25+('Expenses, Miscellaneous'!E25-'Expenses, Miscellaneous'!E26)</f>
        <v>1332611.6900000002</v>
      </c>
      <c r="Q25" s="284">
        <f>P25/P23</f>
        <v>0.32601304049040331</v>
      </c>
    </row>
    <row r="26" spans="1:17">
      <c r="A26" s="281"/>
      <c r="B26" s="285"/>
      <c r="C26" s="292">
        <v>1</v>
      </c>
      <c r="D26" s="285"/>
      <c r="E26" s="292"/>
      <c r="F26" s="285"/>
      <c r="G26" s="292"/>
      <c r="H26" s="285"/>
      <c r="I26" s="286"/>
      <c r="J26" s="285"/>
      <c r="K26" s="286"/>
      <c r="L26" s="285"/>
      <c r="M26" s="286"/>
      <c r="N26" s="449"/>
      <c r="O26" s="450"/>
      <c r="P26" s="285"/>
      <c r="Q26" s="284"/>
    </row>
    <row r="27" spans="1:17">
      <c r="A27" s="288" t="s">
        <v>298</v>
      </c>
      <c r="B27" s="285"/>
      <c r="C27" s="286"/>
      <c r="D27" s="285"/>
      <c r="E27" s="286"/>
      <c r="F27" s="285"/>
      <c r="G27" s="286"/>
      <c r="H27" s="285"/>
      <c r="I27" s="286"/>
      <c r="J27" s="285"/>
      <c r="K27" s="286"/>
      <c r="L27" s="285"/>
      <c r="M27" s="286"/>
      <c r="N27" s="289"/>
      <c r="O27" s="283"/>
      <c r="P27" s="285"/>
      <c r="Q27" s="284"/>
    </row>
    <row r="28" spans="1:17">
      <c r="A28" s="281" t="s">
        <v>299</v>
      </c>
      <c r="B28" s="285">
        <f>'Expenses, Miscellaneous'!D4</f>
        <v>19892.95</v>
      </c>
      <c r="C28" s="292">
        <f>+B28/B25</f>
        <v>0.16465033711068036</v>
      </c>
      <c r="D28" s="285">
        <f>'Expenses, Miscellaneous'!E4</f>
        <v>5145.5899999999992</v>
      </c>
      <c r="E28" s="292">
        <f>+D28/D$23</f>
        <v>6.708416873641162E-3</v>
      </c>
      <c r="F28" s="285">
        <f>'Expenses, Miscellaneous'!F4</f>
        <v>5864.0400000000009</v>
      </c>
      <c r="G28" s="292">
        <f>+F28/F$23</f>
        <v>6.1380556319463563E-3</v>
      </c>
      <c r="H28" s="285">
        <f>'Expenses, Miscellaneous'!G4</f>
        <v>8115.4500000000007</v>
      </c>
      <c r="I28" s="292">
        <f>+H28/H$23</f>
        <v>7.2148212642482385E-3</v>
      </c>
      <c r="J28" s="285">
        <f>'Expenses, Miscellaneous'!H4</f>
        <v>0</v>
      </c>
      <c r="K28" s="292" t="e">
        <f>+J28/J$23</f>
        <v>#DIV/0!</v>
      </c>
      <c r="L28" s="285">
        <f>'Expenses, Miscellaneous'!I4</f>
        <v>198.82000000000005</v>
      </c>
      <c r="M28" s="292" t="e">
        <f>+L28/L$23</f>
        <v>#DIV/0!</v>
      </c>
      <c r="N28" s="285">
        <f>'Expenses, Miscellaneous'!J4</f>
        <v>0</v>
      </c>
      <c r="O28" s="292">
        <f>N28/SUM(D$23,F$23,H$23)</f>
        <v>0</v>
      </c>
      <c r="P28" s="285">
        <f>B28+D28+F28+H28+J28+L28+N28</f>
        <v>39216.85</v>
      </c>
      <c r="Q28" s="284">
        <f>P28/P23</f>
        <v>9.5940960167894603E-3</v>
      </c>
    </row>
    <row r="29" spans="1:17">
      <c r="A29" s="281" t="s">
        <v>300</v>
      </c>
      <c r="B29" s="285">
        <f>'Expenses, Miscellaneous'!D5</f>
        <v>144925.00000000003</v>
      </c>
      <c r="C29" s="292">
        <f>+B29/B25</f>
        <v>1.1995179249817325</v>
      </c>
      <c r="D29" s="285">
        <f>'Expenses, Miscellaneous'!E5</f>
        <v>37486.92</v>
      </c>
      <c r="E29" s="292">
        <f>+D29/D$23</f>
        <v>4.8872507655844402E-2</v>
      </c>
      <c r="F29" s="285">
        <f>'Expenses, Miscellaneous'!F5</f>
        <v>42720.959999999999</v>
      </c>
      <c r="G29" s="292">
        <f>+F29/F$23</f>
        <v>4.4717230634537787E-2</v>
      </c>
      <c r="H29" s="285">
        <f>'Expenses, Miscellaneous'!G5</f>
        <v>59123.090000000004</v>
      </c>
      <c r="I29" s="292">
        <f>+H29/H$23</f>
        <v>5.2561783627532964E-2</v>
      </c>
      <c r="J29" s="285">
        <f>'Expenses, Miscellaneous'!H5</f>
        <v>0</v>
      </c>
      <c r="K29" s="292" t="e">
        <f>+J29/J$23</f>
        <v>#DIV/0!</v>
      </c>
      <c r="L29" s="285">
        <f>'Expenses, Miscellaneous'!I5</f>
        <v>1448.51</v>
      </c>
      <c r="M29" s="292" t="e">
        <f>+L29/L$23</f>
        <v>#DIV/0!</v>
      </c>
      <c r="N29" s="285">
        <f>'Expenses, Miscellaneous'!J5</f>
        <v>0</v>
      </c>
      <c r="O29" s="292">
        <f>N29/SUM(D$23,F$23,H$23)</f>
        <v>0</v>
      </c>
      <c r="P29" s="285">
        <f t="shared" ref="P29:P31" si="7">B29+D29+F29+H29+J29+L29+N29</f>
        <v>285704.48000000004</v>
      </c>
      <c r="Q29" s="284">
        <f>P29/P23</f>
        <v>6.9895369300362081E-2</v>
      </c>
    </row>
    <row r="30" spans="1:17">
      <c r="A30" s="290" t="s">
        <v>301</v>
      </c>
      <c r="B30" s="291">
        <f>'Expenses, Miscellaneous'!D6</f>
        <v>88856.7</v>
      </c>
      <c r="C30" s="347">
        <f>+B30/B25</f>
        <v>0.73545078078126125</v>
      </c>
      <c r="D30" s="291">
        <f>'Expenses, Miscellaneous'!E6</f>
        <v>22984.050000000003</v>
      </c>
      <c r="E30" s="347">
        <f>+D30/D$23</f>
        <v>2.9964802645491031E-2</v>
      </c>
      <c r="F30" s="291">
        <f>'Expenses, Miscellaneous'!F6</f>
        <v>26193.17</v>
      </c>
      <c r="G30" s="347">
        <f>+F30/F$23</f>
        <v>2.7417127890844589E-2</v>
      </c>
      <c r="H30" s="291">
        <f>'Expenses, Miscellaneous'!G6</f>
        <v>36249.67</v>
      </c>
      <c r="I30" s="347">
        <f>+H30/H$23</f>
        <v>3.2226788402119587E-2</v>
      </c>
      <c r="J30" s="291">
        <f>'Expenses, Miscellaneous'!H6</f>
        <v>0</v>
      </c>
      <c r="K30" s="347" t="e">
        <f>+J30/J$23</f>
        <v>#DIV/0!</v>
      </c>
      <c r="L30" s="291">
        <f>'Expenses, Miscellaneous'!I6</f>
        <v>888.12</v>
      </c>
      <c r="M30" s="347" t="e">
        <f>+L30/L$23</f>
        <v>#DIV/0!</v>
      </c>
      <c r="N30" s="291">
        <f>'Expenses, Miscellaneous'!J6</f>
        <v>0</v>
      </c>
      <c r="O30" s="347">
        <f>N30/SUM(D$23,F$23,H$23)</f>
        <v>0</v>
      </c>
      <c r="P30" s="291">
        <f t="shared" si="7"/>
        <v>175171.70999999996</v>
      </c>
      <c r="Q30" s="347">
        <f>P30/P23</f>
        <v>4.285439052767364E-2</v>
      </c>
    </row>
    <row r="31" spans="1:17">
      <c r="A31" s="281" t="s">
        <v>302</v>
      </c>
      <c r="B31" s="285">
        <f>'Expenses, Miscellaneous'!D7</f>
        <v>253674.65000000002</v>
      </c>
      <c r="C31" s="292">
        <f>+B31/B25</f>
        <v>2.0996190428736741</v>
      </c>
      <c r="D31" s="285">
        <f>'Expenses, Miscellaneous'!E7</f>
        <v>65616.56</v>
      </c>
      <c r="E31" s="292">
        <f>+D31/D$23</f>
        <v>8.5545727174976591E-2</v>
      </c>
      <c r="F31" s="285">
        <f>'Expenses, Miscellaneous'!F7</f>
        <v>74778.17</v>
      </c>
      <c r="G31" s="292">
        <f>+F31/F$23</f>
        <v>7.8272414157328732E-2</v>
      </c>
      <c r="H31" s="285">
        <f>'Expenses, Miscellaneous'!G7</f>
        <v>103488.21</v>
      </c>
      <c r="I31" s="292">
        <f>+H31/H$23</f>
        <v>9.2003393293900795E-2</v>
      </c>
      <c r="J31" s="285">
        <f>'Expenses, Miscellaneous'!H7</f>
        <v>0</v>
      </c>
      <c r="K31" s="292" t="e">
        <f>+J31/J$23</f>
        <v>#DIV/0!</v>
      </c>
      <c r="L31" s="285">
        <f>'Expenses, Miscellaneous'!I7</f>
        <v>2535.4499999999998</v>
      </c>
      <c r="M31" s="292" t="e">
        <f>+L31/L$23</f>
        <v>#DIV/0!</v>
      </c>
      <c r="N31" s="285">
        <f>'Expenses, Miscellaneous'!J7</f>
        <v>0</v>
      </c>
      <c r="O31" s="292">
        <f>N31/SUM(D$23,F$23,H$23)</f>
        <v>0</v>
      </c>
      <c r="P31" s="285">
        <f t="shared" si="7"/>
        <v>500093.04000000004</v>
      </c>
      <c r="Q31" s="292">
        <f>P31/P23</f>
        <v>0.12234385584482518</v>
      </c>
    </row>
    <row r="32" spans="1:17">
      <c r="A32" s="281"/>
      <c r="B32" s="285"/>
      <c r="C32" s="292"/>
      <c r="D32" s="285"/>
      <c r="E32" s="292"/>
      <c r="F32" s="285"/>
      <c r="G32" s="292"/>
      <c r="H32" s="285"/>
      <c r="I32" s="292"/>
      <c r="J32" s="285"/>
      <c r="K32" s="292"/>
      <c r="L32" s="285"/>
      <c r="M32" s="292"/>
      <c r="N32" s="285"/>
      <c r="O32" s="292"/>
      <c r="P32" s="285"/>
      <c r="Q32" s="292"/>
    </row>
    <row r="33" spans="1:17" ht="16" thickBot="1">
      <c r="A33" s="293" t="s">
        <v>303</v>
      </c>
      <c r="B33" s="294">
        <f>B25-B31</f>
        <v>-132855.28000000014</v>
      </c>
      <c r="C33" s="296">
        <f>+B33/B25</f>
        <v>-1.0996190428736741</v>
      </c>
      <c r="D33" s="294">
        <f>D25-D31</f>
        <v>275226.69</v>
      </c>
      <c r="E33" s="296">
        <f>+D33/D$23</f>
        <v>0.35881898310444588</v>
      </c>
      <c r="F33" s="294">
        <f>F25-F31</f>
        <v>290472.64000000019</v>
      </c>
      <c r="G33" s="296">
        <f>+F33/F$23</f>
        <v>0.30404588370446439</v>
      </c>
      <c r="H33" s="294">
        <f>H25-H31</f>
        <v>401553.09999999992</v>
      </c>
      <c r="I33" s="296">
        <f>+H33/H$23</f>
        <v>0.35698991979555028</v>
      </c>
      <c r="J33" s="294">
        <f>J25-J31</f>
        <v>0</v>
      </c>
      <c r="K33" s="296" t="e">
        <f>+J33/J$23</f>
        <v>#DIV/0!</v>
      </c>
      <c r="L33" s="294">
        <f>L25-L31</f>
        <v>-4254.3599999999997</v>
      </c>
      <c r="M33" s="296" t="e">
        <f>+L33/L$23</f>
        <v>#DIV/0!</v>
      </c>
      <c r="N33" s="294">
        <f>N31*-1</f>
        <v>0</v>
      </c>
      <c r="O33" s="302">
        <f>N33/SUM(D$23,F$23,H$23)</f>
        <v>0</v>
      </c>
      <c r="P33" s="294">
        <f>P25-P31</f>
        <v>832518.65000000014</v>
      </c>
      <c r="Q33" s="296">
        <f>P33/P23</f>
        <v>0.20366918464557812</v>
      </c>
    </row>
    <row r="34" spans="1:17">
      <c r="A34" s="303" t="s">
        <v>306</v>
      </c>
      <c r="B34" s="304"/>
      <c r="C34" s="305"/>
      <c r="D34" s="304"/>
      <c r="E34" s="305"/>
      <c r="F34" s="304"/>
      <c r="G34" s="305"/>
      <c r="H34" s="304"/>
      <c r="I34" s="305"/>
      <c r="J34" s="304"/>
      <c r="K34" s="305"/>
      <c r="L34" s="304"/>
      <c r="M34" s="305"/>
      <c r="N34" s="304"/>
      <c r="O34" s="305"/>
      <c r="P34" s="306">
        <f>'Sales, COGS, GP'!B43</f>
        <v>-4.7</v>
      </c>
      <c r="Q34" s="307"/>
    </row>
    <row r="35" spans="1:17">
      <c r="A35" s="303" t="s">
        <v>171</v>
      </c>
      <c r="B35" s="304"/>
      <c r="C35" s="305"/>
      <c r="D35" s="304"/>
      <c r="E35" s="305"/>
      <c r="F35" s="304"/>
      <c r="G35" s="305"/>
      <c r="H35" s="304"/>
      <c r="I35" s="305"/>
      <c r="J35" s="304"/>
      <c r="K35" s="305"/>
      <c r="L35" s="304"/>
      <c r="M35" s="305"/>
      <c r="N35" s="304"/>
      <c r="O35" s="305"/>
      <c r="P35" s="306">
        <f>'Sales, COGS, GP'!B44</f>
        <v>-38454.22</v>
      </c>
      <c r="Q35" s="307"/>
    </row>
    <row r="36" spans="1:17">
      <c r="A36" s="303" t="s">
        <v>307</v>
      </c>
      <c r="B36" s="304"/>
      <c r="C36" s="305"/>
      <c r="D36" s="304"/>
      <c r="E36" s="305"/>
      <c r="F36" s="304"/>
      <c r="G36" s="305"/>
      <c r="H36" s="304"/>
      <c r="I36" s="305"/>
      <c r="J36" s="304"/>
      <c r="K36" s="305"/>
      <c r="L36" s="304"/>
      <c r="M36" s="305"/>
      <c r="N36" s="304"/>
      <c r="O36" s="305"/>
      <c r="P36" s="306">
        <f>'Sales, COGS, GP'!B46</f>
        <v>0</v>
      </c>
      <c r="Q36" s="307"/>
    </row>
    <row r="37" spans="1:17">
      <c r="A37" s="303" t="s">
        <v>308</v>
      </c>
      <c r="B37" s="304"/>
      <c r="C37" s="305"/>
      <c r="D37" s="304"/>
      <c r="E37" s="305"/>
      <c r="F37" s="304"/>
      <c r="G37" s="305"/>
      <c r="H37" s="304"/>
      <c r="I37" s="305"/>
      <c r="J37" s="304"/>
      <c r="K37" s="305"/>
      <c r="L37" s="304"/>
      <c r="M37" s="305"/>
      <c r="N37" s="304"/>
      <c r="O37" s="305"/>
      <c r="P37" s="306">
        <f>'Sales, COGS, GP'!B47</f>
        <v>794059.73000000045</v>
      </c>
      <c r="Q37" s="307">
        <f>IFERROR(+P37/P23,"")</f>
        <v>0.19426051028284827</v>
      </c>
    </row>
    <row r="38" spans="1:17">
      <c r="A38" s="297"/>
      <c r="B38" s="274"/>
      <c r="C38" s="275"/>
      <c r="D38" s="274"/>
      <c r="E38" s="275"/>
      <c r="F38" s="274"/>
      <c r="G38" s="275"/>
      <c r="H38" s="274"/>
      <c r="I38" s="275"/>
      <c r="J38" s="274"/>
      <c r="K38" s="275"/>
      <c r="L38" s="274"/>
      <c r="M38" s="275"/>
      <c r="N38" s="308">
        <f>D23+F23+H23</f>
        <v>2847223.19</v>
      </c>
      <c r="O38" s="275"/>
      <c r="P38" s="274"/>
      <c r="Q38" s="275"/>
    </row>
    <row r="39" spans="1:17" ht="18">
      <c r="A39" s="443" t="str">
        <f>A1</f>
        <v>Bennett Material Handling</v>
      </c>
      <c r="B39" s="443"/>
      <c r="C39" s="443"/>
      <c r="D39" s="443"/>
      <c r="E39" s="443"/>
      <c r="F39" s="443"/>
      <c r="G39" s="443"/>
      <c r="H39" s="443"/>
      <c r="I39" s="443"/>
      <c r="J39" s="443"/>
      <c r="K39" s="443"/>
      <c r="L39" s="443"/>
      <c r="M39" s="443"/>
      <c r="N39" s="443"/>
      <c r="O39" s="443"/>
      <c r="P39" s="443"/>
      <c r="Q39" s="443"/>
    </row>
    <row r="40" spans="1:17" ht="16">
      <c r="A40" s="444" t="s">
        <v>309</v>
      </c>
      <c r="B40" s="444"/>
      <c r="C40" s="444"/>
      <c r="D40" s="444"/>
      <c r="E40" s="444"/>
      <c r="F40" s="444"/>
      <c r="G40" s="444"/>
      <c r="H40" s="444"/>
      <c r="I40" s="444"/>
      <c r="J40" s="444"/>
      <c r="K40" s="444"/>
      <c r="L40" s="444"/>
      <c r="M40" s="444"/>
      <c r="N40" s="444"/>
      <c r="O40" s="444"/>
      <c r="P40" s="444"/>
      <c r="Q40" s="444"/>
    </row>
    <row r="41" spans="1:17" ht="16" thickBot="1">
      <c r="A41" s="273"/>
      <c r="B41" s="274"/>
      <c r="C41" s="275"/>
      <c r="D41" s="274"/>
      <c r="E41" s="275"/>
      <c r="F41" s="274"/>
      <c r="G41" s="275"/>
      <c r="H41" s="274"/>
      <c r="I41" s="275"/>
      <c r="J41" s="274"/>
      <c r="K41" s="275"/>
      <c r="L41" s="274"/>
      <c r="M41" s="275"/>
      <c r="N41" s="274"/>
      <c r="O41" s="275"/>
      <c r="P41" s="274"/>
      <c r="Q41" s="275"/>
    </row>
    <row r="42" spans="1:17" ht="16" thickBot="1">
      <c r="A42" s="280"/>
      <c r="B42" s="445" t="s">
        <v>289</v>
      </c>
      <c r="C42" s="446"/>
      <c r="D42" s="445" t="s">
        <v>290</v>
      </c>
      <c r="E42" s="446"/>
      <c r="F42" s="445" t="s">
        <v>291</v>
      </c>
      <c r="G42" s="446"/>
      <c r="H42" s="445" t="s">
        <v>181</v>
      </c>
      <c r="I42" s="446"/>
      <c r="J42" s="445" t="s">
        <v>182</v>
      </c>
      <c r="K42" s="446"/>
      <c r="L42" s="445" t="s">
        <v>183</v>
      </c>
      <c r="M42" s="446"/>
      <c r="N42" s="445" t="s">
        <v>294</v>
      </c>
      <c r="O42" s="446"/>
      <c r="P42" s="445" t="s">
        <v>185</v>
      </c>
      <c r="Q42" s="446"/>
    </row>
    <row r="43" spans="1:17">
      <c r="A43" s="309"/>
      <c r="B43" s="310"/>
      <c r="C43" s="283"/>
      <c r="D43" s="310"/>
      <c r="E43" s="283"/>
      <c r="F43" s="310"/>
      <c r="G43" s="283"/>
      <c r="H43" s="310"/>
      <c r="I43" s="283"/>
      <c r="J43" s="310"/>
      <c r="K43" s="283"/>
      <c r="L43" s="310"/>
      <c r="M43" s="283"/>
      <c r="N43" s="289"/>
      <c r="O43" s="283"/>
      <c r="P43" s="310"/>
      <c r="Q43" s="284"/>
    </row>
    <row r="44" spans="1:17">
      <c r="A44" s="281" t="s">
        <v>297</v>
      </c>
      <c r="B44" s="311"/>
      <c r="C44" s="286"/>
      <c r="D44" s="312">
        <f t="shared" ref="D44:M44" si="8">D25-D8</f>
        <v>34029.281999999948</v>
      </c>
      <c r="E44" s="286">
        <f t="shared" si="8"/>
        <v>4.4364710279422459E-2</v>
      </c>
      <c r="F44" s="312">
        <f t="shared" si="8"/>
        <v>-255731.83149999997</v>
      </c>
      <c r="G44" s="286">
        <f t="shared" si="8"/>
        <v>-0.26768170213820691</v>
      </c>
      <c r="H44" s="312">
        <f t="shared" si="8"/>
        <v>-1132.3520000000135</v>
      </c>
      <c r="I44" s="286">
        <f t="shared" si="8"/>
        <v>-1.0066869105488929E-3</v>
      </c>
      <c r="J44" s="312">
        <f t="shared" si="8"/>
        <v>0</v>
      </c>
      <c r="K44" s="286" t="e">
        <f t="shared" si="8"/>
        <v>#DIV/0!</v>
      </c>
      <c r="L44" s="312">
        <f t="shared" si="8"/>
        <v>-1718.9099999999999</v>
      </c>
      <c r="M44" s="286" t="e">
        <f t="shared" si="8"/>
        <v>#DIV/0!</v>
      </c>
      <c r="N44" s="311"/>
      <c r="O44" s="286"/>
      <c r="P44" s="312">
        <f>P25-P8</f>
        <v>-224553.81150000007</v>
      </c>
      <c r="Q44" s="286">
        <f>Q25-Q8</f>
        <v>-5.4935335919816142E-2</v>
      </c>
    </row>
    <row r="45" spans="1:17">
      <c r="A45" s="281"/>
      <c r="B45" s="289"/>
      <c r="C45" s="286"/>
      <c r="D45" s="312"/>
      <c r="E45" s="286"/>
      <c r="F45" s="312"/>
      <c r="G45" s="286"/>
      <c r="H45" s="312"/>
      <c r="I45" s="286"/>
      <c r="J45" s="312"/>
      <c r="K45" s="286"/>
      <c r="L45" s="312"/>
      <c r="M45" s="286"/>
      <c r="N45" s="289"/>
      <c r="O45" s="286"/>
      <c r="P45" s="312"/>
      <c r="Q45" s="286"/>
    </row>
    <row r="46" spans="1:17">
      <c r="A46" s="288" t="s">
        <v>298</v>
      </c>
      <c r="B46" s="289"/>
      <c r="C46" s="286"/>
      <c r="D46" s="312"/>
      <c r="E46" s="286"/>
      <c r="F46" s="312"/>
      <c r="G46" s="286"/>
      <c r="H46" s="312"/>
      <c r="I46" s="286"/>
      <c r="J46" s="312"/>
      <c r="K46" s="286"/>
      <c r="L46" s="312"/>
      <c r="M46" s="286"/>
      <c r="N46" s="289"/>
      <c r="O46" s="286"/>
      <c r="P46" s="312"/>
      <c r="Q46" s="286"/>
    </row>
    <row r="47" spans="1:17">
      <c r="A47" s="281" t="s">
        <v>299</v>
      </c>
      <c r="B47" s="312">
        <f t="shared" ref="B47:Q47" si="9">B11-B28</f>
        <v>40516.734999999942</v>
      </c>
      <c r="C47" s="286">
        <f t="shared" si="9"/>
        <v>0.33534966288931967</v>
      </c>
      <c r="D47" s="312">
        <f t="shared" si="9"/>
        <v>71557.902000000016</v>
      </c>
      <c r="E47" s="286">
        <f t="shared" si="9"/>
        <v>9.3291583126358837E-2</v>
      </c>
      <c r="F47" s="312">
        <f t="shared" si="9"/>
        <v>185207.54200000004</v>
      </c>
      <c r="G47" s="286">
        <f t="shared" si="9"/>
        <v>0.19386194436805365</v>
      </c>
      <c r="H47" s="312">
        <f t="shared" si="9"/>
        <v>104367.586</v>
      </c>
      <c r="I47" s="286">
        <f t="shared" si="9"/>
        <v>9.2785178735751761E-2</v>
      </c>
      <c r="J47" s="312">
        <f t="shared" si="9"/>
        <v>0</v>
      </c>
      <c r="K47" s="286" t="e">
        <f t="shared" si="9"/>
        <v>#DIV/0!</v>
      </c>
      <c r="L47" s="312">
        <f t="shared" si="9"/>
        <v>-198.82000000000005</v>
      </c>
      <c r="M47" s="286" t="e">
        <f t="shared" si="9"/>
        <v>#DIV/0!</v>
      </c>
      <c r="N47" s="312">
        <f t="shared" si="9"/>
        <v>142361.15950000001</v>
      </c>
      <c r="O47" s="286">
        <f t="shared" si="9"/>
        <v>0.05</v>
      </c>
      <c r="P47" s="312">
        <f t="shared" si="9"/>
        <v>543812.10450000002</v>
      </c>
      <c r="Q47" s="286">
        <f t="shared" si="9"/>
        <v>0.13303938347076177</v>
      </c>
    </row>
    <row r="48" spans="1:17">
      <c r="A48" s="281" t="s">
        <v>300</v>
      </c>
      <c r="B48" s="312">
        <f t="shared" ref="B48:Q48" si="10">B12-B29</f>
        <v>-114720.15750000006</v>
      </c>
      <c r="C48" s="286">
        <f t="shared" si="10"/>
        <v>-0.94951792498173249</v>
      </c>
      <c r="D48" s="312">
        <f t="shared" si="10"/>
        <v>-14475.872399999997</v>
      </c>
      <c r="E48" s="286">
        <f t="shared" si="10"/>
        <v>-1.8872507655844403E-2</v>
      </c>
      <c r="F48" s="312">
        <f t="shared" si="10"/>
        <v>52814.831000000027</v>
      </c>
      <c r="G48" s="286">
        <f t="shared" si="10"/>
        <v>5.5282769365462218E-2</v>
      </c>
      <c r="H48" s="312">
        <f t="shared" si="10"/>
        <v>-25378.179200000006</v>
      </c>
      <c r="I48" s="286">
        <f t="shared" si="10"/>
        <v>-2.2561783627532965E-2</v>
      </c>
      <c r="J48" s="312">
        <f t="shared" si="10"/>
        <v>0</v>
      </c>
      <c r="K48" s="286" t="e">
        <f t="shared" si="10"/>
        <v>#DIV/0!</v>
      </c>
      <c r="L48" s="312">
        <f t="shared" si="10"/>
        <v>-1448.51</v>
      </c>
      <c r="M48" s="286" t="e">
        <f t="shared" si="10"/>
        <v>#DIV/0!</v>
      </c>
      <c r="N48" s="312">
        <f t="shared" si="10"/>
        <v>85416.695699999997</v>
      </c>
      <c r="O48" s="286">
        <f t="shared" si="10"/>
        <v>0.03</v>
      </c>
      <c r="P48" s="312">
        <f t="shared" si="10"/>
        <v>-17791.192400000058</v>
      </c>
      <c r="Q48" s="286">
        <f t="shared" si="10"/>
        <v>-4.3524762478061307E-3</v>
      </c>
    </row>
    <row r="49" spans="1:17">
      <c r="A49" s="290" t="s">
        <v>301</v>
      </c>
      <c r="B49" s="313">
        <f t="shared" ref="B49:Q49" si="11">B13-B30</f>
        <v>-76774.763000000006</v>
      </c>
      <c r="C49" s="348">
        <f t="shared" si="11"/>
        <v>-0.63545078078126127</v>
      </c>
      <c r="D49" s="313">
        <f t="shared" si="11"/>
        <v>-7643.3516000000018</v>
      </c>
      <c r="E49" s="348">
        <f t="shared" si="11"/>
        <v>-9.9648026454910305E-3</v>
      </c>
      <c r="F49" s="313">
        <f t="shared" si="11"/>
        <v>21574.725500000015</v>
      </c>
      <c r="G49" s="348">
        <f t="shared" si="11"/>
        <v>2.2582872109155414E-2</v>
      </c>
      <c r="H49" s="313">
        <f t="shared" si="11"/>
        <v>-13753.0628</v>
      </c>
      <c r="I49" s="348">
        <f t="shared" si="11"/>
        <v>-1.2226788402119586E-2</v>
      </c>
      <c r="J49" s="313">
        <f t="shared" si="11"/>
        <v>0</v>
      </c>
      <c r="K49" s="348" t="e">
        <f t="shared" si="11"/>
        <v>#DIV/0!</v>
      </c>
      <c r="L49" s="313">
        <f t="shared" si="11"/>
        <v>-888.12</v>
      </c>
      <c r="M49" s="348" t="e">
        <f t="shared" si="11"/>
        <v>#DIV/0!</v>
      </c>
      <c r="N49" s="313">
        <f t="shared" si="11"/>
        <v>56944.463799999998</v>
      </c>
      <c r="O49" s="348">
        <f t="shared" si="11"/>
        <v>0.02</v>
      </c>
      <c r="P49" s="313">
        <f t="shared" si="11"/>
        <v>-20540.108099999954</v>
      </c>
      <c r="Q49" s="348">
        <f t="shared" si="11"/>
        <v>-5.0249770011266681E-3</v>
      </c>
    </row>
    <row r="50" spans="1:17">
      <c r="A50" s="281" t="s">
        <v>302</v>
      </c>
      <c r="B50" s="312">
        <f t="shared" ref="B50:Q50" si="12">SUM(B47:B49)</f>
        <v>-150978.18550000014</v>
      </c>
      <c r="C50" s="286">
        <f t="shared" si="12"/>
        <v>-1.249619042873674</v>
      </c>
      <c r="D50" s="312">
        <f t="shared" si="12"/>
        <v>49438.678000000022</v>
      </c>
      <c r="E50" s="286">
        <f t="shared" si="12"/>
        <v>6.4454272825023404E-2</v>
      </c>
      <c r="F50" s="312">
        <f t="shared" si="12"/>
        <v>259597.09850000008</v>
      </c>
      <c r="G50" s="286">
        <f t="shared" si="12"/>
        <v>0.27172758584267132</v>
      </c>
      <c r="H50" s="312">
        <f t="shared" si="12"/>
        <v>65236.343999999997</v>
      </c>
      <c r="I50" s="286">
        <f t="shared" si="12"/>
        <v>5.7996606706099199E-2</v>
      </c>
      <c r="J50" s="312">
        <f t="shared" ref="J50:K50" si="13">SUM(J47:J49)</f>
        <v>0</v>
      </c>
      <c r="K50" s="286" t="e">
        <f t="shared" si="13"/>
        <v>#DIV/0!</v>
      </c>
      <c r="L50" s="312">
        <f t="shared" ref="L50:M50" si="14">SUM(L47:L49)</f>
        <v>-2535.4499999999998</v>
      </c>
      <c r="M50" s="286" t="e">
        <f t="shared" si="14"/>
        <v>#DIV/0!</v>
      </c>
      <c r="N50" s="312">
        <f t="shared" si="12"/>
        <v>284722.31900000002</v>
      </c>
      <c r="O50" s="286">
        <f t="shared" si="12"/>
        <v>0.1</v>
      </c>
      <c r="P50" s="312">
        <f t="shared" si="12"/>
        <v>505480.804</v>
      </c>
      <c r="Q50" s="286">
        <f t="shared" si="12"/>
        <v>0.12366193022182898</v>
      </c>
    </row>
    <row r="51" spans="1:17">
      <c r="A51" s="281"/>
      <c r="B51" s="312"/>
      <c r="C51" s="286"/>
      <c r="D51" s="312"/>
      <c r="E51" s="286"/>
      <c r="F51" s="312"/>
      <c r="G51" s="286"/>
      <c r="H51" s="312"/>
      <c r="I51" s="286"/>
      <c r="J51" s="312"/>
      <c r="K51" s="286"/>
      <c r="L51" s="312"/>
      <c r="M51" s="286"/>
      <c r="N51" s="312"/>
      <c r="O51" s="286"/>
      <c r="P51" s="312"/>
      <c r="Q51" s="286"/>
    </row>
    <row r="52" spans="1:17" ht="16" thickBot="1">
      <c r="A52" s="293" t="s">
        <v>303</v>
      </c>
      <c r="B52" s="314">
        <f>B50</f>
        <v>-150978.18550000014</v>
      </c>
      <c r="C52" s="315">
        <f>C50</f>
        <v>-1.249619042873674</v>
      </c>
      <c r="D52" s="314">
        <f t="shared" ref="D52:M52" si="15">D33-D16</f>
        <v>83467.959999999963</v>
      </c>
      <c r="E52" s="315">
        <f t="shared" si="15"/>
        <v>0.10881898310444588</v>
      </c>
      <c r="F52" s="314">
        <f t="shared" si="15"/>
        <v>3865.2670000001672</v>
      </c>
      <c r="G52" s="315">
        <f t="shared" si="15"/>
        <v>4.0458837044644036E-3</v>
      </c>
      <c r="H52" s="314">
        <f t="shared" si="15"/>
        <v>64103.991999999911</v>
      </c>
      <c r="I52" s="315">
        <f t="shared" si="15"/>
        <v>5.6989919795550237E-2</v>
      </c>
      <c r="J52" s="314">
        <f t="shared" si="15"/>
        <v>0</v>
      </c>
      <c r="K52" s="315" t="e">
        <f t="shared" si="15"/>
        <v>#DIV/0!</v>
      </c>
      <c r="L52" s="314">
        <f t="shared" si="15"/>
        <v>-4254.3599999999997</v>
      </c>
      <c r="M52" s="315" t="e">
        <f t="shared" si="15"/>
        <v>#DIV/0!</v>
      </c>
      <c r="N52" s="314">
        <f>N50</f>
        <v>284722.31900000002</v>
      </c>
      <c r="O52" s="315">
        <f>O50</f>
        <v>0.1</v>
      </c>
      <c r="P52" s="314">
        <f>P44+P50</f>
        <v>280926.99249999993</v>
      </c>
      <c r="Q52" s="315">
        <f>Q44+Q50</f>
        <v>6.8726594302012833E-2</v>
      </c>
    </row>
  </sheetData>
  <sheetProtection sheet="1" objects="1" scenarios="1" selectLockedCells="1"/>
  <mergeCells count="32">
    <mergeCell ref="N23:O26"/>
    <mergeCell ref="A39:Q39"/>
    <mergeCell ref="A40:Q40"/>
    <mergeCell ref="B42:C42"/>
    <mergeCell ref="D42:E42"/>
    <mergeCell ref="F42:G42"/>
    <mergeCell ref="H42:I42"/>
    <mergeCell ref="N42:O42"/>
    <mergeCell ref="P42:Q42"/>
    <mergeCell ref="J42:K42"/>
    <mergeCell ref="L42:M42"/>
    <mergeCell ref="N6:O9"/>
    <mergeCell ref="A18:Q18"/>
    <mergeCell ref="A19:Q19"/>
    <mergeCell ref="B22:C22"/>
    <mergeCell ref="D22:E22"/>
    <mergeCell ref="F22:G22"/>
    <mergeCell ref="H22:I22"/>
    <mergeCell ref="N22:O22"/>
    <mergeCell ref="P22:Q22"/>
    <mergeCell ref="J22:K22"/>
    <mergeCell ref="L22:M22"/>
    <mergeCell ref="A1:Q1"/>
    <mergeCell ref="A2:Q2"/>
    <mergeCell ref="B5:C5"/>
    <mergeCell ref="D5:E5"/>
    <mergeCell ref="F5:G5"/>
    <mergeCell ref="H5:I5"/>
    <mergeCell ref="N5:O5"/>
    <mergeCell ref="P5:Q5"/>
    <mergeCell ref="J5:K5"/>
    <mergeCell ref="L5:M5"/>
  </mergeCells>
  <conditionalFormatting sqref="B6 D6 F6 H6 P6 B8:D8 F8 H8 P8 Q8:Q14 C9 O11:O13 P11:P14 B14:D14 F14 H14 N14 B16:D16 F16 H16 N16 P16:Q16 B23 P23:Q23 B25:D25 F25 P25 E25:E26 G25:G26 Q25:Q31 C26 I26:I30 B28:H29 N28:P29 C30 E30 G30 P30:P31 O30:O33 P33:Q33">
    <cfRule type="expression" dxfId="99" priority="23" stopIfTrue="1">
      <formula>ISERROR(B6)</formula>
    </cfRule>
  </conditionalFormatting>
  <conditionalFormatting sqref="B33:K37">
    <cfRule type="expression" dxfId="98" priority="8" stopIfTrue="1">
      <formula>ISERROR(B33)</formula>
    </cfRule>
  </conditionalFormatting>
  <conditionalFormatting sqref="B43:Q52">
    <cfRule type="cellIs" dxfId="97" priority="2" stopIfTrue="1" operator="lessThan">
      <formula>0</formula>
    </cfRule>
  </conditionalFormatting>
  <conditionalFormatting sqref="C6:C7 Q6:Q7 E6:E10 G6:G10 I6:I10 B7 D7 F7 H7 P7 B9:B10 D9:D10 F9:F10 H9:H10 P9:P10 C10 B13:D13 F13 H13 N13 E13:E16 G13:G16 I13:I16 O14:O16 B15:D15 F15 H15 N15 P15:Q15 C23:C24 N23:O27 B24 P24:Q24 B26:B27 D26:D27 F26:F27 H26:H27 P26:P27 C27 E27 G27 B30 D30 F30 H30 N30 P32:Q32">
    <cfRule type="expression" dxfId="96" priority="22" stopIfTrue="1">
      <formula>"Error"</formula>
    </cfRule>
  </conditionalFormatting>
  <conditionalFormatting sqref="C43:M43 C45:M46 B51:Q51">
    <cfRule type="expression" dxfId="95" priority="3" stopIfTrue="1">
      <formula>"Error"</formula>
    </cfRule>
  </conditionalFormatting>
  <conditionalFormatting sqref="C44:M44 B47:M50 B52:Q52">
    <cfRule type="expression" dxfId="94" priority="5" stopIfTrue="1">
      <formula>ISERROR(B44)</formula>
    </cfRule>
  </conditionalFormatting>
  <conditionalFormatting sqref="J6 J8 J14 J16 K26:K30 J28:J29">
    <cfRule type="expression" dxfId="93" priority="14" stopIfTrue="1">
      <formula>ISERROR(J6)</formula>
    </cfRule>
  </conditionalFormatting>
  <conditionalFormatting sqref="K6:K10 J7 J9:J10 J13 K13:K16 J15 J26:J27 J30">
    <cfRule type="expression" dxfId="92" priority="13" stopIfTrue="1">
      <formula>"Error"</formula>
    </cfRule>
  </conditionalFormatting>
  <conditionalFormatting sqref="L6 L8 B11:N12 L14 L16 D23:M23 H25:M25 M26:M30 L28:L29 B31:N31 L33:N33">
    <cfRule type="expression" dxfId="91" priority="7" stopIfTrue="1">
      <formula>ISERROR(B6)</formula>
    </cfRule>
  </conditionalFormatting>
  <conditionalFormatting sqref="L34:O37">
    <cfRule type="expression" dxfId="90" priority="1" stopIfTrue="1">
      <formula>ISERROR(L34)</formula>
    </cfRule>
  </conditionalFormatting>
  <conditionalFormatting sqref="M6:O10 L7 L9:L10 L13 M13:M16 L15 D24:M24 L26:L27 L30 B32:N32">
    <cfRule type="expression" dxfId="89" priority="6" stopIfTrue="1">
      <formula>"Error"</formula>
    </cfRule>
  </conditionalFormatting>
  <conditionalFormatting sqref="N49 P49">
    <cfRule type="expression" dxfId="88" priority="17" stopIfTrue="1">
      <formula>ISERROR(N50)</formula>
    </cfRule>
  </conditionalFormatting>
  <conditionalFormatting sqref="O43:Q43 B43:B46 N43:N46 O45:Q46">
    <cfRule type="expression" dxfId="87" priority="19" stopIfTrue="1">
      <formula>"Error"</formula>
    </cfRule>
  </conditionalFormatting>
  <conditionalFormatting sqref="O44:Q44 N47:Q48 O49 Q49 N50:Q50">
    <cfRule type="expression" dxfId="86" priority="21" stopIfTrue="1">
      <formula>ISERROR(N44)</formula>
    </cfRule>
  </conditionalFormatting>
  <conditionalFormatting sqref="Q34:Q37">
    <cfRule type="expression" dxfId="85" priority="15" stopIfTrue="1">
      <formula>ISERROR(Q34)</formula>
    </cfRule>
  </conditionalFormatting>
  <printOptions horizontalCentered="1" verticalCentered="1"/>
  <pageMargins left="0.7" right="0.7" top="0.75" bottom="0.75" header="0.3" footer="0.3"/>
  <pageSetup scale="63" orientation="landscape" r:id="rId1"/>
  <headerFooter>
    <oddHeader>&amp;C&amp;"Times New Roman,Regular"&amp;12Currie Financial Composite Input Template
Material Handling Equipment&amp;R&amp;G</oddHeader>
    <oddFooter>&amp;C&amp;"Times New Roman,Regular"&amp;12Gap Analysis&amp;"-,Regular"&amp;11
&amp;"BergamoSmCaps,Bold"&amp;9&amp;K002060www.curriemanagement.com</oddFooter>
  </headerFooter>
  <legacyDrawing r:id="rId2"/>
  <legacyDrawingHF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0EB1A-4830-4E52-B563-48DB993875DF}">
  <dimension ref="A1:K142"/>
  <sheetViews>
    <sheetView view="pageBreakPreview" zoomScale="80" zoomScaleNormal="100" zoomScaleSheetLayoutView="80" workbookViewId="0">
      <selection activeCell="G1" sqref="G1"/>
    </sheetView>
  </sheetViews>
  <sheetFormatPr baseColWidth="10" defaultColWidth="8.83203125" defaultRowHeight="16"/>
  <cols>
    <col min="1" max="1" width="41" style="19" customWidth="1"/>
    <col min="2" max="3" width="22.5" style="2" customWidth="1"/>
    <col min="4" max="4" width="3.6640625" style="19" customWidth="1"/>
    <col min="5" max="5" width="47.1640625" style="19" customWidth="1"/>
    <col min="6" max="7" width="22.5" style="2" customWidth="1"/>
    <col min="8" max="8" width="2.83203125" style="2" customWidth="1"/>
    <col min="9" max="9" width="47.33203125" style="19" customWidth="1"/>
    <col min="10" max="11" width="22.5" style="2" customWidth="1"/>
    <col min="12" max="233" width="9.1640625" style="22"/>
    <col min="234" max="234" width="24.5" style="22" customWidth="1"/>
    <col min="235" max="235" width="15" style="22" customWidth="1"/>
    <col min="236" max="236" width="2.83203125" style="22" customWidth="1"/>
    <col min="237" max="237" width="27" style="22" customWidth="1"/>
    <col min="238" max="238" width="15" style="22" customWidth="1"/>
    <col min="239" max="239" width="2.83203125" style="22" customWidth="1"/>
    <col min="240" max="240" width="24.5" style="22" customWidth="1"/>
    <col min="241" max="241" width="15" style="22" customWidth="1"/>
    <col min="242" max="242" width="14.83203125" style="22" customWidth="1"/>
    <col min="243" max="243" width="12.5" style="22" customWidth="1"/>
    <col min="244" max="253" width="9.1640625" style="22"/>
    <col min="254" max="254" width="5.1640625" style="22" customWidth="1"/>
    <col min="255" max="255" width="26.83203125" style="22" customWidth="1"/>
    <col min="256" max="256" width="15" style="22" customWidth="1"/>
    <col min="257" max="257" width="2.83203125" style="22" customWidth="1"/>
    <col min="258" max="258" width="26.6640625" style="22" customWidth="1"/>
    <col min="259" max="260" width="10.83203125" style="22" customWidth="1"/>
    <col min="261" max="489" width="9.1640625" style="22"/>
    <col min="490" max="490" width="24.5" style="22" customWidth="1"/>
    <col min="491" max="491" width="15" style="22" customWidth="1"/>
    <col min="492" max="492" width="2.83203125" style="22" customWidth="1"/>
    <col min="493" max="493" width="27" style="22" customWidth="1"/>
    <col min="494" max="494" width="15" style="22" customWidth="1"/>
    <col min="495" max="495" width="2.83203125" style="22" customWidth="1"/>
    <col min="496" max="496" width="24.5" style="22" customWidth="1"/>
    <col min="497" max="497" width="15" style="22" customWidth="1"/>
    <col min="498" max="498" width="14.83203125" style="22" customWidth="1"/>
    <col min="499" max="499" width="12.5" style="22" customWidth="1"/>
    <col min="500" max="509" width="9.1640625" style="22"/>
    <col min="510" max="510" width="5.1640625" style="22" customWidth="1"/>
    <col min="511" max="511" width="26.83203125" style="22" customWidth="1"/>
    <col min="512" max="512" width="15" style="22" customWidth="1"/>
    <col min="513" max="513" width="2.83203125" style="22" customWidth="1"/>
    <col min="514" max="514" width="26.6640625" style="22" customWidth="1"/>
    <col min="515" max="516" width="10.83203125" style="22" customWidth="1"/>
    <col min="517" max="745" width="9.1640625" style="22"/>
    <col min="746" max="746" width="24.5" style="22" customWidth="1"/>
    <col min="747" max="747" width="15" style="22" customWidth="1"/>
    <col min="748" max="748" width="2.83203125" style="22" customWidth="1"/>
    <col min="749" max="749" width="27" style="22" customWidth="1"/>
    <col min="750" max="750" width="15" style="22" customWidth="1"/>
    <col min="751" max="751" width="2.83203125" style="22" customWidth="1"/>
    <col min="752" max="752" width="24.5" style="22" customWidth="1"/>
    <col min="753" max="753" width="15" style="22" customWidth="1"/>
    <col min="754" max="754" width="14.83203125" style="22" customWidth="1"/>
    <col min="755" max="755" width="12.5" style="22" customWidth="1"/>
    <col min="756" max="765" width="9.1640625" style="22"/>
    <col min="766" max="766" width="5.1640625" style="22" customWidth="1"/>
    <col min="767" max="767" width="26.83203125" style="22" customWidth="1"/>
    <col min="768" max="768" width="15" style="22" customWidth="1"/>
    <col min="769" max="769" width="2.83203125" style="22" customWidth="1"/>
    <col min="770" max="770" width="26.6640625" style="22" customWidth="1"/>
    <col min="771" max="772" width="10.83203125" style="22" customWidth="1"/>
    <col min="773" max="1001" width="9.1640625" style="22"/>
    <col min="1002" max="1002" width="24.5" style="22" customWidth="1"/>
    <col min="1003" max="1003" width="15" style="22" customWidth="1"/>
    <col min="1004" max="1004" width="2.83203125" style="22" customWidth="1"/>
    <col min="1005" max="1005" width="27" style="22" customWidth="1"/>
    <col min="1006" max="1006" width="15" style="22" customWidth="1"/>
    <col min="1007" max="1007" width="2.83203125" style="22" customWidth="1"/>
    <col min="1008" max="1008" width="24.5" style="22" customWidth="1"/>
    <col min="1009" max="1009" width="15" style="22" customWidth="1"/>
    <col min="1010" max="1010" width="14.83203125" style="22" customWidth="1"/>
    <col min="1011" max="1011" width="12.5" style="22" customWidth="1"/>
    <col min="1012" max="1021" width="9.1640625" style="22"/>
    <col min="1022" max="1022" width="5.1640625" style="22" customWidth="1"/>
    <col min="1023" max="1023" width="26.83203125" style="22" customWidth="1"/>
    <col min="1024" max="1024" width="15" style="22" customWidth="1"/>
    <col min="1025" max="1025" width="2.83203125" style="22" customWidth="1"/>
    <col min="1026" max="1026" width="26.6640625" style="22" customWidth="1"/>
    <col min="1027" max="1028" width="10.83203125" style="22" customWidth="1"/>
    <col min="1029" max="1257" width="9.1640625" style="22"/>
    <col min="1258" max="1258" width="24.5" style="22" customWidth="1"/>
    <col min="1259" max="1259" width="15" style="22" customWidth="1"/>
    <col min="1260" max="1260" width="2.83203125" style="22" customWidth="1"/>
    <col min="1261" max="1261" width="27" style="22" customWidth="1"/>
    <col min="1262" max="1262" width="15" style="22" customWidth="1"/>
    <col min="1263" max="1263" width="2.83203125" style="22" customWidth="1"/>
    <col min="1264" max="1264" width="24.5" style="22" customWidth="1"/>
    <col min="1265" max="1265" width="15" style="22" customWidth="1"/>
    <col min="1266" max="1266" width="14.83203125" style="22" customWidth="1"/>
    <col min="1267" max="1267" width="12.5" style="22" customWidth="1"/>
    <col min="1268" max="1277" width="9.1640625" style="22"/>
    <col min="1278" max="1278" width="5.1640625" style="22" customWidth="1"/>
    <col min="1279" max="1279" width="26.83203125" style="22" customWidth="1"/>
    <col min="1280" max="1280" width="15" style="22" customWidth="1"/>
    <col min="1281" max="1281" width="2.83203125" style="22" customWidth="1"/>
    <col min="1282" max="1282" width="26.6640625" style="22" customWidth="1"/>
    <col min="1283" max="1284" width="10.83203125" style="22" customWidth="1"/>
    <col min="1285" max="1513" width="9.1640625" style="22"/>
    <col min="1514" max="1514" width="24.5" style="22" customWidth="1"/>
    <col min="1515" max="1515" width="15" style="22" customWidth="1"/>
    <col min="1516" max="1516" width="2.83203125" style="22" customWidth="1"/>
    <col min="1517" max="1517" width="27" style="22" customWidth="1"/>
    <col min="1518" max="1518" width="15" style="22" customWidth="1"/>
    <col min="1519" max="1519" width="2.83203125" style="22" customWidth="1"/>
    <col min="1520" max="1520" width="24.5" style="22" customWidth="1"/>
    <col min="1521" max="1521" width="15" style="22" customWidth="1"/>
    <col min="1522" max="1522" width="14.83203125" style="22" customWidth="1"/>
    <col min="1523" max="1523" width="12.5" style="22" customWidth="1"/>
    <col min="1524" max="1533" width="9.1640625" style="22"/>
    <col min="1534" max="1534" width="5.1640625" style="22" customWidth="1"/>
    <col min="1535" max="1535" width="26.83203125" style="22" customWidth="1"/>
    <col min="1536" max="1536" width="15" style="22" customWidth="1"/>
    <col min="1537" max="1537" width="2.83203125" style="22" customWidth="1"/>
    <col min="1538" max="1538" width="26.6640625" style="22" customWidth="1"/>
    <col min="1539" max="1540" width="10.83203125" style="22" customWidth="1"/>
    <col min="1541" max="1769" width="9.1640625" style="22"/>
    <col min="1770" max="1770" width="24.5" style="22" customWidth="1"/>
    <col min="1771" max="1771" width="15" style="22" customWidth="1"/>
    <col min="1772" max="1772" width="2.83203125" style="22" customWidth="1"/>
    <col min="1773" max="1773" width="27" style="22" customWidth="1"/>
    <col min="1774" max="1774" width="15" style="22" customWidth="1"/>
    <col min="1775" max="1775" width="2.83203125" style="22" customWidth="1"/>
    <col min="1776" max="1776" width="24.5" style="22" customWidth="1"/>
    <col min="1777" max="1777" width="15" style="22" customWidth="1"/>
    <col min="1778" max="1778" width="14.83203125" style="22" customWidth="1"/>
    <col min="1779" max="1779" width="12.5" style="22" customWidth="1"/>
    <col min="1780" max="1789" width="9.1640625" style="22"/>
    <col min="1790" max="1790" width="5.1640625" style="22" customWidth="1"/>
    <col min="1791" max="1791" width="26.83203125" style="22" customWidth="1"/>
    <col min="1792" max="1792" width="15" style="22" customWidth="1"/>
    <col min="1793" max="1793" width="2.83203125" style="22" customWidth="1"/>
    <col min="1794" max="1794" width="26.6640625" style="22" customWidth="1"/>
    <col min="1795" max="1796" width="10.83203125" style="22" customWidth="1"/>
    <col min="1797" max="2025" width="9.1640625" style="22"/>
    <col min="2026" max="2026" width="24.5" style="22" customWidth="1"/>
    <col min="2027" max="2027" width="15" style="22" customWidth="1"/>
    <col min="2028" max="2028" width="2.83203125" style="22" customWidth="1"/>
    <col min="2029" max="2029" width="27" style="22" customWidth="1"/>
    <col min="2030" max="2030" width="15" style="22" customWidth="1"/>
    <col min="2031" max="2031" width="2.83203125" style="22" customWidth="1"/>
    <col min="2032" max="2032" width="24.5" style="22" customWidth="1"/>
    <col min="2033" max="2033" width="15" style="22" customWidth="1"/>
    <col min="2034" max="2034" width="14.83203125" style="22" customWidth="1"/>
    <col min="2035" max="2035" width="12.5" style="22" customWidth="1"/>
    <col min="2036" max="2045" width="9.1640625" style="22"/>
    <col min="2046" max="2046" width="5.1640625" style="22" customWidth="1"/>
    <col min="2047" max="2047" width="26.83203125" style="22" customWidth="1"/>
    <col min="2048" max="2048" width="15" style="22" customWidth="1"/>
    <col min="2049" max="2049" width="2.83203125" style="22" customWidth="1"/>
    <col min="2050" max="2050" width="26.6640625" style="22" customWidth="1"/>
    <col min="2051" max="2052" width="10.83203125" style="22" customWidth="1"/>
    <col min="2053" max="2281" width="9.1640625" style="22"/>
    <col min="2282" max="2282" width="24.5" style="22" customWidth="1"/>
    <col min="2283" max="2283" width="15" style="22" customWidth="1"/>
    <col min="2284" max="2284" width="2.83203125" style="22" customWidth="1"/>
    <col min="2285" max="2285" width="27" style="22" customWidth="1"/>
    <col min="2286" max="2286" width="15" style="22" customWidth="1"/>
    <col min="2287" max="2287" width="2.83203125" style="22" customWidth="1"/>
    <col min="2288" max="2288" width="24.5" style="22" customWidth="1"/>
    <col min="2289" max="2289" width="15" style="22" customWidth="1"/>
    <col min="2290" max="2290" width="14.83203125" style="22" customWidth="1"/>
    <col min="2291" max="2291" width="12.5" style="22" customWidth="1"/>
    <col min="2292" max="2301" width="9.1640625" style="22"/>
    <col min="2302" max="2302" width="5.1640625" style="22" customWidth="1"/>
    <col min="2303" max="2303" width="26.83203125" style="22" customWidth="1"/>
    <col min="2304" max="2304" width="15" style="22" customWidth="1"/>
    <col min="2305" max="2305" width="2.83203125" style="22" customWidth="1"/>
    <col min="2306" max="2306" width="26.6640625" style="22" customWidth="1"/>
    <col min="2307" max="2308" width="10.83203125" style="22" customWidth="1"/>
    <col min="2309" max="2537" width="9.1640625" style="22"/>
    <col min="2538" max="2538" width="24.5" style="22" customWidth="1"/>
    <col min="2539" max="2539" width="15" style="22" customWidth="1"/>
    <col min="2540" max="2540" width="2.83203125" style="22" customWidth="1"/>
    <col min="2541" max="2541" width="27" style="22" customWidth="1"/>
    <col min="2542" max="2542" width="15" style="22" customWidth="1"/>
    <col min="2543" max="2543" width="2.83203125" style="22" customWidth="1"/>
    <col min="2544" max="2544" width="24.5" style="22" customWidth="1"/>
    <col min="2545" max="2545" width="15" style="22" customWidth="1"/>
    <col min="2546" max="2546" width="14.83203125" style="22" customWidth="1"/>
    <col min="2547" max="2547" width="12.5" style="22" customWidth="1"/>
    <col min="2548" max="2557" width="9.1640625" style="22"/>
    <col min="2558" max="2558" width="5.1640625" style="22" customWidth="1"/>
    <col min="2559" max="2559" width="26.83203125" style="22" customWidth="1"/>
    <col min="2560" max="2560" width="15" style="22" customWidth="1"/>
    <col min="2561" max="2561" width="2.83203125" style="22" customWidth="1"/>
    <col min="2562" max="2562" width="26.6640625" style="22" customWidth="1"/>
    <col min="2563" max="2564" width="10.83203125" style="22" customWidth="1"/>
    <col min="2565" max="2793" width="9.1640625" style="22"/>
    <col min="2794" max="2794" width="24.5" style="22" customWidth="1"/>
    <col min="2795" max="2795" width="15" style="22" customWidth="1"/>
    <col min="2796" max="2796" width="2.83203125" style="22" customWidth="1"/>
    <col min="2797" max="2797" width="27" style="22" customWidth="1"/>
    <col min="2798" max="2798" width="15" style="22" customWidth="1"/>
    <col min="2799" max="2799" width="2.83203125" style="22" customWidth="1"/>
    <col min="2800" max="2800" width="24.5" style="22" customWidth="1"/>
    <col min="2801" max="2801" width="15" style="22" customWidth="1"/>
    <col min="2802" max="2802" width="14.83203125" style="22" customWidth="1"/>
    <col min="2803" max="2803" width="12.5" style="22" customWidth="1"/>
    <col min="2804" max="2813" width="9.1640625" style="22"/>
    <col min="2814" max="2814" width="5.1640625" style="22" customWidth="1"/>
    <col min="2815" max="2815" width="26.83203125" style="22" customWidth="1"/>
    <col min="2816" max="2816" width="15" style="22" customWidth="1"/>
    <col min="2817" max="2817" width="2.83203125" style="22" customWidth="1"/>
    <col min="2818" max="2818" width="26.6640625" style="22" customWidth="1"/>
    <col min="2819" max="2820" width="10.83203125" style="22" customWidth="1"/>
    <col min="2821" max="3049" width="9.1640625" style="22"/>
    <col min="3050" max="3050" width="24.5" style="22" customWidth="1"/>
    <col min="3051" max="3051" width="15" style="22" customWidth="1"/>
    <col min="3052" max="3052" width="2.83203125" style="22" customWidth="1"/>
    <col min="3053" max="3053" width="27" style="22" customWidth="1"/>
    <col min="3054" max="3054" width="15" style="22" customWidth="1"/>
    <col min="3055" max="3055" width="2.83203125" style="22" customWidth="1"/>
    <col min="3056" max="3056" width="24.5" style="22" customWidth="1"/>
    <col min="3057" max="3057" width="15" style="22" customWidth="1"/>
    <col min="3058" max="3058" width="14.83203125" style="22" customWidth="1"/>
    <col min="3059" max="3059" width="12.5" style="22" customWidth="1"/>
    <col min="3060" max="3069" width="9.1640625" style="22"/>
    <col min="3070" max="3070" width="5.1640625" style="22" customWidth="1"/>
    <col min="3071" max="3071" width="26.83203125" style="22" customWidth="1"/>
    <col min="3072" max="3072" width="15" style="22" customWidth="1"/>
    <col min="3073" max="3073" width="2.83203125" style="22" customWidth="1"/>
    <col min="3074" max="3074" width="26.6640625" style="22" customWidth="1"/>
    <col min="3075" max="3076" width="10.83203125" style="22" customWidth="1"/>
    <col min="3077" max="3305" width="9.1640625" style="22"/>
    <col min="3306" max="3306" width="24.5" style="22" customWidth="1"/>
    <col min="3307" max="3307" width="15" style="22" customWidth="1"/>
    <col min="3308" max="3308" width="2.83203125" style="22" customWidth="1"/>
    <col min="3309" max="3309" width="27" style="22" customWidth="1"/>
    <col min="3310" max="3310" width="15" style="22" customWidth="1"/>
    <col min="3311" max="3311" width="2.83203125" style="22" customWidth="1"/>
    <col min="3312" max="3312" width="24.5" style="22" customWidth="1"/>
    <col min="3313" max="3313" width="15" style="22" customWidth="1"/>
    <col min="3314" max="3314" width="14.83203125" style="22" customWidth="1"/>
    <col min="3315" max="3315" width="12.5" style="22" customWidth="1"/>
    <col min="3316" max="3325" width="9.1640625" style="22"/>
    <col min="3326" max="3326" width="5.1640625" style="22" customWidth="1"/>
    <col min="3327" max="3327" width="26.83203125" style="22" customWidth="1"/>
    <col min="3328" max="3328" width="15" style="22" customWidth="1"/>
    <col min="3329" max="3329" width="2.83203125" style="22" customWidth="1"/>
    <col min="3330" max="3330" width="26.6640625" style="22" customWidth="1"/>
    <col min="3331" max="3332" width="10.83203125" style="22" customWidth="1"/>
    <col min="3333" max="3561" width="9.1640625" style="22"/>
    <col min="3562" max="3562" width="24.5" style="22" customWidth="1"/>
    <col min="3563" max="3563" width="15" style="22" customWidth="1"/>
    <col min="3564" max="3564" width="2.83203125" style="22" customWidth="1"/>
    <col min="3565" max="3565" width="27" style="22" customWidth="1"/>
    <col min="3566" max="3566" width="15" style="22" customWidth="1"/>
    <col min="3567" max="3567" width="2.83203125" style="22" customWidth="1"/>
    <col min="3568" max="3568" width="24.5" style="22" customWidth="1"/>
    <col min="3569" max="3569" width="15" style="22" customWidth="1"/>
    <col min="3570" max="3570" width="14.83203125" style="22" customWidth="1"/>
    <col min="3571" max="3571" width="12.5" style="22" customWidth="1"/>
    <col min="3572" max="3581" width="9.1640625" style="22"/>
    <col min="3582" max="3582" width="5.1640625" style="22" customWidth="1"/>
    <col min="3583" max="3583" width="26.83203125" style="22" customWidth="1"/>
    <col min="3584" max="3584" width="15" style="22" customWidth="1"/>
    <col min="3585" max="3585" width="2.83203125" style="22" customWidth="1"/>
    <col min="3586" max="3586" width="26.6640625" style="22" customWidth="1"/>
    <col min="3587" max="3588" width="10.83203125" style="22" customWidth="1"/>
    <col min="3589" max="3817" width="9.1640625" style="22"/>
    <col min="3818" max="3818" width="24.5" style="22" customWidth="1"/>
    <col min="3819" max="3819" width="15" style="22" customWidth="1"/>
    <col min="3820" max="3820" width="2.83203125" style="22" customWidth="1"/>
    <col min="3821" max="3821" width="27" style="22" customWidth="1"/>
    <col min="3822" max="3822" width="15" style="22" customWidth="1"/>
    <col min="3823" max="3823" width="2.83203125" style="22" customWidth="1"/>
    <col min="3824" max="3824" width="24.5" style="22" customWidth="1"/>
    <col min="3825" max="3825" width="15" style="22" customWidth="1"/>
    <col min="3826" max="3826" width="14.83203125" style="22" customWidth="1"/>
    <col min="3827" max="3827" width="12.5" style="22" customWidth="1"/>
    <col min="3828" max="3837" width="9.1640625" style="22"/>
    <col min="3838" max="3838" width="5.1640625" style="22" customWidth="1"/>
    <col min="3839" max="3839" width="26.83203125" style="22" customWidth="1"/>
    <col min="3840" max="3840" width="15" style="22" customWidth="1"/>
    <col min="3841" max="3841" width="2.83203125" style="22" customWidth="1"/>
    <col min="3842" max="3842" width="26.6640625" style="22" customWidth="1"/>
    <col min="3843" max="3844" width="10.83203125" style="22" customWidth="1"/>
    <col min="3845" max="4073" width="9.1640625" style="22"/>
    <col min="4074" max="4074" width="24.5" style="22" customWidth="1"/>
    <col min="4075" max="4075" width="15" style="22" customWidth="1"/>
    <col min="4076" max="4076" width="2.83203125" style="22" customWidth="1"/>
    <col min="4077" max="4077" width="27" style="22" customWidth="1"/>
    <col min="4078" max="4078" width="15" style="22" customWidth="1"/>
    <col min="4079" max="4079" width="2.83203125" style="22" customWidth="1"/>
    <col min="4080" max="4080" width="24.5" style="22" customWidth="1"/>
    <col min="4081" max="4081" width="15" style="22" customWidth="1"/>
    <col min="4082" max="4082" width="14.83203125" style="22" customWidth="1"/>
    <col min="4083" max="4083" width="12.5" style="22" customWidth="1"/>
    <col min="4084" max="4093" width="9.1640625" style="22"/>
    <col min="4094" max="4094" width="5.1640625" style="22" customWidth="1"/>
    <col min="4095" max="4095" width="26.83203125" style="22" customWidth="1"/>
    <col min="4096" max="4096" width="15" style="22" customWidth="1"/>
    <col min="4097" max="4097" width="2.83203125" style="22" customWidth="1"/>
    <col min="4098" max="4098" width="26.6640625" style="22" customWidth="1"/>
    <col min="4099" max="4100" width="10.83203125" style="22" customWidth="1"/>
    <col min="4101" max="4329" width="9.1640625" style="22"/>
    <col min="4330" max="4330" width="24.5" style="22" customWidth="1"/>
    <col min="4331" max="4331" width="15" style="22" customWidth="1"/>
    <col min="4332" max="4332" width="2.83203125" style="22" customWidth="1"/>
    <col min="4333" max="4333" width="27" style="22" customWidth="1"/>
    <col min="4334" max="4334" width="15" style="22" customWidth="1"/>
    <col min="4335" max="4335" width="2.83203125" style="22" customWidth="1"/>
    <col min="4336" max="4336" width="24.5" style="22" customWidth="1"/>
    <col min="4337" max="4337" width="15" style="22" customWidth="1"/>
    <col min="4338" max="4338" width="14.83203125" style="22" customWidth="1"/>
    <col min="4339" max="4339" width="12.5" style="22" customWidth="1"/>
    <col min="4340" max="4349" width="9.1640625" style="22"/>
    <col min="4350" max="4350" width="5.1640625" style="22" customWidth="1"/>
    <col min="4351" max="4351" width="26.83203125" style="22" customWidth="1"/>
    <col min="4352" max="4352" width="15" style="22" customWidth="1"/>
    <col min="4353" max="4353" width="2.83203125" style="22" customWidth="1"/>
    <col min="4354" max="4354" width="26.6640625" style="22" customWidth="1"/>
    <col min="4355" max="4356" width="10.83203125" style="22" customWidth="1"/>
    <col min="4357" max="4585" width="9.1640625" style="22"/>
    <col min="4586" max="4586" width="24.5" style="22" customWidth="1"/>
    <col min="4587" max="4587" width="15" style="22" customWidth="1"/>
    <col min="4588" max="4588" width="2.83203125" style="22" customWidth="1"/>
    <col min="4589" max="4589" width="27" style="22" customWidth="1"/>
    <col min="4590" max="4590" width="15" style="22" customWidth="1"/>
    <col min="4591" max="4591" width="2.83203125" style="22" customWidth="1"/>
    <col min="4592" max="4592" width="24.5" style="22" customWidth="1"/>
    <col min="4593" max="4593" width="15" style="22" customWidth="1"/>
    <col min="4594" max="4594" width="14.83203125" style="22" customWidth="1"/>
    <col min="4595" max="4595" width="12.5" style="22" customWidth="1"/>
    <col min="4596" max="4605" width="9.1640625" style="22"/>
    <col min="4606" max="4606" width="5.1640625" style="22" customWidth="1"/>
    <col min="4607" max="4607" width="26.83203125" style="22" customWidth="1"/>
    <col min="4608" max="4608" width="15" style="22" customWidth="1"/>
    <col min="4609" max="4609" width="2.83203125" style="22" customWidth="1"/>
    <col min="4610" max="4610" width="26.6640625" style="22" customWidth="1"/>
    <col min="4611" max="4612" width="10.83203125" style="22" customWidth="1"/>
    <col min="4613" max="4841" width="9.1640625" style="22"/>
    <col min="4842" max="4842" width="24.5" style="22" customWidth="1"/>
    <col min="4843" max="4843" width="15" style="22" customWidth="1"/>
    <col min="4844" max="4844" width="2.83203125" style="22" customWidth="1"/>
    <col min="4845" max="4845" width="27" style="22" customWidth="1"/>
    <col min="4846" max="4846" width="15" style="22" customWidth="1"/>
    <col min="4847" max="4847" width="2.83203125" style="22" customWidth="1"/>
    <col min="4848" max="4848" width="24.5" style="22" customWidth="1"/>
    <col min="4849" max="4849" width="15" style="22" customWidth="1"/>
    <col min="4850" max="4850" width="14.83203125" style="22" customWidth="1"/>
    <col min="4851" max="4851" width="12.5" style="22" customWidth="1"/>
    <col min="4852" max="4861" width="9.1640625" style="22"/>
    <col min="4862" max="4862" width="5.1640625" style="22" customWidth="1"/>
    <col min="4863" max="4863" width="26.83203125" style="22" customWidth="1"/>
    <col min="4864" max="4864" width="15" style="22" customWidth="1"/>
    <col min="4865" max="4865" width="2.83203125" style="22" customWidth="1"/>
    <col min="4866" max="4866" width="26.6640625" style="22" customWidth="1"/>
    <col min="4867" max="4868" width="10.83203125" style="22" customWidth="1"/>
    <col min="4869" max="5097" width="9.1640625" style="22"/>
    <col min="5098" max="5098" width="24.5" style="22" customWidth="1"/>
    <col min="5099" max="5099" width="15" style="22" customWidth="1"/>
    <col min="5100" max="5100" width="2.83203125" style="22" customWidth="1"/>
    <col min="5101" max="5101" width="27" style="22" customWidth="1"/>
    <col min="5102" max="5102" width="15" style="22" customWidth="1"/>
    <col min="5103" max="5103" width="2.83203125" style="22" customWidth="1"/>
    <col min="5104" max="5104" width="24.5" style="22" customWidth="1"/>
    <col min="5105" max="5105" width="15" style="22" customWidth="1"/>
    <col min="5106" max="5106" width="14.83203125" style="22" customWidth="1"/>
    <col min="5107" max="5107" width="12.5" style="22" customWidth="1"/>
    <col min="5108" max="5117" width="9.1640625" style="22"/>
    <col min="5118" max="5118" width="5.1640625" style="22" customWidth="1"/>
    <col min="5119" max="5119" width="26.83203125" style="22" customWidth="1"/>
    <col min="5120" max="5120" width="15" style="22" customWidth="1"/>
    <col min="5121" max="5121" width="2.83203125" style="22" customWidth="1"/>
    <col min="5122" max="5122" width="26.6640625" style="22" customWidth="1"/>
    <col min="5123" max="5124" width="10.83203125" style="22" customWidth="1"/>
    <col min="5125" max="5353" width="9.1640625" style="22"/>
    <col min="5354" max="5354" width="24.5" style="22" customWidth="1"/>
    <col min="5355" max="5355" width="15" style="22" customWidth="1"/>
    <col min="5356" max="5356" width="2.83203125" style="22" customWidth="1"/>
    <col min="5357" max="5357" width="27" style="22" customWidth="1"/>
    <col min="5358" max="5358" width="15" style="22" customWidth="1"/>
    <col min="5359" max="5359" width="2.83203125" style="22" customWidth="1"/>
    <col min="5360" max="5360" width="24.5" style="22" customWidth="1"/>
    <col min="5361" max="5361" width="15" style="22" customWidth="1"/>
    <col min="5362" max="5362" width="14.83203125" style="22" customWidth="1"/>
    <col min="5363" max="5363" width="12.5" style="22" customWidth="1"/>
    <col min="5364" max="5373" width="9.1640625" style="22"/>
    <col min="5374" max="5374" width="5.1640625" style="22" customWidth="1"/>
    <col min="5375" max="5375" width="26.83203125" style="22" customWidth="1"/>
    <col min="5376" max="5376" width="15" style="22" customWidth="1"/>
    <col min="5377" max="5377" width="2.83203125" style="22" customWidth="1"/>
    <col min="5378" max="5378" width="26.6640625" style="22" customWidth="1"/>
    <col min="5379" max="5380" width="10.83203125" style="22" customWidth="1"/>
    <col min="5381" max="5609" width="9.1640625" style="22"/>
    <col min="5610" max="5610" width="24.5" style="22" customWidth="1"/>
    <col min="5611" max="5611" width="15" style="22" customWidth="1"/>
    <col min="5612" max="5612" width="2.83203125" style="22" customWidth="1"/>
    <col min="5613" max="5613" width="27" style="22" customWidth="1"/>
    <col min="5614" max="5614" width="15" style="22" customWidth="1"/>
    <col min="5615" max="5615" width="2.83203125" style="22" customWidth="1"/>
    <col min="5616" max="5616" width="24.5" style="22" customWidth="1"/>
    <col min="5617" max="5617" width="15" style="22" customWidth="1"/>
    <col min="5618" max="5618" width="14.83203125" style="22" customWidth="1"/>
    <col min="5619" max="5619" width="12.5" style="22" customWidth="1"/>
    <col min="5620" max="5629" width="9.1640625" style="22"/>
    <col min="5630" max="5630" width="5.1640625" style="22" customWidth="1"/>
    <col min="5631" max="5631" width="26.83203125" style="22" customWidth="1"/>
    <col min="5632" max="5632" width="15" style="22" customWidth="1"/>
    <col min="5633" max="5633" width="2.83203125" style="22" customWidth="1"/>
    <col min="5634" max="5634" width="26.6640625" style="22" customWidth="1"/>
    <col min="5635" max="5636" width="10.83203125" style="22" customWidth="1"/>
    <col min="5637" max="5865" width="9.1640625" style="22"/>
    <col min="5866" max="5866" width="24.5" style="22" customWidth="1"/>
    <col min="5867" max="5867" width="15" style="22" customWidth="1"/>
    <col min="5868" max="5868" width="2.83203125" style="22" customWidth="1"/>
    <col min="5869" max="5869" width="27" style="22" customWidth="1"/>
    <col min="5870" max="5870" width="15" style="22" customWidth="1"/>
    <col min="5871" max="5871" width="2.83203125" style="22" customWidth="1"/>
    <col min="5872" max="5872" width="24.5" style="22" customWidth="1"/>
    <col min="5873" max="5873" width="15" style="22" customWidth="1"/>
    <col min="5874" max="5874" width="14.83203125" style="22" customWidth="1"/>
    <col min="5875" max="5875" width="12.5" style="22" customWidth="1"/>
    <col min="5876" max="5885" width="9.1640625" style="22"/>
    <col min="5886" max="5886" width="5.1640625" style="22" customWidth="1"/>
    <col min="5887" max="5887" width="26.83203125" style="22" customWidth="1"/>
    <col min="5888" max="5888" width="15" style="22" customWidth="1"/>
    <col min="5889" max="5889" width="2.83203125" style="22" customWidth="1"/>
    <col min="5890" max="5890" width="26.6640625" style="22" customWidth="1"/>
    <col min="5891" max="5892" width="10.83203125" style="22" customWidth="1"/>
    <col min="5893" max="6121" width="9.1640625" style="22"/>
    <col min="6122" max="6122" width="24.5" style="22" customWidth="1"/>
    <col min="6123" max="6123" width="15" style="22" customWidth="1"/>
    <col min="6124" max="6124" width="2.83203125" style="22" customWidth="1"/>
    <col min="6125" max="6125" width="27" style="22" customWidth="1"/>
    <col min="6126" max="6126" width="15" style="22" customWidth="1"/>
    <col min="6127" max="6127" width="2.83203125" style="22" customWidth="1"/>
    <col min="6128" max="6128" width="24.5" style="22" customWidth="1"/>
    <col min="6129" max="6129" width="15" style="22" customWidth="1"/>
    <col min="6130" max="6130" width="14.83203125" style="22" customWidth="1"/>
    <col min="6131" max="6131" width="12.5" style="22" customWidth="1"/>
    <col min="6132" max="6141" width="9.1640625" style="22"/>
    <col min="6142" max="6142" width="5.1640625" style="22" customWidth="1"/>
    <col min="6143" max="6143" width="26.83203125" style="22" customWidth="1"/>
    <col min="6144" max="6144" width="15" style="22" customWidth="1"/>
    <col min="6145" max="6145" width="2.83203125" style="22" customWidth="1"/>
    <col min="6146" max="6146" width="26.6640625" style="22" customWidth="1"/>
    <col min="6147" max="6148" width="10.83203125" style="22" customWidth="1"/>
    <col min="6149" max="6377" width="9.1640625" style="22"/>
    <col min="6378" max="6378" width="24.5" style="22" customWidth="1"/>
    <col min="6379" max="6379" width="15" style="22" customWidth="1"/>
    <col min="6380" max="6380" width="2.83203125" style="22" customWidth="1"/>
    <col min="6381" max="6381" width="27" style="22" customWidth="1"/>
    <col min="6382" max="6382" width="15" style="22" customWidth="1"/>
    <col min="6383" max="6383" width="2.83203125" style="22" customWidth="1"/>
    <col min="6384" max="6384" width="24.5" style="22" customWidth="1"/>
    <col min="6385" max="6385" width="15" style="22" customWidth="1"/>
    <col min="6386" max="6386" width="14.83203125" style="22" customWidth="1"/>
    <col min="6387" max="6387" width="12.5" style="22" customWidth="1"/>
    <col min="6388" max="6397" width="9.1640625" style="22"/>
    <col min="6398" max="6398" width="5.1640625" style="22" customWidth="1"/>
    <col min="6399" max="6399" width="26.83203125" style="22" customWidth="1"/>
    <col min="6400" max="6400" width="15" style="22" customWidth="1"/>
    <col min="6401" max="6401" width="2.83203125" style="22" customWidth="1"/>
    <col min="6402" max="6402" width="26.6640625" style="22" customWidth="1"/>
    <col min="6403" max="6404" width="10.83203125" style="22" customWidth="1"/>
    <col min="6405" max="6633" width="9.1640625" style="22"/>
    <col min="6634" max="6634" width="24.5" style="22" customWidth="1"/>
    <col min="6635" max="6635" width="15" style="22" customWidth="1"/>
    <col min="6636" max="6636" width="2.83203125" style="22" customWidth="1"/>
    <col min="6637" max="6637" width="27" style="22" customWidth="1"/>
    <col min="6638" max="6638" width="15" style="22" customWidth="1"/>
    <col min="6639" max="6639" width="2.83203125" style="22" customWidth="1"/>
    <col min="6640" max="6640" width="24.5" style="22" customWidth="1"/>
    <col min="6641" max="6641" width="15" style="22" customWidth="1"/>
    <col min="6642" max="6642" width="14.83203125" style="22" customWidth="1"/>
    <col min="6643" max="6643" width="12.5" style="22" customWidth="1"/>
    <col min="6644" max="6653" width="9.1640625" style="22"/>
    <col min="6654" max="6654" width="5.1640625" style="22" customWidth="1"/>
    <col min="6655" max="6655" width="26.83203125" style="22" customWidth="1"/>
    <col min="6656" max="6656" width="15" style="22" customWidth="1"/>
    <col min="6657" max="6657" width="2.83203125" style="22" customWidth="1"/>
    <col min="6658" max="6658" width="26.6640625" style="22" customWidth="1"/>
    <col min="6659" max="6660" width="10.83203125" style="22" customWidth="1"/>
    <col min="6661" max="6889" width="9.1640625" style="22"/>
    <col min="6890" max="6890" width="24.5" style="22" customWidth="1"/>
    <col min="6891" max="6891" width="15" style="22" customWidth="1"/>
    <col min="6892" max="6892" width="2.83203125" style="22" customWidth="1"/>
    <col min="6893" max="6893" width="27" style="22" customWidth="1"/>
    <col min="6894" max="6894" width="15" style="22" customWidth="1"/>
    <col min="6895" max="6895" width="2.83203125" style="22" customWidth="1"/>
    <col min="6896" max="6896" width="24.5" style="22" customWidth="1"/>
    <col min="6897" max="6897" width="15" style="22" customWidth="1"/>
    <col min="6898" max="6898" width="14.83203125" style="22" customWidth="1"/>
    <col min="6899" max="6899" width="12.5" style="22" customWidth="1"/>
    <col min="6900" max="6909" width="9.1640625" style="22"/>
    <col min="6910" max="6910" width="5.1640625" style="22" customWidth="1"/>
    <col min="6911" max="6911" width="26.83203125" style="22" customWidth="1"/>
    <col min="6912" max="6912" width="15" style="22" customWidth="1"/>
    <col min="6913" max="6913" width="2.83203125" style="22" customWidth="1"/>
    <col min="6914" max="6914" width="26.6640625" style="22" customWidth="1"/>
    <col min="6915" max="6916" width="10.83203125" style="22" customWidth="1"/>
    <col min="6917" max="7145" width="9.1640625" style="22"/>
    <col min="7146" max="7146" width="24.5" style="22" customWidth="1"/>
    <col min="7147" max="7147" width="15" style="22" customWidth="1"/>
    <col min="7148" max="7148" width="2.83203125" style="22" customWidth="1"/>
    <col min="7149" max="7149" width="27" style="22" customWidth="1"/>
    <col min="7150" max="7150" width="15" style="22" customWidth="1"/>
    <col min="7151" max="7151" width="2.83203125" style="22" customWidth="1"/>
    <col min="7152" max="7152" width="24.5" style="22" customWidth="1"/>
    <col min="7153" max="7153" width="15" style="22" customWidth="1"/>
    <col min="7154" max="7154" width="14.83203125" style="22" customWidth="1"/>
    <col min="7155" max="7155" width="12.5" style="22" customWidth="1"/>
    <col min="7156" max="7165" width="9.1640625" style="22"/>
    <col min="7166" max="7166" width="5.1640625" style="22" customWidth="1"/>
    <col min="7167" max="7167" width="26.83203125" style="22" customWidth="1"/>
    <col min="7168" max="7168" width="15" style="22" customWidth="1"/>
    <col min="7169" max="7169" width="2.83203125" style="22" customWidth="1"/>
    <col min="7170" max="7170" width="26.6640625" style="22" customWidth="1"/>
    <col min="7171" max="7172" width="10.83203125" style="22" customWidth="1"/>
    <col min="7173" max="7401" width="9.1640625" style="22"/>
    <col min="7402" max="7402" width="24.5" style="22" customWidth="1"/>
    <col min="7403" max="7403" width="15" style="22" customWidth="1"/>
    <col min="7404" max="7404" width="2.83203125" style="22" customWidth="1"/>
    <col min="7405" max="7405" width="27" style="22" customWidth="1"/>
    <col min="7406" max="7406" width="15" style="22" customWidth="1"/>
    <col min="7407" max="7407" width="2.83203125" style="22" customWidth="1"/>
    <col min="7408" max="7408" width="24.5" style="22" customWidth="1"/>
    <col min="7409" max="7409" width="15" style="22" customWidth="1"/>
    <col min="7410" max="7410" width="14.83203125" style="22" customWidth="1"/>
    <col min="7411" max="7411" width="12.5" style="22" customWidth="1"/>
    <col min="7412" max="7421" width="9.1640625" style="22"/>
    <col min="7422" max="7422" width="5.1640625" style="22" customWidth="1"/>
    <col min="7423" max="7423" width="26.83203125" style="22" customWidth="1"/>
    <col min="7424" max="7424" width="15" style="22" customWidth="1"/>
    <col min="7425" max="7425" width="2.83203125" style="22" customWidth="1"/>
    <col min="7426" max="7426" width="26.6640625" style="22" customWidth="1"/>
    <col min="7427" max="7428" width="10.83203125" style="22" customWidth="1"/>
    <col min="7429" max="7657" width="9.1640625" style="22"/>
    <col min="7658" max="7658" width="24.5" style="22" customWidth="1"/>
    <col min="7659" max="7659" width="15" style="22" customWidth="1"/>
    <col min="7660" max="7660" width="2.83203125" style="22" customWidth="1"/>
    <col min="7661" max="7661" width="27" style="22" customWidth="1"/>
    <col min="7662" max="7662" width="15" style="22" customWidth="1"/>
    <col min="7663" max="7663" width="2.83203125" style="22" customWidth="1"/>
    <col min="7664" max="7664" width="24.5" style="22" customWidth="1"/>
    <col min="7665" max="7665" width="15" style="22" customWidth="1"/>
    <col min="7666" max="7666" width="14.83203125" style="22" customWidth="1"/>
    <col min="7667" max="7667" width="12.5" style="22" customWidth="1"/>
    <col min="7668" max="7677" width="9.1640625" style="22"/>
    <col min="7678" max="7678" width="5.1640625" style="22" customWidth="1"/>
    <col min="7679" max="7679" width="26.83203125" style="22" customWidth="1"/>
    <col min="7680" max="7680" width="15" style="22" customWidth="1"/>
    <col min="7681" max="7681" width="2.83203125" style="22" customWidth="1"/>
    <col min="7682" max="7682" width="26.6640625" style="22" customWidth="1"/>
    <col min="7683" max="7684" width="10.83203125" style="22" customWidth="1"/>
    <col min="7685" max="7913" width="9.1640625" style="22"/>
    <col min="7914" max="7914" width="24.5" style="22" customWidth="1"/>
    <col min="7915" max="7915" width="15" style="22" customWidth="1"/>
    <col min="7916" max="7916" width="2.83203125" style="22" customWidth="1"/>
    <col min="7917" max="7917" width="27" style="22" customWidth="1"/>
    <col min="7918" max="7918" width="15" style="22" customWidth="1"/>
    <col min="7919" max="7919" width="2.83203125" style="22" customWidth="1"/>
    <col min="7920" max="7920" width="24.5" style="22" customWidth="1"/>
    <col min="7921" max="7921" width="15" style="22" customWidth="1"/>
    <col min="7922" max="7922" width="14.83203125" style="22" customWidth="1"/>
    <col min="7923" max="7923" width="12.5" style="22" customWidth="1"/>
    <col min="7924" max="7933" width="9.1640625" style="22"/>
    <col min="7934" max="7934" width="5.1640625" style="22" customWidth="1"/>
    <col min="7935" max="7935" width="26.83203125" style="22" customWidth="1"/>
    <col min="7936" max="7936" width="15" style="22" customWidth="1"/>
    <col min="7937" max="7937" width="2.83203125" style="22" customWidth="1"/>
    <col min="7938" max="7938" width="26.6640625" style="22" customWidth="1"/>
    <col min="7939" max="7940" width="10.83203125" style="22" customWidth="1"/>
    <col min="7941" max="8169" width="9.1640625" style="22"/>
    <col min="8170" max="8170" width="24.5" style="22" customWidth="1"/>
    <col min="8171" max="8171" width="15" style="22" customWidth="1"/>
    <col min="8172" max="8172" width="2.83203125" style="22" customWidth="1"/>
    <col min="8173" max="8173" width="27" style="22" customWidth="1"/>
    <col min="8174" max="8174" width="15" style="22" customWidth="1"/>
    <col min="8175" max="8175" width="2.83203125" style="22" customWidth="1"/>
    <col min="8176" max="8176" width="24.5" style="22" customWidth="1"/>
    <col min="8177" max="8177" width="15" style="22" customWidth="1"/>
    <col min="8178" max="8178" width="14.83203125" style="22" customWidth="1"/>
    <col min="8179" max="8179" width="12.5" style="22" customWidth="1"/>
    <col min="8180" max="8189" width="9.1640625" style="22"/>
    <col min="8190" max="8190" width="5.1640625" style="22" customWidth="1"/>
    <col min="8191" max="8191" width="26.83203125" style="22" customWidth="1"/>
    <col min="8192" max="8192" width="15" style="22" customWidth="1"/>
    <col min="8193" max="8193" width="2.83203125" style="22" customWidth="1"/>
    <col min="8194" max="8194" width="26.6640625" style="22" customWidth="1"/>
    <col min="8195" max="8196" width="10.83203125" style="22" customWidth="1"/>
    <col min="8197" max="8425" width="9.1640625" style="22"/>
    <col min="8426" max="8426" width="24.5" style="22" customWidth="1"/>
    <col min="8427" max="8427" width="15" style="22" customWidth="1"/>
    <col min="8428" max="8428" width="2.83203125" style="22" customWidth="1"/>
    <col min="8429" max="8429" width="27" style="22" customWidth="1"/>
    <col min="8430" max="8430" width="15" style="22" customWidth="1"/>
    <col min="8431" max="8431" width="2.83203125" style="22" customWidth="1"/>
    <col min="8432" max="8432" width="24.5" style="22" customWidth="1"/>
    <col min="8433" max="8433" width="15" style="22" customWidth="1"/>
    <col min="8434" max="8434" width="14.83203125" style="22" customWidth="1"/>
    <col min="8435" max="8435" width="12.5" style="22" customWidth="1"/>
    <col min="8436" max="8445" width="9.1640625" style="22"/>
    <col min="8446" max="8446" width="5.1640625" style="22" customWidth="1"/>
    <col min="8447" max="8447" width="26.83203125" style="22" customWidth="1"/>
    <col min="8448" max="8448" width="15" style="22" customWidth="1"/>
    <col min="8449" max="8449" width="2.83203125" style="22" customWidth="1"/>
    <col min="8450" max="8450" width="26.6640625" style="22" customWidth="1"/>
    <col min="8451" max="8452" width="10.83203125" style="22" customWidth="1"/>
    <col min="8453" max="8681" width="9.1640625" style="22"/>
    <col min="8682" max="8682" width="24.5" style="22" customWidth="1"/>
    <col min="8683" max="8683" width="15" style="22" customWidth="1"/>
    <col min="8684" max="8684" width="2.83203125" style="22" customWidth="1"/>
    <col min="8685" max="8685" width="27" style="22" customWidth="1"/>
    <col min="8686" max="8686" width="15" style="22" customWidth="1"/>
    <col min="8687" max="8687" width="2.83203125" style="22" customWidth="1"/>
    <col min="8688" max="8688" width="24.5" style="22" customWidth="1"/>
    <col min="8689" max="8689" width="15" style="22" customWidth="1"/>
    <col min="8690" max="8690" width="14.83203125" style="22" customWidth="1"/>
    <col min="8691" max="8691" width="12.5" style="22" customWidth="1"/>
    <col min="8692" max="8701" width="9.1640625" style="22"/>
    <col min="8702" max="8702" width="5.1640625" style="22" customWidth="1"/>
    <col min="8703" max="8703" width="26.83203125" style="22" customWidth="1"/>
    <col min="8704" max="8704" width="15" style="22" customWidth="1"/>
    <col min="8705" max="8705" width="2.83203125" style="22" customWidth="1"/>
    <col min="8706" max="8706" width="26.6640625" style="22" customWidth="1"/>
    <col min="8707" max="8708" width="10.83203125" style="22" customWidth="1"/>
    <col min="8709" max="8937" width="9.1640625" style="22"/>
    <col min="8938" max="8938" width="24.5" style="22" customWidth="1"/>
    <col min="8939" max="8939" width="15" style="22" customWidth="1"/>
    <col min="8940" max="8940" width="2.83203125" style="22" customWidth="1"/>
    <col min="8941" max="8941" width="27" style="22" customWidth="1"/>
    <col min="8942" max="8942" width="15" style="22" customWidth="1"/>
    <col min="8943" max="8943" width="2.83203125" style="22" customWidth="1"/>
    <col min="8944" max="8944" width="24.5" style="22" customWidth="1"/>
    <col min="8945" max="8945" width="15" style="22" customWidth="1"/>
    <col min="8946" max="8946" width="14.83203125" style="22" customWidth="1"/>
    <col min="8947" max="8947" width="12.5" style="22" customWidth="1"/>
    <col min="8948" max="8957" width="9.1640625" style="22"/>
    <col min="8958" max="8958" width="5.1640625" style="22" customWidth="1"/>
    <col min="8959" max="8959" width="26.83203125" style="22" customWidth="1"/>
    <col min="8960" max="8960" width="15" style="22" customWidth="1"/>
    <col min="8961" max="8961" width="2.83203125" style="22" customWidth="1"/>
    <col min="8962" max="8962" width="26.6640625" style="22" customWidth="1"/>
    <col min="8963" max="8964" width="10.83203125" style="22" customWidth="1"/>
    <col min="8965" max="9193" width="9.1640625" style="22"/>
    <col min="9194" max="9194" width="24.5" style="22" customWidth="1"/>
    <col min="9195" max="9195" width="15" style="22" customWidth="1"/>
    <col min="9196" max="9196" width="2.83203125" style="22" customWidth="1"/>
    <col min="9197" max="9197" width="27" style="22" customWidth="1"/>
    <col min="9198" max="9198" width="15" style="22" customWidth="1"/>
    <col min="9199" max="9199" width="2.83203125" style="22" customWidth="1"/>
    <col min="9200" max="9200" width="24.5" style="22" customWidth="1"/>
    <col min="9201" max="9201" width="15" style="22" customWidth="1"/>
    <col min="9202" max="9202" width="14.83203125" style="22" customWidth="1"/>
    <col min="9203" max="9203" width="12.5" style="22" customWidth="1"/>
    <col min="9204" max="9213" width="9.1640625" style="22"/>
    <col min="9214" max="9214" width="5.1640625" style="22" customWidth="1"/>
    <col min="9215" max="9215" width="26.83203125" style="22" customWidth="1"/>
    <col min="9216" max="9216" width="15" style="22" customWidth="1"/>
    <col min="9217" max="9217" width="2.83203125" style="22" customWidth="1"/>
    <col min="9218" max="9218" width="26.6640625" style="22" customWidth="1"/>
    <col min="9219" max="9220" width="10.83203125" style="22" customWidth="1"/>
    <col min="9221" max="9449" width="9.1640625" style="22"/>
    <col min="9450" max="9450" width="24.5" style="22" customWidth="1"/>
    <col min="9451" max="9451" width="15" style="22" customWidth="1"/>
    <col min="9452" max="9452" width="2.83203125" style="22" customWidth="1"/>
    <col min="9453" max="9453" width="27" style="22" customWidth="1"/>
    <col min="9454" max="9454" width="15" style="22" customWidth="1"/>
    <col min="9455" max="9455" width="2.83203125" style="22" customWidth="1"/>
    <col min="9456" max="9456" width="24.5" style="22" customWidth="1"/>
    <col min="9457" max="9457" width="15" style="22" customWidth="1"/>
    <col min="9458" max="9458" width="14.83203125" style="22" customWidth="1"/>
    <col min="9459" max="9459" width="12.5" style="22" customWidth="1"/>
    <col min="9460" max="9469" width="9.1640625" style="22"/>
    <col min="9470" max="9470" width="5.1640625" style="22" customWidth="1"/>
    <col min="9471" max="9471" width="26.83203125" style="22" customWidth="1"/>
    <col min="9472" max="9472" width="15" style="22" customWidth="1"/>
    <col min="9473" max="9473" width="2.83203125" style="22" customWidth="1"/>
    <col min="9474" max="9474" width="26.6640625" style="22" customWidth="1"/>
    <col min="9475" max="9476" width="10.83203125" style="22" customWidth="1"/>
    <col min="9477" max="9705" width="9.1640625" style="22"/>
    <col min="9706" max="9706" width="24.5" style="22" customWidth="1"/>
    <col min="9707" max="9707" width="15" style="22" customWidth="1"/>
    <col min="9708" max="9708" width="2.83203125" style="22" customWidth="1"/>
    <col min="9709" max="9709" width="27" style="22" customWidth="1"/>
    <col min="9710" max="9710" width="15" style="22" customWidth="1"/>
    <col min="9711" max="9711" width="2.83203125" style="22" customWidth="1"/>
    <col min="9712" max="9712" width="24.5" style="22" customWidth="1"/>
    <col min="9713" max="9713" width="15" style="22" customWidth="1"/>
    <col min="9714" max="9714" width="14.83203125" style="22" customWidth="1"/>
    <col min="9715" max="9715" width="12.5" style="22" customWidth="1"/>
    <col min="9716" max="9725" width="9.1640625" style="22"/>
    <col min="9726" max="9726" width="5.1640625" style="22" customWidth="1"/>
    <col min="9727" max="9727" width="26.83203125" style="22" customWidth="1"/>
    <col min="9728" max="9728" width="15" style="22" customWidth="1"/>
    <col min="9729" max="9729" width="2.83203125" style="22" customWidth="1"/>
    <col min="9730" max="9730" width="26.6640625" style="22" customWidth="1"/>
    <col min="9731" max="9732" width="10.83203125" style="22" customWidth="1"/>
    <col min="9733" max="9961" width="9.1640625" style="22"/>
    <col min="9962" max="9962" width="24.5" style="22" customWidth="1"/>
    <col min="9963" max="9963" width="15" style="22" customWidth="1"/>
    <col min="9964" max="9964" width="2.83203125" style="22" customWidth="1"/>
    <col min="9965" max="9965" width="27" style="22" customWidth="1"/>
    <col min="9966" max="9966" width="15" style="22" customWidth="1"/>
    <col min="9967" max="9967" width="2.83203125" style="22" customWidth="1"/>
    <col min="9968" max="9968" width="24.5" style="22" customWidth="1"/>
    <col min="9969" max="9969" width="15" style="22" customWidth="1"/>
    <col min="9970" max="9970" width="14.83203125" style="22" customWidth="1"/>
    <col min="9971" max="9971" width="12.5" style="22" customWidth="1"/>
    <col min="9972" max="9981" width="9.1640625" style="22"/>
    <col min="9982" max="9982" width="5.1640625" style="22" customWidth="1"/>
    <col min="9983" max="9983" width="26.83203125" style="22" customWidth="1"/>
    <col min="9984" max="9984" width="15" style="22" customWidth="1"/>
    <col min="9985" max="9985" width="2.83203125" style="22" customWidth="1"/>
    <col min="9986" max="9986" width="26.6640625" style="22" customWidth="1"/>
    <col min="9987" max="9988" width="10.83203125" style="22" customWidth="1"/>
    <col min="9989" max="10217" width="9.1640625" style="22"/>
    <col min="10218" max="10218" width="24.5" style="22" customWidth="1"/>
    <col min="10219" max="10219" width="15" style="22" customWidth="1"/>
    <col min="10220" max="10220" width="2.83203125" style="22" customWidth="1"/>
    <col min="10221" max="10221" width="27" style="22" customWidth="1"/>
    <col min="10222" max="10222" width="15" style="22" customWidth="1"/>
    <col min="10223" max="10223" width="2.83203125" style="22" customWidth="1"/>
    <col min="10224" max="10224" width="24.5" style="22" customWidth="1"/>
    <col min="10225" max="10225" width="15" style="22" customWidth="1"/>
    <col min="10226" max="10226" width="14.83203125" style="22" customWidth="1"/>
    <col min="10227" max="10227" width="12.5" style="22" customWidth="1"/>
    <col min="10228" max="10237" width="9.1640625" style="22"/>
    <col min="10238" max="10238" width="5.1640625" style="22" customWidth="1"/>
    <col min="10239" max="10239" width="26.83203125" style="22" customWidth="1"/>
    <col min="10240" max="10240" width="15" style="22" customWidth="1"/>
    <col min="10241" max="10241" width="2.83203125" style="22" customWidth="1"/>
    <col min="10242" max="10242" width="26.6640625" style="22" customWidth="1"/>
    <col min="10243" max="10244" width="10.83203125" style="22" customWidth="1"/>
    <col min="10245" max="10473" width="9.1640625" style="22"/>
    <col min="10474" max="10474" width="24.5" style="22" customWidth="1"/>
    <col min="10475" max="10475" width="15" style="22" customWidth="1"/>
    <col min="10476" max="10476" width="2.83203125" style="22" customWidth="1"/>
    <col min="10477" max="10477" width="27" style="22" customWidth="1"/>
    <col min="10478" max="10478" width="15" style="22" customWidth="1"/>
    <col min="10479" max="10479" width="2.83203125" style="22" customWidth="1"/>
    <col min="10480" max="10480" width="24.5" style="22" customWidth="1"/>
    <col min="10481" max="10481" width="15" style="22" customWidth="1"/>
    <col min="10482" max="10482" width="14.83203125" style="22" customWidth="1"/>
    <col min="10483" max="10483" width="12.5" style="22" customWidth="1"/>
    <col min="10484" max="10493" width="9.1640625" style="22"/>
    <col min="10494" max="10494" width="5.1640625" style="22" customWidth="1"/>
    <col min="10495" max="10495" width="26.83203125" style="22" customWidth="1"/>
    <col min="10496" max="10496" width="15" style="22" customWidth="1"/>
    <col min="10497" max="10497" width="2.83203125" style="22" customWidth="1"/>
    <col min="10498" max="10498" width="26.6640625" style="22" customWidth="1"/>
    <col min="10499" max="10500" width="10.83203125" style="22" customWidth="1"/>
    <col min="10501" max="10729" width="9.1640625" style="22"/>
    <col min="10730" max="10730" width="24.5" style="22" customWidth="1"/>
    <col min="10731" max="10731" width="15" style="22" customWidth="1"/>
    <col min="10732" max="10732" width="2.83203125" style="22" customWidth="1"/>
    <col min="10733" max="10733" width="27" style="22" customWidth="1"/>
    <col min="10734" max="10734" width="15" style="22" customWidth="1"/>
    <col min="10735" max="10735" width="2.83203125" style="22" customWidth="1"/>
    <col min="10736" max="10736" width="24.5" style="22" customWidth="1"/>
    <col min="10737" max="10737" width="15" style="22" customWidth="1"/>
    <col min="10738" max="10738" width="14.83203125" style="22" customWidth="1"/>
    <col min="10739" max="10739" width="12.5" style="22" customWidth="1"/>
    <col min="10740" max="10749" width="9.1640625" style="22"/>
    <col min="10750" max="10750" width="5.1640625" style="22" customWidth="1"/>
    <col min="10751" max="10751" width="26.83203125" style="22" customWidth="1"/>
    <col min="10752" max="10752" width="15" style="22" customWidth="1"/>
    <col min="10753" max="10753" width="2.83203125" style="22" customWidth="1"/>
    <col min="10754" max="10754" width="26.6640625" style="22" customWidth="1"/>
    <col min="10755" max="10756" width="10.83203125" style="22" customWidth="1"/>
    <col min="10757" max="10985" width="9.1640625" style="22"/>
    <col min="10986" max="10986" width="24.5" style="22" customWidth="1"/>
    <col min="10987" max="10987" width="15" style="22" customWidth="1"/>
    <col min="10988" max="10988" width="2.83203125" style="22" customWidth="1"/>
    <col min="10989" max="10989" width="27" style="22" customWidth="1"/>
    <col min="10990" max="10990" width="15" style="22" customWidth="1"/>
    <col min="10991" max="10991" width="2.83203125" style="22" customWidth="1"/>
    <col min="10992" max="10992" width="24.5" style="22" customWidth="1"/>
    <col min="10993" max="10993" width="15" style="22" customWidth="1"/>
    <col min="10994" max="10994" width="14.83203125" style="22" customWidth="1"/>
    <col min="10995" max="10995" width="12.5" style="22" customWidth="1"/>
    <col min="10996" max="11005" width="9.1640625" style="22"/>
    <col min="11006" max="11006" width="5.1640625" style="22" customWidth="1"/>
    <col min="11007" max="11007" width="26.83203125" style="22" customWidth="1"/>
    <col min="11008" max="11008" width="15" style="22" customWidth="1"/>
    <col min="11009" max="11009" width="2.83203125" style="22" customWidth="1"/>
    <col min="11010" max="11010" width="26.6640625" style="22" customWidth="1"/>
    <col min="11011" max="11012" width="10.83203125" style="22" customWidth="1"/>
    <col min="11013" max="11241" width="9.1640625" style="22"/>
    <col min="11242" max="11242" width="24.5" style="22" customWidth="1"/>
    <col min="11243" max="11243" width="15" style="22" customWidth="1"/>
    <col min="11244" max="11244" width="2.83203125" style="22" customWidth="1"/>
    <col min="11245" max="11245" width="27" style="22" customWidth="1"/>
    <col min="11246" max="11246" width="15" style="22" customWidth="1"/>
    <col min="11247" max="11247" width="2.83203125" style="22" customWidth="1"/>
    <col min="11248" max="11248" width="24.5" style="22" customWidth="1"/>
    <col min="11249" max="11249" width="15" style="22" customWidth="1"/>
    <col min="11250" max="11250" width="14.83203125" style="22" customWidth="1"/>
    <col min="11251" max="11251" width="12.5" style="22" customWidth="1"/>
    <col min="11252" max="11261" width="9.1640625" style="22"/>
    <col min="11262" max="11262" width="5.1640625" style="22" customWidth="1"/>
    <col min="11263" max="11263" width="26.83203125" style="22" customWidth="1"/>
    <col min="11264" max="11264" width="15" style="22" customWidth="1"/>
    <col min="11265" max="11265" width="2.83203125" style="22" customWidth="1"/>
    <col min="11266" max="11266" width="26.6640625" style="22" customWidth="1"/>
    <col min="11267" max="11268" width="10.83203125" style="22" customWidth="1"/>
    <col min="11269" max="11497" width="9.1640625" style="22"/>
    <col min="11498" max="11498" width="24.5" style="22" customWidth="1"/>
    <col min="11499" max="11499" width="15" style="22" customWidth="1"/>
    <col min="11500" max="11500" width="2.83203125" style="22" customWidth="1"/>
    <col min="11501" max="11501" width="27" style="22" customWidth="1"/>
    <col min="11502" max="11502" width="15" style="22" customWidth="1"/>
    <col min="11503" max="11503" width="2.83203125" style="22" customWidth="1"/>
    <col min="11504" max="11504" width="24.5" style="22" customWidth="1"/>
    <col min="11505" max="11505" width="15" style="22" customWidth="1"/>
    <col min="11506" max="11506" width="14.83203125" style="22" customWidth="1"/>
    <col min="11507" max="11507" width="12.5" style="22" customWidth="1"/>
    <col min="11508" max="11517" width="9.1640625" style="22"/>
    <col min="11518" max="11518" width="5.1640625" style="22" customWidth="1"/>
    <col min="11519" max="11519" width="26.83203125" style="22" customWidth="1"/>
    <col min="11520" max="11520" width="15" style="22" customWidth="1"/>
    <col min="11521" max="11521" width="2.83203125" style="22" customWidth="1"/>
    <col min="11522" max="11522" width="26.6640625" style="22" customWidth="1"/>
    <col min="11523" max="11524" width="10.83203125" style="22" customWidth="1"/>
    <col min="11525" max="11753" width="9.1640625" style="22"/>
    <col min="11754" max="11754" width="24.5" style="22" customWidth="1"/>
    <col min="11755" max="11755" width="15" style="22" customWidth="1"/>
    <col min="11756" max="11756" width="2.83203125" style="22" customWidth="1"/>
    <col min="11757" max="11757" width="27" style="22" customWidth="1"/>
    <col min="11758" max="11758" width="15" style="22" customWidth="1"/>
    <col min="11759" max="11759" width="2.83203125" style="22" customWidth="1"/>
    <col min="11760" max="11760" width="24.5" style="22" customWidth="1"/>
    <col min="11761" max="11761" width="15" style="22" customWidth="1"/>
    <col min="11762" max="11762" width="14.83203125" style="22" customWidth="1"/>
    <col min="11763" max="11763" width="12.5" style="22" customWidth="1"/>
    <col min="11764" max="11773" width="9.1640625" style="22"/>
    <col min="11774" max="11774" width="5.1640625" style="22" customWidth="1"/>
    <col min="11775" max="11775" width="26.83203125" style="22" customWidth="1"/>
    <col min="11776" max="11776" width="15" style="22" customWidth="1"/>
    <col min="11777" max="11777" width="2.83203125" style="22" customWidth="1"/>
    <col min="11778" max="11778" width="26.6640625" style="22" customWidth="1"/>
    <col min="11779" max="11780" width="10.83203125" style="22" customWidth="1"/>
    <col min="11781" max="12009" width="9.1640625" style="22"/>
    <col min="12010" max="12010" width="24.5" style="22" customWidth="1"/>
    <col min="12011" max="12011" width="15" style="22" customWidth="1"/>
    <col min="12012" max="12012" width="2.83203125" style="22" customWidth="1"/>
    <col min="12013" max="12013" width="27" style="22" customWidth="1"/>
    <col min="12014" max="12014" width="15" style="22" customWidth="1"/>
    <col min="12015" max="12015" width="2.83203125" style="22" customWidth="1"/>
    <col min="12016" max="12016" width="24.5" style="22" customWidth="1"/>
    <col min="12017" max="12017" width="15" style="22" customWidth="1"/>
    <col min="12018" max="12018" width="14.83203125" style="22" customWidth="1"/>
    <col min="12019" max="12019" width="12.5" style="22" customWidth="1"/>
    <col min="12020" max="12029" width="9.1640625" style="22"/>
    <col min="12030" max="12030" width="5.1640625" style="22" customWidth="1"/>
    <col min="12031" max="12031" width="26.83203125" style="22" customWidth="1"/>
    <col min="12032" max="12032" width="15" style="22" customWidth="1"/>
    <col min="12033" max="12033" width="2.83203125" style="22" customWidth="1"/>
    <col min="12034" max="12034" width="26.6640625" style="22" customWidth="1"/>
    <col min="12035" max="12036" width="10.83203125" style="22" customWidth="1"/>
    <col min="12037" max="12265" width="9.1640625" style="22"/>
    <col min="12266" max="12266" width="24.5" style="22" customWidth="1"/>
    <col min="12267" max="12267" width="15" style="22" customWidth="1"/>
    <col min="12268" max="12268" width="2.83203125" style="22" customWidth="1"/>
    <col min="12269" max="12269" width="27" style="22" customWidth="1"/>
    <col min="12270" max="12270" width="15" style="22" customWidth="1"/>
    <col min="12271" max="12271" width="2.83203125" style="22" customWidth="1"/>
    <col min="12272" max="12272" width="24.5" style="22" customWidth="1"/>
    <col min="12273" max="12273" width="15" style="22" customWidth="1"/>
    <col min="12274" max="12274" width="14.83203125" style="22" customWidth="1"/>
    <col min="12275" max="12275" width="12.5" style="22" customWidth="1"/>
    <col min="12276" max="12285" width="9.1640625" style="22"/>
    <col min="12286" max="12286" width="5.1640625" style="22" customWidth="1"/>
    <col min="12287" max="12287" width="26.83203125" style="22" customWidth="1"/>
    <col min="12288" max="12288" width="15" style="22" customWidth="1"/>
    <col min="12289" max="12289" width="2.83203125" style="22" customWidth="1"/>
    <col min="12290" max="12290" width="26.6640625" style="22" customWidth="1"/>
    <col min="12291" max="12292" width="10.83203125" style="22" customWidth="1"/>
    <col min="12293" max="12521" width="9.1640625" style="22"/>
    <col min="12522" max="12522" width="24.5" style="22" customWidth="1"/>
    <col min="12523" max="12523" width="15" style="22" customWidth="1"/>
    <col min="12524" max="12524" width="2.83203125" style="22" customWidth="1"/>
    <col min="12525" max="12525" width="27" style="22" customWidth="1"/>
    <col min="12526" max="12526" width="15" style="22" customWidth="1"/>
    <col min="12527" max="12527" width="2.83203125" style="22" customWidth="1"/>
    <col min="12528" max="12528" width="24.5" style="22" customWidth="1"/>
    <col min="12529" max="12529" width="15" style="22" customWidth="1"/>
    <col min="12530" max="12530" width="14.83203125" style="22" customWidth="1"/>
    <col min="12531" max="12531" width="12.5" style="22" customWidth="1"/>
    <col min="12532" max="12541" width="9.1640625" style="22"/>
    <col min="12542" max="12542" width="5.1640625" style="22" customWidth="1"/>
    <col min="12543" max="12543" width="26.83203125" style="22" customWidth="1"/>
    <col min="12544" max="12544" width="15" style="22" customWidth="1"/>
    <col min="12545" max="12545" width="2.83203125" style="22" customWidth="1"/>
    <col min="12546" max="12546" width="26.6640625" style="22" customWidth="1"/>
    <col min="12547" max="12548" width="10.83203125" style="22" customWidth="1"/>
    <col min="12549" max="12777" width="9.1640625" style="22"/>
    <col min="12778" max="12778" width="24.5" style="22" customWidth="1"/>
    <col min="12779" max="12779" width="15" style="22" customWidth="1"/>
    <col min="12780" max="12780" width="2.83203125" style="22" customWidth="1"/>
    <col min="12781" max="12781" width="27" style="22" customWidth="1"/>
    <col min="12782" max="12782" width="15" style="22" customWidth="1"/>
    <col min="12783" max="12783" width="2.83203125" style="22" customWidth="1"/>
    <col min="12784" max="12784" width="24.5" style="22" customWidth="1"/>
    <col min="12785" max="12785" width="15" style="22" customWidth="1"/>
    <col min="12786" max="12786" width="14.83203125" style="22" customWidth="1"/>
    <col min="12787" max="12787" width="12.5" style="22" customWidth="1"/>
    <col min="12788" max="12797" width="9.1640625" style="22"/>
    <col min="12798" max="12798" width="5.1640625" style="22" customWidth="1"/>
    <col min="12799" max="12799" width="26.83203125" style="22" customWidth="1"/>
    <col min="12800" max="12800" width="15" style="22" customWidth="1"/>
    <col min="12801" max="12801" width="2.83203125" style="22" customWidth="1"/>
    <col min="12802" max="12802" width="26.6640625" style="22" customWidth="1"/>
    <col min="12803" max="12804" width="10.83203125" style="22" customWidth="1"/>
    <col min="12805" max="13033" width="9.1640625" style="22"/>
    <col min="13034" max="13034" width="24.5" style="22" customWidth="1"/>
    <col min="13035" max="13035" width="15" style="22" customWidth="1"/>
    <col min="13036" max="13036" width="2.83203125" style="22" customWidth="1"/>
    <col min="13037" max="13037" width="27" style="22" customWidth="1"/>
    <col min="13038" max="13038" width="15" style="22" customWidth="1"/>
    <col min="13039" max="13039" width="2.83203125" style="22" customWidth="1"/>
    <col min="13040" max="13040" width="24.5" style="22" customWidth="1"/>
    <col min="13041" max="13041" width="15" style="22" customWidth="1"/>
    <col min="13042" max="13042" width="14.83203125" style="22" customWidth="1"/>
    <col min="13043" max="13043" width="12.5" style="22" customWidth="1"/>
    <col min="13044" max="13053" width="9.1640625" style="22"/>
    <col min="13054" max="13054" width="5.1640625" style="22" customWidth="1"/>
    <col min="13055" max="13055" width="26.83203125" style="22" customWidth="1"/>
    <col min="13056" max="13056" width="15" style="22" customWidth="1"/>
    <col min="13057" max="13057" width="2.83203125" style="22" customWidth="1"/>
    <col min="13058" max="13058" width="26.6640625" style="22" customWidth="1"/>
    <col min="13059" max="13060" width="10.83203125" style="22" customWidth="1"/>
    <col min="13061" max="13289" width="9.1640625" style="22"/>
    <col min="13290" max="13290" width="24.5" style="22" customWidth="1"/>
    <col min="13291" max="13291" width="15" style="22" customWidth="1"/>
    <col min="13292" max="13292" width="2.83203125" style="22" customWidth="1"/>
    <col min="13293" max="13293" width="27" style="22" customWidth="1"/>
    <col min="13294" max="13294" width="15" style="22" customWidth="1"/>
    <col min="13295" max="13295" width="2.83203125" style="22" customWidth="1"/>
    <col min="13296" max="13296" width="24.5" style="22" customWidth="1"/>
    <col min="13297" max="13297" width="15" style="22" customWidth="1"/>
    <col min="13298" max="13298" width="14.83203125" style="22" customWidth="1"/>
    <col min="13299" max="13299" width="12.5" style="22" customWidth="1"/>
    <col min="13300" max="13309" width="9.1640625" style="22"/>
    <col min="13310" max="13310" width="5.1640625" style="22" customWidth="1"/>
    <col min="13311" max="13311" width="26.83203125" style="22" customWidth="1"/>
    <col min="13312" max="13312" width="15" style="22" customWidth="1"/>
    <col min="13313" max="13313" width="2.83203125" style="22" customWidth="1"/>
    <col min="13314" max="13314" width="26.6640625" style="22" customWidth="1"/>
    <col min="13315" max="13316" width="10.83203125" style="22" customWidth="1"/>
    <col min="13317" max="13545" width="9.1640625" style="22"/>
    <col min="13546" max="13546" width="24.5" style="22" customWidth="1"/>
    <col min="13547" max="13547" width="15" style="22" customWidth="1"/>
    <col min="13548" max="13548" width="2.83203125" style="22" customWidth="1"/>
    <col min="13549" max="13549" width="27" style="22" customWidth="1"/>
    <col min="13550" max="13550" width="15" style="22" customWidth="1"/>
    <col min="13551" max="13551" width="2.83203125" style="22" customWidth="1"/>
    <col min="13552" max="13552" width="24.5" style="22" customWidth="1"/>
    <col min="13553" max="13553" width="15" style="22" customWidth="1"/>
    <col min="13554" max="13554" width="14.83203125" style="22" customWidth="1"/>
    <col min="13555" max="13555" width="12.5" style="22" customWidth="1"/>
    <col min="13556" max="13565" width="9.1640625" style="22"/>
    <col min="13566" max="13566" width="5.1640625" style="22" customWidth="1"/>
    <col min="13567" max="13567" width="26.83203125" style="22" customWidth="1"/>
    <col min="13568" max="13568" width="15" style="22" customWidth="1"/>
    <col min="13569" max="13569" width="2.83203125" style="22" customWidth="1"/>
    <col min="13570" max="13570" width="26.6640625" style="22" customWidth="1"/>
    <col min="13571" max="13572" width="10.83203125" style="22" customWidth="1"/>
    <col min="13573" max="13801" width="9.1640625" style="22"/>
    <col min="13802" max="13802" width="24.5" style="22" customWidth="1"/>
    <col min="13803" max="13803" width="15" style="22" customWidth="1"/>
    <col min="13804" max="13804" width="2.83203125" style="22" customWidth="1"/>
    <col min="13805" max="13805" width="27" style="22" customWidth="1"/>
    <col min="13806" max="13806" width="15" style="22" customWidth="1"/>
    <col min="13807" max="13807" width="2.83203125" style="22" customWidth="1"/>
    <col min="13808" max="13808" width="24.5" style="22" customWidth="1"/>
    <col min="13809" max="13809" width="15" style="22" customWidth="1"/>
    <col min="13810" max="13810" width="14.83203125" style="22" customWidth="1"/>
    <col min="13811" max="13811" width="12.5" style="22" customWidth="1"/>
    <col min="13812" max="13821" width="9.1640625" style="22"/>
    <col min="13822" max="13822" width="5.1640625" style="22" customWidth="1"/>
    <col min="13823" max="13823" width="26.83203125" style="22" customWidth="1"/>
    <col min="13824" max="13824" width="15" style="22" customWidth="1"/>
    <col min="13825" max="13825" width="2.83203125" style="22" customWidth="1"/>
    <col min="13826" max="13826" width="26.6640625" style="22" customWidth="1"/>
    <col min="13827" max="13828" width="10.83203125" style="22" customWidth="1"/>
    <col min="13829" max="14057" width="9.1640625" style="22"/>
    <col min="14058" max="14058" width="24.5" style="22" customWidth="1"/>
    <col min="14059" max="14059" width="15" style="22" customWidth="1"/>
    <col min="14060" max="14060" width="2.83203125" style="22" customWidth="1"/>
    <col min="14061" max="14061" width="27" style="22" customWidth="1"/>
    <col min="14062" max="14062" width="15" style="22" customWidth="1"/>
    <col min="14063" max="14063" width="2.83203125" style="22" customWidth="1"/>
    <col min="14064" max="14064" width="24.5" style="22" customWidth="1"/>
    <col min="14065" max="14065" width="15" style="22" customWidth="1"/>
    <col min="14066" max="14066" width="14.83203125" style="22" customWidth="1"/>
    <col min="14067" max="14067" width="12.5" style="22" customWidth="1"/>
    <col min="14068" max="14077" width="9.1640625" style="22"/>
    <col min="14078" max="14078" width="5.1640625" style="22" customWidth="1"/>
    <col min="14079" max="14079" width="26.83203125" style="22" customWidth="1"/>
    <col min="14080" max="14080" width="15" style="22" customWidth="1"/>
    <col min="14081" max="14081" width="2.83203125" style="22" customWidth="1"/>
    <col min="14082" max="14082" width="26.6640625" style="22" customWidth="1"/>
    <col min="14083" max="14084" width="10.83203125" style="22" customWidth="1"/>
    <col min="14085" max="14313" width="9.1640625" style="22"/>
    <col min="14314" max="14314" width="24.5" style="22" customWidth="1"/>
    <col min="14315" max="14315" width="15" style="22" customWidth="1"/>
    <col min="14316" max="14316" width="2.83203125" style="22" customWidth="1"/>
    <col min="14317" max="14317" width="27" style="22" customWidth="1"/>
    <col min="14318" max="14318" width="15" style="22" customWidth="1"/>
    <col min="14319" max="14319" width="2.83203125" style="22" customWidth="1"/>
    <col min="14320" max="14320" width="24.5" style="22" customWidth="1"/>
    <col min="14321" max="14321" width="15" style="22" customWidth="1"/>
    <col min="14322" max="14322" width="14.83203125" style="22" customWidth="1"/>
    <col min="14323" max="14323" width="12.5" style="22" customWidth="1"/>
    <col min="14324" max="14333" width="9.1640625" style="22"/>
    <col min="14334" max="14334" width="5.1640625" style="22" customWidth="1"/>
    <col min="14335" max="14335" width="26.83203125" style="22" customWidth="1"/>
    <col min="14336" max="14336" width="15" style="22" customWidth="1"/>
    <col min="14337" max="14337" width="2.83203125" style="22" customWidth="1"/>
    <col min="14338" max="14338" width="26.6640625" style="22" customWidth="1"/>
    <col min="14339" max="14340" width="10.83203125" style="22" customWidth="1"/>
    <col min="14341" max="14569" width="9.1640625" style="22"/>
    <col min="14570" max="14570" width="24.5" style="22" customWidth="1"/>
    <col min="14571" max="14571" width="15" style="22" customWidth="1"/>
    <col min="14572" max="14572" width="2.83203125" style="22" customWidth="1"/>
    <col min="14573" max="14573" width="27" style="22" customWidth="1"/>
    <col min="14574" max="14574" width="15" style="22" customWidth="1"/>
    <col min="14575" max="14575" width="2.83203125" style="22" customWidth="1"/>
    <col min="14576" max="14576" width="24.5" style="22" customWidth="1"/>
    <col min="14577" max="14577" width="15" style="22" customWidth="1"/>
    <col min="14578" max="14578" width="14.83203125" style="22" customWidth="1"/>
    <col min="14579" max="14579" width="12.5" style="22" customWidth="1"/>
    <col min="14580" max="14589" width="9.1640625" style="22"/>
    <col min="14590" max="14590" width="5.1640625" style="22" customWidth="1"/>
    <col min="14591" max="14591" width="26.83203125" style="22" customWidth="1"/>
    <col min="14592" max="14592" width="15" style="22" customWidth="1"/>
    <col min="14593" max="14593" width="2.83203125" style="22" customWidth="1"/>
    <col min="14594" max="14594" width="26.6640625" style="22" customWidth="1"/>
    <col min="14595" max="14596" width="10.83203125" style="22" customWidth="1"/>
    <col min="14597" max="14825" width="9.1640625" style="22"/>
    <col min="14826" max="14826" width="24.5" style="22" customWidth="1"/>
    <col min="14827" max="14827" width="15" style="22" customWidth="1"/>
    <col min="14828" max="14828" width="2.83203125" style="22" customWidth="1"/>
    <col min="14829" max="14829" width="27" style="22" customWidth="1"/>
    <col min="14830" max="14830" width="15" style="22" customWidth="1"/>
    <col min="14831" max="14831" width="2.83203125" style="22" customWidth="1"/>
    <col min="14832" max="14832" width="24.5" style="22" customWidth="1"/>
    <col min="14833" max="14833" width="15" style="22" customWidth="1"/>
    <col min="14834" max="14834" width="14.83203125" style="22" customWidth="1"/>
    <col min="14835" max="14835" width="12.5" style="22" customWidth="1"/>
    <col min="14836" max="14845" width="9.1640625" style="22"/>
    <col min="14846" max="14846" width="5.1640625" style="22" customWidth="1"/>
    <col min="14847" max="14847" width="26.83203125" style="22" customWidth="1"/>
    <col min="14848" max="14848" width="15" style="22" customWidth="1"/>
    <col min="14849" max="14849" width="2.83203125" style="22" customWidth="1"/>
    <col min="14850" max="14850" width="26.6640625" style="22" customWidth="1"/>
    <col min="14851" max="14852" width="10.83203125" style="22" customWidth="1"/>
    <col min="14853" max="15081" width="9.1640625" style="22"/>
    <col min="15082" max="15082" width="24.5" style="22" customWidth="1"/>
    <col min="15083" max="15083" width="15" style="22" customWidth="1"/>
    <col min="15084" max="15084" width="2.83203125" style="22" customWidth="1"/>
    <col min="15085" max="15085" width="27" style="22" customWidth="1"/>
    <col min="15086" max="15086" width="15" style="22" customWidth="1"/>
    <col min="15087" max="15087" width="2.83203125" style="22" customWidth="1"/>
    <col min="15088" max="15088" width="24.5" style="22" customWidth="1"/>
    <col min="15089" max="15089" width="15" style="22" customWidth="1"/>
    <col min="15090" max="15090" width="14.83203125" style="22" customWidth="1"/>
    <col min="15091" max="15091" width="12.5" style="22" customWidth="1"/>
    <col min="15092" max="15101" width="9.1640625" style="22"/>
    <col min="15102" max="15102" width="5.1640625" style="22" customWidth="1"/>
    <col min="15103" max="15103" width="26.83203125" style="22" customWidth="1"/>
    <col min="15104" max="15104" width="15" style="22" customWidth="1"/>
    <col min="15105" max="15105" width="2.83203125" style="22" customWidth="1"/>
    <col min="15106" max="15106" width="26.6640625" style="22" customWidth="1"/>
    <col min="15107" max="15108" width="10.83203125" style="22" customWidth="1"/>
    <col min="15109" max="15337" width="9.1640625" style="22"/>
    <col min="15338" max="15338" width="24.5" style="22" customWidth="1"/>
    <col min="15339" max="15339" width="15" style="22" customWidth="1"/>
    <col min="15340" max="15340" width="2.83203125" style="22" customWidth="1"/>
    <col min="15341" max="15341" width="27" style="22" customWidth="1"/>
    <col min="15342" max="15342" width="15" style="22" customWidth="1"/>
    <col min="15343" max="15343" width="2.83203125" style="22" customWidth="1"/>
    <col min="15344" max="15344" width="24.5" style="22" customWidth="1"/>
    <col min="15345" max="15345" width="15" style="22" customWidth="1"/>
    <col min="15346" max="15346" width="14.83203125" style="22" customWidth="1"/>
    <col min="15347" max="15347" width="12.5" style="22" customWidth="1"/>
    <col min="15348" max="15357" width="9.1640625" style="22"/>
    <col min="15358" max="15358" width="5.1640625" style="22" customWidth="1"/>
    <col min="15359" max="15359" width="26.83203125" style="22" customWidth="1"/>
    <col min="15360" max="15360" width="15" style="22" customWidth="1"/>
    <col min="15361" max="15361" width="2.83203125" style="22" customWidth="1"/>
    <col min="15362" max="15362" width="26.6640625" style="22" customWidth="1"/>
    <col min="15363" max="15364" width="10.83203125" style="22" customWidth="1"/>
    <col min="15365" max="15593" width="9.1640625" style="22"/>
    <col min="15594" max="15594" width="24.5" style="22" customWidth="1"/>
    <col min="15595" max="15595" width="15" style="22" customWidth="1"/>
    <col min="15596" max="15596" width="2.83203125" style="22" customWidth="1"/>
    <col min="15597" max="15597" width="27" style="22" customWidth="1"/>
    <col min="15598" max="15598" width="15" style="22" customWidth="1"/>
    <col min="15599" max="15599" width="2.83203125" style="22" customWidth="1"/>
    <col min="15600" max="15600" width="24.5" style="22" customWidth="1"/>
    <col min="15601" max="15601" width="15" style="22" customWidth="1"/>
    <col min="15602" max="15602" width="14.83203125" style="22" customWidth="1"/>
    <col min="15603" max="15603" width="12.5" style="22" customWidth="1"/>
    <col min="15604" max="15613" width="9.1640625" style="22"/>
    <col min="15614" max="15614" width="5.1640625" style="22" customWidth="1"/>
    <col min="15615" max="15615" width="26.83203125" style="22" customWidth="1"/>
    <col min="15616" max="15616" width="15" style="22" customWidth="1"/>
    <col min="15617" max="15617" width="2.83203125" style="22" customWidth="1"/>
    <col min="15618" max="15618" width="26.6640625" style="22" customWidth="1"/>
    <col min="15619" max="15620" width="10.83203125" style="22" customWidth="1"/>
    <col min="15621" max="15849" width="9.1640625" style="22"/>
    <col min="15850" max="15850" width="24.5" style="22" customWidth="1"/>
    <col min="15851" max="15851" width="15" style="22" customWidth="1"/>
    <col min="15852" max="15852" width="2.83203125" style="22" customWidth="1"/>
    <col min="15853" max="15853" width="27" style="22" customWidth="1"/>
    <col min="15854" max="15854" width="15" style="22" customWidth="1"/>
    <col min="15855" max="15855" width="2.83203125" style="22" customWidth="1"/>
    <col min="15856" max="15856" width="24.5" style="22" customWidth="1"/>
    <col min="15857" max="15857" width="15" style="22" customWidth="1"/>
    <col min="15858" max="15858" width="14.83203125" style="22" customWidth="1"/>
    <col min="15859" max="15859" width="12.5" style="22" customWidth="1"/>
    <col min="15860" max="15869" width="9.1640625" style="22"/>
    <col min="15870" max="15870" width="5.1640625" style="22" customWidth="1"/>
    <col min="15871" max="15871" width="26.83203125" style="22" customWidth="1"/>
    <col min="15872" max="15872" width="15" style="22" customWidth="1"/>
    <col min="15873" max="15873" width="2.83203125" style="22" customWidth="1"/>
    <col min="15874" max="15874" width="26.6640625" style="22" customWidth="1"/>
    <col min="15875" max="15876" width="10.83203125" style="22" customWidth="1"/>
    <col min="15877" max="16105" width="9.1640625" style="22"/>
    <col min="16106" max="16106" width="24.5" style="22" customWidth="1"/>
    <col min="16107" max="16107" width="15" style="22" customWidth="1"/>
    <col min="16108" max="16108" width="2.83203125" style="22" customWidth="1"/>
    <col min="16109" max="16109" width="27" style="22" customWidth="1"/>
    <col min="16110" max="16110" width="15" style="22" customWidth="1"/>
    <col min="16111" max="16111" width="2.83203125" style="22" customWidth="1"/>
    <col min="16112" max="16112" width="24.5" style="22" customWidth="1"/>
    <col min="16113" max="16113" width="15" style="22" customWidth="1"/>
    <col min="16114" max="16114" width="14.83203125" style="22" customWidth="1"/>
    <col min="16115" max="16115" width="12.5" style="22" customWidth="1"/>
    <col min="16116" max="16125" width="9.1640625" style="22"/>
    <col min="16126" max="16126" width="5.1640625" style="22" customWidth="1"/>
    <col min="16127" max="16127" width="26.83203125" style="22" customWidth="1"/>
    <col min="16128" max="16128" width="15" style="22" customWidth="1"/>
    <col min="16129" max="16129" width="2.83203125" style="22" customWidth="1"/>
    <col min="16130" max="16130" width="26.6640625" style="22" customWidth="1"/>
    <col min="16131" max="16132" width="10.83203125" style="22" customWidth="1"/>
    <col min="16133" max="16384" width="9.1640625" style="22"/>
  </cols>
  <sheetData>
    <row r="1" spans="1:11" ht="17" thickBot="1">
      <c r="A1" s="19" t="s">
        <v>310</v>
      </c>
      <c r="B1" s="132" t="str">
        <f>'Sales, COGS, GP'!B5</f>
        <v>10/1/2025</v>
      </c>
      <c r="C1" s="132"/>
      <c r="D1" s="19" t="s">
        <v>311</v>
      </c>
      <c r="E1" s="92"/>
      <c r="F1" s="2" t="s">
        <v>312</v>
      </c>
      <c r="G1" s="134"/>
      <c r="K1" s="19"/>
    </row>
    <row r="2" spans="1:11" ht="36" customHeight="1" thickBot="1">
      <c r="A2" s="137" t="s">
        <v>313</v>
      </c>
      <c r="B2" s="75"/>
      <c r="C2" s="86"/>
      <c r="E2" s="137" t="s">
        <v>314</v>
      </c>
      <c r="F2" s="82"/>
      <c r="G2" s="86"/>
      <c r="H2" s="86"/>
      <c r="I2" s="137" t="s">
        <v>315</v>
      </c>
      <c r="J2" s="82"/>
      <c r="K2" s="86"/>
    </row>
    <row r="3" spans="1:11" ht="17.25" customHeight="1" thickTop="1">
      <c r="A3" s="183" t="str">
        <f>'Sales, COGS, GP'!A3</f>
        <v>Dealership Name</v>
      </c>
      <c r="B3" s="185" t="str">
        <f>'Sales, COGS, GP'!B3</f>
        <v>Bennett Material Handling</v>
      </c>
      <c r="C3" s="112"/>
      <c r="E3" s="74" t="s">
        <v>129</v>
      </c>
      <c r="F3" s="185" t="str">
        <f>B3</f>
        <v>Bennett Material Handling</v>
      </c>
      <c r="G3" s="186"/>
      <c r="H3" s="176"/>
      <c r="I3" s="183" t="s">
        <v>129</v>
      </c>
      <c r="J3" s="185" t="str">
        <f>B3</f>
        <v>Bennett Material Handling</v>
      </c>
      <c r="K3" s="192"/>
    </row>
    <row r="4" spans="1:11" ht="17.25" customHeight="1">
      <c r="A4" s="362" t="str">
        <f>'Sales, COGS, GP'!A7</f>
        <v>Number of Months Included</v>
      </c>
      <c r="B4" s="363">
        <f>'Sales, COGS, GP'!B7</f>
        <v>3</v>
      </c>
      <c r="C4" s="107"/>
      <c r="E4" s="362" t="s">
        <v>133</v>
      </c>
      <c r="F4" s="363">
        <f>B4</f>
        <v>3</v>
      </c>
      <c r="G4" s="364" t="s">
        <v>316</v>
      </c>
      <c r="H4" s="107"/>
      <c r="I4" s="362" t="s">
        <v>133</v>
      </c>
      <c r="J4" s="363">
        <f>B4</f>
        <v>3</v>
      </c>
      <c r="K4" s="364" t="s">
        <v>316</v>
      </c>
    </row>
    <row r="5" spans="1:11" ht="15" customHeight="1">
      <c r="A5" s="43"/>
      <c r="B5" s="77"/>
      <c r="C5" s="86"/>
      <c r="E5" s="43"/>
      <c r="F5" s="77"/>
      <c r="G5" s="187"/>
      <c r="H5" s="86"/>
      <c r="I5" s="43"/>
      <c r="J5" s="77"/>
      <c r="K5" s="187"/>
    </row>
    <row r="6" spans="1:11" ht="15" customHeight="1">
      <c r="A6" s="43" t="s">
        <v>317</v>
      </c>
      <c r="B6" s="78">
        <f>'Sales, COGS, GP'!B9</f>
        <v>1362534.1366666667</v>
      </c>
      <c r="C6" s="105"/>
      <c r="E6" s="43" t="s">
        <v>317</v>
      </c>
      <c r="F6" s="98">
        <f>IFERROR('Sales, COGS, GP'!B20/'Sales, COGS, GP'!B7,"")</f>
        <v>404352.85333333327</v>
      </c>
      <c r="G6" s="188"/>
      <c r="H6" s="86"/>
      <c r="I6" s="71" t="s">
        <v>288</v>
      </c>
      <c r="J6" s="77"/>
      <c r="K6" s="187"/>
    </row>
    <row r="7" spans="1:11" ht="15" customHeight="1">
      <c r="A7" s="43"/>
      <c r="B7" s="79"/>
      <c r="E7" s="43"/>
      <c r="F7" s="77"/>
      <c r="G7" s="187"/>
      <c r="H7" s="108"/>
      <c r="I7" s="43" t="s">
        <v>318</v>
      </c>
      <c r="J7" s="81">
        <f>IFERROR('Sales, COGS, GP'!B10/'Sales, COGS, GP'!B$20,"")</f>
        <v>0.93617491970049671</v>
      </c>
      <c r="K7" s="189"/>
    </row>
    <row r="8" spans="1:11" ht="15" customHeight="1">
      <c r="A8" s="43" t="s">
        <v>319</v>
      </c>
      <c r="B8" s="80">
        <f>IFERROR(('Sales, COGS, GP'!D20+(('Sales, COGS, GP'!B21+'Sales, COGS, GP'!B23)*'Gap Analysis'!I8)+('Sales, COGS, GP'!B22*'Gap Analysis'!K8)+('Sales, COGS, GP'!B29*'Gap Analysis'!G8)+('Sales, COGS, GP'!B37*'Gap Analysis'!E8)+('Sales, COGS, GP'!B38*'Gap Analysis'!M8)+('Expenses, Miscellaneous'!E25-'Expenses, Miscellaneous'!E26))/'Sales, COGS, GP'!B41,"")</f>
        <v>0.38094837641021945</v>
      </c>
      <c r="C8" s="87"/>
      <c r="E8" s="43" t="s">
        <v>297</v>
      </c>
      <c r="F8" s="80">
        <f>IFERROR('Sales, COGS, GP'!D20/'Sales, COGS, GP'!B20,"")</f>
        <v>9.9598959179678759E-2</v>
      </c>
      <c r="G8" s="189"/>
      <c r="H8" s="108"/>
      <c r="I8" s="43" t="s">
        <v>320</v>
      </c>
      <c r="J8" s="81">
        <f>IFERROR('Sales, COGS, GP'!B11/'Sales, COGS, GP'!B$20,"")</f>
        <v>0</v>
      </c>
      <c r="K8" s="189"/>
    </row>
    <row r="9" spans="1:11" ht="15" customHeight="1">
      <c r="A9" s="43" t="s">
        <v>321</v>
      </c>
      <c r="B9" s="80">
        <f>IFERROR('Sales, COGS, GP'!D41/'Sales, COGS, GP'!B41,"")</f>
        <v>0.32601304049040336</v>
      </c>
      <c r="C9" s="87"/>
      <c r="E9" s="43" t="s">
        <v>322</v>
      </c>
      <c r="F9" s="84"/>
      <c r="G9" s="190"/>
      <c r="H9" s="108"/>
      <c r="I9" s="43" t="s">
        <v>140</v>
      </c>
      <c r="J9" s="81">
        <f>IFERROR('Sales, COGS, GP'!B12/'Sales, COGS, GP'!B$20,"")</f>
        <v>1.0959899578137432E-2</v>
      </c>
      <c r="K9" s="189"/>
    </row>
    <row r="10" spans="1:11" ht="15" customHeight="1">
      <c r="A10" s="43" t="s">
        <v>322</v>
      </c>
      <c r="B10" s="77"/>
      <c r="C10" s="86"/>
      <c r="E10" s="72" t="s">
        <v>323</v>
      </c>
      <c r="F10" s="84"/>
      <c r="G10" s="190"/>
      <c r="H10" s="108"/>
      <c r="I10" s="43" t="s">
        <v>141</v>
      </c>
      <c r="J10" s="81">
        <f>IFERROR('Sales, COGS, GP'!B13/'Sales, COGS, GP'!B$20,"")</f>
        <v>1.1870968537578271E-2</v>
      </c>
      <c r="K10" s="189"/>
    </row>
    <row r="11" spans="1:11" ht="15" customHeight="1">
      <c r="A11" s="72" t="s">
        <v>324</v>
      </c>
      <c r="B11" s="77"/>
      <c r="C11" s="86"/>
      <c r="E11" s="43" t="s">
        <v>325</v>
      </c>
      <c r="F11" s="80">
        <f>IFERROR('Expenses, Miscellaneous'!D4/'Sales, COGS, GP'!D$20,"")</f>
        <v>0.16465033711068036</v>
      </c>
      <c r="G11" s="189">
        <f>MODELS!B7</f>
        <v>0.5</v>
      </c>
      <c r="H11" s="109"/>
      <c r="I11" s="43" t="s">
        <v>143</v>
      </c>
      <c r="J11" s="81">
        <f>IFERROR('Sales, COGS, GP'!B15/'Sales, COGS, GP'!B$20,"")</f>
        <v>0</v>
      </c>
      <c r="K11" s="189"/>
    </row>
    <row r="12" spans="1:11" ht="15" customHeight="1">
      <c r="A12" s="43" t="s">
        <v>326</v>
      </c>
      <c r="B12" s="80">
        <f>IFERROR((('Sales, COGS, GP'!D20*'Gap Analysis'!C11)+(('Sales, COGS, GP'!B21+'Sales, COGS, GP'!B23)*'Gap Analysis'!I11)+('Sales, COGS, GP'!B22*'Gap Analysis'!K11)+('Sales, COGS, GP'!B29*'Gap Analysis'!G11)+('Sales, COGS, GP'!B37*'Gap Analysis'!E11)+('Sales, COGS, GP'!B40*'Gap Analysis'!O11))/'Sales, COGS, GP'!B41,"")</f>
        <v>0.14296766879046829</v>
      </c>
      <c r="C12" s="87"/>
      <c r="E12" s="43" t="s">
        <v>327</v>
      </c>
      <c r="F12" s="80">
        <f>IFERROR('Expenses, Miscellaneous'!D5/'Sales, COGS, GP'!D$20,"")</f>
        <v>1.1995179249817325</v>
      </c>
      <c r="G12" s="189">
        <f>MODELS!B8</f>
        <v>0.25</v>
      </c>
      <c r="H12" s="110"/>
      <c r="I12" s="43" t="s">
        <v>144</v>
      </c>
      <c r="J12" s="81">
        <f>IFERROR('Sales, COGS, GP'!B16/'Sales, COGS, GP'!B$20,"")</f>
        <v>1.0769372914692595E-2</v>
      </c>
      <c r="K12" s="189"/>
    </row>
    <row r="13" spans="1:11" ht="15" customHeight="1">
      <c r="A13" s="43" t="s">
        <v>328</v>
      </c>
      <c r="B13" s="80">
        <f>IFERROR('Expenses, Miscellaneous'!K4/'Sales, COGS, GP'!B41,"")</f>
        <v>9.5940960167894603E-3</v>
      </c>
      <c r="C13" s="87"/>
      <c r="E13" s="170" t="s">
        <v>329</v>
      </c>
      <c r="F13" s="233">
        <f>IFERROR('Expenses, Miscellaneous'!D6/'Sales, COGS, GP'!D$20,"")</f>
        <v>0.73545078078126125</v>
      </c>
      <c r="G13" s="220">
        <f>MODELS!B9</f>
        <v>0.1</v>
      </c>
      <c r="H13" s="110"/>
      <c r="I13" s="227" t="s">
        <v>330</v>
      </c>
      <c r="J13" s="250">
        <f>IFERROR('Sales, COGS, GP'!B17/'Sales, COGS, GP'!B$20,"")</f>
        <v>0</v>
      </c>
      <c r="K13" s="220"/>
    </row>
    <row r="14" spans="1:11" ht="15" customHeight="1">
      <c r="A14" s="43" t="s">
        <v>322</v>
      </c>
      <c r="B14" s="79"/>
      <c r="E14" s="43" t="s">
        <v>331</v>
      </c>
      <c r="F14" s="80">
        <f>IFERROR('Expenses, Miscellaneous'!D7/'Sales, COGS, GP'!D$20,"")</f>
        <v>2.0996190428736741</v>
      </c>
      <c r="G14" s="189">
        <f>MODELS!B10</f>
        <v>0.85</v>
      </c>
      <c r="H14" s="108"/>
      <c r="I14" s="43" t="s">
        <v>146</v>
      </c>
      <c r="J14" s="81">
        <f>IFERROR('Sales, COGS, GP'!B18/'Sales, COGS, GP'!B$20,"")</f>
        <v>0</v>
      </c>
      <c r="K14" s="189"/>
    </row>
    <row r="15" spans="1:11" ht="15" customHeight="1">
      <c r="A15" s="43" t="s">
        <v>332</v>
      </c>
      <c r="B15" s="80">
        <f>IFERROR((('Sales, COGS, GP'!D20*'Gap Analysis'!C12)+(('Sales, COGS, GP'!B21+'Sales, COGS, GP'!B23)*'Gap Analysis'!I12)+('Sales, COGS, GP'!B22*'Gap Analysis'!K12)+('Sales, COGS, GP'!B29*'Gap Analysis'!G12)+('Sales, COGS, GP'!B37*'Gap Analysis'!E12)+('Sales, COGS, GP'!B40*'Gap Analysis'!O12))/'Sales, COGS, GP'!B41,"")</f>
        <v>6.5743406634306195E-2</v>
      </c>
      <c r="C15" s="87"/>
      <c r="E15" s="43" t="s">
        <v>322</v>
      </c>
      <c r="F15" s="81"/>
      <c r="G15" s="189"/>
      <c r="H15" s="108"/>
      <c r="I15" s="43" t="s">
        <v>147</v>
      </c>
      <c r="J15" s="81">
        <f>IFERROR('Sales, COGS, GP'!B19/'Sales, COGS, GP'!B$20,"")</f>
        <v>3.0224839269095142E-2</v>
      </c>
      <c r="K15" s="189"/>
    </row>
    <row r="16" spans="1:11" ht="15" customHeight="1">
      <c r="A16" s="43" t="s">
        <v>333</v>
      </c>
      <c r="B16" s="80">
        <f>IFERROR('Expenses, Miscellaneous'!K5/'Sales, COGS, GP'!B41,"")</f>
        <v>6.9895369300362081E-2</v>
      </c>
      <c r="C16" s="87"/>
      <c r="E16" s="43" t="s">
        <v>334</v>
      </c>
      <c r="F16" s="80">
        <f>IFERROR(('Sales, COGS, GP'!D20-'Expenses, Miscellaneous'!D7)/'Sales, COGS, GP'!D20,"")</f>
        <v>-1.0996190428736741</v>
      </c>
      <c r="G16" s="189">
        <f>MODELS!B12</f>
        <v>0.15000000000000002</v>
      </c>
      <c r="H16" s="108"/>
      <c r="I16" s="208" t="s">
        <v>335</v>
      </c>
      <c r="J16" s="81">
        <f>SUM(J7:J15)</f>
        <v>1.0000000000000002</v>
      </c>
      <c r="K16" s="189"/>
    </row>
    <row r="17" spans="1:11" ht="15" customHeight="1">
      <c r="A17" s="43" t="s">
        <v>322</v>
      </c>
      <c r="B17" s="79"/>
      <c r="E17" s="144" t="s">
        <v>336</v>
      </c>
      <c r="F17" s="145">
        <f>'Sales, COGS, GP'!D20-'Expenses, Miscellaneous'!D7</f>
        <v>-132855.28000000014</v>
      </c>
      <c r="G17" s="249">
        <f>'Gap Analysis'!C16*'Sales, COGS, GP'!D20</f>
        <v>18122.905499999986</v>
      </c>
      <c r="H17" s="108"/>
      <c r="I17" s="43"/>
      <c r="J17" s="89"/>
      <c r="K17" s="193"/>
    </row>
    <row r="18" spans="1:11" ht="15" customHeight="1">
      <c r="A18" s="43" t="s">
        <v>337</v>
      </c>
      <c r="B18" s="80">
        <f>IFERROR((('Sales, COGS, GP'!D20*'Gap Analysis'!C13)+(('Sales, COGS, GP'!B21+'Sales, COGS, GP'!B23)*'Gap Analysis'!I13)+('Sales, COGS, GP'!B22*'Gap Analysis'!K13)+('Sales, COGS, GP'!B29*'Gap Analysis'!G13)+('Sales, COGS, GP'!B37*'Gap Analysis'!E13)+('Sales, COGS, GP'!B40*'Gap Analysis'!O13))/'Sales, COGS, GP'!B41,"")</f>
        <v>3.7963089247713799E-2</v>
      </c>
      <c r="C18" s="87"/>
      <c r="E18" s="43"/>
      <c r="F18" s="240"/>
      <c r="G18" s="235"/>
      <c r="H18" s="108"/>
      <c r="I18" s="72" t="s">
        <v>297</v>
      </c>
      <c r="J18" s="84"/>
      <c r="K18" s="190"/>
    </row>
    <row r="19" spans="1:11" ht="15" customHeight="1">
      <c r="A19" s="43" t="s">
        <v>338</v>
      </c>
      <c r="B19" s="80">
        <f>IFERROR('Expenses, Miscellaneous'!K6/'Sales, COGS, GP'!B41,"")</f>
        <v>4.285439052767364E-2</v>
      </c>
      <c r="C19" s="87"/>
      <c r="E19" s="72" t="s">
        <v>339</v>
      </c>
      <c r="F19" s="234"/>
      <c r="G19" s="235"/>
      <c r="H19" s="86"/>
      <c r="I19" s="43" t="s">
        <v>318</v>
      </c>
      <c r="J19" s="81">
        <f>IFERROR('Sales, COGS, GP'!D10/'Sales, COGS, GP'!B10,"")</f>
        <v>0.17198955650363013</v>
      </c>
      <c r="K19" s="189"/>
    </row>
    <row r="20" spans="1:11" ht="15" customHeight="1">
      <c r="A20" s="43" t="s">
        <v>322</v>
      </c>
      <c r="B20" s="79"/>
      <c r="E20" s="43" t="s">
        <v>318</v>
      </c>
      <c r="F20" s="236">
        <f>IFERROR((('Sales, COGS, GP'!C10/'Sales, COGS, GP'!B7)*12)/'Balance Sheet'!B11,"")</f>
        <v>4.3592868098571023</v>
      </c>
      <c r="G20" s="237">
        <v>12</v>
      </c>
      <c r="H20" s="111"/>
      <c r="I20" s="43" t="s">
        <v>320</v>
      </c>
      <c r="J20" s="81" t="str">
        <f>IFERROR('Sales, COGS, GP'!D11/'Sales, COGS, GP'!B11,"")</f>
        <v/>
      </c>
      <c r="K20" s="189"/>
    </row>
    <row r="21" spans="1:11" ht="15" customHeight="1">
      <c r="A21" s="43" t="s">
        <v>340</v>
      </c>
      <c r="B21" s="80">
        <f>IFERROR((('Sales, COGS, GP'!D20*'Gap Analysis'!C14)+(('Sales, COGS, GP'!B21+'Sales, COGS, GP'!B23)*'Gap Analysis'!I14)+('Sales, COGS, GP'!B22*'Gap Analysis'!K14)+('Sales, COGS, GP'!B29*'Gap Analysis'!G14)+('Sales, COGS, GP'!B37*'Gap Analysis'!E14)+('Sales, COGS, GP'!B40*'Gap Analysis'!O14))/'Sales, COGS, GP'!B41,"")</f>
        <v>0.24667416467248829</v>
      </c>
      <c r="C21" s="87"/>
      <c r="E21" s="43" t="s">
        <v>320</v>
      </c>
      <c r="F21" s="236" t="str">
        <f>IFERROR((('Sales, COGS, GP'!C11/'Sales, COGS, GP'!B7)*12)/'Balance Sheet'!B12,"")</f>
        <v/>
      </c>
      <c r="G21" s="237">
        <v>12</v>
      </c>
      <c r="H21" s="111"/>
      <c r="I21" s="43" t="s">
        <v>140</v>
      </c>
      <c r="J21" s="81">
        <f>IFERROR('Sales, COGS, GP'!D12/'Sales, COGS, GP'!B12,"")</f>
        <v>0.18399999999999991</v>
      </c>
      <c r="K21" s="189"/>
    </row>
    <row r="22" spans="1:11" ht="15" customHeight="1">
      <c r="A22" s="227" t="s">
        <v>341</v>
      </c>
      <c r="B22" s="233">
        <f>IFERROR('Expenses, Miscellaneous'!K7/'Sales, COGS, GP'!B41,"")</f>
        <v>0.12234385584482517</v>
      </c>
      <c r="C22" s="87"/>
      <c r="E22" s="43" t="s">
        <v>140</v>
      </c>
      <c r="F22" s="236">
        <f>IFERROR((('Sales, COGS, GP'!C12/'Sales, COGS, GP'!B7)*12)/'Balance Sheet'!B13,"")</f>
        <v>6.3170453701803195</v>
      </c>
      <c r="G22" s="237"/>
      <c r="H22" s="111"/>
      <c r="I22" s="43" t="s">
        <v>141</v>
      </c>
      <c r="J22" s="81">
        <f>IFERROR('Sales, COGS, GP'!D13/'Sales, COGS, GP'!B13,"")</f>
        <v>-2.3865347516489379</v>
      </c>
      <c r="K22" s="189"/>
    </row>
    <row r="23" spans="1:11" ht="15" customHeight="1">
      <c r="A23" s="43" t="s">
        <v>322</v>
      </c>
      <c r="B23" s="79"/>
      <c r="E23" s="43" t="s">
        <v>144</v>
      </c>
      <c r="F23" s="236">
        <f>IFERROR((('Sales, COGS, GP'!C16/'Sales, COGS, GP'!B7)*12)/'Balance Sheet'!B15,"")</f>
        <v>6.6964959329792184E-2</v>
      </c>
      <c r="G23" s="237">
        <v>6</v>
      </c>
      <c r="H23" s="86"/>
      <c r="I23" s="43" t="s">
        <v>143</v>
      </c>
      <c r="J23" s="81" t="str">
        <f>IFERROR('Sales, COGS, GP'!D15/'Sales, COGS, GP'!B15,"")</f>
        <v/>
      </c>
      <c r="K23" s="189"/>
    </row>
    <row r="24" spans="1:11">
      <c r="A24" s="43" t="s">
        <v>342</v>
      </c>
      <c r="B24" s="80">
        <f>IFERROR((('Sales, COGS, GP'!D20*'Gap Analysis'!C16)+(('Sales, COGS, GP'!B21+'Sales, COGS, GP'!B23)*'Gap Analysis'!I16)+('Sales, COGS, GP'!B22*'Gap Analysis'!K16)+('Sales, COGS, GP'!B29*'Gap Analysis'!G16)+('Sales, COGS, GP'!B37*'Gap Analysis'!E16)+('Sales, COGS, GP'!B40*'Gap Analysis'!O16)+('Expenses, Miscellaneous'!E25-'Expenses, Miscellaneous'!E26))/'Sales, COGS, GP'!B41,"")</f>
        <v>0.1342742117377311</v>
      </c>
      <c r="C24" s="87"/>
      <c r="E24" s="25"/>
      <c r="F24" s="241"/>
      <c r="G24" s="242"/>
      <c r="H24" s="111"/>
      <c r="I24" s="43" t="s">
        <v>144</v>
      </c>
      <c r="J24" s="81">
        <f>IFERROR('Sales, COGS, GP'!D16/'Sales, COGS, GP'!B16,"")</f>
        <v>0.77043726672320934</v>
      </c>
      <c r="K24" s="189"/>
    </row>
    <row r="25" spans="1:11" ht="15" customHeight="1">
      <c r="A25" s="43" t="s">
        <v>343</v>
      </c>
      <c r="B25" s="80">
        <f>IFERROR((('Sales, COGS, GP'!D41-'Sales, COGS, GP'!B42)/'Sales, COGS, GP'!B41),"")</f>
        <v>0.20366918464557818</v>
      </c>
      <c r="C25" s="87"/>
      <c r="E25" s="72" t="s">
        <v>82</v>
      </c>
      <c r="F25" s="243"/>
      <c r="G25" s="244"/>
      <c r="H25" s="105"/>
      <c r="I25" s="227" t="s">
        <v>330</v>
      </c>
      <c r="J25" s="365" t="str">
        <f>IFERROR('Sales, COGS, GP'!D17/'Sales, COGS, GP'!B17,"")</f>
        <v/>
      </c>
      <c r="K25" s="366"/>
    </row>
    <row r="26" spans="1:11" ht="15" customHeight="1">
      <c r="A26" s="43" t="s">
        <v>322</v>
      </c>
      <c r="B26" s="81"/>
      <c r="C26" s="108"/>
      <c r="E26" s="43" t="s">
        <v>205</v>
      </c>
      <c r="F26" s="245">
        <f>'Expenses, Miscellaneous'!L12</f>
        <v>4</v>
      </c>
      <c r="G26" s="246"/>
      <c r="H26" s="105"/>
      <c r="I26" s="43" t="s">
        <v>146</v>
      </c>
      <c r="J26" s="81" t="str">
        <f>IFERROR('Sales, COGS, GP'!D18/'Sales, COGS, GP'!B18,"")</f>
        <v/>
      </c>
      <c r="K26" s="189"/>
    </row>
    <row r="27" spans="1:11" ht="15" customHeight="1">
      <c r="A27" s="43" t="s">
        <v>344</v>
      </c>
      <c r="B27" s="81">
        <f>IFERROR('Sales, COGS, GP'!B43/'Sales, COGS, GP'!B41,"")</f>
        <v>-1.1498182867545575E-6</v>
      </c>
      <c r="C27" s="108"/>
      <c r="E27" s="26" t="s">
        <v>209</v>
      </c>
      <c r="F27" s="247">
        <f>'Expenses, Miscellaneous'!L13</f>
        <v>22</v>
      </c>
      <c r="G27" s="246"/>
      <c r="H27" s="86"/>
      <c r="I27" s="43" t="s">
        <v>147</v>
      </c>
      <c r="J27" s="81">
        <f>IFERROR('Sales, COGS, GP'!D19/'Sales, COGS, GP'!B19,"")</f>
        <v>-1.435793205962171</v>
      </c>
      <c r="K27" s="189"/>
    </row>
    <row r="28" spans="1:11" ht="15" customHeight="1">
      <c r="A28" s="43" t="s">
        <v>345</v>
      </c>
      <c r="B28" s="81">
        <f>IFERROR('Sales, COGS, GP'!B44/'Sales, COGS, GP'!B41,"")</f>
        <v>-9.4075245444431559E-3</v>
      </c>
      <c r="C28" s="108"/>
      <c r="E28" s="43" t="s">
        <v>322</v>
      </c>
      <c r="F28" s="238"/>
      <c r="G28" s="239"/>
      <c r="H28" s="112"/>
      <c r="I28" s="208" t="s">
        <v>346</v>
      </c>
      <c r="J28" s="81">
        <f>IFERROR('Sales, COGS, GP'!D20/'Sales, COGS, GP'!B20,"")</f>
        <v>9.9598959179678759E-2</v>
      </c>
      <c r="K28" s="189"/>
    </row>
    <row r="29" spans="1:11" ht="15" customHeight="1">
      <c r="A29" s="43" t="s">
        <v>347</v>
      </c>
      <c r="B29" s="81">
        <f>IFERROR('Sales, COGS, GP'!B47/'Sales, COGS, GP'!B41,"")</f>
        <v>0.19426051028284827</v>
      </c>
      <c r="C29" s="108"/>
      <c r="E29" s="72" t="s">
        <v>348</v>
      </c>
      <c r="F29" s="77"/>
      <c r="G29" s="187"/>
      <c r="H29" s="107"/>
      <c r="I29" s="43"/>
      <c r="J29" s="77"/>
      <c r="K29" s="187"/>
    </row>
    <row r="30" spans="1:11" ht="15" customHeight="1">
      <c r="A30" s="43" t="s">
        <v>322</v>
      </c>
      <c r="B30" s="77"/>
      <c r="C30" s="108"/>
      <c r="E30" s="43" t="s">
        <v>349</v>
      </c>
      <c r="F30" s="81" t="str">
        <f>IFERROR(('Expenses, Miscellaneous'!E29+'Expenses, Miscellaneous'!E30)/'Expenses, Miscellaneous'!E31,"")</f>
        <v/>
      </c>
      <c r="G30" s="189">
        <v>0.66</v>
      </c>
      <c r="H30" s="113"/>
      <c r="I30" s="43" t="s">
        <v>350</v>
      </c>
      <c r="J30" s="86">
        <f>'Expenses, Miscellaneous'!E16</f>
        <v>5</v>
      </c>
      <c r="K30" s="194"/>
    </row>
    <row r="31" spans="1:11" ht="15" customHeight="1">
      <c r="A31" s="43" t="s">
        <v>351</v>
      </c>
      <c r="B31" s="78">
        <f>IFERROR('Sales, COGS, GP'!B9/'Expenses, Miscellaneous'!L16,"")</f>
        <v>43255.05195767196</v>
      </c>
      <c r="C31" s="86"/>
      <c r="E31" s="43" t="s">
        <v>352</v>
      </c>
      <c r="F31" s="81" t="str">
        <f>IFERROR('Expenses, Miscellaneous'!E29/('Expenses, Miscellaneous'!E29+'Expenses, Miscellaneous'!E30),"")</f>
        <v/>
      </c>
      <c r="G31" s="189">
        <v>0.5</v>
      </c>
      <c r="H31" s="114"/>
      <c r="I31" s="43" t="s">
        <v>353</v>
      </c>
      <c r="J31" s="83">
        <f>IFERROR(('Sales, COGS, GP'!B20/'Sales, COGS, GP'!B7)/'Expenses, Miscellaneous'!E16,"")</f>
        <v>80870.570666666652</v>
      </c>
      <c r="K31" s="194"/>
    </row>
    <row r="32" spans="1:11" ht="15" customHeight="1">
      <c r="A32" s="227" t="s">
        <v>354</v>
      </c>
      <c r="B32" s="349">
        <f>IFERROR('Sales, COGS, GP'!D9/'Expenses, Miscellaneous'!L16,"")</f>
        <v>14101.711005291008</v>
      </c>
      <c r="C32" s="105"/>
      <c r="E32" s="227" t="s">
        <v>355</v>
      </c>
      <c r="F32" s="250" t="str">
        <f>IFERROR('Expenses, Miscellaneous'!E29/'Expenses, Miscellaneous'!E31,"")</f>
        <v/>
      </c>
      <c r="G32" s="220">
        <v>0.33</v>
      </c>
      <c r="H32" s="114"/>
      <c r="I32" s="43" t="s">
        <v>356</v>
      </c>
      <c r="J32" s="83">
        <f>IFERROR(('Sales, COGS, GP'!D20/'Sales, COGS, GP'!B7)/'Expenses, Miscellaneous'!E16,"")</f>
        <v>8054.6246666666584</v>
      </c>
      <c r="K32" s="194"/>
    </row>
    <row r="33" spans="1:11" ht="15" customHeight="1">
      <c r="C33" s="105"/>
      <c r="E33" s="174" t="s">
        <v>357</v>
      </c>
      <c r="F33" s="224"/>
      <c r="G33" s="223"/>
      <c r="H33" s="114"/>
      <c r="I33" s="43" t="s">
        <v>322</v>
      </c>
      <c r="J33" s="77"/>
      <c r="K33" s="187"/>
    </row>
    <row r="34" spans="1:11" ht="15" customHeight="1">
      <c r="B34" s="105"/>
      <c r="C34" s="105"/>
      <c r="D34" s="70"/>
      <c r="H34" s="110"/>
      <c r="I34" s="43" t="s">
        <v>358</v>
      </c>
      <c r="J34" s="77">
        <f>IFERROR('Expenses, Miscellaneous'!E12/('Expenses, Miscellaneous'!E11+'Expenses, Miscellaneous'!E14+'Expenses, Miscellaneous'!E15), "")</f>
        <v>4</v>
      </c>
      <c r="K34" s="316">
        <v>3</v>
      </c>
    </row>
    <row r="35" spans="1:11" ht="15" customHeight="1">
      <c r="H35" s="110"/>
      <c r="I35" s="43" t="s">
        <v>359</v>
      </c>
      <c r="J35" s="77">
        <f>'Expenses, Miscellaneous'!E12</f>
        <v>4</v>
      </c>
      <c r="K35" s="187"/>
    </row>
    <row r="36" spans="1:11" ht="18" customHeight="1">
      <c r="A36" s="22"/>
      <c r="E36" s="178"/>
      <c r="F36" s="248"/>
      <c r="G36" s="248"/>
      <c r="H36" s="86"/>
      <c r="I36" s="43" t="s">
        <v>322</v>
      </c>
      <c r="J36" s="77"/>
      <c r="K36" s="187"/>
    </row>
    <row r="37" spans="1:11" ht="18" customHeight="1">
      <c r="A37" s="92"/>
      <c r="E37" s="178"/>
      <c r="F37" s="248"/>
      <c r="G37" s="248"/>
      <c r="H37" s="86"/>
      <c r="I37" s="43" t="s">
        <v>360</v>
      </c>
      <c r="J37" s="83">
        <f>IFERROR(('Sales, COGS, GP'!B20/'Sales, COGS, GP'!B7)/'Expenses, Miscellaneous'!E12,"")</f>
        <v>101088.21333333332</v>
      </c>
      <c r="K37" s="194"/>
    </row>
    <row r="38" spans="1:11" ht="18" customHeight="1">
      <c r="A38" s="19" t="s">
        <v>361</v>
      </c>
      <c r="E38" s="178"/>
      <c r="F38" s="248"/>
      <c r="G38" s="248"/>
      <c r="H38" s="86"/>
      <c r="I38" s="227" t="s">
        <v>362</v>
      </c>
      <c r="J38" s="349">
        <f>IFERROR(('Sales, COGS, GP'!D20/'Sales, COGS, GP'!B7)/'Expenses, Miscellaneous'!E12,"")</f>
        <v>10068.280833333323</v>
      </c>
      <c r="K38" s="350">
        <v>20000</v>
      </c>
    </row>
    <row r="39" spans="1:11" ht="18" customHeight="1">
      <c r="A39" s="92" t="str">
        <f>'Sales, COGS, GP'!B3</f>
        <v>Bennett Material Handling</v>
      </c>
      <c r="E39" s="178"/>
      <c r="F39" s="248"/>
      <c r="G39" s="248"/>
      <c r="H39" s="86"/>
      <c r="J39" s="105"/>
      <c r="K39" s="105"/>
    </row>
    <row r="40" spans="1:11" ht="36" customHeight="1" thickBot="1">
      <c r="A40" s="137" t="s">
        <v>60</v>
      </c>
      <c r="E40" s="137" t="s">
        <v>363</v>
      </c>
      <c r="F40" s="82"/>
      <c r="G40" s="86"/>
      <c r="H40" s="86"/>
      <c r="I40" s="137" t="s">
        <v>88</v>
      </c>
      <c r="J40" s="82"/>
      <c r="K40" s="86"/>
    </row>
    <row r="41" spans="1:11" ht="17.25" customHeight="1" thickTop="1">
      <c r="A41" s="183" t="s">
        <v>129</v>
      </c>
      <c r="B41" s="76" t="str">
        <f>B3</f>
        <v>Bennett Material Handling</v>
      </c>
      <c r="C41" s="192"/>
      <c r="E41" s="74" t="s">
        <v>129</v>
      </c>
      <c r="F41" s="76" t="str">
        <f>B3</f>
        <v>Bennett Material Handling</v>
      </c>
      <c r="G41" s="192"/>
      <c r="H41" s="176"/>
      <c r="I41" s="183" t="s">
        <v>129</v>
      </c>
      <c r="J41" s="76" t="str">
        <f>B3</f>
        <v>Bennett Material Handling</v>
      </c>
      <c r="K41" s="192"/>
    </row>
    <row r="42" spans="1:11" ht="17.25" customHeight="1">
      <c r="A42" s="362" t="s">
        <v>133</v>
      </c>
      <c r="B42" s="367">
        <f>B4</f>
        <v>3</v>
      </c>
      <c r="C42" s="364" t="s">
        <v>316</v>
      </c>
      <c r="E42" s="43" t="s">
        <v>133</v>
      </c>
      <c r="F42" s="126">
        <f>B4</f>
        <v>3</v>
      </c>
      <c r="G42" s="199" t="s">
        <v>316</v>
      </c>
      <c r="H42" s="86"/>
      <c r="I42" s="43" t="s">
        <v>133</v>
      </c>
      <c r="J42" s="126">
        <f>B4</f>
        <v>3</v>
      </c>
      <c r="K42" s="199" t="s">
        <v>316</v>
      </c>
    </row>
    <row r="43" spans="1:11" ht="15" customHeight="1">
      <c r="A43" s="43"/>
      <c r="B43" s="77"/>
      <c r="C43" s="187"/>
      <c r="E43" s="140" t="s">
        <v>364</v>
      </c>
      <c r="F43" s="128"/>
      <c r="G43" s="200"/>
      <c r="H43" s="175"/>
      <c r="I43" s="127"/>
      <c r="J43" s="128"/>
      <c r="K43" s="200"/>
    </row>
    <row r="44" spans="1:11" ht="15" customHeight="1">
      <c r="A44" s="43" t="s">
        <v>317</v>
      </c>
      <c r="B44" s="99">
        <f>IFERROR('Sales, COGS, GP'!B37/'Sales, COGS, GP'!B7,"")</f>
        <v>255678.30666666667</v>
      </c>
      <c r="C44" s="195"/>
      <c r="E44" s="43" t="s">
        <v>365</v>
      </c>
      <c r="F44" s="81">
        <f>IFERROR('Sales, COGS, GP'!B30/'Sales, COGS, GP'!B$37,"")</f>
        <v>0.2700133261207977</v>
      </c>
      <c r="G44" s="189"/>
      <c r="H44" s="86"/>
      <c r="I44" s="43" t="s">
        <v>317</v>
      </c>
      <c r="J44" s="99">
        <f>IFERROR('Sales, COGS, GP'!B29/'Sales, COGS, GP'!B7,"")</f>
        <v>318452.63666666672</v>
      </c>
      <c r="K44" s="195"/>
    </row>
    <row r="45" spans="1:11" ht="15" customHeight="1">
      <c r="A45" s="43"/>
      <c r="B45" s="77"/>
      <c r="C45" s="187"/>
      <c r="E45" s="43" t="s">
        <v>159</v>
      </c>
      <c r="F45" s="81">
        <f>IFERROR('Sales, COGS, GP'!B31/'Sales, COGS, GP'!B$37,"")</f>
        <v>0</v>
      </c>
      <c r="G45" s="189"/>
      <c r="H45" s="108"/>
      <c r="I45" s="43"/>
      <c r="J45" s="77"/>
      <c r="K45" s="187"/>
    </row>
    <row r="46" spans="1:11" ht="15" customHeight="1">
      <c r="A46" s="43" t="s">
        <v>297</v>
      </c>
      <c r="B46" s="81">
        <f>IFERROR('Sales, COGS, GP'!D37/'Sales, COGS, GP'!B37,"")</f>
        <v>0.44436471027942248</v>
      </c>
      <c r="C46" s="189">
        <f>MODELS!C4</f>
        <v>0.4</v>
      </c>
      <c r="E46" s="43" t="s">
        <v>160</v>
      </c>
      <c r="F46" s="81">
        <f>IFERROR('Sales, COGS, GP'!B32/'Sales, COGS, GP'!B$37,"")</f>
        <v>0.51633653132767399</v>
      </c>
      <c r="G46" s="189"/>
      <c r="H46" s="108"/>
      <c r="I46" s="43" t="s">
        <v>366</v>
      </c>
      <c r="J46" s="81">
        <f>IFERROR('Sales, COGS, GP'!D29/'Sales, COGS, GP'!B29,"")</f>
        <v>0.38231829786179311</v>
      </c>
      <c r="K46" s="189">
        <f>MODELS!D4</f>
        <v>0.65</v>
      </c>
    </row>
    <row r="47" spans="1:11" ht="15" customHeight="1">
      <c r="A47" s="43" t="s">
        <v>322</v>
      </c>
      <c r="B47" s="77"/>
      <c r="C47" s="187"/>
      <c r="E47" s="43" t="s">
        <v>161</v>
      </c>
      <c r="F47" s="81">
        <f>IFERROR('Sales, COGS, GP'!B33/'Sales, COGS, GP'!B$37,"")</f>
        <v>0</v>
      </c>
      <c r="G47" s="189"/>
      <c r="H47" s="108"/>
      <c r="I47" s="43" t="s">
        <v>367</v>
      </c>
      <c r="J47" s="81">
        <f>IFERROR('Expenses, Miscellaneous'!F4/'Sales, COGS, GP'!B29,"")</f>
        <v>6.1380556319463563E-3</v>
      </c>
      <c r="K47" s="189">
        <f>MODELS!D7</f>
        <v>0.2</v>
      </c>
    </row>
    <row r="48" spans="1:11" ht="15" customHeight="1">
      <c r="A48" s="72" t="s">
        <v>368</v>
      </c>
      <c r="B48" s="77"/>
      <c r="C48" s="187"/>
      <c r="E48" s="43" t="s">
        <v>162</v>
      </c>
      <c r="F48" s="81">
        <f>IFERROR('Sales, COGS, GP'!B34/'Sales, COGS, GP'!B$37,"")</f>
        <v>0.20147640735835076</v>
      </c>
      <c r="G48" s="189"/>
      <c r="H48" s="109"/>
      <c r="I48" s="43" t="s">
        <v>369</v>
      </c>
      <c r="J48" s="81">
        <f>IFERROR(('Sales, COGS, GP'!D29-'Expenses, Miscellaneous'!F4)/'Sales, COGS, GP'!B29,"")</f>
        <v>0.37618024222984675</v>
      </c>
      <c r="K48" s="189">
        <f>K46-K47</f>
        <v>0.45</v>
      </c>
    </row>
    <row r="49" spans="1:11" ht="15" customHeight="1">
      <c r="A49" s="43" t="s">
        <v>325</v>
      </c>
      <c r="B49" s="81">
        <f>IFERROR('Expenses, Miscellaneous'!E4/'Sales, COGS, GP'!B$37,"")</f>
        <v>6.708416873641162E-3</v>
      </c>
      <c r="C49" s="189">
        <f>MODELS!C7</f>
        <v>0.1</v>
      </c>
      <c r="E49" s="43" t="s">
        <v>163</v>
      </c>
      <c r="F49" s="81">
        <f>IFERROR('Sales, COGS, GP'!B35/'Sales, COGS, GP'!B$37,"")</f>
        <v>1.2173735193177385E-2</v>
      </c>
      <c r="G49" s="189"/>
      <c r="H49" s="108"/>
      <c r="I49" s="72" t="s">
        <v>322</v>
      </c>
      <c r="J49" s="89"/>
      <c r="K49" s="193"/>
    </row>
    <row r="50" spans="1:11" ht="15" customHeight="1">
      <c r="A50" s="43" t="s">
        <v>327</v>
      </c>
      <c r="B50" s="81">
        <f>IFERROR('Expenses, Miscellaneous'!E5/'Sales, COGS, GP'!B$37,"")</f>
        <v>4.8872507655844402E-2</v>
      </c>
      <c r="C50" s="189">
        <f>MODELS!C8</f>
        <v>0.03</v>
      </c>
      <c r="E50" s="227" t="s">
        <v>370</v>
      </c>
      <c r="F50" s="250">
        <f>IFERROR('Sales, COGS, GP'!B36/'Sales, COGS, GP'!B$37,"")</f>
        <v>0</v>
      </c>
      <c r="G50" s="220"/>
      <c r="H50" s="108"/>
      <c r="I50" s="43" t="s">
        <v>371</v>
      </c>
      <c r="J50" s="81"/>
      <c r="K50" s="189"/>
    </row>
    <row r="51" spans="1:11" ht="15" customHeight="1">
      <c r="A51" s="227" t="s">
        <v>329</v>
      </c>
      <c r="B51" s="365">
        <f>IFERROR('Expenses, Miscellaneous'!E6/'Sales, COGS, GP'!B$37,"")</f>
        <v>2.9964802645491031E-2</v>
      </c>
      <c r="C51" s="366">
        <f>MODELS!C9</f>
        <v>0.02</v>
      </c>
      <c r="E51" s="43" t="s">
        <v>372</v>
      </c>
      <c r="F51" s="138">
        <f>SUM(F44:F50)</f>
        <v>1</v>
      </c>
      <c r="G51" s="201"/>
      <c r="H51" s="108"/>
      <c r="I51" s="43" t="s">
        <v>327</v>
      </c>
      <c r="J51" s="81">
        <f>IFERROR('Expenses, Miscellaneous'!F5/'Sales, COGS, GP'!B29,"")</f>
        <v>4.4717230634537787E-2</v>
      </c>
      <c r="K51" s="189">
        <f>MODELS!D8</f>
        <v>0.1</v>
      </c>
    </row>
    <row r="52" spans="1:11" ht="15" customHeight="1">
      <c r="A52" s="43" t="s">
        <v>331</v>
      </c>
      <c r="B52" s="81">
        <f>IFERROR('Expenses, Miscellaneous'!E7/'Sales, COGS, GP'!B$37,"")</f>
        <v>8.5545727174976591E-2</v>
      </c>
      <c r="C52" s="189">
        <f>MODELS!C10</f>
        <v>0.15</v>
      </c>
      <c r="E52" s="43" t="s">
        <v>322</v>
      </c>
      <c r="F52" s="139"/>
      <c r="G52" s="193"/>
      <c r="H52" s="109"/>
      <c r="I52" s="43" t="s">
        <v>329</v>
      </c>
      <c r="J52" s="81">
        <f>IFERROR('Expenses, Miscellaneous'!F6/'Sales, COGS, GP'!B29,"")</f>
        <v>2.7417127890844589E-2</v>
      </c>
      <c r="K52" s="189">
        <f>MODELS!D9</f>
        <v>0.05</v>
      </c>
    </row>
    <row r="53" spans="1:11" ht="15" customHeight="1">
      <c r="A53" s="43" t="s">
        <v>322</v>
      </c>
      <c r="B53" s="84"/>
      <c r="C53" s="190"/>
      <c r="E53" s="72" t="s">
        <v>297</v>
      </c>
      <c r="F53" s="139"/>
      <c r="G53" s="351"/>
      <c r="H53" s="108"/>
      <c r="I53" s="43" t="s">
        <v>331</v>
      </c>
      <c r="J53" s="81">
        <f>IFERROR('Expenses, Miscellaneous'!F7/'Sales, COGS, GP'!B29,"")</f>
        <v>7.8272414157328732E-2</v>
      </c>
      <c r="K53" s="189">
        <f>MODELS!D10</f>
        <v>0.35000000000000003</v>
      </c>
    </row>
    <row r="54" spans="1:11" ht="15" customHeight="1">
      <c r="A54" s="43" t="s">
        <v>334</v>
      </c>
      <c r="B54" s="81">
        <f>IFERROR(('Sales, COGS, GP'!D37-'Expenses, Miscellaneous'!E7)/'Sales, COGS, GP'!B37,"")</f>
        <v>0.35881898310444588</v>
      </c>
      <c r="C54" s="189">
        <f>MODELS!C12</f>
        <v>0.25</v>
      </c>
      <c r="E54" s="25" t="s">
        <v>365</v>
      </c>
      <c r="F54" s="141">
        <f>IFERROR('Sales, COGS, GP'!D30/'Sales, COGS, GP'!B30,"")</f>
        <v>0.41779173495778676</v>
      </c>
      <c r="G54" s="201"/>
      <c r="H54" s="108"/>
      <c r="I54" s="43" t="s">
        <v>322</v>
      </c>
      <c r="J54" s="81"/>
      <c r="K54" s="189"/>
    </row>
    <row r="55" spans="1:11" ht="15" customHeight="1">
      <c r="A55" s="144" t="s">
        <v>336</v>
      </c>
      <c r="B55" s="145">
        <f>'Sales, COGS, GP'!D37-'Expenses, Miscellaneous'!E7</f>
        <v>275226.69</v>
      </c>
      <c r="C55" s="196">
        <f>C54*'Sales, COGS, GP'!B37</f>
        <v>191758.73</v>
      </c>
      <c r="E55" s="26" t="s">
        <v>159</v>
      </c>
      <c r="F55" s="81" t="str">
        <f>IFERROR('Sales, COGS, GP'!D31/'Sales, COGS, GP'!B31,"")</f>
        <v/>
      </c>
      <c r="G55" s="189"/>
      <c r="H55" s="179"/>
      <c r="I55" s="43" t="s">
        <v>334</v>
      </c>
      <c r="J55" s="81">
        <f>IFERROR(('Sales, COGS, GP'!D29-'Expenses, Miscellaneous'!F7)/'Sales, COGS, GP'!B29,"")</f>
        <v>0.30404588370446439</v>
      </c>
      <c r="K55" s="189">
        <f>MODELS!D12</f>
        <v>0.3</v>
      </c>
    </row>
    <row r="56" spans="1:11" ht="15" customHeight="1">
      <c r="A56" s="72"/>
      <c r="B56" s="77"/>
      <c r="C56" s="187"/>
      <c r="E56" s="26" t="s">
        <v>160</v>
      </c>
      <c r="F56" s="81">
        <f>IFERROR('Sales, COGS, GP'!D32/'Sales, COGS, GP'!B32,"")</f>
        <v>0.37718125939989872</v>
      </c>
      <c r="G56" s="189"/>
      <c r="H56" s="111"/>
      <c r="I56" s="144" t="s">
        <v>336</v>
      </c>
      <c r="J56" s="146">
        <f>'Sales, COGS, GP'!D29-'Expenses, Miscellaneous'!F7</f>
        <v>290472.64000000019</v>
      </c>
      <c r="K56" s="207">
        <f>K55*'Sales, COGS, GP'!B29</f>
        <v>286607.37300000002</v>
      </c>
    </row>
    <row r="57" spans="1:11" ht="15" customHeight="1">
      <c r="A57" s="72" t="s">
        <v>339</v>
      </c>
      <c r="B57" s="77"/>
      <c r="C57" s="187"/>
      <c r="E57" s="26" t="s">
        <v>161</v>
      </c>
      <c r="F57" s="81" t="str">
        <f>IFERROR('Sales, COGS, GP'!D33/'Sales, COGS, GP'!B33,"")</f>
        <v/>
      </c>
      <c r="G57" s="189"/>
      <c r="H57" s="175"/>
      <c r="I57" s="43" t="s">
        <v>322</v>
      </c>
      <c r="J57" s="83"/>
      <c r="K57" s="194"/>
    </row>
    <row r="58" spans="1:11" ht="15" customHeight="1">
      <c r="A58" s="43" t="s">
        <v>373</v>
      </c>
      <c r="B58" s="148">
        <f>IFERROR((('Sales, COGS, GP'!D37/Number_of_Months_Included)*12)/'Balance Sheet'!B16, "")</f>
        <v>1.6439869390042721</v>
      </c>
      <c r="C58" s="198">
        <v>5</v>
      </c>
      <c r="E58" s="26" t="s">
        <v>162</v>
      </c>
      <c r="F58" s="81">
        <f>IFERROR('Sales, COGS, GP'!D34/'Sales, COGS, GP'!B34,"")</f>
        <v>0.67899657200776709</v>
      </c>
      <c r="G58" s="189"/>
      <c r="H58" s="175"/>
      <c r="I58" s="43" t="s">
        <v>374</v>
      </c>
      <c r="J58" s="99">
        <f>IFERROR('Sales, COGS, GP'!B29/'Sales, COGS, GP'!B7/'Expenses, Miscellaneous'!G16,"")</f>
        <v>14811.750542635662</v>
      </c>
      <c r="K58" s="195"/>
    </row>
    <row r="59" spans="1:11" ht="15" customHeight="1">
      <c r="A59" s="72"/>
      <c r="B59" s="77"/>
      <c r="C59" s="187"/>
      <c r="E59" s="26" t="s">
        <v>163</v>
      </c>
      <c r="F59" s="81">
        <f>IFERROR('Sales, COGS, GP'!D35/'Sales, COGS, GP'!B35,"")</f>
        <v>9.2099964873564104E-5</v>
      </c>
      <c r="G59" s="189"/>
      <c r="H59" s="175"/>
      <c r="I59" s="43" t="s">
        <v>375</v>
      </c>
      <c r="J59" s="99">
        <f>IFERROR('Sales, COGS, GP'!D29/'Sales, COGS, GP'!B7/'Expenses, Miscellaneous'!G16,"")</f>
        <v>5662.8032558139566</v>
      </c>
      <c r="K59" s="195"/>
    </row>
    <row r="60" spans="1:11" ht="15" customHeight="1">
      <c r="A60" s="43" t="s">
        <v>376</v>
      </c>
      <c r="B60" s="84">
        <f>IFERROR(B46*B58, "")</f>
        <v>0.73052977985378797</v>
      </c>
      <c r="C60" s="197">
        <v>2</v>
      </c>
      <c r="E60" s="170" t="s">
        <v>370</v>
      </c>
      <c r="F60" s="250" t="str">
        <f>IFERROR('Sales, COGS, GP'!D36/'Sales, COGS, GP'!B36,"")</f>
        <v/>
      </c>
      <c r="G60" s="220"/>
      <c r="H60" s="175"/>
      <c r="I60" s="43" t="s">
        <v>377</v>
      </c>
      <c r="J60" s="99">
        <f>IFERROR((('Sales, COGS, GP'!B24+'Sales, COGS, GP'!B25+'Sales, COGS, GP'!B26)/'Sales, COGS, GP'!B7)/'Expenses, Miscellaneous'!G13,"")</f>
        <v>15046.843500000003</v>
      </c>
      <c r="K60" s="195">
        <v>20000</v>
      </c>
    </row>
    <row r="61" spans="1:11" ht="15" customHeight="1">
      <c r="A61" s="72"/>
      <c r="B61" s="77"/>
      <c r="C61" s="187"/>
      <c r="E61" s="26" t="s">
        <v>185</v>
      </c>
      <c r="F61" s="141">
        <f>IFERROR('Sales, COGS, GP'!D37/'Sales, COGS, GP'!B37,"")</f>
        <v>0.44436471027942248</v>
      </c>
      <c r="G61" s="201">
        <f>MODELS!C4</f>
        <v>0.4</v>
      </c>
      <c r="H61" s="175"/>
      <c r="I61" s="43" t="s">
        <v>378</v>
      </c>
      <c r="J61" s="99">
        <f>IFERROR((('Sales, COGS, GP'!D24+'Sales, COGS, GP'!D25+'Sales, COGS, GP'!D26)/'Sales, COGS, GP'!B7)/'Expenses, Miscellaneous'!G13,"")</f>
        <v>5900.8358333333363</v>
      </c>
      <c r="K61" s="195">
        <v>13000</v>
      </c>
    </row>
    <row r="62" spans="1:11" ht="15" customHeight="1">
      <c r="A62" s="26" t="s">
        <v>211</v>
      </c>
      <c r="B62" s="81">
        <f>'Expenses, Miscellaneous'!E24</f>
        <v>0</v>
      </c>
      <c r="C62" s="197">
        <v>0.05</v>
      </c>
      <c r="E62" s="26" t="s">
        <v>322</v>
      </c>
      <c r="F62" s="77"/>
      <c r="G62" s="187"/>
      <c r="H62" s="115"/>
      <c r="I62" s="43" t="s">
        <v>322</v>
      </c>
      <c r="J62" s="90"/>
      <c r="K62" s="202"/>
    </row>
    <row r="63" spans="1:11" ht="15" customHeight="1">
      <c r="A63" s="43" t="s">
        <v>322</v>
      </c>
      <c r="B63" s="85"/>
      <c r="C63" s="191"/>
      <c r="E63" s="26" t="s">
        <v>379</v>
      </c>
      <c r="F63" s="77">
        <f>'Expenses, Miscellaneous'!F16</f>
        <v>2.5</v>
      </c>
      <c r="G63" s="187"/>
      <c r="H63" s="115"/>
      <c r="I63" s="43" t="s">
        <v>380</v>
      </c>
      <c r="J63" s="90">
        <f>'Expenses, Miscellaneous'!G16</f>
        <v>21.5</v>
      </c>
      <c r="K63" s="202"/>
    </row>
    <row r="64" spans="1:11" ht="15" customHeight="1">
      <c r="A64" s="227" t="s">
        <v>381</v>
      </c>
      <c r="B64" s="250">
        <f>IFERROR('Expenses, Miscellaneous'!E25/'Expenses, Miscellaneous'!E26, "")</f>
        <v>1.0952447002982588</v>
      </c>
      <c r="C64" s="197">
        <v>1</v>
      </c>
      <c r="E64" s="26" t="s">
        <v>382</v>
      </c>
      <c r="F64" s="98">
        <f>IFERROR(('Sales, COGS, GP'!B37/Number_of_Months_Included)/'Expenses, Miscellaneous'!F16,"")</f>
        <v>102271.32266666667</v>
      </c>
      <c r="G64" s="188">
        <v>60000</v>
      </c>
      <c r="H64" s="115"/>
      <c r="I64" s="43" t="s">
        <v>383</v>
      </c>
      <c r="J64" s="90">
        <f>'Expenses, Miscellaneous'!G13</f>
        <v>20</v>
      </c>
      <c r="K64" s="202"/>
    </row>
    <row r="65" spans="1:11" ht="15" customHeight="1">
      <c r="A65" s="174" t="s">
        <v>357</v>
      </c>
      <c r="B65" s="224"/>
      <c r="C65" s="223"/>
      <c r="E65" s="43" t="s">
        <v>384</v>
      </c>
      <c r="F65" s="205">
        <f>IFERROR(('Sales, COGS, GP'!D37/Number_of_Months_Included)/'Expenses, Miscellaneous'!F16,"")</f>
        <v>45445.76666666667</v>
      </c>
      <c r="G65" s="206">
        <f>G64*G61</f>
        <v>24000</v>
      </c>
      <c r="H65" s="115"/>
      <c r="I65" s="43" t="s">
        <v>385</v>
      </c>
      <c r="J65" s="131">
        <f>IFERROR(J64/(J63-J64),"")</f>
        <v>13.333333333333334</v>
      </c>
      <c r="K65" s="203">
        <v>5</v>
      </c>
    </row>
    <row r="66" spans="1:11" ht="15" customHeight="1">
      <c r="E66" s="227" t="s">
        <v>386</v>
      </c>
      <c r="F66" s="352">
        <f>IFERROR((('Sales, COGS, GP'!B37-('Sales, COGS, GP'!B30+'Sales, COGS, GP'!B31))/Number_of_Months_Included)/'Expenses, Miscellaneous'!G13, "")</f>
        <v>9332.0878333333349</v>
      </c>
      <c r="G66" s="368"/>
      <c r="H66" s="116"/>
      <c r="I66" s="43" t="s">
        <v>387</v>
      </c>
      <c r="J66" s="210">
        <f>IFERROR(('Expenses, Miscellaneous'!F13+'Expenses, Miscellaneous'!G13+'Expenses, Miscellaneous'!H13+'Expenses, Miscellaneous'!I13)/'Expenses, Miscellaneous'!L16, "")</f>
        <v>0.69841269841269837</v>
      </c>
      <c r="K66" s="211">
        <v>0.5</v>
      </c>
    </row>
    <row r="67" spans="1:11" ht="15" customHeight="1">
      <c r="H67" s="116"/>
      <c r="I67" s="43"/>
      <c r="J67" s="210"/>
      <c r="K67" s="211"/>
    </row>
    <row r="68" spans="1:11" ht="15" customHeight="1">
      <c r="H68" s="116"/>
      <c r="I68" s="43" t="s">
        <v>388</v>
      </c>
      <c r="J68" s="214">
        <f>'Expenses, Miscellaneous'!I23</f>
        <v>0</v>
      </c>
      <c r="K68" s="211"/>
    </row>
    <row r="69" spans="1:11" ht="15" customHeight="1">
      <c r="H69" s="116"/>
      <c r="I69" s="43" t="s">
        <v>389</v>
      </c>
      <c r="J69" s="210" t="str">
        <f>IFERROR(('Sales, COGS, GP'!B24+'Sales, COGS, GP'!B25+'Sales, COGS, GP'!B26)/'Expenses, Miscellaneous'!I25, "")</f>
        <v/>
      </c>
      <c r="K69" s="211"/>
    </row>
    <row r="70" spans="1:11" ht="15" customHeight="1">
      <c r="H70" s="116"/>
      <c r="I70" s="43"/>
      <c r="J70" s="210"/>
      <c r="K70" s="211"/>
    </row>
    <row r="71" spans="1:11" ht="15" customHeight="1">
      <c r="H71" s="116"/>
      <c r="I71" s="43" t="s">
        <v>390</v>
      </c>
      <c r="J71" s="214">
        <f>'Expenses, Miscellaneous'!I24</f>
        <v>0</v>
      </c>
      <c r="K71" s="211"/>
    </row>
    <row r="72" spans="1:11" ht="15" customHeight="1">
      <c r="H72" s="116"/>
      <c r="I72" s="43" t="s">
        <v>389</v>
      </c>
      <c r="J72" s="210" t="str">
        <f>IFERROR(('Sales, COGS, GP'!C24+'Sales, COGS, GP'!C25+'Sales, COGS, GP'!C26)/'Expenses, Miscellaneous'!I28, "")</f>
        <v/>
      </c>
      <c r="K72" s="211"/>
    </row>
    <row r="73" spans="1:11" ht="15" customHeight="1">
      <c r="H73" s="116"/>
      <c r="I73" s="43" t="s">
        <v>322</v>
      </c>
      <c r="J73" s="91"/>
      <c r="K73" s="204"/>
    </row>
    <row r="74" spans="1:11" ht="15" customHeight="1">
      <c r="H74" s="116"/>
      <c r="I74" s="43" t="s">
        <v>391</v>
      </c>
      <c r="J74" s="213" t="str">
        <f>IFERROR(J68/J71, "")</f>
        <v/>
      </c>
      <c r="K74" s="212">
        <v>3.5</v>
      </c>
    </row>
    <row r="75" spans="1:11" ht="15" customHeight="1">
      <c r="H75" s="116"/>
      <c r="I75" s="227" t="s">
        <v>392</v>
      </c>
      <c r="J75" s="353" t="str">
        <f>IFERROR(J69/J72, "")</f>
        <v/>
      </c>
      <c r="K75" s="354">
        <v>3.5</v>
      </c>
    </row>
    <row r="76" spans="1:11" ht="15" customHeight="1">
      <c r="H76" s="116"/>
      <c r="I76" s="174" t="s">
        <v>357</v>
      </c>
      <c r="J76" s="224"/>
      <c r="K76" s="223"/>
    </row>
    <row r="77" spans="1:11" ht="15" customHeight="1">
      <c r="H77" s="116"/>
      <c r="J77" s="116"/>
      <c r="K77" s="209"/>
    </row>
    <row r="78" spans="1:11" ht="36" customHeight="1" thickBot="1">
      <c r="A78" s="137" t="s">
        <v>393</v>
      </c>
      <c r="B78" s="82"/>
      <c r="C78" s="22"/>
      <c r="D78" s="22"/>
      <c r="E78" s="142" t="s">
        <v>394</v>
      </c>
      <c r="F78" s="82"/>
      <c r="G78" s="82"/>
      <c r="H78" s="19"/>
      <c r="I78" s="137" t="s">
        <v>395</v>
      </c>
      <c r="J78" s="82"/>
      <c r="K78" s="22"/>
    </row>
    <row r="79" spans="1:11" ht="17.25" customHeight="1" thickTop="1">
      <c r="A79" s="183" t="s">
        <v>129</v>
      </c>
      <c r="B79" s="76" t="str">
        <f>F3</f>
        <v>Bennett Material Handling</v>
      </c>
      <c r="C79" s="192"/>
      <c r="D79" s="22"/>
      <c r="E79" s="74" t="s">
        <v>129</v>
      </c>
      <c r="F79" s="143" t="str">
        <f>B3</f>
        <v>Bennett Material Handling</v>
      </c>
      <c r="G79" s="216"/>
      <c r="H79" s="19"/>
      <c r="I79" s="183" t="s">
        <v>129</v>
      </c>
      <c r="J79" s="76" t="str">
        <f>F3</f>
        <v>Bennett Material Handling</v>
      </c>
      <c r="K79" s="192"/>
    </row>
    <row r="80" spans="1:11" ht="17.25" customHeight="1">
      <c r="A80" s="362" t="s">
        <v>133</v>
      </c>
      <c r="B80" s="367">
        <f>F4</f>
        <v>3</v>
      </c>
      <c r="C80" s="364" t="s">
        <v>316</v>
      </c>
      <c r="D80" s="22"/>
      <c r="E80" s="227" t="s">
        <v>133</v>
      </c>
      <c r="F80" s="355">
        <f>$B$4</f>
        <v>3</v>
      </c>
      <c r="G80" s="356" t="s">
        <v>316</v>
      </c>
      <c r="H80" s="19"/>
      <c r="I80" s="362" t="s">
        <v>133</v>
      </c>
      <c r="J80" s="367">
        <f>F4</f>
        <v>3</v>
      </c>
      <c r="K80" s="364" t="s">
        <v>316</v>
      </c>
    </row>
    <row r="81" spans="1:11" ht="15" customHeight="1">
      <c r="A81" s="73" t="s">
        <v>322</v>
      </c>
      <c r="B81" s="88"/>
      <c r="C81" s="215"/>
      <c r="D81" s="22"/>
      <c r="E81" s="181"/>
      <c r="F81" s="80"/>
      <c r="G81" s="189"/>
      <c r="H81" s="19"/>
      <c r="I81" s="43"/>
      <c r="J81" s="80"/>
      <c r="K81" s="189"/>
    </row>
    <row r="82" spans="1:11" ht="15" customHeight="1">
      <c r="A82" s="72" t="s">
        <v>288</v>
      </c>
      <c r="B82" s="77"/>
      <c r="C82" s="187"/>
      <c r="D82" s="22"/>
      <c r="E82" s="43" t="s">
        <v>396</v>
      </c>
      <c r="F82" s="117">
        <f>IFERROR(('Sales, COGS, GP'!B21+'Sales, COGS, GP'!B23)/'Sales, COGS, GP'!B7,"")</f>
        <v>374943.45333333331</v>
      </c>
      <c r="G82" s="206"/>
      <c r="H82" s="19"/>
      <c r="I82" s="182" t="s">
        <v>317</v>
      </c>
      <c r="J82" s="117">
        <f>IFERROR('Sales, COGS, GP'!B22/'Sales, COGS, GP'!B7,"")</f>
        <v>0</v>
      </c>
      <c r="K82" s="206"/>
    </row>
    <row r="83" spans="1:11" ht="15" customHeight="1">
      <c r="A83" s="43" t="s">
        <v>152</v>
      </c>
      <c r="B83" s="81">
        <f>IFERROR('Sales, COGS, GP'!B24/'Sales, COGS, GP'!B$29,"")</f>
        <v>0.75738025762512395</v>
      </c>
      <c r="C83" s="189"/>
      <c r="D83" s="22"/>
      <c r="E83" s="43"/>
      <c r="F83" s="80"/>
      <c r="G83" s="189"/>
      <c r="H83" s="19"/>
      <c r="I83" s="180"/>
      <c r="J83" s="80"/>
      <c r="K83" s="189"/>
    </row>
    <row r="84" spans="1:11" ht="15" customHeight="1">
      <c r="A84" s="43" t="s">
        <v>153</v>
      </c>
      <c r="B84" s="81">
        <f>IFERROR('Sales, COGS, GP'!B25/'Sales, COGS, GP'!B$29,"")</f>
        <v>0.18502635310781065</v>
      </c>
      <c r="C84" s="189"/>
      <c r="D84" s="22"/>
      <c r="E84" s="72" t="s">
        <v>397</v>
      </c>
      <c r="F84" s="80"/>
      <c r="G84" s="189"/>
      <c r="H84" s="19"/>
      <c r="I84" s="71" t="s">
        <v>398</v>
      </c>
      <c r="J84" s="80"/>
      <c r="K84" s="189"/>
    </row>
    <row r="85" spans="1:11" ht="15" customHeight="1">
      <c r="A85" s="43" t="s">
        <v>154</v>
      </c>
      <c r="B85" s="81">
        <f>IFERROR('Sales, COGS, GP'!B26/'Sales, COGS, GP'!B$29,"")</f>
        <v>2.5906521253380313E-3</v>
      </c>
      <c r="C85" s="189"/>
      <c r="D85" s="22"/>
      <c r="E85" s="182" t="s">
        <v>231</v>
      </c>
      <c r="F85" s="80">
        <f>IFERROR('Expenses, Miscellaneous'!F34/'Sales, COGS, GP'!B$21,"")</f>
        <v>0.42471655903740013</v>
      </c>
      <c r="G85" s="189">
        <v>0.3</v>
      </c>
      <c r="H85" s="19"/>
      <c r="I85" s="180" t="s">
        <v>231</v>
      </c>
      <c r="J85" s="80" t="str">
        <f>IFERROR('Expenses, Miscellaneous'!I34/'Sales, COGS, GP'!B$22,"")</f>
        <v/>
      </c>
      <c r="K85" s="189">
        <v>0.5</v>
      </c>
    </row>
    <row r="86" spans="1:11" ht="15" customHeight="1">
      <c r="A86" s="43" t="s">
        <v>155</v>
      </c>
      <c r="B86" s="81">
        <f>IFERROR('Sales, COGS, GP'!B27/'Sales, COGS, GP'!B$29,"")</f>
        <v>5.5002737141727327E-2</v>
      </c>
      <c r="C86" s="189"/>
      <c r="D86" s="22"/>
      <c r="E86" s="180" t="s">
        <v>234</v>
      </c>
      <c r="F86" s="80">
        <f>IFERROR('Expenses, Miscellaneous'!F35/'Sales, COGS, GP'!B$21,"")</f>
        <v>5.5247415263578063E-2</v>
      </c>
      <c r="G86" s="189">
        <v>0.1</v>
      </c>
      <c r="H86" s="19"/>
      <c r="I86" s="180" t="s">
        <v>234</v>
      </c>
      <c r="J86" s="80" t="str">
        <f>IFERROR('Expenses, Miscellaneous'!I35/'Sales, COGS, GP'!B$22,"")</f>
        <v/>
      </c>
      <c r="K86" s="189">
        <v>0.15</v>
      </c>
    </row>
    <row r="87" spans="1:11" ht="15" customHeight="1">
      <c r="A87" s="227" t="s">
        <v>156</v>
      </c>
      <c r="B87" s="365">
        <f>IFERROR('Sales, COGS, GP'!B28/'Sales, COGS, GP'!B$29,"")</f>
        <v>0</v>
      </c>
      <c r="C87" s="366"/>
      <c r="D87" s="22"/>
      <c r="E87" s="357" t="s">
        <v>230</v>
      </c>
      <c r="F87" s="233">
        <f>IFERROR('Expenses, Miscellaneous'!F36/'Sales, COGS, GP'!B$21,"")</f>
        <v>2.1291210525292013E-2</v>
      </c>
      <c r="G87" s="220">
        <v>0.15</v>
      </c>
      <c r="H87" s="19"/>
      <c r="I87" s="357" t="s">
        <v>230</v>
      </c>
      <c r="J87" s="233" t="str">
        <f>IFERROR('Expenses, Miscellaneous'!I36/'Sales, COGS, GP'!B$22,"")</f>
        <v/>
      </c>
      <c r="K87" s="220">
        <v>0.15</v>
      </c>
    </row>
    <row r="88" spans="1:11" ht="15" customHeight="1">
      <c r="A88" s="43" t="s">
        <v>399</v>
      </c>
      <c r="B88" s="89">
        <f>IFERROR('Sales, COGS, GP'!B29/'Sales, COGS, GP'!B$29,"")</f>
        <v>1</v>
      </c>
      <c r="C88" s="193"/>
      <c r="D88" s="22"/>
      <c r="E88" s="71" t="s">
        <v>400</v>
      </c>
      <c r="F88" s="80">
        <f>IFERROR('Sales, COGS, GP'!D21/'Sales, COGS, GP'!B21,"")</f>
        <v>0.49874481517372987</v>
      </c>
      <c r="G88" s="189">
        <f>MODELS!E4</f>
        <v>0.45</v>
      </c>
      <c r="H88" s="19"/>
      <c r="I88" s="71" t="s">
        <v>401</v>
      </c>
      <c r="J88" s="80" t="str">
        <f>IFERROR('Sales, COGS, GP'!D22/'Sales, COGS, GP'!B22,"")</f>
        <v/>
      </c>
      <c r="K88" s="189">
        <f>MODELS!F4</f>
        <v>0.2</v>
      </c>
    </row>
    <row r="89" spans="1:11" ht="15" customHeight="1">
      <c r="A89" s="43" t="s">
        <v>322</v>
      </c>
      <c r="B89" s="81"/>
      <c r="C89" s="189"/>
      <c r="D89" s="22"/>
      <c r="E89" s="71"/>
      <c r="F89" s="80"/>
      <c r="G89" s="189"/>
      <c r="H89" s="19"/>
      <c r="I89" s="180" t="s">
        <v>322</v>
      </c>
      <c r="J89" s="80"/>
      <c r="K89" s="189"/>
    </row>
    <row r="90" spans="1:11" ht="15" customHeight="1">
      <c r="A90" s="72" t="s">
        <v>297</v>
      </c>
      <c r="B90" s="81"/>
      <c r="C90" s="189"/>
      <c r="D90" s="22"/>
      <c r="E90" s="71" t="s">
        <v>402</v>
      </c>
      <c r="F90" s="80" t="str">
        <f>IFERROR('Sales, COGS, GP'!D23/'Sales, COGS, GP'!B23, "")</f>
        <v/>
      </c>
      <c r="G90" s="189"/>
      <c r="H90" s="19"/>
      <c r="I90" s="71" t="s">
        <v>371</v>
      </c>
      <c r="J90" s="80"/>
      <c r="K90" s="189"/>
    </row>
    <row r="91" spans="1:11" ht="15" customHeight="1">
      <c r="A91" s="43" t="s">
        <v>152</v>
      </c>
      <c r="B91" s="81">
        <f>IFERROR('Sales, COGS, GP'!D24/'Sales, COGS, GP'!B24,"")</f>
        <v>0.47327763610508483</v>
      </c>
      <c r="C91" s="189"/>
      <c r="D91" s="22"/>
      <c r="E91" s="71" t="s">
        <v>403</v>
      </c>
      <c r="F91" s="80">
        <f>IFERROR(('Sales, COGS, GP'!D21+'Sales, COGS, GP'!D23)/('Sales, COGS, GP'!B21+'Sales, COGS, GP'!B23),"")</f>
        <v>0.44899331308945112</v>
      </c>
      <c r="G91" s="189">
        <f>MODELS!E4</f>
        <v>0.45</v>
      </c>
      <c r="H91" s="19"/>
      <c r="I91" s="180" t="s">
        <v>404</v>
      </c>
      <c r="J91" s="80" t="str">
        <f>IFERROR(('Expenses, Miscellaneous'!H4/'Sales, COGS, GP'!B$22),"")</f>
        <v/>
      </c>
      <c r="K91" s="189">
        <f>MODELS!F7</f>
        <v>7.0000000000000007E-2</v>
      </c>
    </row>
    <row r="92" spans="1:11" ht="15" customHeight="1">
      <c r="A92" s="43" t="s">
        <v>153</v>
      </c>
      <c r="B92" s="81">
        <f>IFERROR('Sales, COGS, GP'!D25/'Sales, COGS, GP'!B25,"")</f>
        <v>8.251789268310572E-2</v>
      </c>
      <c r="C92" s="189"/>
      <c r="D92" s="22"/>
      <c r="E92" s="180" t="s">
        <v>322</v>
      </c>
      <c r="F92" s="80"/>
      <c r="G92" s="189"/>
      <c r="H92" s="19"/>
      <c r="I92" s="180" t="s">
        <v>187</v>
      </c>
      <c r="J92" s="80" t="str">
        <f>IFERROR(('Expenses, Miscellaneous'!H5/'Sales, COGS, GP'!B$22),"")</f>
        <v/>
      </c>
      <c r="K92" s="189">
        <f>MODELS!F8</f>
        <v>0.02</v>
      </c>
    </row>
    <row r="93" spans="1:11" ht="15" customHeight="1">
      <c r="A93" s="43" t="s">
        <v>154</v>
      </c>
      <c r="B93" s="81">
        <f>IFERROR('Sales, COGS, GP'!D26/'Sales, COGS, GP'!B26,"")</f>
        <v>-1.206210101010101</v>
      </c>
      <c r="C93" s="189"/>
      <c r="D93" s="22"/>
      <c r="E93" s="71" t="s">
        <v>405</v>
      </c>
      <c r="F93" s="80"/>
      <c r="G93" s="189"/>
      <c r="H93" s="19"/>
      <c r="I93" s="357" t="s">
        <v>188</v>
      </c>
      <c r="J93" s="233" t="str">
        <f>IFERROR(('Expenses, Miscellaneous'!H6/'Sales, COGS, GP'!B$22),"")</f>
        <v/>
      </c>
      <c r="K93" s="220">
        <f>MODELS!F9</f>
        <v>0.01</v>
      </c>
    </row>
    <row r="94" spans="1:11" ht="15" customHeight="1">
      <c r="A94" s="43" t="s">
        <v>155</v>
      </c>
      <c r="B94" s="81">
        <f>IFERROR('Sales, COGS, GP'!D27/'Sales, COGS, GP'!B27,"")</f>
        <v>0.21315386328127237</v>
      </c>
      <c r="C94" s="189"/>
      <c r="D94" s="22"/>
      <c r="E94" s="180" t="s">
        <v>404</v>
      </c>
      <c r="F94" s="80">
        <f>IFERROR(('Expenses, Miscellaneous'!G4/('Sales, COGS, GP'!B$21+'Sales, COGS, GP'!B23)),"")</f>
        <v>7.2148212642482385E-3</v>
      </c>
      <c r="G94" s="189">
        <f>MODELS!E7</f>
        <v>0.1</v>
      </c>
      <c r="H94" s="19"/>
      <c r="I94" s="184" t="s">
        <v>302</v>
      </c>
      <c r="J94" s="80" t="str">
        <f>IFERROR(('Expenses, Miscellaneous'!H7/'Sales, COGS, GP'!B$22),"")</f>
        <v/>
      </c>
      <c r="K94" s="189">
        <f>MODELS!F10</f>
        <v>0.1</v>
      </c>
    </row>
    <row r="95" spans="1:11" ht="15" customHeight="1">
      <c r="A95" s="227" t="s">
        <v>156</v>
      </c>
      <c r="B95" s="365" t="str">
        <f>IFERROR('Sales, COGS, GP'!D28/'Sales, COGS, GP'!B28,"")</f>
        <v/>
      </c>
      <c r="C95" s="366"/>
      <c r="D95" s="22"/>
      <c r="E95" s="180" t="s">
        <v>187</v>
      </c>
      <c r="F95" s="80">
        <f>IFERROR(('Expenses, Miscellaneous'!G5/('Sales, COGS, GP'!B$21+'Sales, COGS, GP'!B23)),"")</f>
        <v>5.2561783627532964E-2</v>
      </c>
      <c r="G95" s="189">
        <f>MODELS!E8</f>
        <v>0.03</v>
      </c>
      <c r="H95" s="19"/>
      <c r="I95" s="180" t="s">
        <v>322</v>
      </c>
      <c r="J95" s="80"/>
      <c r="K95" s="189"/>
    </row>
    <row r="96" spans="1:11" ht="15" customHeight="1">
      <c r="A96" s="43" t="s">
        <v>406</v>
      </c>
      <c r="B96" s="81">
        <f>IFERROR('Sales, COGS, GP'!D29/'Sales, COGS, GP'!B29,"")</f>
        <v>0.38231829786179311</v>
      </c>
      <c r="C96" s="189">
        <f>MODELS!D4</f>
        <v>0.65</v>
      </c>
      <c r="D96" s="22"/>
      <c r="E96" s="357" t="s">
        <v>188</v>
      </c>
      <c r="F96" s="233">
        <f>IFERROR(('Expenses, Miscellaneous'!G6/('Sales, COGS, GP'!B$21+'Sales, COGS, GP'!B23)),"")</f>
        <v>3.2226788402119587E-2</v>
      </c>
      <c r="G96" s="220">
        <f>MODELS!E9</f>
        <v>0.02</v>
      </c>
      <c r="H96" s="19"/>
      <c r="I96" s="180" t="s">
        <v>407</v>
      </c>
      <c r="J96" s="177" t="str">
        <f>IFERROR((('Sales, COGS, GP'!D22-'Expenses, Miscellaneous'!H7)/'Sales, COGS, GP'!B22),"")</f>
        <v/>
      </c>
      <c r="K96" s="189">
        <f>MODELS!F12</f>
        <v>0.1</v>
      </c>
    </row>
    <row r="97" spans="1:11" ht="15" customHeight="1">
      <c r="A97" s="43"/>
      <c r="B97" s="81"/>
      <c r="C97" s="189"/>
      <c r="D97" s="22"/>
      <c r="E97" s="180" t="s">
        <v>302</v>
      </c>
      <c r="F97" s="80">
        <f>IFERROR(('Expenses, Miscellaneous'!G7/('Sales, COGS, GP'!B$21+'Sales, COGS, GP'!B23)),"")</f>
        <v>9.2003393293900795E-2</v>
      </c>
      <c r="G97" s="189">
        <f>MODELS!E10</f>
        <v>0.15</v>
      </c>
      <c r="H97" s="19"/>
      <c r="I97" s="180" t="s">
        <v>322</v>
      </c>
      <c r="J97" s="177"/>
      <c r="K97" s="189"/>
    </row>
    <row r="98" spans="1:11" ht="15" customHeight="1">
      <c r="A98" s="43" t="s">
        <v>222</v>
      </c>
      <c r="B98" s="81">
        <f>'Expenses, Miscellaneous'!M28</f>
        <v>0</v>
      </c>
      <c r="C98" s="189"/>
      <c r="D98" s="22"/>
      <c r="E98" s="180" t="s">
        <v>322</v>
      </c>
      <c r="F98" s="80"/>
      <c r="G98" s="189"/>
      <c r="H98" s="19"/>
      <c r="I98" s="180" t="s">
        <v>408</v>
      </c>
      <c r="J98" s="80" t="str">
        <f>IFERROR(('Sales, COGS, GP'!B22/'Sales, COGS, GP'!B7)/'Expenses, Miscellaneous'!I39,"")</f>
        <v/>
      </c>
      <c r="K98" s="189">
        <v>0.05</v>
      </c>
    </row>
    <row r="99" spans="1:11" ht="15" customHeight="1">
      <c r="A99" s="43" t="s">
        <v>224</v>
      </c>
      <c r="B99" s="81">
        <f>'Expenses, Miscellaneous'!M29</f>
        <v>0</v>
      </c>
      <c r="C99" s="189"/>
      <c r="D99" s="22"/>
      <c r="E99" s="180" t="s">
        <v>407</v>
      </c>
      <c r="F99" s="80">
        <f>IFERROR((('Sales, COGS, GP'!D21-'Expenses, Miscellaneous'!G7)/'Sales, COGS, GP'!B21),"")</f>
        <v>0.40674142187982903</v>
      </c>
      <c r="G99" s="189">
        <f>MODELS!E12</f>
        <v>0.30000000000000004</v>
      </c>
      <c r="H99" s="19"/>
      <c r="I99" s="180" t="s">
        <v>322</v>
      </c>
      <c r="J99" s="80"/>
      <c r="K99" s="189"/>
    </row>
    <row r="100" spans="1:11" ht="15" customHeight="1">
      <c r="A100" s="43" t="s">
        <v>226</v>
      </c>
      <c r="B100" s="232">
        <f>'Expenses, Miscellaneous'!M30</f>
        <v>0</v>
      </c>
      <c r="C100" s="189"/>
      <c r="D100" s="22"/>
      <c r="E100" s="180"/>
      <c r="F100" s="80"/>
      <c r="G100" s="189"/>
      <c r="H100" s="19"/>
      <c r="I100" s="357" t="s">
        <v>409</v>
      </c>
      <c r="J100" s="358">
        <f>'Expenses, Miscellaneous'!I38</f>
        <v>0</v>
      </c>
      <c r="K100" s="221"/>
    </row>
    <row r="101" spans="1:11">
      <c r="A101" s="43" t="s">
        <v>322</v>
      </c>
      <c r="B101" s="84"/>
      <c r="C101" s="190"/>
      <c r="D101" s="22"/>
      <c r="E101" s="180" t="s">
        <v>410</v>
      </c>
      <c r="F101" s="80">
        <f>IFERROR((('Sales, COGS, GP'!B21/Number_of_Months_Included)*12)/'Expenses, Miscellaneous'!F38, "")</f>
        <v>10225.730545454544</v>
      </c>
      <c r="G101" s="189"/>
      <c r="H101" s="19"/>
    </row>
    <row r="102" spans="1:11">
      <c r="A102" s="72" t="s">
        <v>411</v>
      </c>
      <c r="B102" s="84"/>
      <c r="C102" s="190"/>
      <c r="D102" s="22"/>
      <c r="E102" s="180" t="s">
        <v>412</v>
      </c>
      <c r="F102" s="80">
        <f>IFERROR(('Balance Sheet'!E10+'Balance Sheet'!E17)/'Balance Sheet'!B27, "")</f>
        <v>0</v>
      </c>
      <c r="G102" s="189"/>
      <c r="H102" s="1"/>
    </row>
    <row r="103" spans="1:11">
      <c r="A103" s="43" t="s">
        <v>413</v>
      </c>
      <c r="B103" s="81" t="str">
        <f>IFERROR('Expenses, Miscellaneous'!I26/'Expenses, Miscellaneous'!I28,"")</f>
        <v/>
      </c>
      <c r="C103" s="189">
        <v>0.85</v>
      </c>
      <c r="D103" s="22"/>
      <c r="E103" s="180"/>
      <c r="F103" s="80"/>
      <c r="G103" s="189"/>
      <c r="H103" s="19"/>
    </row>
    <row r="104" spans="1:11">
      <c r="A104" s="43" t="s">
        <v>414</v>
      </c>
      <c r="B104" s="81" t="str">
        <f>IFERROR('Expenses, Miscellaneous'!I25/'Expenses, Miscellaneous'!I26,"")</f>
        <v/>
      </c>
      <c r="C104" s="189">
        <v>1</v>
      </c>
      <c r="D104" s="22"/>
      <c r="E104" s="180" t="s">
        <v>408</v>
      </c>
      <c r="F104" s="80" t="str">
        <f>IFERROR((F82/'Expenses, Miscellaneous'!F39),"")</f>
        <v/>
      </c>
      <c r="G104" s="189">
        <v>0.05</v>
      </c>
      <c r="H104" s="19"/>
    </row>
    <row r="105" spans="1:11" ht="15" customHeight="1">
      <c r="A105" s="227" t="s">
        <v>411</v>
      </c>
      <c r="B105" s="250" t="str">
        <f>IFERROR('Expenses, Miscellaneous'!I25/'Expenses, Miscellaneous'!I28,"")</f>
        <v/>
      </c>
      <c r="C105" s="220">
        <v>0.85</v>
      </c>
      <c r="D105" s="22"/>
      <c r="E105" s="180" t="s">
        <v>322</v>
      </c>
      <c r="F105" s="80"/>
      <c r="G105" s="189"/>
      <c r="H105" s="19"/>
      <c r="I105" s="217"/>
      <c r="J105" s="19"/>
      <c r="K105" s="218"/>
    </row>
    <row r="106" spans="1:11">
      <c r="B106" s="87"/>
      <c r="C106" s="219"/>
      <c r="D106" s="22"/>
      <c r="E106" s="180" t="s">
        <v>409</v>
      </c>
      <c r="F106" s="225">
        <f>'Expenses, Miscellaneous'!F38</f>
        <v>440</v>
      </c>
      <c r="G106" s="226"/>
      <c r="H106" s="19"/>
      <c r="I106" s="217"/>
      <c r="J106" s="19"/>
      <c r="K106" s="218"/>
    </row>
    <row r="107" spans="1:11">
      <c r="B107" s="87"/>
      <c r="C107" s="219"/>
      <c r="D107" s="22"/>
      <c r="E107" s="180" t="s">
        <v>415</v>
      </c>
      <c r="F107" s="225">
        <f>'Expenses, Miscellaneous'!F40</f>
        <v>352</v>
      </c>
      <c r="G107" s="189"/>
      <c r="H107" s="19"/>
      <c r="I107" s="217"/>
      <c r="J107" s="19"/>
      <c r="K107" s="218"/>
    </row>
    <row r="108" spans="1:11">
      <c r="B108" s="87"/>
      <c r="C108" s="219"/>
      <c r="D108" s="22"/>
      <c r="E108" s="357" t="s">
        <v>416</v>
      </c>
      <c r="F108" s="359">
        <f>IFERROR('Expenses, Miscellaneous'!F40/'Expenses, Miscellaneous'!F38, "")</f>
        <v>0.8</v>
      </c>
      <c r="G108" s="221"/>
      <c r="H108" s="19"/>
      <c r="I108" s="217"/>
      <c r="J108" s="19"/>
      <c r="K108" s="218"/>
    </row>
    <row r="109" spans="1:11">
      <c r="B109" s="87"/>
      <c r="C109" s="219"/>
      <c r="D109" s="22"/>
      <c r="E109" s="217"/>
      <c r="G109" s="222"/>
      <c r="H109" s="19"/>
      <c r="I109" s="217"/>
      <c r="J109" s="19"/>
      <c r="K109" s="218"/>
    </row>
    <row r="110" spans="1:11" ht="36" customHeight="1" thickBot="1">
      <c r="A110" s="137" t="s">
        <v>166</v>
      </c>
      <c r="B110" s="82"/>
      <c r="C110" s="86"/>
      <c r="D110" s="22"/>
      <c r="E110" s="137" t="s">
        <v>417</v>
      </c>
      <c r="F110" s="82"/>
      <c r="G110" s="86"/>
      <c r="H110" s="19"/>
      <c r="I110" s="137" t="s">
        <v>418</v>
      </c>
      <c r="J110" s="82"/>
      <c r="K110" s="82"/>
    </row>
    <row r="111" spans="1:11" ht="17.25" customHeight="1" thickTop="1">
      <c r="A111" s="43" t="s">
        <v>129</v>
      </c>
      <c r="B111" s="76" t="str">
        <f>B3</f>
        <v>Bennett Material Handling</v>
      </c>
      <c r="C111" s="192"/>
      <c r="E111" s="183" t="s">
        <v>129</v>
      </c>
      <c r="F111" s="76" t="str">
        <f>J3</f>
        <v>Bennett Material Handling</v>
      </c>
      <c r="G111" s="192"/>
      <c r="I111" s="43" t="s">
        <v>129</v>
      </c>
      <c r="J111" s="76">
        <v>0</v>
      </c>
      <c r="K111" s="192"/>
    </row>
    <row r="112" spans="1:11" ht="17.25" customHeight="1">
      <c r="A112" s="43" t="s">
        <v>133</v>
      </c>
      <c r="B112" s="126">
        <f>B4</f>
        <v>3</v>
      </c>
      <c r="C112" s="199" t="s">
        <v>316</v>
      </c>
      <c r="E112" s="362" t="s">
        <v>133</v>
      </c>
      <c r="F112" s="367">
        <f>J4</f>
        <v>3</v>
      </c>
      <c r="G112" s="364" t="s">
        <v>316</v>
      </c>
      <c r="I112" s="170" t="s">
        <v>133</v>
      </c>
      <c r="J112" s="173">
        <v>0</v>
      </c>
      <c r="K112" s="356" t="s">
        <v>316</v>
      </c>
    </row>
    <row r="113" spans="1:11">
      <c r="A113" s="127"/>
      <c r="B113" s="128"/>
      <c r="C113" s="200"/>
      <c r="E113" s="72" t="s">
        <v>419</v>
      </c>
      <c r="F113" s="77"/>
      <c r="G113" s="187"/>
      <c r="I113" s="140" t="s">
        <v>420</v>
      </c>
      <c r="J113" s="128"/>
      <c r="K113" s="200"/>
    </row>
    <row r="114" spans="1:11">
      <c r="A114" s="43" t="s">
        <v>317</v>
      </c>
      <c r="B114" s="99">
        <f>IFERROR('Sales, COGS, GP'!B38/Number_of_Months_Included,"")</f>
        <v>0</v>
      </c>
      <c r="C114" s="195"/>
      <c r="E114" s="43" t="s">
        <v>325</v>
      </c>
      <c r="F114" s="81">
        <f>IFERROR('Expenses, Miscellaneous'!J4/'Sales, COGS, GP'!B$40,"")</f>
        <v>0</v>
      </c>
      <c r="G114" s="189">
        <f>MODELS!H7</f>
        <v>0.05</v>
      </c>
      <c r="I114" s="43" t="s">
        <v>421</v>
      </c>
      <c r="J114" s="149" t="str">
        <f>IFERROR('Balance Sheet'!E24/'Balance Sheet'!E29,"")</f>
        <v/>
      </c>
      <c r="K114" s="316">
        <v>3</v>
      </c>
    </row>
    <row r="115" spans="1:11">
      <c r="A115" s="43"/>
      <c r="B115" s="99"/>
      <c r="C115" s="195"/>
      <c r="E115" s="43" t="s">
        <v>327</v>
      </c>
      <c r="F115" s="81">
        <f>IFERROR('Expenses, Miscellaneous'!J5/'Sales, COGS, GP'!B$40,"")</f>
        <v>0</v>
      </c>
      <c r="G115" s="189">
        <f>MODELS!H8</f>
        <v>0.03</v>
      </c>
      <c r="I115" s="43" t="s">
        <v>422</v>
      </c>
      <c r="J115" s="149" t="str">
        <f>IFERROR(('Balance Sheet'!E24-'Balance Sheet'!E7)/'Balance Sheet'!E29,"")</f>
        <v/>
      </c>
      <c r="K115" s="316">
        <v>1</v>
      </c>
    </row>
    <row r="116" spans="1:11">
      <c r="A116" s="72" t="s">
        <v>423</v>
      </c>
      <c r="B116" s="99"/>
      <c r="C116" s="195"/>
      <c r="E116" s="227" t="s">
        <v>329</v>
      </c>
      <c r="F116" s="365">
        <f>IFERROR('Expenses, Miscellaneous'!J6/'Sales, COGS, GP'!B$40,"")</f>
        <v>0</v>
      </c>
      <c r="G116" s="366">
        <f>MODELS!H9</f>
        <v>0.02</v>
      </c>
      <c r="I116" s="43" t="s">
        <v>424</v>
      </c>
      <c r="J116" s="149">
        <f>IFERROR('Balance Sheet'!B24/'Balance Sheet'!E13,"")</f>
        <v>3.6903822763393666</v>
      </c>
      <c r="K116" s="316">
        <v>2</v>
      </c>
    </row>
    <row r="117" spans="1:11">
      <c r="A117" s="43" t="s">
        <v>230</v>
      </c>
      <c r="B117" s="228" t="str">
        <f>IFERROR('Expenses, Miscellaneous'!C34/'Sales, COGS, GP'!B38, "")</f>
        <v/>
      </c>
      <c r="C117" s="229">
        <v>0.3</v>
      </c>
      <c r="E117" s="43" t="s">
        <v>331</v>
      </c>
      <c r="F117" s="81">
        <f>IFERROR('Expenses, Miscellaneous'!J7/'Sales, COGS, GP'!B$40,"")</f>
        <v>0</v>
      </c>
      <c r="G117" s="189">
        <f>MODELS!H10</f>
        <v>0.1</v>
      </c>
      <c r="I117" s="43" t="s">
        <v>322</v>
      </c>
      <c r="J117" s="77"/>
      <c r="K117" s="317"/>
    </row>
    <row r="118" spans="1:11">
      <c r="A118" s="43" t="s">
        <v>235</v>
      </c>
      <c r="B118" s="228" t="str">
        <f>IFERROR('Expenses, Miscellaneous'!C36/'Sales, COGS, GP'!B38, "")</f>
        <v/>
      </c>
      <c r="C118" s="229">
        <v>0.1</v>
      </c>
      <c r="E118" s="43" t="s">
        <v>322</v>
      </c>
      <c r="F118" s="81"/>
      <c r="G118" s="189"/>
      <c r="I118" s="43" t="s">
        <v>425</v>
      </c>
      <c r="J118" s="149">
        <f>IFERROR('Balance Sheet'!B24/'Balance Sheet'!E13, "")</f>
        <v>3.6903822763393666</v>
      </c>
      <c r="K118" s="316">
        <v>1.5</v>
      </c>
    </row>
    <row r="119" spans="1:11">
      <c r="A119" s="227" t="s">
        <v>426</v>
      </c>
      <c r="B119" s="231" t="str">
        <f>IFERROR('Expenses, Miscellaneous'!C37/'Sales, COGS, GP'!B38, "")</f>
        <v/>
      </c>
      <c r="C119" s="230">
        <v>0.15</v>
      </c>
      <c r="E119" s="72" t="s">
        <v>427</v>
      </c>
      <c r="F119" s="80"/>
      <c r="G119" s="189"/>
      <c r="I119" s="43" t="s">
        <v>428</v>
      </c>
      <c r="J119" s="232">
        <f>IFERROR('Sales, COGS, GP'!B41/('Balance Sheet'!B24+'Balance Sheet'!E13), "")</f>
        <v>0.64499907357573438</v>
      </c>
      <c r="K119" s="318">
        <v>8</v>
      </c>
    </row>
    <row r="120" spans="1:11">
      <c r="A120" s="72" t="s">
        <v>297</v>
      </c>
      <c r="B120" s="81" t="str">
        <f>IFERROR(('Sales, COGS, GP'!D38-'Expenses, Miscellaneous'!C35)/'Sales, COGS, GP'!B38,"")</f>
        <v/>
      </c>
      <c r="C120" s="189">
        <f>MODELS!G4</f>
        <v>0.45</v>
      </c>
      <c r="E120" s="43" t="s">
        <v>202</v>
      </c>
      <c r="F120" s="80">
        <f>IFERROR('Expenses, Miscellaneous'!B22/'Expenses, Miscellaneous'!B$26,"")</f>
        <v>0.68767531766574874</v>
      </c>
      <c r="G120" s="189">
        <v>0.7</v>
      </c>
      <c r="I120" s="43"/>
      <c r="J120" s="81"/>
      <c r="K120" s="319"/>
    </row>
    <row r="121" spans="1:11">
      <c r="A121" s="72"/>
      <c r="B121" s="81"/>
      <c r="C121" s="189"/>
      <c r="E121" s="43" t="s">
        <v>429</v>
      </c>
      <c r="F121" s="80">
        <f>IFERROR('Expenses, Miscellaneous'!B23/'Expenses, Miscellaneous'!B$26,"")</f>
        <v>0.12984380153118935</v>
      </c>
      <c r="G121" s="189">
        <v>0.15</v>
      </c>
      <c r="I121" s="43" t="s">
        <v>430</v>
      </c>
      <c r="J121" s="81">
        <f>IFERROR('Sales, COGS, GP'!D40/('Expenses, Miscellaneous'!K7-'Expenses, Miscellaneous'!D4),"")</f>
        <v>2.5270949657672914</v>
      </c>
      <c r="K121" s="319">
        <v>1.2</v>
      </c>
    </row>
    <row r="122" spans="1:11">
      <c r="A122" s="43" t="s">
        <v>233</v>
      </c>
      <c r="B122" s="228" t="str">
        <f>IFERROR('Expenses, Miscellaneous'!C35/'Sales, COGS, GP'!B38, "")</f>
        <v/>
      </c>
      <c r="C122" s="229"/>
      <c r="E122" s="43" t="s">
        <v>431</v>
      </c>
      <c r="F122" s="80">
        <f>IFERROR('Expenses, Miscellaneous'!B24/'Expenses, Miscellaneous'!B$26,"")</f>
        <v>8.4779788985848412E-2</v>
      </c>
      <c r="G122" s="189">
        <v>0.1</v>
      </c>
      <c r="I122" s="43" t="s">
        <v>432</v>
      </c>
      <c r="J122" s="81">
        <f>IFERROR('Sales, COGS, GP'!D40/'Expenses, Miscellaneous'!K7,"")</f>
        <v>2.4265709236825215</v>
      </c>
      <c r="K122" s="319">
        <v>1</v>
      </c>
    </row>
    <row r="123" spans="1:11">
      <c r="A123" s="72" t="s">
        <v>433</v>
      </c>
      <c r="B123" s="81" t="str">
        <f>IFERROR('Sales, COGS, GP'!D38/'Sales, COGS, GP'!B38,"")</f>
        <v/>
      </c>
      <c r="C123" s="189"/>
      <c r="E123" s="227" t="s">
        <v>434</v>
      </c>
      <c r="F123" s="365">
        <f>IFERROR('Expenses, Miscellaneous'!B25/'Expenses, Miscellaneous'!B$26,"")</f>
        <v>9.7701091817213495E-2</v>
      </c>
      <c r="G123" s="366">
        <v>0.05</v>
      </c>
      <c r="I123" s="147"/>
      <c r="J123" s="81"/>
      <c r="K123" s="320"/>
    </row>
    <row r="124" spans="1:11">
      <c r="A124" s="43" t="s">
        <v>322</v>
      </c>
      <c r="B124" s="77"/>
      <c r="C124" s="187"/>
      <c r="E124" s="43" t="s">
        <v>185</v>
      </c>
      <c r="F124" s="81">
        <f>IFERROR('Expenses, Miscellaneous'!B26/'Expenses, Miscellaneous'!B$26,"")</f>
        <v>1</v>
      </c>
      <c r="G124" s="189"/>
      <c r="I124" s="72" t="s">
        <v>435</v>
      </c>
      <c r="J124" s="81"/>
      <c r="K124" s="321"/>
    </row>
    <row r="125" spans="1:11">
      <c r="A125" s="72" t="s">
        <v>371</v>
      </c>
      <c r="B125" s="77"/>
      <c r="C125" s="187"/>
      <c r="E125" s="43"/>
      <c r="F125" s="81"/>
      <c r="G125" s="189"/>
      <c r="I125" s="43" t="s">
        <v>436</v>
      </c>
      <c r="J125" s="81">
        <f>B29</f>
        <v>0.19426051028284827</v>
      </c>
      <c r="K125" s="322">
        <v>7.0000000000000007E-2</v>
      </c>
    </row>
    <row r="126" spans="1:11">
      <c r="A126" s="43" t="s">
        <v>325</v>
      </c>
      <c r="B126" s="81" t="str">
        <f>IFERROR('Expenses, Miscellaneous'!I4/'Sales, COGS, GP'!$B$38,"")</f>
        <v/>
      </c>
      <c r="C126" s="189"/>
      <c r="E126" s="43" t="s">
        <v>437</v>
      </c>
      <c r="F126" s="81">
        <f>IFERROR(('Expenses, Miscellaneous'!B12+'Expenses, Miscellaneous'!C12+'Expenses, Miscellaneous'!F16+'Expenses, Miscellaneous'!G12+'Expenses, Miscellaneous'!G13+'Expenses, Miscellaneous'!H12+'Expenses, Miscellaneous'!H13+'Expenses, Miscellaneous'!I12+'Expenses, Miscellaneous'!I13+'Expenses, Miscellaneous'!J12+'Expenses, Miscellaneous'!J13)/'Expenses, Miscellaneous'!L16,"")</f>
        <v>0.84126984126984128</v>
      </c>
      <c r="G126" s="189">
        <v>0.75</v>
      </c>
      <c r="I126" s="43" t="s">
        <v>438</v>
      </c>
      <c r="J126" s="148">
        <f>IFERROR((('Sales, COGS, GP'!B41/Number_of_Months_Included)*12)/'Balance Sheet'!B30,"")</f>
        <v>1.3369964810758108</v>
      </c>
      <c r="K126" s="317">
        <v>3</v>
      </c>
    </row>
    <row r="127" spans="1:11">
      <c r="A127" s="43" t="s">
        <v>327</v>
      </c>
      <c r="B127" s="81" t="str">
        <f>IFERROR('Expenses, Miscellaneous'!I5/'Sales, COGS, GP'!$B$38,"")</f>
        <v/>
      </c>
      <c r="C127" s="189"/>
      <c r="E127" s="43" t="s">
        <v>322</v>
      </c>
      <c r="F127" s="77"/>
      <c r="G127" s="187"/>
      <c r="I127" s="26" t="s">
        <v>439</v>
      </c>
      <c r="J127" s="245">
        <f>IFERROR(J125*J126, "")</f>
        <v>0.25972561866015947</v>
      </c>
      <c r="K127" s="323">
        <v>0.21</v>
      </c>
    </row>
    <row r="128" spans="1:11">
      <c r="A128" s="227" t="s">
        <v>329</v>
      </c>
      <c r="B128" s="365" t="str">
        <f>IFERROR('Expenses, Miscellaneous'!I6/'Sales, COGS, GP'!$B$38,"")</f>
        <v/>
      </c>
      <c r="C128" s="366"/>
      <c r="E128" s="72" t="s">
        <v>440</v>
      </c>
      <c r="F128" s="77"/>
      <c r="G128" s="187"/>
      <c r="I128" s="227" t="s">
        <v>441</v>
      </c>
      <c r="J128" s="250" t="str">
        <f>IFERROR('Sales, COGS, GP'!B47/'Balance Sheet'!E29, "")</f>
        <v/>
      </c>
      <c r="K128" s="322">
        <f>K127*4</f>
        <v>0.84</v>
      </c>
    </row>
    <row r="129" spans="1:7">
      <c r="A129" s="43" t="s">
        <v>331</v>
      </c>
      <c r="B129" s="81" t="str">
        <f>IFERROR('Expenses, Miscellaneous'!I7/'Sales, COGS, GP'!$B$38,"")</f>
        <v/>
      </c>
      <c r="C129" s="189"/>
      <c r="D129" s="136"/>
      <c r="E129" s="43" t="s">
        <v>442</v>
      </c>
      <c r="F129" s="84">
        <f>IFERROR('Expenses, Miscellaneous'!E16/'Expenses, Miscellaneous'!L16,"")</f>
        <v>0.15873015873015872</v>
      </c>
      <c r="G129" s="190"/>
    </row>
    <row r="130" spans="1:7">
      <c r="A130" s="43" t="s">
        <v>322</v>
      </c>
      <c r="B130" s="84"/>
      <c r="C130" s="190"/>
      <c r="D130" s="136"/>
      <c r="E130" s="43" t="s">
        <v>443</v>
      </c>
      <c r="F130" s="84">
        <f>IFERROR('Expenses, Miscellaneous'!F16/'Expenses, Miscellaneous'!L16,"")</f>
        <v>7.9365079365079361E-2</v>
      </c>
      <c r="G130" s="190"/>
    </row>
    <row r="131" spans="1:7">
      <c r="A131" s="43" t="s">
        <v>334</v>
      </c>
      <c r="B131" s="81" t="str">
        <f>IFERROR(('Sales, COGS, GP'!D38-'Expenses, Miscellaneous'!I7)/'Sales, COGS, GP'!B38,"")</f>
        <v/>
      </c>
      <c r="C131" s="189"/>
      <c r="E131" s="43" t="s">
        <v>444</v>
      </c>
      <c r="F131" s="84">
        <f>IFERROR('Expenses, Miscellaneous'!G16/'Expenses, Miscellaneous'!L16,"")</f>
        <v>0.68253968253968256</v>
      </c>
      <c r="G131" s="190"/>
    </row>
    <row r="132" spans="1:7">
      <c r="A132" s="144" t="s">
        <v>336</v>
      </c>
      <c r="B132" s="145">
        <f>IFERROR('Sales, COGS, GP'!D38-'Expenses, Miscellaneous'!I7,"")</f>
        <v>-4254.3599999999997</v>
      </c>
      <c r="C132" s="194"/>
      <c r="E132" s="43" t="s">
        <v>445</v>
      </c>
      <c r="F132" s="84">
        <f>IFERROR('Expenses, Miscellaneous'!H16/'Expenses, Miscellaneous'!L16,"")</f>
        <v>3.1746031746031744E-2</v>
      </c>
      <c r="G132" s="190"/>
    </row>
    <row r="133" spans="1:7">
      <c r="A133" s="43"/>
      <c r="B133" s="84"/>
      <c r="C133" s="190"/>
      <c r="E133" s="43" t="s">
        <v>446</v>
      </c>
      <c r="F133" s="84">
        <f>IFERROR('Expenses, Miscellaneous'!I16/'Expenses, Miscellaneous'!L16,"")</f>
        <v>0</v>
      </c>
      <c r="G133" s="190"/>
    </row>
    <row r="134" spans="1:7">
      <c r="A134" s="227" t="s">
        <v>447</v>
      </c>
      <c r="B134" s="360">
        <f>'Expenses, Miscellaneous'!J16</f>
        <v>0</v>
      </c>
      <c r="C134" s="220"/>
      <c r="E134" s="43" t="s">
        <v>448</v>
      </c>
      <c r="F134" s="84">
        <f>IFERROR('Expenses, Miscellaneous'!J16/'Expenses, Miscellaneous'!L16,"")</f>
        <v>0</v>
      </c>
      <c r="G134" s="190"/>
    </row>
    <row r="135" spans="1:7">
      <c r="A135" s="174" t="s">
        <v>357</v>
      </c>
      <c r="B135" s="224"/>
      <c r="C135" s="223"/>
      <c r="E135" s="43" t="s">
        <v>449</v>
      </c>
      <c r="F135" s="84">
        <f>IFERROR('Expenses, Miscellaneous'!K16/'Expenses, Miscellaneous'!L16,"")</f>
        <v>4.7619047619047616E-2</v>
      </c>
      <c r="G135" s="190"/>
    </row>
    <row r="136" spans="1:7">
      <c r="A136" s="22"/>
      <c r="B136" s="22"/>
      <c r="C136" s="22"/>
      <c r="E136" s="43"/>
      <c r="F136" s="84"/>
      <c r="G136" s="190"/>
    </row>
    <row r="137" spans="1:7">
      <c r="A137" s="22"/>
      <c r="B137" s="22"/>
      <c r="C137" s="22"/>
      <c r="E137" s="227" t="s">
        <v>450</v>
      </c>
      <c r="F137" s="360">
        <f>'Expenses, Miscellaneous'!L16</f>
        <v>31.5</v>
      </c>
      <c r="G137" s="351"/>
    </row>
    <row r="138" spans="1:7">
      <c r="A138" s="22"/>
      <c r="B138" s="22"/>
      <c r="C138" s="22"/>
    </row>
    <row r="139" spans="1:7">
      <c r="A139" s="22"/>
      <c r="B139" s="22"/>
      <c r="C139" s="22"/>
    </row>
    <row r="140" spans="1:7">
      <c r="A140" s="22"/>
      <c r="B140" s="22"/>
      <c r="C140" s="22"/>
    </row>
    <row r="141" spans="1:7">
      <c r="A141" s="22"/>
      <c r="B141" s="22"/>
      <c r="C141" s="22"/>
    </row>
    <row r="142" spans="1:7">
      <c r="A142" s="22"/>
      <c r="B142" s="22"/>
      <c r="C142" s="22"/>
    </row>
  </sheetData>
  <sheetProtection sheet="1"/>
  <conditionalFormatting sqref="B46">
    <cfRule type="cellIs" dxfId="84" priority="69" operator="greaterThanOrEqual">
      <formula>$C$46</formula>
    </cfRule>
  </conditionalFormatting>
  <conditionalFormatting sqref="B49">
    <cfRule type="cellIs" dxfId="83" priority="68" operator="lessThanOrEqual">
      <formula>$C$49</formula>
    </cfRule>
  </conditionalFormatting>
  <conditionalFormatting sqref="B50">
    <cfRule type="cellIs" dxfId="82" priority="67" operator="lessThanOrEqual">
      <formula>$C$50</formula>
    </cfRule>
  </conditionalFormatting>
  <conditionalFormatting sqref="B51">
    <cfRule type="cellIs" dxfId="81" priority="66" operator="lessThanOrEqual">
      <formula>$C$51</formula>
    </cfRule>
  </conditionalFormatting>
  <conditionalFormatting sqref="B52">
    <cfRule type="cellIs" dxfId="80" priority="65" operator="lessThanOrEqual">
      <formula>$C$52</formula>
    </cfRule>
  </conditionalFormatting>
  <conditionalFormatting sqref="B54">
    <cfRule type="cellIs" dxfId="79" priority="64" operator="greaterThanOrEqual">
      <formula>$C$54</formula>
    </cfRule>
  </conditionalFormatting>
  <conditionalFormatting sqref="B58">
    <cfRule type="cellIs" dxfId="78" priority="63" operator="greaterThanOrEqual">
      <formula>$C$58</formula>
    </cfRule>
  </conditionalFormatting>
  <conditionalFormatting sqref="B60">
    <cfRule type="cellIs" dxfId="77" priority="62" operator="greaterThanOrEqual">
      <formula>$C$60</formula>
    </cfRule>
  </conditionalFormatting>
  <conditionalFormatting sqref="B62">
    <cfRule type="cellIs" dxfId="76" priority="61" operator="greaterThanOrEqual">
      <formula>$C$62</formula>
    </cfRule>
  </conditionalFormatting>
  <conditionalFormatting sqref="B64">
    <cfRule type="cellIs" dxfId="75" priority="60" operator="greaterThanOrEqual">
      <formula>$C$64</formula>
    </cfRule>
  </conditionalFormatting>
  <conditionalFormatting sqref="B96">
    <cfRule type="cellIs" dxfId="74" priority="45" operator="greaterThanOrEqual">
      <formula>$C$96</formula>
    </cfRule>
  </conditionalFormatting>
  <conditionalFormatting sqref="B103">
    <cfRule type="cellIs" dxfId="73" priority="44" operator="greaterThanOrEqual">
      <formula>$C$103</formula>
    </cfRule>
  </conditionalFormatting>
  <conditionalFormatting sqref="B104">
    <cfRule type="cellIs" dxfId="72" priority="43" operator="greaterThanOrEqual">
      <formula>$C$104</formula>
    </cfRule>
  </conditionalFormatting>
  <conditionalFormatting sqref="B105">
    <cfRule type="cellIs" dxfId="71" priority="42" operator="greaterThanOrEqual">
      <formula>$C$105</formula>
    </cfRule>
  </conditionalFormatting>
  <conditionalFormatting sqref="B117">
    <cfRule type="cellIs" dxfId="70" priority="20" operator="lessThanOrEqual">
      <formula>$C$117</formula>
    </cfRule>
  </conditionalFormatting>
  <conditionalFormatting sqref="B118">
    <cfRule type="cellIs" dxfId="69" priority="19" operator="lessThanOrEqual">
      <formula>$C$118</formula>
    </cfRule>
  </conditionalFormatting>
  <conditionalFormatting sqref="B119">
    <cfRule type="cellIs" dxfId="68" priority="18" operator="lessThanOrEqual">
      <formula>$C$119</formula>
    </cfRule>
  </conditionalFormatting>
  <conditionalFormatting sqref="B120">
    <cfRule type="cellIs" dxfId="67" priority="17" operator="greaterThanOrEqual">
      <formula>$C$120</formula>
    </cfRule>
  </conditionalFormatting>
  <conditionalFormatting sqref="F11">
    <cfRule type="cellIs" dxfId="66" priority="81" operator="lessThanOrEqual">
      <formula>$G$11</formula>
    </cfRule>
  </conditionalFormatting>
  <conditionalFormatting sqref="F12">
    <cfRule type="cellIs" dxfId="65" priority="80" operator="lessThanOrEqual">
      <formula>$G$12</formula>
    </cfRule>
  </conditionalFormatting>
  <conditionalFormatting sqref="F13">
    <cfRule type="cellIs" dxfId="64" priority="79" operator="lessThanOrEqual">
      <formula>$G$13</formula>
    </cfRule>
  </conditionalFormatting>
  <conditionalFormatting sqref="F14">
    <cfRule type="cellIs" dxfId="63" priority="78" operator="lessThanOrEqual">
      <formula>$G$14</formula>
    </cfRule>
  </conditionalFormatting>
  <conditionalFormatting sqref="F16">
    <cfRule type="cellIs" dxfId="62" priority="77" operator="greaterThanOrEqual">
      <formula>$G$16</formula>
    </cfRule>
  </conditionalFormatting>
  <conditionalFormatting sqref="F20">
    <cfRule type="cellIs" dxfId="61" priority="76" operator="greaterThanOrEqual">
      <formula>$G$20</formula>
    </cfRule>
  </conditionalFormatting>
  <conditionalFormatting sqref="F21">
    <cfRule type="cellIs" dxfId="60" priority="75" operator="greaterThanOrEqual">
      <formula>$G$21</formula>
    </cfRule>
  </conditionalFormatting>
  <conditionalFormatting sqref="F23">
    <cfRule type="cellIs" dxfId="59" priority="74" operator="greaterThanOrEqual">
      <formula>$G$23</formula>
    </cfRule>
  </conditionalFormatting>
  <conditionalFormatting sqref="F30">
    <cfRule type="cellIs" dxfId="58" priority="73" operator="greaterThanOrEqual">
      <formula>$G$30</formula>
    </cfRule>
  </conditionalFormatting>
  <conditionalFormatting sqref="F31">
    <cfRule type="cellIs" dxfId="57" priority="72" operator="greaterThanOrEqual">
      <formula>$G$31</formula>
    </cfRule>
  </conditionalFormatting>
  <conditionalFormatting sqref="F32">
    <cfRule type="cellIs" dxfId="56" priority="71" operator="greaterThanOrEqual">
      <formula>$G$32</formula>
    </cfRule>
  </conditionalFormatting>
  <conditionalFormatting sqref="F61">
    <cfRule type="cellIs" dxfId="55" priority="59" operator="greaterThanOrEqual">
      <formula>$G$61</formula>
    </cfRule>
  </conditionalFormatting>
  <conditionalFormatting sqref="F64">
    <cfRule type="cellIs" dxfId="54" priority="58" operator="greaterThanOrEqual">
      <formula>$G$64</formula>
    </cfRule>
  </conditionalFormatting>
  <conditionalFormatting sqref="F65">
    <cfRule type="cellIs" dxfId="53" priority="57" operator="greaterThanOrEqual">
      <formula>$G$65</formula>
    </cfRule>
  </conditionalFormatting>
  <conditionalFormatting sqref="F85">
    <cfRule type="cellIs" dxfId="52" priority="41" operator="lessThanOrEqual">
      <formula>$G$85</formula>
    </cfRule>
  </conditionalFormatting>
  <conditionalFormatting sqref="F86">
    <cfRule type="cellIs" dxfId="51" priority="40" operator="lessThanOrEqual">
      <formula>$G$86</formula>
    </cfRule>
  </conditionalFormatting>
  <conditionalFormatting sqref="F87">
    <cfRule type="cellIs" dxfId="50" priority="39" operator="lessThanOrEqual">
      <formula>$G$87</formula>
    </cfRule>
  </conditionalFormatting>
  <conditionalFormatting sqref="F88">
    <cfRule type="cellIs" dxfId="49" priority="38" operator="greaterThanOrEqual">
      <formula>$G$88</formula>
    </cfRule>
  </conditionalFormatting>
  <conditionalFormatting sqref="F91">
    <cfRule type="cellIs" dxfId="48" priority="37" operator="greaterThanOrEqual">
      <formula>$G$91</formula>
    </cfRule>
  </conditionalFormatting>
  <conditionalFormatting sqref="F94">
    <cfRule type="cellIs" dxfId="47" priority="36" operator="lessThanOrEqual">
      <formula>$G$94</formula>
    </cfRule>
  </conditionalFormatting>
  <conditionalFormatting sqref="F95">
    <cfRule type="cellIs" dxfId="46" priority="35" operator="lessThanOrEqual">
      <formula>$G$95</formula>
    </cfRule>
  </conditionalFormatting>
  <conditionalFormatting sqref="F96">
    <cfRule type="cellIs" dxfId="45" priority="34" operator="lessThanOrEqual">
      <formula>$G$96</formula>
    </cfRule>
  </conditionalFormatting>
  <conditionalFormatting sqref="F97">
    <cfRule type="cellIs" dxfId="44" priority="33" operator="lessThanOrEqual">
      <formula>$G$97</formula>
    </cfRule>
  </conditionalFormatting>
  <conditionalFormatting sqref="F99">
    <cfRule type="cellIs" dxfId="43" priority="32" operator="greaterThanOrEqual">
      <formula>$G$99</formula>
    </cfRule>
  </conditionalFormatting>
  <conditionalFormatting sqref="F104">
    <cfRule type="cellIs" dxfId="42" priority="31" operator="greaterThanOrEqual">
      <formula>$G$104</formula>
    </cfRule>
  </conditionalFormatting>
  <conditionalFormatting sqref="F114">
    <cfRule type="cellIs" dxfId="41" priority="16" operator="lessThanOrEqual">
      <formula>$G$114</formula>
    </cfRule>
  </conditionalFormatting>
  <conditionalFormatting sqref="F115">
    <cfRule type="cellIs" dxfId="40" priority="15" operator="lessThanOrEqual">
      <formula>$G$115</formula>
    </cfRule>
  </conditionalFormatting>
  <conditionalFormatting sqref="F116">
    <cfRule type="cellIs" dxfId="39" priority="14" operator="lessThanOrEqual">
      <formula>$G$116</formula>
    </cfRule>
  </conditionalFormatting>
  <conditionalFormatting sqref="F117">
    <cfRule type="cellIs" dxfId="38" priority="13" operator="lessThanOrEqual">
      <formula>$G$117</formula>
    </cfRule>
  </conditionalFormatting>
  <conditionalFormatting sqref="F120">
    <cfRule type="cellIs" dxfId="37" priority="12" operator="greaterThanOrEqual">
      <formula>$G$120</formula>
    </cfRule>
  </conditionalFormatting>
  <conditionalFormatting sqref="F121">
    <cfRule type="cellIs" dxfId="36" priority="11" operator="greaterThanOrEqual">
      <formula>$G$121</formula>
    </cfRule>
  </conditionalFormatting>
  <conditionalFormatting sqref="F122">
    <cfRule type="cellIs" dxfId="35" priority="10" operator="greaterThanOrEqual">
      <formula>$G$122</formula>
    </cfRule>
  </conditionalFormatting>
  <conditionalFormatting sqref="F123">
    <cfRule type="cellIs" dxfId="34" priority="9" operator="greaterThanOrEqual">
      <formula>$G$123</formula>
    </cfRule>
  </conditionalFormatting>
  <conditionalFormatting sqref="F126">
    <cfRule type="cellIs" dxfId="33" priority="8" operator="greaterThanOrEqual">
      <formula>$G$126</formula>
    </cfRule>
  </conditionalFormatting>
  <conditionalFormatting sqref="J38">
    <cfRule type="cellIs" dxfId="32" priority="70" operator="greaterThanOrEqual">
      <formula>$K$38</formula>
    </cfRule>
  </conditionalFormatting>
  <conditionalFormatting sqref="J46">
    <cfRule type="cellIs" dxfId="31" priority="56" operator="greaterThanOrEqual">
      <formula>$K$46</formula>
    </cfRule>
  </conditionalFormatting>
  <conditionalFormatting sqref="J47">
    <cfRule type="cellIs" dxfId="30" priority="55" operator="lessThanOrEqual">
      <formula>$K$47</formula>
    </cfRule>
  </conditionalFormatting>
  <conditionalFormatting sqref="J48">
    <cfRule type="cellIs" dxfId="29" priority="54" operator="greaterThan">
      <formula>$K$48</formula>
    </cfRule>
  </conditionalFormatting>
  <conditionalFormatting sqref="J51">
    <cfRule type="cellIs" dxfId="28" priority="53" operator="lessThanOrEqual">
      <formula>$K$51</formula>
    </cfRule>
  </conditionalFormatting>
  <conditionalFormatting sqref="J52">
    <cfRule type="cellIs" dxfId="27" priority="52" operator="lessThanOrEqual">
      <formula>$K$52</formula>
    </cfRule>
  </conditionalFormatting>
  <conditionalFormatting sqref="J53">
    <cfRule type="cellIs" dxfId="26" priority="51" operator="lessThanOrEqual">
      <formula>$K$53</formula>
    </cfRule>
  </conditionalFormatting>
  <conditionalFormatting sqref="J55">
    <cfRule type="cellIs" dxfId="25" priority="50" operator="greaterThanOrEqual">
      <formula>$K$55</formula>
    </cfRule>
  </conditionalFormatting>
  <conditionalFormatting sqref="J60">
    <cfRule type="cellIs" dxfId="24" priority="49" operator="greaterThanOrEqual">
      <formula>$K$60</formula>
    </cfRule>
  </conditionalFormatting>
  <conditionalFormatting sqref="J61">
    <cfRule type="cellIs" dxfId="23" priority="48" operator="greaterThanOrEqual">
      <formula>$K$61</formula>
    </cfRule>
  </conditionalFormatting>
  <conditionalFormatting sqref="J74">
    <cfRule type="cellIs" dxfId="22" priority="47" operator="greaterThanOrEqual">
      <formula>$K$74</formula>
    </cfRule>
  </conditionalFormatting>
  <conditionalFormatting sqref="J75">
    <cfRule type="cellIs" dxfId="21" priority="46" operator="greaterThanOrEqual">
      <formula>$K$75</formula>
    </cfRule>
  </conditionalFormatting>
  <conditionalFormatting sqref="J85">
    <cfRule type="cellIs" dxfId="20" priority="30" operator="lessThanOrEqual">
      <formula>$K$85</formula>
    </cfRule>
  </conditionalFormatting>
  <conditionalFormatting sqref="J86">
    <cfRule type="cellIs" dxfId="19" priority="29" operator="lessThanOrEqual">
      <formula>$K$86</formula>
    </cfRule>
  </conditionalFormatting>
  <conditionalFormatting sqref="J87">
    <cfRule type="cellIs" dxfId="18" priority="28" operator="lessThanOrEqual">
      <formula>$K$87</formula>
    </cfRule>
  </conditionalFormatting>
  <conditionalFormatting sqref="J88">
    <cfRule type="cellIs" dxfId="17" priority="27" operator="greaterThanOrEqual">
      <formula>$K$88</formula>
    </cfRule>
  </conditionalFormatting>
  <conditionalFormatting sqref="J91">
    <cfRule type="cellIs" dxfId="16" priority="26" operator="lessThanOrEqual">
      <formula>$K$91</formula>
    </cfRule>
  </conditionalFormatting>
  <conditionalFormatting sqref="J92">
    <cfRule type="cellIs" dxfId="15" priority="25" operator="lessThanOrEqual">
      <formula>$K$92</formula>
    </cfRule>
  </conditionalFormatting>
  <conditionalFormatting sqref="J93">
    <cfRule type="cellIs" dxfId="14" priority="24" operator="lessThanOrEqual">
      <formula>$K$93</formula>
    </cfRule>
  </conditionalFormatting>
  <conditionalFormatting sqref="J94">
    <cfRule type="cellIs" dxfId="13" priority="23" operator="lessThanOrEqual">
      <formula>$K$94</formula>
    </cfRule>
  </conditionalFormatting>
  <conditionalFormatting sqref="J96">
    <cfRule type="cellIs" dxfId="12" priority="22" operator="greaterThanOrEqual">
      <formula>$K$96</formula>
    </cfRule>
  </conditionalFormatting>
  <conditionalFormatting sqref="J98">
    <cfRule type="cellIs" dxfId="11" priority="21" operator="greaterThanOrEqual">
      <formula>$K$98</formula>
    </cfRule>
  </conditionalFormatting>
  <conditionalFormatting sqref="J119">
    <cfRule type="cellIs" dxfId="10" priority="7" operator="greaterThanOrEqual">
      <formula>$K$119</formula>
    </cfRule>
  </conditionalFormatting>
  <conditionalFormatting sqref="J121">
    <cfRule type="cellIs" dxfId="9" priority="6" operator="greaterThanOrEqual">
      <formula>$K$121</formula>
    </cfRule>
  </conditionalFormatting>
  <conditionalFormatting sqref="J122">
    <cfRule type="cellIs" dxfId="8" priority="5" operator="greaterThanOrEqual">
      <formula>$K$122</formula>
    </cfRule>
  </conditionalFormatting>
  <conditionalFormatting sqref="J125">
    <cfRule type="cellIs" dxfId="7" priority="4" operator="greaterThanOrEqual">
      <formula>$K$125</formula>
    </cfRule>
  </conditionalFormatting>
  <conditionalFormatting sqref="J126">
    <cfRule type="cellIs" dxfId="6" priority="3" operator="greaterThanOrEqual">
      <formula>$K$126</formula>
    </cfRule>
  </conditionalFormatting>
  <conditionalFormatting sqref="J127">
    <cfRule type="cellIs" dxfId="5" priority="2" operator="greaterThanOrEqual">
      <formula>$K$127</formula>
    </cfRule>
  </conditionalFormatting>
  <conditionalFormatting sqref="J128">
    <cfRule type="cellIs" dxfId="4" priority="1" operator="greaterThanOrEqual">
      <formula>$K$128</formula>
    </cfRule>
  </conditionalFormatting>
  <pageMargins left="0.7" right="0.7" top="0.75" bottom="0.75" header="0.3" footer="0.3"/>
  <pageSetup scale="44" fitToWidth="2" fitToHeight="3" pageOrder="overThenDown" orientation="landscape" r:id="rId1"/>
  <headerFooter>
    <oddHeader>&amp;C&amp;"Times New Roman,Regular"&amp;12Currie Financial Composite Input Template
Material Handling Equipment&amp;R&amp;G</oddHeader>
    <oddFooter>&amp;C&amp;"Times New Roman,Regular"&amp;12Preview&amp;"-,Regular"&amp;11
&amp;"BergamoSmCaps,Bold"&amp;9&amp;K08-049www.curriemanagement.com</oddFooter>
  </headerFooter>
  <rowBreaks count="3" manualBreakCount="3">
    <brk id="39" max="10" man="1"/>
    <brk id="77" max="10" man="1"/>
    <brk id="109" max="10" man="1"/>
  </rowBreaks>
  <legacyDrawing r:id="rId2"/>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D6A75-213D-48FA-BE6B-13F749C24ABF}">
  <sheetPr>
    <tabColor rgb="FF002060"/>
  </sheetPr>
  <dimension ref="A1:H12"/>
  <sheetViews>
    <sheetView view="pageBreakPreview" zoomScaleNormal="100" zoomScaleSheetLayoutView="100" workbookViewId="0">
      <selection activeCell="B12" sqref="B12"/>
    </sheetView>
  </sheetViews>
  <sheetFormatPr baseColWidth="10" defaultColWidth="8.83203125" defaultRowHeight="15"/>
  <cols>
    <col min="1" max="1" width="18.6640625" customWidth="1"/>
    <col min="2" max="8" width="12.83203125" style="167" customWidth="1"/>
  </cols>
  <sheetData>
    <row r="1" spans="1:8" ht="16">
      <c r="A1" s="451" t="s">
        <v>451</v>
      </c>
      <c r="B1" s="451"/>
      <c r="C1" s="451"/>
      <c r="D1" s="451"/>
      <c r="E1" s="451"/>
      <c r="F1" s="451"/>
      <c r="G1" s="451"/>
      <c r="H1" s="451"/>
    </row>
    <row r="2" spans="1:8" ht="16" thickBot="1">
      <c r="A2" s="3"/>
      <c r="B2" s="161"/>
      <c r="C2" s="161"/>
      <c r="D2" s="161"/>
      <c r="E2" s="161"/>
      <c r="F2" s="161"/>
      <c r="G2" s="161"/>
      <c r="H2" s="161"/>
    </row>
    <row r="3" spans="1:8" ht="16" thickBot="1">
      <c r="A3" s="4"/>
      <c r="B3" s="162" t="s">
        <v>295</v>
      </c>
      <c r="C3" s="160" t="s">
        <v>290</v>
      </c>
      <c r="D3" s="160" t="s">
        <v>291</v>
      </c>
      <c r="E3" s="160" t="s">
        <v>452</v>
      </c>
      <c r="F3" s="160" t="s">
        <v>453</v>
      </c>
      <c r="G3" s="160" t="s">
        <v>183</v>
      </c>
      <c r="H3" s="160" t="s">
        <v>417</v>
      </c>
    </row>
    <row r="4" spans="1:8">
      <c r="A4" s="5" t="s">
        <v>297</v>
      </c>
      <c r="B4" s="163">
        <f>+B22</f>
        <v>0</v>
      </c>
      <c r="C4" s="164">
        <v>0.4</v>
      </c>
      <c r="D4" s="164">
        <v>0.65</v>
      </c>
      <c r="E4" s="164">
        <v>0.45</v>
      </c>
      <c r="F4" s="164">
        <v>0.2</v>
      </c>
      <c r="G4" s="164">
        <v>0.45</v>
      </c>
      <c r="H4" s="452"/>
    </row>
    <row r="5" spans="1:8">
      <c r="A5" s="5"/>
      <c r="B5" s="163">
        <v>1</v>
      </c>
      <c r="C5" s="163"/>
      <c r="D5" s="163"/>
      <c r="E5" s="163"/>
      <c r="F5" s="163"/>
      <c r="G5" s="163"/>
      <c r="H5" s="452"/>
    </row>
    <row r="6" spans="1:8">
      <c r="A6" s="6" t="s">
        <v>298</v>
      </c>
      <c r="B6" s="163"/>
      <c r="C6" s="163"/>
      <c r="D6" s="163"/>
      <c r="E6" s="163"/>
      <c r="F6" s="163"/>
      <c r="G6" s="163"/>
      <c r="H6" s="163"/>
    </row>
    <row r="7" spans="1:8">
      <c r="A7" s="5" t="s">
        <v>299</v>
      </c>
      <c r="B7" s="164">
        <v>0.5</v>
      </c>
      <c r="C7" s="164">
        <v>0.1</v>
      </c>
      <c r="D7" s="164">
        <v>0.2</v>
      </c>
      <c r="E7" s="164">
        <v>0.1</v>
      </c>
      <c r="F7" s="164">
        <v>7.0000000000000007E-2</v>
      </c>
      <c r="G7" s="164"/>
      <c r="H7" s="164">
        <v>0.05</v>
      </c>
    </row>
    <row r="8" spans="1:8">
      <c r="A8" s="5" t="s">
        <v>300</v>
      </c>
      <c r="B8" s="164">
        <v>0.25</v>
      </c>
      <c r="C8" s="164">
        <v>0.03</v>
      </c>
      <c r="D8" s="164">
        <v>0.1</v>
      </c>
      <c r="E8" s="164">
        <v>0.03</v>
      </c>
      <c r="F8" s="164">
        <v>0.02</v>
      </c>
      <c r="G8" s="164"/>
      <c r="H8" s="164">
        <v>0.03</v>
      </c>
    </row>
    <row r="9" spans="1:8">
      <c r="A9" s="165" t="s">
        <v>301</v>
      </c>
      <c r="B9" s="361">
        <v>0.1</v>
      </c>
      <c r="C9" s="361">
        <v>0.02</v>
      </c>
      <c r="D9" s="361">
        <v>0.05</v>
      </c>
      <c r="E9" s="361">
        <v>0.02</v>
      </c>
      <c r="F9" s="361">
        <v>0.01</v>
      </c>
      <c r="G9" s="361"/>
      <c r="H9" s="361">
        <v>0.02</v>
      </c>
    </row>
    <row r="10" spans="1:8">
      <c r="A10" s="5" t="s">
        <v>302</v>
      </c>
      <c r="B10" s="163">
        <f t="shared" ref="B10:H10" si="0">SUM(B7:B9)</f>
        <v>0.85</v>
      </c>
      <c r="C10" s="163">
        <f t="shared" si="0"/>
        <v>0.15</v>
      </c>
      <c r="D10" s="163">
        <f t="shared" si="0"/>
        <v>0.35000000000000003</v>
      </c>
      <c r="E10" s="163">
        <f t="shared" si="0"/>
        <v>0.15</v>
      </c>
      <c r="F10" s="163">
        <f t="shared" si="0"/>
        <v>0.1</v>
      </c>
      <c r="G10" s="163"/>
      <c r="H10" s="163">
        <f t="shared" si="0"/>
        <v>0.1</v>
      </c>
    </row>
    <row r="11" spans="1:8">
      <c r="A11" s="5"/>
      <c r="B11" s="163"/>
      <c r="C11" s="163"/>
      <c r="D11" s="163"/>
      <c r="E11" s="163"/>
      <c r="F11" s="163"/>
      <c r="G11" s="163"/>
      <c r="H11" s="163"/>
    </row>
    <row r="12" spans="1:8" ht="16" thickBot="1">
      <c r="A12" s="7" t="s">
        <v>303</v>
      </c>
      <c r="B12" s="166">
        <f>B5-B10</f>
        <v>0.15000000000000002</v>
      </c>
      <c r="C12" s="166">
        <f>C4-C10</f>
        <v>0.25</v>
      </c>
      <c r="D12" s="166">
        <f>D4-D10</f>
        <v>0.3</v>
      </c>
      <c r="E12" s="166">
        <f>E4-E10</f>
        <v>0.30000000000000004</v>
      </c>
      <c r="F12" s="166">
        <f>F4-F10</f>
        <v>0.1</v>
      </c>
      <c r="G12" s="166"/>
      <c r="H12" s="166">
        <f>H10*-1</f>
        <v>-0.1</v>
      </c>
    </row>
  </sheetData>
  <sheetProtection sheet="1" objects="1" scenarios="1"/>
  <mergeCells count="2">
    <mergeCell ref="A1:H1"/>
    <mergeCell ref="H4:H5"/>
  </mergeCells>
  <conditionalFormatting sqref="B4:B5 H7:H9 B10 B12">
    <cfRule type="expression" dxfId="3" priority="6" stopIfTrue="1">
      <formula>ISERROR(B4)</formula>
    </cfRule>
  </conditionalFormatting>
  <conditionalFormatting sqref="B6 B9 H10:H12 B11">
    <cfRule type="expression" dxfId="2" priority="5" stopIfTrue="1">
      <formula>"Error"</formula>
    </cfRule>
  </conditionalFormatting>
  <conditionalFormatting sqref="B7:G8">
    <cfRule type="expression" dxfId="1" priority="2" stopIfTrue="1">
      <formula>ISERROR(B7)</formula>
    </cfRule>
  </conditionalFormatting>
  <conditionalFormatting sqref="C4:H6 C9:G12">
    <cfRule type="expression" dxfId="0" priority="1" stopIfTrue="1">
      <formula>"Error"</formula>
    </cfRule>
  </conditionalFormatting>
  <pageMargins left="0.7" right="0.7" top="0.75" bottom="0.75" header="0.3" footer="0.3"/>
  <pageSetup scale="83"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5D872-8C1F-4AA4-92EE-C0FECA37DEF5}">
  <dimension ref="A1:O337"/>
  <sheetViews>
    <sheetView topLeftCell="A213" zoomScale="80" zoomScaleNormal="80" workbookViewId="0">
      <selection activeCell="H311" sqref="F2:H311"/>
    </sheetView>
  </sheetViews>
  <sheetFormatPr baseColWidth="10" defaultColWidth="8.83203125" defaultRowHeight="15"/>
  <cols>
    <col min="1" max="1" width="6.83203125" bestFit="1" customWidth="1"/>
    <col min="2" max="2" width="45.33203125" bestFit="1" customWidth="1"/>
    <col min="3" max="3" width="11.83203125" style="377" bestFit="1" customWidth="1"/>
    <col min="4" max="5" width="11.83203125" bestFit="1" customWidth="1"/>
    <col min="6" max="6" width="12.5" bestFit="1" customWidth="1"/>
    <col min="7" max="7" width="11.83203125" bestFit="1" customWidth="1"/>
    <col min="8" max="8" width="13.33203125" bestFit="1" customWidth="1"/>
    <col min="9" max="9" width="2" customWidth="1"/>
    <col min="10" max="10" width="2.1640625" customWidth="1"/>
    <col min="11" max="11" width="1.83203125" customWidth="1"/>
    <col min="12" max="12" width="2.83203125" customWidth="1"/>
    <col min="13" max="13" width="2" customWidth="1"/>
    <col min="14" max="14" width="2.5" customWidth="1"/>
    <col min="15" max="15" width="13.33203125" bestFit="1" customWidth="1"/>
  </cols>
  <sheetData>
    <row r="1" spans="1:15">
      <c r="A1" t="s">
        <v>1095</v>
      </c>
      <c r="B1" t="s">
        <v>1096</v>
      </c>
      <c r="C1" s="377" t="s">
        <v>479</v>
      </c>
      <c r="D1" t="s">
        <v>480</v>
      </c>
      <c r="E1" t="s">
        <v>481</v>
      </c>
      <c r="F1" t="s">
        <v>470</v>
      </c>
      <c r="G1" t="s">
        <v>471</v>
      </c>
      <c r="H1" t="s">
        <v>472</v>
      </c>
      <c r="I1" t="s">
        <v>482</v>
      </c>
      <c r="J1" t="s">
        <v>483</v>
      </c>
      <c r="K1" t="s">
        <v>484</v>
      </c>
      <c r="L1" t="s">
        <v>485</v>
      </c>
      <c r="M1" t="s">
        <v>486</v>
      </c>
      <c r="N1" t="s">
        <v>487</v>
      </c>
      <c r="O1" t="s">
        <v>488</v>
      </c>
    </row>
    <row r="2" spans="1:15">
      <c r="A2" s="372" t="s">
        <v>490</v>
      </c>
      <c r="B2" s="373" t="s">
        <v>491</v>
      </c>
      <c r="C2" s="375">
        <v>32229.97</v>
      </c>
      <c r="D2" s="376">
        <v>354138.03</v>
      </c>
      <c r="E2" s="375">
        <v>852302.19</v>
      </c>
      <c r="F2" s="376"/>
      <c r="G2" s="376"/>
      <c r="H2" s="376"/>
      <c r="I2" s="377"/>
      <c r="J2" s="377"/>
      <c r="K2" s="377"/>
      <c r="L2" s="377"/>
      <c r="M2" s="377"/>
      <c r="N2" s="377"/>
      <c r="O2" s="377">
        <f t="shared" ref="O2:O65" si="0">SUM(C2:N2)</f>
        <v>1238670.19</v>
      </c>
    </row>
    <row r="3" spans="1:15">
      <c r="A3" s="372" t="s">
        <v>492</v>
      </c>
      <c r="B3" s="373" t="s">
        <v>493</v>
      </c>
      <c r="C3" s="375">
        <v>-105857.3</v>
      </c>
      <c r="D3" s="376">
        <v>0</v>
      </c>
      <c r="E3" s="375">
        <v>87.5</v>
      </c>
      <c r="F3" s="376"/>
      <c r="G3" s="376"/>
      <c r="H3" s="376"/>
      <c r="I3" s="377"/>
      <c r="J3" s="377"/>
      <c r="K3" s="377"/>
      <c r="L3" s="377"/>
      <c r="M3" s="377"/>
      <c r="N3" s="377"/>
      <c r="O3" s="377">
        <f t="shared" si="0"/>
        <v>-105769.8</v>
      </c>
    </row>
    <row r="4" spans="1:15">
      <c r="A4" s="372" t="s">
        <v>494</v>
      </c>
      <c r="B4" s="373" t="s">
        <v>495</v>
      </c>
      <c r="C4" s="375">
        <v>0</v>
      </c>
      <c r="D4" s="376">
        <v>0</v>
      </c>
      <c r="E4" s="375">
        <v>0</v>
      </c>
      <c r="F4" s="376"/>
      <c r="G4" s="376"/>
      <c r="H4" s="376"/>
      <c r="I4" s="377"/>
      <c r="J4" s="377"/>
      <c r="K4" s="377"/>
      <c r="L4" s="377"/>
      <c r="M4" s="377"/>
      <c r="N4" s="377"/>
      <c r="O4" s="377">
        <f t="shared" si="0"/>
        <v>0</v>
      </c>
    </row>
    <row r="5" spans="1:15">
      <c r="A5" s="372" t="s">
        <v>496</v>
      </c>
      <c r="B5" s="373" t="s">
        <v>497</v>
      </c>
      <c r="C5" s="375">
        <v>0</v>
      </c>
      <c r="D5" s="376">
        <v>0</v>
      </c>
      <c r="E5" s="375">
        <v>0</v>
      </c>
      <c r="F5" s="376"/>
      <c r="G5" s="376"/>
      <c r="H5" s="376"/>
      <c r="I5" s="377"/>
      <c r="J5" s="377"/>
      <c r="K5" s="377"/>
      <c r="L5" s="377"/>
      <c r="M5" s="377"/>
      <c r="N5" s="377"/>
      <c r="O5" s="377">
        <f t="shared" si="0"/>
        <v>0</v>
      </c>
    </row>
    <row r="6" spans="1:15">
      <c r="A6" s="372" t="s">
        <v>498</v>
      </c>
      <c r="B6" s="373" t="s">
        <v>499</v>
      </c>
      <c r="C6" s="375">
        <v>48.32</v>
      </c>
      <c r="D6" s="376">
        <v>-599956.22</v>
      </c>
      <c r="E6" s="375">
        <v>48.6</v>
      </c>
      <c r="F6" s="376"/>
      <c r="G6" s="376"/>
      <c r="H6" s="376"/>
      <c r="I6" s="377"/>
      <c r="J6" s="377"/>
      <c r="K6" s="377"/>
      <c r="L6" s="377"/>
      <c r="M6" s="377"/>
      <c r="N6" s="377"/>
      <c r="O6" s="377">
        <f t="shared" si="0"/>
        <v>-599859.30000000005</v>
      </c>
    </row>
    <row r="7" spans="1:15">
      <c r="A7" s="372" t="s">
        <v>500</v>
      </c>
      <c r="B7" s="373" t="s">
        <v>501</v>
      </c>
      <c r="C7" s="375">
        <v>0</v>
      </c>
      <c r="D7" s="376">
        <v>0</v>
      </c>
      <c r="E7" s="375">
        <v>0</v>
      </c>
      <c r="F7" s="376"/>
      <c r="G7" s="376"/>
      <c r="H7" s="376"/>
      <c r="I7" s="377"/>
      <c r="J7" s="377"/>
      <c r="K7" s="377"/>
      <c r="L7" s="377"/>
      <c r="M7" s="377"/>
      <c r="N7" s="377"/>
      <c r="O7" s="377">
        <f t="shared" si="0"/>
        <v>0</v>
      </c>
    </row>
    <row r="8" spans="1:15">
      <c r="A8" s="372" t="s">
        <v>502</v>
      </c>
      <c r="B8" s="373" t="s">
        <v>503</v>
      </c>
      <c r="C8" s="375">
        <v>-41577.86</v>
      </c>
      <c r="D8" s="376">
        <v>221196.65</v>
      </c>
      <c r="E8" s="375">
        <v>-688509.48</v>
      </c>
      <c r="F8" s="376"/>
      <c r="G8" s="376"/>
      <c r="H8" s="376"/>
      <c r="I8" s="377"/>
      <c r="J8" s="377"/>
      <c r="K8" s="377"/>
      <c r="L8" s="377"/>
      <c r="M8" s="377"/>
      <c r="N8" s="377"/>
      <c r="O8" s="377">
        <f t="shared" si="0"/>
        <v>-508890.69</v>
      </c>
    </row>
    <row r="9" spans="1:15">
      <c r="A9" s="372" t="s">
        <v>504</v>
      </c>
      <c r="B9" s="373" t="s">
        <v>455</v>
      </c>
      <c r="C9" s="375">
        <v>-4701.8599999999997</v>
      </c>
      <c r="D9" s="376">
        <v>125</v>
      </c>
      <c r="E9" s="375">
        <v>0</v>
      </c>
      <c r="F9" s="376"/>
      <c r="G9" s="376"/>
      <c r="H9" s="376"/>
      <c r="I9" s="377"/>
      <c r="J9" s="377"/>
      <c r="K9" s="377"/>
      <c r="L9" s="377"/>
      <c r="M9" s="377"/>
      <c r="N9" s="377"/>
      <c r="O9" s="377">
        <f t="shared" si="0"/>
        <v>-4576.8599999999997</v>
      </c>
    </row>
    <row r="10" spans="1:15">
      <c r="A10" s="372" t="s">
        <v>505</v>
      </c>
      <c r="B10" s="373" t="s">
        <v>506</v>
      </c>
      <c r="C10" s="375">
        <v>0</v>
      </c>
      <c r="D10" s="376">
        <v>0</v>
      </c>
      <c r="E10" s="375">
        <v>0</v>
      </c>
      <c r="F10" s="376"/>
      <c r="G10" s="376"/>
      <c r="H10" s="376"/>
      <c r="I10" s="377"/>
      <c r="J10" s="377"/>
      <c r="K10" s="377"/>
      <c r="L10" s="377"/>
      <c r="M10" s="377"/>
      <c r="N10" s="377"/>
      <c r="O10" s="377">
        <f t="shared" si="0"/>
        <v>0</v>
      </c>
    </row>
    <row r="11" spans="1:15">
      <c r="A11" s="372" t="s">
        <v>507</v>
      </c>
      <c r="B11" s="373" t="s">
        <v>508</v>
      </c>
      <c r="C11" s="375">
        <v>0</v>
      </c>
      <c r="D11" s="376">
        <v>0</v>
      </c>
      <c r="E11" s="375">
        <v>0</v>
      </c>
      <c r="F11" s="376"/>
      <c r="G11" s="376"/>
      <c r="H11" s="376"/>
      <c r="I11" s="377"/>
      <c r="J11" s="377"/>
      <c r="K11" s="377"/>
      <c r="L11" s="377"/>
      <c r="M11" s="377"/>
      <c r="N11" s="377"/>
      <c r="O11" s="377">
        <f t="shared" si="0"/>
        <v>0</v>
      </c>
    </row>
    <row r="12" spans="1:15">
      <c r="A12" s="372" t="s">
        <v>509</v>
      </c>
      <c r="B12" s="373" t="s">
        <v>510</v>
      </c>
      <c r="C12" s="375">
        <v>0</v>
      </c>
      <c r="D12" s="376">
        <v>0</v>
      </c>
      <c r="E12" s="375">
        <v>0</v>
      </c>
      <c r="F12" s="376"/>
      <c r="G12" s="376"/>
      <c r="H12" s="376"/>
      <c r="I12" s="377"/>
      <c r="J12" s="377"/>
      <c r="K12" s="377"/>
      <c r="L12" s="377"/>
      <c r="M12" s="377"/>
      <c r="N12" s="377"/>
      <c r="O12" s="377">
        <f t="shared" si="0"/>
        <v>0</v>
      </c>
    </row>
    <row r="13" spans="1:15">
      <c r="A13" s="372" t="s">
        <v>511</v>
      </c>
      <c r="B13" s="373" t="s">
        <v>512</v>
      </c>
      <c r="C13" s="375">
        <v>0</v>
      </c>
      <c r="D13" s="376">
        <v>0</v>
      </c>
      <c r="E13" s="375">
        <v>0</v>
      </c>
      <c r="F13" s="376"/>
      <c r="G13" s="376"/>
      <c r="H13" s="376"/>
      <c r="I13" s="377"/>
      <c r="J13" s="377"/>
      <c r="K13" s="377"/>
      <c r="L13" s="377"/>
      <c r="M13" s="377"/>
      <c r="N13" s="377"/>
      <c r="O13" s="377">
        <f t="shared" si="0"/>
        <v>0</v>
      </c>
    </row>
    <row r="14" spans="1:15">
      <c r="A14" s="372" t="s">
        <v>513</v>
      </c>
      <c r="B14" s="373" t="s">
        <v>514</v>
      </c>
      <c r="C14" s="375">
        <v>0</v>
      </c>
      <c r="D14" s="376">
        <v>0</v>
      </c>
      <c r="E14" s="375">
        <v>0</v>
      </c>
      <c r="F14" s="376"/>
      <c r="G14" s="376"/>
      <c r="H14" s="376"/>
      <c r="I14" s="377"/>
      <c r="J14" s="377"/>
      <c r="K14" s="377"/>
      <c r="L14" s="377"/>
      <c r="M14" s="377"/>
      <c r="N14" s="377"/>
      <c r="O14" s="377">
        <f t="shared" si="0"/>
        <v>0</v>
      </c>
    </row>
    <row r="15" spans="1:15">
      <c r="A15" s="372" t="s">
        <v>515</v>
      </c>
      <c r="B15" s="373" t="s">
        <v>456</v>
      </c>
      <c r="C15" s="375">
        <v>179.39</v>
      </c>
      <c r="D15" s="376">
        <v>0</v>
      </c>
      <c r="E15" s="375">
        <v>0</v>
      </c>
      <c r="F15" s="376"/>
      <c r="G15" s="376"/>
      <c r="H15" s="376"/>
      <c r="I15" s="377"/>
      <c r="J15" s="377"/>
      <c r="K15" s="377"/>
      <c r="L15" s="377"/>
      <c r="M15" s="377"/>
      <c r="N15" s="377"/>
      <c r="O15" s="377">
        <f t="shared" si="0"/>
        <v>179.39</v>
      </c>
    </row>
    <row r="16" spans="1:15">
      <c r="A16" s="372" t="s">
        <v>516</v>
      </c>
      <c r="B16" s="373" t="s">
        <v>457</v>
      </c>
      <c r="C16" s="375">
        <v>-2125</v>
      </c>
      <c r="D16" s="376">
        <v>-1999.47</v>
      </c>
      <c r="E16" s="375">
        <v>-1.42</v>
      </c>
      <c r="F16" s="376"/>
      <c r="G16" s="376"/>
      <c r="H16" s="376"/>
      <c r="I16" s="377"/>
      <c r="J16" s="377"/>
      <c r="K16" s="377"/>
      <c r="L16" s="377"/>
      <c r="M16" s="377"/>
      <c r="N16" s="377"/>
      <c r="O16" s="377">
        <f t="shared" si="0"/>
        <v>-4125.8900000000003</v>
      </c>
    </row>
    <row r="17" spans="1:15">
      <c r="A17" s="372" t="s">
        <v>517</v>
      </c>
      <c r="B17" s="373" t="s">
        <v>518</v>
      </c>
      <c r="C17" s="375">
        <v>-194273.36</v>
      </c>
      <c r="D17" s="376">
        <v>-9146.57</v>
      </c>
      <c r="E17" s="375">
        <v>107965.1</v>
      </c>
      <c r="F17" s="376"/>
      <c r="G17" s="376"/>
      <c r="H17" s="376"/>
      <c r="I17" s="377"/>
      <c r="J17" s="377"/>
      <c r="K17" s="377"/>
      <c r="L17" s="377"/>
      <c r="M17" s="377"/>
      <c r="N17" s="377"/>
      <c r="O17" s="377">
        <f t="shared" si="0"/>
        <v>-95454.829999999987</v>
      </c>
    </row>
    <row r="18" spans="1:15">
      <c r="A18" s="372" t="s">
        <v>519</v>
      </c>
      <c r="B18" s="373" t="s">
        <v>520</v>
      </c>
      <c r="C18" s="375">
        <v>0</v>
      </c>
      <c r="D18" s="376">
        <v>0</v>
      </c>
      <c r="E18" s="375">
        <v>0</v>
      </c>
      <c r="F18" s="376"/>
      <c r="G18" s="376"/>
      <c r="H18" s="376"/>
      <c r="I18" s="377"/>
      <c r="J18" s="377"/>
      <c r="K18" s="377"/>
      <c r="L18" s="377"/>
      <c r="M18" s="377"/>
      <c r="N18" s="377"/>
      <c r="O18" s="377">
        <f t="shared" si="0"/>
        <v>0</v>
      </c>
    </row>
    <row r="19" spans="1:15">
      <c r="A19" s="372" t="s">
        <v>521</v>
      </c>
      <c r="B19" s="373" t="s">
        <v>458</v>
      </c>
      <c r="C19" s="375">
        <v>-28128</v>
      </c>
      <c r="D19" s="376">
        <v>8230.9500000000007</v>
      </c>
      <c r="E19" s="375">
        <v>0</v>
      </c>
      <c r="F19" s="376"/>
      <c r="G19" s="376"/>
      <c r="H19" s="376"/>
      <c r="I19" s="377"/>
      <c r="J19" s="377"/>
      <c r="K19" s="377"/>
      <c r="L19" s="377"/>
      <c r="M19" s="377"/>
      <c r="N19" s="377"/>
      <c r="O19" s="377">
        <f t="shared" si="0"/>
        <v>-19897.05</v>
      </c>
    </row>
    <row r="20" spans="1:15">
      <c r="A20" s="372" t="s">
        <v>522</v>
      </c>
      <c r="B20" s="373" t="s">
        <v>523</v>
      </c>
      <c r="C20" s="375">
        <v>0</v>
      </c>
      <c r="D20" s="376">
        <v>735.27</v>
      </c>
      <c r="E20" s="375">
        <v>17065</v>
      </c>
      <c r="F20" s="376"/>
      <c r="G20" s="376"/>
      <c r="H20" s="376"/>
      <c r="I20" s="377"/>
      <c r="J20" s="377"/>
      <c r="K20" s="377"/>
      <c r="L20" s="377"/>
      <c r="M20" s="377"/>
      <c r="N20" s="377"/>
      <c r="O20" s="377">
        <f t="shared" si="0"/>
        <v>17800.27</v>
      </c>
    </row>
    <row r="21" spans="1:15">
      <c r="A21" s="372" t="s">
        <v>524</v>
      </c>
      <c r="B21" s="373" t="s">
        <v>525</v>
      </c>
      <c r="C21" s="375">
        <v>-500</v>
      </c>
      <c r="D21" s="376">
        <v>0</v>
      </c>
      <c r="E21" s="375">
        <v>400</v>
      </c>
      <c r="F21" s="376"/>
      <c r="G21" s="376"/>
      <c r="H21" s="376"/>
      <c r="I21" s="377"/>
      <c r="J21" s="377"/>
      <c r="K21" s="377"/>
      <c r="L21" s="377"/>
      <c r="M21" s="377"/>
      <c r="N21" s="377"/>
      <c r="O21" s="377">
        <f t="shared" si="0"/>
        <v>-100</v>
      </c>
    </row>
    <row r="22" spans="1:15">
      <c r="A22" s="372" t="s">
        <v>526</v>
      </c>
      <c r="B22" s="373" t="s">
        <v>459</v>
      </c>
      <c r="C22" s="375">
        <v>-1000</v>
      </c>
      <c r="D22" s="376">
        <v>-1000</v>
      </c>
      <c r="E22" s="375">
        <v>0</v>
      </c>
      <c r="F22" s="376"/>
      <c r="G22" s="376"/>
      <c r="H22" s="376"/>
      <c r="I22" s="377"/>
      <c r="J22" s="377"/>
      <c r="K22" s="377"/>
      <c r="L22" s="377"/>
      <c r="M22" s="377"/>
      <c r="N22" s="377"/>
      <c r="O22" s="377">
        <f t="shared" si="0"/>
        <v>-2000</v>
      </c>
    </row>
    <row r="23" spans="1:15">
      <c r="A23" s="372" t="s">
        <v>527</v>
      </c>
      <c r="B23" s="373" t="s">
        <v>528</v>
      </c>
      <c r="C23" s="375">
        <v>16514.02</v>
      </c>
      <c r="D23" s="376">
        <v>-29653.279999999999</v>
      </c>
      <c r="E23" s="375">
        <v>-42741.34</v>
      </c>
      <c r="F23" s="376"/>
      <c r="G23" s="376"/>
      <c r="H23" s="376"/>
      <c r="I23" s="377"/>
      <c r="J23" s="377"/>
      <c r="K23" s="377"/>
      <c r="L23" s="377"/>
      <c r="M23" s="377"/>
      <c r="N23" s="377"/>
      <c r="O23" s="377">
        <f t="shared" si="0"/>
        <v>-55880.599999999991</v>
      </c>
    </row>
    <row r="24" spans="1:15">
      <c r="A24" s="372" t="s">
        <v>529</v>
      </c>
      <c r="B24" s="373" t="s">
        <v>530</v>
      </c>
      <c r="C24" s="375">
        <v>-1305.69</v>
      </c>
      <c r="D24" s="376">
        <v>-691.89</v>
      </c>
      <c r="E24" s="375">
        <v>0</v>
      </c>
      <c r="F24" s="376"/>
      <c r="G24" s="376"/>
      <c r="H24" s="376"/>
      <c r="I24" s="377"/>
      <c r="J24" s="377"/>
      <c r="K24" s="377"/>
      <c r="L24" s="377"/>
      <c r="M24" s="377"/>
      <c r="N24" s="377"/>
      <c r="O24" s="377">
        <f t="shared" si="0"/>
        <v>-1997.58</v>
      </c>
    </row>
    <row r="25" spans="1:15">
      <c r="A25" s="372" t="s">
        <v>531</v>
      </c>
      <c r="B25" s="373" t="s">
        <v>532</v>
      </c>
      <c r="C25" s="375">
        <v>0</v>
      </c>
      <c r="D25" s="376">
        <v>21828</v>
      </c>
      <c r="E25" s="375">
        <v>-67399.89</v>
      </c>
      <c r="F25" s="376"/>
      <c r="G25" s="376"/>
      <c r="H25" s="376"/>
      <c r="I25" s="377"/>
      <c r="J25" s="377"/>
      <c r="K25" s="377"/>
      <c r="L25" s="377"/>
      <c r="M25" s="377"/>
      <c r="N25" s="377"/>
      <c r="O25" s="377">
        <f t="shared" si="0"/>
        <v>-45571.89</v>
      </c>
    </row>
    <row r="26" spans="1:15">
      <c r="A26" s="372" t="s">
        <v>533</v>
      </c>
      <c r="B26" s="373" t="s">
        <v>534</v>
      </c>
      <c r="C26" s="375">
        <v>0</v>
      </c>
      <c r="D26" s="376">
        <v>0</v>
      </c>
      <c r="E26" s="375">
        <v>0</v>
      </c>
      <c r="F26" s="376"/>
      <c r="G26" s="376"/>
      <c r="H26" s="376"/>
      <c r="I26" s="377"/>
      <c r="J26" s="377"/>
      <c r="K26" s="377"/>
      <c r="L26" s="377"/>
      <c r="M26" s="377"/>
      <c r="N26" s="377"/>
      <c r="O26" s="377">
        <f t="shared" si="0"/>
        <v>0</v>
      </c>
    </row>
    <row r="27" spans="1:15">
      <c r="A27" s="372" t="s">
        <v>535</v>
      </c>
      <c r="B27" s="373" t="s">
        <v>536</v>
      </c>
      <c r="C27" s="375">
        <v>0</v>
      </c>
      <c r="D27" s="376">
        <v>0</v>
      </c>
      <c r="E27" s="375">
        <v>94583</v>
      </c>
      <c r="F27" s="376"/>
      <c r="G27" s="376"/>
      <c r="H27" s="376"/>
      <c r="I27" s="377"/>
      <c r="J27" s="377"/>
      <c r="K27" s="377"/>
      <c r="L27" s="377"/>
      <c r="M27" s="377"/>
      <c r="N27" s="377"/>
      <c r="O27" s="377">
        <f t="shared" si="0"/>
        <v>94583</v>
      </c>
    </row>
    <row r="28" spans="1:15">
      <c r="A28" s="372" t="s">
        <v>537</v>
      </c>
      <c r="B28" s="373" t="s">
        <v>538</v>
      </c>
      <c r="C28" s="375">
        <v>0</v>
      </c>
      <c r="D28" s="376">
        <v>0</v>
      </c>
      <c r="E28" s="375">
        <v>0</v>
      </c>
      <c r="F28" s="376"/>
      <c r="G28" s="376"/>
      <c r="H28" s="376"/>
      <c r="I28" s="377"/>
      <c r="J28" s="377"/>
      <c r="K28" s="377"/>
      <c r="L28" s="377"/>
      <c r="M28" s="377"/>
      <c r="N28" s="377"/>
      <c r="O28" s="377">
        <f t="shared" si="0"/>
        <v>0</v>
      </c>
    </row>
    <row r="29" spans="1:15">
      <c r="A29" s="372" t="s">
        <v>539</v>
      </c>
      <c r="B29" s="373" t="s">
        <v>540</v>
      </c>
      <c r="C29" s="375">
        <v>-2994.36</v>
      </c>
      <c r="D29" s="376">
        <v>14096.92</v>
      </c>
      <c r="E29" s="375">
        <v>-6371.53</v>
      </c>
      <c r="F29" s="376"/>
      <c r="G29" s="376"/>
      <c r="H29" s="376"/>
      <c r="I29" s="377"/>
      <c r="J29" s="377"/>
      <c r="K29" s="377"/>
      <c r="L29" s="377"/>
      <c r="M29" s="377"/>
      <c r="N29" s="377"/>
      <c r="O29" s="377">
        <f t="shared" si="0"/>
        <v>4731.03</v>
      </c>
    </row>
    <row r="30" spans="1:15">
      <c r="A30" s="372" t="s">
        <v>541</v>
      </c>
      <c r="B30" s="373" t="s">
        <v>542</v>
      </c>
      <c r="C30" s="375">
        <v>0</v>
      </c>
      <c r="D30" s="376">
        <v>0</v>
      </c>
      <c r="E30" s="375">
        <v>0</v>
      </c>
      <c r="F30" s="376"/>
      <c r="G30" s="376"/>
      <c r="H30" s="376"/>
      <c r="I30" s="377"/>
      <c r="J30" s="377"/>
      <c r="K30" s="377"/>
      <c r="L30" s="377"/>
      <c r="M30" s="377"/>
      <c r="N30" s="377"/>
      <c r="O30" s="377">
        <f t="shared" si="0"/>
        <v>0</v>
      </c>
    </row>
    <row r="31" spans="1:15">
      <c r="A31" s="372" t="s">
        <v>543</v>
      </c>
      <c r="B31" s="373" t="s">
        <v>544</v>
      </c>
      <c r="C31" s="375">
        <v>-366.14</v>
      </c>
      <c r="D31" s="376">
        <v>-18883.96</v>
      </c>
      <c r="E31" s="375">
        <v>-2754.68</v>
      </c>
      <c r="F31" s="376"/>
      <c r="G31" s="376"/>
      <c r="H31" s="376"/>
      <c r="I31" s="377"/>
      <c r="J31" s="377"/>
      <c r="K31" s="377"/>
      <c r="L31" s="377"/>
      <c r="M31" s="377"/>
      <c r="N31" s="377"/>
      <c r="O31" s="377">
        <f t="shared" si="0"/>
        <v>-22004.78</v>
      </c>
    </row>
    <row r="32" spans="1:15">
      <c r="A32" s="372" t="s">
        <v>545</v>
      </c>
      <c r="B32" s="373" t="s">
        <v>546</v>
      </c>
      <c r="C32" s="375">
        <v>0</v>
      </c>
      <c r="D32" s="376">
        <v>0</v>
      </c>
      <c r="E32" s="375">
        <v>0</v>
      </c>
      <c r="F32" s="376"/>
      <c r="G32" s="376"/>
      <c r="H32" s="376"/>
      <c r="I32" s="377"/>
      <c r="J32" s="377"/>
      <c r="K32" s="377"/>
      <c r="L32" s="377"/>
      <c r="M32" s="377"/>
      <c r="N32" s="377"/>
      <c r="O32" s="377">
        <f t="shared" si="0"/>
        <v>0</v>
      </c>
    </row>
    <row r="33" spans="1:15">
      <c r="A33" s="372" t="s">
        <v>547</v>
      </c>
      <c r="B33" s="373" t="s">
        <v>548</v>
      </c>
      <c r="C33" s="375">
        <v>24475</v>
      </c>
      <c r="D33" s="376">
        <v>0</v>
      </c>
      <c r="E33" s="375">
        <v>0</v>
      </c>
      <c r="F33" s="376"/>
      <c r="G33" s="376"/>
      <c r="H33" s="376"/>
      <c r="I33" s="377"/>
      <c r="J33" s="377"/>
      <c r="K33" s="377"/>
      <c r="L33" s="377"/>
      <c r="M33" s="377"/>
      <c r="N33" s="377"/>
      <c r="O33" s="377">
        <f t="shared" si="0"/>
        <v>24475</v>
      </c>
    </row>
    <row r="34" spans="1:15">
      <c r="A34" s="372" t="s">
        <v>549</v>
      </c>
      <c r="B34" s="373" t="s">
        <v>550</v>
      </c>
      <c r="C34" s="375">
        <v>0</v>
      </c>
      <c r="D34" s="376">
        <v>0</v>
      </c>
      <c r="E34" s="375">
        <v>0</v>
      </c>
      <c r="F34" s="376"/>
      <c r="G34" s="376"/>
      <c r="H34" s="376"/>
      <c r="I34" s="377"/>
      <c r="J34" s="377"/>
      <c r="K34" s="377"/>
      <c r="L34" s="377"/>
      <c r="M34" s="377"/>
      <c r="N34" s="377"/>
      <c r="O34" s="377">
        <f t="shared" si="0"/>
        <v>0</v>
      </c>
    </row>
    <row r="35" spans="1:15">
      <c r="A35" s="372" t="s">
        <v>551</v>
      </c>
      <c r="B35" s="373" t="s">
        <v>460</v>
      </c>
      <c r="C35" s="375">
        <v>0</v>
      </c>
      <c r="D35" s="376">
        <v>0</v>
      </c>
      <c r="E35" s="375">
        <v>0</v>
      </c>
      <c r="F35" s="376"/>
      <c r="G35" s="376"/>
      <c r="H35" s="376"/>
      <c r="I35" s="377"/>
      <c r="J35" s="377"/>
      <c r="K35" s="377"/>
      <c r="L35" s="377"/>
      <c r="M35" s="377"/>
      <c r="N35" s="377"/>
      <c r="O35" s="377">
        <f t="shared" si="0"/>
        <v>0</v>
      </c>
    </row>
    <row r="36" spans="1:15">
      <c r="A36" s="372" t="s">
        <v>552</v>
      </c>
      <c r="B36" s="373" t="s">
        <v>553</v>
      </c>
      <c r="C36" s="375">
        <v>0</v>
      </c>
      <c r="D36" s="376">
        <v>0</v>
      </c>
      <c r="E36" s="375">
        <v>0</v>
      </c>
      <c r="F36" s="376"/>
      <c r="G36" s="376"/>
      <c r="H36" s="376"/>
      <c r="I36" s="377"/>
      <c r="J36" s="377"/>
      <c r="K36" s="377"/>
      <c r="L36" s="377"/>
      <c r="M36" s="377"/>
      <c r="N36" s="377"/>
      <c r="O36" s="377">
        <f t="shared" si="0"/>
        <v>0</v>
      </c>
    </row>
    <row r="37" spans="1:15">
      <c r="A37" s="372" t="s">
        <v>554</v>
      </c>
      <c r="B37" s="373" t="s">
        <v>555</v>
      </c>
      <c r="C37" s="375">
        <v>0</v>
      </c>
      <c r="D37" s="376">
        <v>0</v>
      </c>
      <c r="E37" s="375">
        <v>0</v>
      </c>
      <c r="F37" s="376"/>
      <c r="G37" s="376"/>
      <c r="H37" s="376"/>
      <c r="I37" s="377"/>
      <c r="J37" s="377"/>
      <c r="K37" s="377"/>
      <c r="L37" s="377"/>
      <c r="M37" s="377"/>
      <c r="N37" s="377"/>
      <c r="O37" s="377">
        <f t="shared" si="0"/>
        <v>0</v>
      </c>
    </row>
    <row r="38" spans="1:15">
      <c r="A38" s="372" t="s">
        <v>556</v>
      </c>
      <c r="B38" s="373" t="s">
        <v>557</v>
      </c>
      <c r="C38" s="375">
        <v>0</v>
      </c>
      <c r="D38" s="376">
        <v>0</v>
      </c>
      <c r="E38" s="375">
        <v>0</v>
      </c>
      <c r="F38" s="376"/>
      <c r="G38" s="376"/>
      <c r="H38" s="376"/>
      <c r="I38" s="377"/>
      <c r="J38" s="377"/>
      <c r="K38" s="377"/>
      <c r="L38" s="377"/>
      <c r="M38" s="377"/>
      <c r="N38" s="377"/>
      <c r="O38" s="377">
        <f t="shared" si="0"/>
        <v>0</v>
      </c>
    </row>
    <row r="39" spans="1:15">
      <c r="A39" s="372" t="s">
        <v>558</v>
      </c>
      <c r="B39" s="373" t="s">
        <v>559</v>
      </c>
      <c r="C39" s="375">
        <v>-95787.36</v>
      </c>
      <c r="D39" s="376">
        <v>-194608.96</v>
      </c>
      <c r="E39" s="375">
        <v>0</v>
      </c>
      <c r="F39" s="376"/>
      <c r="G39" s="376"/>
      <c r="H39" s="376"/>
      <c r="I39" s="377"/>
      <c r="J39" s="377"/>
      <c r="K39" s="377"/>
      <c r="L39" s="377"/>
      <c r="M39" s="377"/>
      <c r="N39" s="377"/>
      <c r="O39" s="377">
        <f t="shared" si="0"/>
        <v>-290396.32</v>
      </c>
    </row>
    <row r="40" spans="1:15">
      <c r="A40" s="372" t="s">
        <v>560</v>
      </c>
      <c r="B40" s="373" t="s">
        <v>561</v>
      </c>
      <c r="C40" s="375">
        <v>0</v>
      </c>
      <c r="D40" s="376">
        <v>0</v>
      </c>
      <c r="E40" s="375">
        <v>0</v>
      </c>
      <c r="F40" s="376"/>
      <c r="G40" s="376"/>
      <c r="H40" s="376"/>
      <c r="I40" s="377"/>
      <c r="J40" s="377"/>
      <c r="K40" s="377"/>
      <c r="L40" s="377"/>
      <c r="M40" s="377"/>
      <c r="N40" s="377"/>
      <c r="O40" s="377">
        <f t="shared" si="0"/>
        <v>0</v>
      </c>
    </row>
    <row r="41" spans="1:15">
      <c r="A41" s="372" t="s">
        <v>562</v>
      </c>
      <c r="B41" s="373" t="s">
        <v>563</v>
      </c>
      <c r="C41" s="375">
        <v>0</v>
      </c>
      <c r="D41" s="376">
        <v>6485.8</v>
      </c>
      <c r="E41" s="375">
        <v>0</v>
      </c>
      <c r="F41" s="376"/>
      <c r="G41" s="376"/>
      <c r="H41" s="376"/>
      <c r="I41" s="377"/>
      <c r="J41" s="377"/>
      <c r="K41" s="377"/>
      <c r="L41" s="377"/>
      <c r="M41" s="377"/>
      <c r="N41" s="377"/>
      <c r="O41" s="377">
        <f t="shared" si="0"/>
        <v>6485.8</v>
      </c>
    </row>
    <row r="42" spans="1:15">
      <c r="A42" s="372" t="s">
        <v>564</v>
      </c>
      <c r="B42" s="373" t="s">
        <v>565</v>
      </c>
      <c r="C42" s="375">
        <v>0</v>
      </c>
      <c r="D42" s="376">
        <v>0</v>
      </c>
      <c r="E42" s="375">
        <v>87431.88</v>
      </c>
      <c r="F42" s="376"/>
      <c r="G42" s="376"/>
      <c r="H42" s="376"/>
      <c r="I42" s="377"/>
      <c r="J42" s="377"/>
      <c r="K42" s="377"/>
      <c r="L42" s="377"/>
      <c r="M42" s="377"/>
      <c r="N42" s="377"/>
      <c r="O42" s="377">
        <f t="shared" si="0"/>
        <v>87431.88</v>
      </c>
    </row>
    <row r="43" spans="1:15">
      <c r="A43" s="372" t="s">
        <v>566</v>
      </c>
      <c r="B43" s="373" t="s">
        <v>567</v>
      </c>
      <c r="C43" s="375">
        <v>0</v>
      </c>
      <c r="D43" s="376">
        <v>0</v>
      </c>
      <c r="E43" s="375">
        <v>0</v>
      </c>
      <c r="F43" s="376"/>
      <c r="G43" s="376"/>
      <c r="H43" s="376"/>
      <c r="I43" s="377"/>
      <c r="J43" s="377"/>
      <c r="K43" s="377"/>
      <c r="L43" s="377"/>
      <c r="M43" s="377"/>
      <c r="N43" s="377"/>
      <c r="O43" s="377">
        <f t="shared" si="0"/>
        <v>0</v>
      </c>
    </row>
    <row r="44" spans="1:15">
      <c r="A44" s="372" t="s">
        <v>568</v>
      </c>
      <c r="B44" s="373" t="s">
        <v>461</v>
      </c>
      <c r="C44" s="375">
        <v>-10912.07</v>
      </c>
      <c r="D44" s="376">
        <v>-10945.04</v>
      </c>
      <c r="E44" s="375">
        <v>-10978.13</v>
      </c>
      <c r="F44" s="376"/>
      <c r="G44" s="376"/>
      <c r="H44" s="376"/>
      <c r="I44" s="377"/>
      <c r="J44" s="377"/>
      <c r="K44" s="377"/>
      <c r="L44" s="377"/>
      <c r="M44" s="377"/>
      <c r="N44" s="377"/>
      <c r="O44" s="377">
        <f t="shared" si="0"/>
        <v>-32835.24</v>
      </c>
    </row>
    <row r="45" spans="1:15">
      <c r="A45" s="372" t="s">
        <v>569</v>
      </c>
      <c r="B45" s="373" t="s">
        <v>570</v>
      </c>
      <c r="C45" s="375">
        <v>0</v>
      </c>
      <c r="D45" s="376">
        <v>0</v>
      </c>
      <c r="E45" s="375">
        <v>0</v>
      </c>
      <c r="F45" s="376"/>
      <c r="G45" s="376"/>
      <c r="H45" s="376"/>
      <c r="I45" s="377"/>
      <c r="J45" s="377"/>
      <c r="K45" s="377"/>
      <c r="L45" s="377"/>
      <c r="M45" s="377"/>
      <c r="N45" s="377"/>
      <c r="O45" s="377">
        <f t="shared" si="0"/>
        <v>0</v>
      </c>
    </row>
    <row r="46" spans="1:15">
      <c r="A46" s="372" t="s">
        <v>571</v>
      </c>
      <c r="B46" s="373" t="s">
        <v>462</v>
      </c>
      <c r="C46" s="375">
        <v>-866.91</v>
      </c>
      <c r="D46" s="376">
        <v>-866.94</v>
      </c>
      <c r="E46" s="375">
        <v>-867</v>
      </c>
      <c r="F46" s="376"/>
      <c r="G46" s="376"/>
      <c r="H46" s="376"/>
      <c r="I46" s="377"/>
      <c r="J46" s="377"/>
      <c r="K46" s="377"/>
      <c r="L46" s="377"/>
      <c r="M46" s="377"/>
      <c r="N46" s="377"/>
      <c r="O46" s="377">
        <f t="shared" si="0"/>
        <v>-2600.85</v>
      </c>
    </row>
    <row r="47" spans="1:15">
      <c r="A47" s="372" t="s">
        <v>572</v>
      </c>
      <c r="B47" s="373" t="s">
        <v>463</v>
      </c>
      <c r="C47" s="375">
        <v>-69231.86</v>
      </c>
      <c r="D47" s="376">
        <v>35803.51</v>
      </c>
      <c r="E47" s="375">
        <v>-158428.41</v>
      </c>
      <c r="F47" s="376"/>
      <c r="G47" s="376"/>
      <c r="H47" s="376"/>
      <c r="I47" s="377"/>
      <c r="J47" s="377"/>
      <c r="K47" s="377"/>
      <c r="L47" s="377"/>
      <c r="M47" s="377"/>
      <c r="N47" s="377"/>
      <c r="O47" s="377">
        <f t="shared" si="0"/>
        <v>-191856.76</v>
      </c>
    </row>
    <row r="48" spans="1:15">
      <c r="A48" s="372" t="s">
        <v>573</v>
      </c>
      <c r="B48" s="373" t="s">
        <v>464</v>
      </c>
      <c r="C48" s="375">
        <v>0</v>
      </c>
      <c r="D48" s="376">
        <v>0</v>
      </c>
      <c r="E48" s="375">
        <v>0</v>
      </c>
      <c r="F48" s="376"/>
      <c r="G48" s="376"/>
      <c r="H48" s="376"/>
      <c r="I48" s="377"/>
      <c r="J48" s="377"/>
      <c r="K48" s="377"/>
      <c r="L48" s="377"/>
      <c r="M48" s="377"/>
      <c r="N48" s="377"/>
      <c r="O48" s="377">
        <f t="shared" si="0"/>
        <v>0</v>
      </c>
    </row>
    <row r="49" spans="1:15">
      <c r="A49" s="372" t="s">
        <v>574</v>
      </c>
      <c r="B49" s="373" t="s">
        <v>465</v>
      </c>
      <c r="C49" s="375">
        <v>-2672.41</v>
      </c>
      <c r="D49" s="376">
        <v>-5538.19</v>
      </c>
      <c r="E49" s="375">
        <v>-5538</v>
      </c>
      <c r="F49" s="376"/>
      <c r="G49" s="376"/>
      <c r="H49" s="376"/>
      <c r="I49" s="377"/>
      <c r="J49" s="377"/>
      <c r="K49" s="377"/>
      <c r="L49" s="377"/>
      <c r="M49" s="377"/>
      <c r="N49" s="377"/>
      <c r="O49" s="377">
        <f t="shared" si="0"/>
        <v>-13748.599999999999</v>
      </c>
    </row>
    <row r="50" spans="1:15">
      <c r="A50" s="372" t="s">
        <v>575</v>
      </c>
      <c r="B50" s="373" t="s">
        <v>576</v>
      </c>
      <c r="C50" s="375">
        <v>-14092.84</v>
      </c>
      <c r="D50" s="376">
        <v>-14092.85</v>
      </c>
      <c r="E50" s="375">
        <v>-14093</v>
      </c>
      <c r="F50" s="376"/>
      <c r="G50" s="376"/>
      <c r="H50" s="376"/>
      <c r="I50" s="377"/>
      <c r="J50" s="377"/>
      <c r="K50" s="377"/>
      <c r="L50" s="377"/>
      <c r="M50" s="377"/>
      <c r="N50" s="377"/>
      <c r="O50" s="377">
        <f t="shared" si="0"/>
        <v>-42278.69</v>
      </c>
    </row>
    <row r="51" spans="1:15">
      <c r="A51" s="372" t="s">
        <v>577</v>
      </c>
      <c r="B51" s="373" t="s">
        <v>466</v>
      </c>
      <c r="C51" s="375">
        <v>-3684.89</v>
      </c>
      <c r="D51" s="376">
        <v>-3684.89</v>
      </c>
      <c r="E51" s="375">
        <v>-3685</v>
      </c>
      <c r="F51" s="376"/>
      <c r="G51" s="376"/>
      <c r="H51" s="376"/>
      <c r="I51" s="377"/>
      <c r="J51" s="377"/>
      <c r="K51" s="377"/>
      <c r="L51" s="377"/>
      <c r="M51" s="377"/>
      <c r="N51" s="377"/>
      <c r="O51" s="377">
        <f t="shared" si="0"/>
        <v>-11054.779999999999</v>
      </c>
    </row>
    <row r="52" spans="1:15">
      <c r="A52" s="372" t="s">
        <v>578</v>
      </c>
      <c r="B52" s="373" t="s">
        <v>579</v>
      </c>
      <c r="C52" s="375">
        <v>0</v>
      </c>
      <c r="D52" s="376">
        <v>0</v>
      </c>
      <c r="E52" s="375">
        <v>0</v>
      </c>
      <c r="F52" s="376"/>
      <c r="G52" s="376"/>
      <c r="H52" s="376"/>
      <c r="I52" s="377"/>
      <c r="J52" s="377"/>
      <c r="K52" s="377"/>
      <c r="L52" s="377"/>
      <c r="M52" s="377"/>
      <c r="N52" s="377"/>
      <c r="O52" s="377">
        <f t="shared" si="0"/>
        <v>0</v>
      </c>
    </row>
    <row r="53" spans="1:15">
      <c r="A53" s="372" t="s">
        <v>858</v>
      </c>
      <c r="B53" s="373" t="s">
        <v>859</v>
      </c>
      <c r="C53" s="375">
        <v>36451.730000000003</v>
      </c>
      <c r="D53" s="376">
        <v>-71779.77</v>
      </c>
      <c r="E53" s="375">
        <v>-69699.87</v>
      </c>
      <c r="F53" s="376"/>
      <c r="G53" s="376"/>
      <c r="H53" s="376"/>
      <c r="I53" s="377"/>
      <c r="J53" s="377"/>
      <c r="K53" s="377"/>
      <c r="L53" s="377"/>
      <c r="M53" s="377"/>
      <c r="N53" s="377"/>
      <c r="O53" s="377">
        <f t="shared" si="0"/>
        <v>-105027.91</v>
      </c>
    </row>
    <row r="54" spans="1:15">
      <c r="A54" s="372" t="s">
        <v>860</v>
      </c>
      <c r="B54" s="373" t="s">
        <v>861</v>
      </c>
      <c r="C54" s="375">
        <v>0</v>
      </c>
      <c r="D54" s="376">
        <v>0</v>
      </c>
      <c r="E54" s="375">
        <v>0</v>
      </c>
      <c r="F54" s="376"/>
      <c r="G54" s="376"/>
      <c r="H54" s="376"/>
      <c r="I54" s="377"/>
      <c r="J54" s="377"/>
      <c r="K54" s="377"/>
      <c r="L54" s="377"/>
      <c r="M54" s="377"/>
      <c r="N54" s="377"/>
      <c r="O54" s="377">
        <f t="shared" si="0"/>
        <v>0</v>
      </c>
    </row>
    <row r="55" spans="1:15">
      <c r="A55" s="372" t="s">
        <v>862</v>
      </c>
      <c r="B55" s="373" t="s">
        <v>863</v>
      </c>
      <c r="C55" s="375">
        <v>0</v>
      </c>
      <c r="D55" s="376">
        <v>10560.66</v>
      </c>
      <c r="E55" s="375">
        <v>-4942.8900000000003</v>
      </c>
      <c r="F55" s="376"/>
      <c r="G55" s="376"/>
      <c r="H55" s="376"/>
      <c r="I55" s="377"/>
      <c r="J55" s="377"/>
      <c r="K55" s="377"/>
      <c r="L55" s="377"/>
      <c r="M55" s="377"/>
      <c r="N55" s="377"/>
      <c r="O55" s="377">
        <f t="shared" si="0"/>
        <v>5617.7699999999995</v>
      </c>
    </row>
    <row r="56" spans="1:15">
      <c r="A56" s="372" t="s">
        <v>864</v>
      </c>
      <c r="B56" s="373" t="s">
        <v>865</v>
      </c>
      <c r="C56" s="375">
        <v>0</v>
      </c>
      <c r="D56" s="376">
        <v>24923.65</v>
      </c>
      <c r="E56" s="375">
        <v>6975.41</v>
      </c>
      <c r="F56" s="376"/>
      <c r="G56" s="376"/>
      <c r="H56" s="376"/>
      <c r="I56" s="377"/>
      <c r="J56" s="377"/>
      <c r="K56" s="377"/>
      <c r="L56" s="377"/>
      <c r="M56" s="377"/>
      <c r="N56" s="377"/>
      <c r="O56" s="377">
        <f t="shared" si="0"/>
        <v>31899.06</v>
      </c>
    </row>
    <row r="57" spans="1:15">
      <c r="A57" s="372" t="s">
        <v>866</v>
      </c>
      <c r="B57" s="373" t="s">
        <v>867</v>
      </c>
      <c r="C57" s="375">
        <v>8074</v>
      </c>
      <c r="D57" s="376">
        <v>13758</v>
      </c>
      <c r="E57" s="375">
        <v>-25440.720000000001</v>
      </c>
      <c r="F57" s="376"/>
      <c r="G57" s="376"/>
      <c r="H57" s="376"/>
      <c r="I57" s="377"/>
      <c r="J57" s="377"/>
      <c r="K57" s="377"/>
      <c r="L57" s="377"/>
      <c r="M57" s="377"/>
      <c r="N57" s="377"/>
      <c r="O57" s="377">
        <f t="shared" si="0"/>
        <v>-3608.7200000000012</v>
      </c>
    </row>
    <row r="58" spans="1:15">
      <c r="A58" s="372" t="s">
        <v>868</v>
      </c>
      <c r="B58" s="373" t="s">
        <v>467</v>
      </c>
      <c r="C58" s="375">
        <v>15.15</v>
      </c>
      <c r="D58" s="376">
        <v>-138.41999999999999</v>
      </c>
      <c r="E58" s="375">
        <v>225.72</v>
      </c>
      <c r="F58" s="376"/>
      <c r="G58" s="376"/>
      <c r="H58" s="376"/>
      <c r="I58" s="377"/>
      <c r="J58" s="377"/>
      <c r="K58" s="377"/>
      <c r="L58" s="377"/>
      <c r="M58" s="377"/>
      <c r="N58" s="377"/>
      <c r="O58" s="377">
        <f t="shared" si="0"/>
        <v>102.45000000000002</v>
      </c>
    </row>
    <row r="59" spans="1:15">
      <c r="A59" s="372" t="s">
        <v>869</v>
      </c>
      <c r="B59" s="373" t="s">
        <v>870</v>
      </c>
      <c r="C59" s="375">
        <v>-10.99</v>
      </c>
      <c r="D59" s="376">
        <v>153.41</v>
      </c>
      <c r="E59" s="375">
        <v>13.79</v>
      </c>
      <c r="F59" s="376"/>
      <c r="G59" s="376"/>
      <c r="H59" s="376"/>
      <c r="I59" s="377"/>
      <c r="J59" s="377"/>
      <c r="K59" s="377"/>
      <c r="L59" s="377"/>
      <c r="M59" s="377"/>
      <c r="N59" s="377"/>
      <c r="O59" s="377">
        <f t="shared" si="0"/>
        <v>156.20999999999998</v>
      </c>
    </row>
    <row r="60" spans="1:15">
      <c r="A60" s="372" t="s">
        <v>871</v>
      </c>
      <c r="B60" s="373" t="s">
        <v>872</v>
      </c>
      <c r="C60" s="375">
        <v>-25.84</v>
      </c>
      <c r="D60" s="376">
        <v>0</v>
      </c>
      <c r="E60" s="375">
        <v>2.99</v>
      </c>
      <c r="F60" s="376"/>
      <c r="G60" s="376"/>
      <c r="H60" s="376"/>
      <c r="I60" s="377"/>
      <c r="J60" s="377"/>
      <c r="K60" s="377"/>
      <c r="L60" s="377"/>
      <c r="M60" s="377"/>
      <c r="N60" s="377"/>
      <c r="O60" s="377">
        <f t="shared" si="0"/>
        <v>-22.85</v>
      </c>
    </row>
    <row r="61" spans="1:15">
      <c r="A61" s="372" t="s">
        <v>873</v>
      </c>
      <c r="B61" s="373" t="s">
        <v>874</v>
      </c>
      <c r="C61" s="375">
        <v>658.25</v>
      </c>
      <c r="D61" s="376">
        <v>-10139.41</v>
      </c>
      <c r="E61" s="375">
        <v>82.22</v>
      </c>
      <c r="F61" s="376"/>
      <c r="G61" s="376"/>
      <c r="H61" s="376"/>
      <c r="I61" s="377"/>
      <c r="J61" s="377"/>
      <c r="K61" s="377"/>
      <c r="L61" s="377"/>
      <c r="M61" s="377"/>
      <c r="N61" s="377"/>
      <c r="O61" s="377">
        <f t="shared" si="0"/>
        <v>-9398.94</v>
      </c>
    </row>
    <row r="62" spans="1:15">
      <c r="A62" s="372" t="s">
        <v>875</v>
      </c>
      <c r="B62" s="373" t="s">
        <v>876</v>
      </c>
      <c r="C62" s="375">
        <v>0</v>
      </c>
      <c r="D62" s="376">
        <v>-573.09</v>
      </c>
      <c r="E62" s="375">
        <v>0</v>
      </c>
      <c r="F62" s="376"/>
      <c r="G62" s="376"/>
      <c r="H62" s="376"/>
      <c r="I62" s="377"/>
      <c r="J62" s="377"/>
      <c r="K62" s="377"/>
      <c r="L62" s="377"/>
      <c r="M62" s="377"/>
      <c r="N62" s="377"/>
      <c r="O62" s="377">
        <f t="shared" si="0"/>
        <v>-573.09</v>
      </c>
    </row>
    <row r="63" spans="1:15">
      <c r="A63" s="372" t="s">
        <v>877</v>
      </c>
      <c r="B63" s="373" t="s">
        <v>878</v>
      </c>
      <c r="C63" s="375">
        <v>0</v>
      </c>
      <c r="D63" s="376">
        <v>0</v>
      </c>
      <c r="E63" s="375">
        <v>0</v>
      </c>
      <c r="F63" s="376"/>
      <c r="G63" s="376"/>
      <c r="H63" s="376"/>
      <c r="I63" s="377"/>
      <c r="J63" s="377"/>
      <c r="K63" s="377"/>
      <c r="L63" s="377"/>
      <c r="M63" s="377"/>
      <c r="N63" s="377"/>
      <c r="O63" s="377">
        <f t="shared" si="0"/>
        <v>0</v>
      </c>
    </row>
    <row r="64" spans="1:15">
      <c r="A64" s="372" t="s">
        <v>879</v>
      </c>
      <c r="B64" s="373" t="s">
        <v>880</v>
      </c>
      <c r="C64" s="375">
        <v>0</v>
      </c>
      <c r="D64" s="376">
        <v>0</v>
      </c>
      <c r="E64" s="375">
        <v>0</v>
      </c>
      <c r="F64" s="376"/>
      <c r="G64" s="376"/>
      <c r="H64" s="376"/>
      <c r="I64" s="377"/>
      <c r="J64" s="377"/>
      <c r="K64" s="377"/>
      <c r="L64" s="377"/>
      <c r="M64" s="377"/>
      <c r="N64" s="377"/>
      <c r="O64" s="377">
        <f t="shared" si="0"/>
        <v>0</v>
      </c>
    </row>
    <row r="65" spans="1:15">
      <c r="A65" s="372" t="s">
        <v>881</v>
      </c>
      <c r="B65" s="373" t="s">
        <v>882</v>
      </c>
      <c r="C65" s="375">
        <v>0</v>
      </c>
      <c r="D65" s="376">
        <v>0</v>
      </c>
      <c r="E65" s="375">
        <v>0</v>
      </c>
      <c r="F65" s="376"/>
      <c r="G65" s="376"/>
      <c r="H65" s="376"/>
      <c r="I65" s="377"/>
      <c r="J65" s="377"/>
      <c r="K65" s="377"/>
      <c r="L65" s="377"/>
      <c r="M65" s="377"/>
      <c r="N65" s="377"/>
      <c r="O65" s="377">
        <f t="shared" si="0"/>
        <v>0</v>
      </c>
    </row>
    <row r="66" spans="1:15">
      <c r="A66" s="372" t="s">
        <v>883</v>
      </c>
      <c r="B66" s="373" t="s">
        <v>884</v>
      </c>
      <c r="C66" s="375">
        <v>0</v>
      </c>
      <c r="D66" s="376">
        <v>0</v>
      </c>
      <c r="E66" s="375">
        <v>0</v>
      </c>
      <c r="F66" s="376"/>
      <c r="G66" s="376"/>
      <c r="H66" s="376"/>
      <c r="I66" s="377"/>
      <c r="J66" s="377"/>
      <c r="K66" s="377"/>
      <c r="L66" s="377"/>
      <c r="M66" s="377"/>
      <c r="N66" s="377"/>
      <c r="O66" s="377">
        <f t="shared" ref="O66:O129" si="1">SUM(C66:N66)</f>
        <v>0</v>
      </c>
    </row>
    <row r="67" spans="1:15">
      <c r="A67" s="372" t="s">
        <v>885</v>
      </c>
      <c r="B67" s="373" t="s">
        <v>886</v>
      </c>
      <c r="C67" s="375">
        <v>-9912.0300000000007</v>
      </c>
      <c r="D67" s="376">
        <v>-9191.98</v>
      </c>
      <c r="E67" s="375">
        <v>0</v>
      </c>
      <c r="F67" s="376"/>
      <c r="G67" s="376"/>
      <c r="H67" s="376"/>
      <c r="I67" s="377"/>
      <c r="J67" s="377"/>
      <c r="K67" s="377"/>
      <c r="L67" s="377"/>
      <c r="M67" s="377"/>
      <c r="N67" s="377"/>
      <c r="O67" s="377">
        <f t="shared" si="1"/>
        <v>-19104.010000000002</v>
      </c>
    </row>
    <row r="68" spans="1:15">
      <c r="A68" s="372" t="s">
        <v>887</v>
      </c>
      <c r="B68" s="373" t="s">
        <v>888</v>
      </c>
      <c r="C68" s="375">
        <v>0</v>
      </c>
      <c r="D68" s="376">
        <v>0</v>
      </c>
      <c r="E68" s="375">
        <v>0</v>
      </c>
      <c r="F68" s="376"/>
      <c r="G68" s="376"/>
      <c r="H68" s="376"/>
      <c r="I68" s="377"/>
      <c r="J68" s="377"/>
      <c r="K68" s="377"/>
      <c r="L68" s="377"/>
      <c r="M68" s="377"/>
      <c r="N68" s="377"/>
      <c r="O68" s="377">
        <f t="shared" si="1"/>
        <v>0</v>
      </c>
    </row>
    <row r="69" spans="1:15">
      <c r="A69" s="372" t="s">
        <v>889</v>
      </c>
      <c r="B69" s="373" t="s">
        <v>890</v>
      </c>
      <c r="C69" s="375">
        <v>0</v>
      </c>
      <c r="D69" s="376">
        <v>0</v>
      </c>
      <c r="E69" s="375">
        <v>0</v>
      </c>
      <c r="F69" s="376"/>
      <c r="G69" s="376"/>
      <c r="H69" s="376"/>
      <c r="I69" s="377"/>
      <c r="J69" s="377"/>
      <c r="K69" s="377"/>
      <c r="L69" s="377"/>
      <c r="M69" s="377"/>
      <c r="N69" s="377"/>
      <c r="O69" s="377">
        <f t="shared" si="1"/>
        <v>0</v>
      </c>
    </row>
    <row r="70" spans="1:15">
      <c r="A70" s="372" t="s">
        <v>891</v>
      </c>
      <c r="B70" s="373" t="s">
        <v>892</v>
      </c>
      <c r="C70" s="375">
        <v>61843</v>
      </c>
      <c r="D70" s="376">
        <v>-26395</v>
      </c>
      <c r="E70" s="375">
        <v>14423</v>
      </c>
      <c r="F70" s="376"/>
      <c r="G70" s="376"/>
      <c r="H70" s="376"/>
      <c r="I70" s="377"/>
      <c r="J70" s="377"/>
      <c r="K70" s="377"/>
      <c r="L70" s="377"/>
      <c r="M70" s="377"/>
      <c r="N70" s="377"/>
      <c r="O70" s="377">
        <f t="shared" si="1"/>
        <v>49871</v>
      </c>
    </row>
    <row r="71" spans="1:15">
      <c r="A71" s="372" t="s">
        <v>893</v>
      </c>
      <c r="B71" s="373" t="s">
        <v>894</v>
      </c>
      <c r="C71" s="375">
        <v>-1377.24</v>
      </c>
      <c r="D71" s="376">
        <v>-245.45</v>
      </c>
      <c r="E71" s="375">
        <v>175</v>
      </c>
      <c r="F71" s="376"/>
      <c r="G71" s="376"/>
      <c r="H71" s="376"/>
      <c r="I71" s="377"/>
      <c r="J71" s="377"/>
      <c r="K71" s="377"/>
      <c r="L71" s="377"/>
      <c r="M71" s="377"/>
      <c r="N71" s="377"/>
      <c r="O71" s="377">
        <f t="shared" si="1"/>
        <v>-1447.69</v>
      </c>
    </row>
    <row r="72" spans="1:15">
      <c r="A72" s="372" t="s">
        <v>895</v>
      </c>
      <c r="B72" s="373" t="s">
        <v>896</v>
      </c>
      <c r="C72" s="375">
        <v>0</v>
      </c>
      <c r="D72" s="376">
        <v>0</v>
      </c>
      <c r="E72" s="375">
        <v>0</v>
      </c>
      <c r="F72" s="376"/>
      <c r="G72" s="376"/>
      <c r="H72" s="376"/>
      <c r="I72" s="377"/>
      <c r="J72" s="377"/>
      <c r="K72" s="377"/>
      <c r="L72" s="377"/>
      <c r="M72" s="377"/>
      <c r="N72" s="377"/>
      <c r="O72" s="377">
        <f t="shared" si="1"/>
        <v>0</v>
      </c>
    </row>
    <row r="73" spans="1:15">
      <c r="A73" s="372" t="s">
        <v>897</v>
      </c>
      <c r="B73" s="373" t="s">
        <v>898</v>
      </c>
      <c r="C73" s="375">
        <v>0</v>
      </c>
      <c r="D73" s="376">
        <v>0</v>
      </c>
      <c r="E73" s="375">
        <v>0</v>
      </c>
      <c r="F73" s="376"/>
      <c r="G73" s="376"/>
      <c r="H73" s="376"/>
      <c r="I73" s="377"/>
      <c r="J73" s="377"/>
      <c r="K73" s="377"/>
      <c r="L73" s="377"/>
      <c r="M73" s="377"/>
      <c r="N73" s="377"/>
      <c r="O73" s="377">
        <f t="shared" si="1"/>
        <v>0</v>
      </c>
    </row>
    <row r="74" spans="1:15">
      <c r="A74" s="372" t="s">
        <v>899</v>
      </c>
      <c r="B74" s="373" t="s">
        <v>900</v>
      </c>
      <c r="C74" s="375">
        <v>-12832.96</v>
      </c>
      <c r="D74" s="376">
        <v>18362.169999999998</v>
      </c>
      <c r="E74" s="375">
        <v>7951.9</v>
      </c>
      <c r="F74" s="376"/>
      <c r="G74" s="376"/>
      <c r="H74" s="376"/>
      <c r="I74" s="377"/>
      <c r="J74" s="377"/>
      <c r="K74" s="377"/>
      <c r="L74" s="377"/>
      <c r="M74" s="377"/>
      <c r="N74" s="377"/>
      <c r="O74" s="377">
        <f t="shared" si="1"/>
        <v>13481.109999999999</v>
      </c>
    </row>
    <row r="75" spans="1:15">
      <c r="A75" s="372" t="s">
        <v>901</v>
      </c>
      <c r="B75" s="373" t="s">
        <v>902</v>
      </c>
      <c r="C75" s="375">
        <v>0</v>
      </c>
      <c r="D75" s="376">
        <v>0</v>
      </c>
      <c r="E75" s="375">
        <v>0</v>
      </c>
      <c r="F75" s="376"/>
      <c r="G75" s="376"/>
      <c r="H75" s="376"/>
      <c r="I75" s="377"/>
      <c r="J75" s="377"/>
      <c r="K75" s="377"/>
      <c r="L75" s="377"/>
      <c r="M75" s="377"/>
      <c r="N75" s="377"/>
      <c r="O75" s="377">
        <f t="shared" si="1"/>
        <v>0</v>
      </c>
    </row>
    <row r="76" spans="1:15">
      <c r="A76" s="372" t="s">
        <v>903</v>
      </c>
      <c r="B76" s="373" t="s">
        <v>904</v>
      </c>
      <c r="C76" s="375">
        <v>10000</v>
      </c>
      <c r="D76" s="376">
        <v>10000</v>
      </c>
      <c r="E76" s="375">
        <v>0</v>
      </c>
      <c r="F76" s="376"/>
      <c r="G76" s="376"/>
      <c r="H76" s="376"/>
      <c r="I76" s="377"/>
      <c r="J76" s="377"/>
      <c r="K76" s="377"/>
      <c r="L76" s="377"/>
      <c r="M76" s="377"/>
      <c r="N76" s="377"/>
      <c r="O76" s="377">
        <f t="shared" si="1"/>
        <v>20000</v>
      </c>
    </row>
    <row r="77" spans="1:15">
      <c r="A77" s="372" t="s">
        <v>905</v>
      </c>
      <c r="B77" s="373" t="s">
        <v>906</v>
      </c>
      <c r="C77" s="375">
        <v>0</v>
      </c>
      <c r="D77" s="376">
        <v>0</v>
      </c>
      <c r="E77" s="375">
        <v>0</v>
      </c>
      <c r="F77" s="376"/>
      <c r="G77" s="376"/>
      <c r="H77" s="376"/>
      <c r="I77" s="377"/>
      <c r="J77" s="377"/>
      <c r="K77" s="377"/>
      <c r="L77" s="377"/>
      <c r="M77" s="377"/>
      <c r="N77" s="377"/>
      <c r="O77" s="377">
        <f t="shared" si="1"/>
        <v>0</v>
      </c>
    </row>
    <row r="78" spans="1:15">
      <c r="A78" s="372" t="s">
        <v>907</v>
      </c>
      <c r="B78" s="373" t="s">
        <v>908</v>
      </c>
      <c r="C78" s="375">
        <v>0</v>
      </c>
      <c r="D78" s="376">
        <v>0</v>
      </c>
      <c r="E78" s="375">
        <v>0</v>
      </c>
      <c r="F78" s="376"/>
      <c r="G78" s="376"/>
      <c r="H78" s="376"/>
      <c r="I78" s="377"/>
      <c r="J78" s="377"/>
      <c r="K78" s="377"/>
      <c r="L78" s="377"/>
      <c r="M78" s="377"/>
      <c r="N78" s="377"/>
      <c r="O78" s="377">
        <f t="shared" si="1"/>
        <v>0</v>
      </c>
    </row>
    <row r="79" spans="1:15">
      <c r="A79" s="372" t="s">
        <v>909</v>
      </c>
      <c r="B79" s="373" t="s">
        <v>910</v>
      </c>
      <c r="C79" s="375">
        <v>-374574.39</v>
      </c>
      <c r="D79" s="376">
        <v>1717.28</v>
      </c>
      <c r="E79" s="375">
        <v>0</v>
      </c>
      <c r="F79" s="376"/>
      <c r="G79" s="376"/>
      <c r="H79" s="376"/>
      <c r="I79" s="377"/>
      <c r="J79" s="377"/>
      <c r="K79" s="377"/>
      <c r="L79" s="377"/>
      <c r="M79" s="377"/>
      <c r="N79" s="377"/>
      <c r="O79" s="377">
        <f t="shared" si="1"/>
        <v>-372857.11</v>
      </c>
    </row>
    <row r="80" spans="1:15">
      <c r="A80" s="372" t="s">
        <v>911</v>
      </c>
      <c r="B80" s="373" t="s">
        <v>912</v>
      </c>
      <c r="C80" s="375">
        <v>109628.34</v>
      </c>
      <c r="D80" s="376">
        <v>-2250.4699999999998</v>
      </c>
      <c r="E80" s="375">
        <v>-2263.6</v>
      </c>
      <c r="F80" s="376"/>
      <c r="G80" s="376"/>
      <c r="H80" s="376"/>
      <c r="I80" s="377"/>
      <c r="J80" s="377"/>
      <c r="K80" s="377"/>
      <c r="L80" s="377"/>
      <c r="M80" s="377"/>
      <c r="N80" s="377"/>
      <c r="O80" s="377">
        <f t="shared" si="1"/>
        <v>105114.26999999999</v>
      </c>
    </row>
    <row r="81" spans="1:15">
      <c r="A81" s="372" t="s">
        <v>913</v>
      </c>
      <c r="B81" s="373" t="s">
        <v>914</v>
      </c>
      <c r="C81" s="375">
        <v>109628.34</v>
      </c>
      <c r="D81" s="376">
        <v>-2250.4699999999998</v>
      </c>
      <c r="E81" s="375">
        <v>-2263.6</v>
      </c>
      <c r="F81" s="376"/>
      <c r="G81" s="376"/>
      <c r="H81" s="376"/>
      <c r="I81" s="377"/>
      <c r="J81" s="377"/>
      <c r="K81" s="377"/>
      <c r="L81" s="377"/>
      <c r="M81" s="377"/>
      <c r="N81" s="377"/>
      <c r="O81" s="377">
        <f t="shared" si="1"/>
        <v>105114.26999999999</v>
      </c>
    </row>
    <row r="82" spans="1:15">
      <c r="A82" s="372" t="s">
        <v>915</v>
      </c>
      <c r="B82" s="373" t="s">
        <v>916</v>
      </c>
      <c r="C82" s="375">
        <v>30983.01</v>
      </c>
      <c r="D82" s="376">
        <v>-1093.8900000000001</v>
      </c>
      <c r="E82" s="375">
        <v>-1125.19</v>
      </c>
      <c r="F82" s="376"/>
      <c r="G82" s="376"/>
      <c r="H82" s="376"/>
      <c r="I82" s="377"/>
      <c r="J82" s="377"/>
      <c r="K82" s="377"/>
      <c r="L82" s="377"/>
      <c r="M82" s="377"/>
      <c r="N82" s="377"/>
      <c r="O82" s="377">
        <f t="shared" si="1"/>
        <v>28763.93</v>
      </c>
    </row>
    <row r="83" spans="1:15">
      <c r="A83" s="372" t="s">
        <v>917</v>
      </c>
      <c r="B83" s="373" t="s">
        <v>918</v>
      </c>
      <c r="C83" s="375">
        <v>13123.58</v>
      </c>
      <c r="D83" s="376">
        <v>-925.62</v>
      </c>
      <c r="E83" s="375">
        <v>-925.55</v>
      </c>
      <c r="F83" s="376"/>
      <c r="G83" s="376"/>
      <c r="H83" s="376"/>
      <c r="I83" s="377"/>
      <c r="J83" s="377"/>
      <c r="K83" s="377"/>
      <c r="L83" s="377"/>
      <c r="M83" s="377"/>
      <c r="N83" s="377"/>
      <c r="O83" s="377">
        <f t="shared" si="1"/>
        <v>11272.41</v>
      </c>
    </row>
    <row r="84" spans="1:15">
      <c r="A84" s="372" t="s">
        <v>919</v>
      </c>
      <c r="B84" s="373" t="s">
        <v>920</v>
      </c>
      <c r="C84" s="375">
        <v>22505.77</v>
      </c>
      <c r="D84" s="376">
        <v>-1461.33</v>
      </c>
      <c r="E84" s="375">
        <v>-1466.81</v>
      </c>
      <c r="F84" s="376"/>
      <c r="G84" s="376"/>
      <c r="H84" s="376"/>
      <c r="I84" s="377"/>
      <c r="J84" s="377"/>
      <c r="K84" s="377"/>
      <c r="L84" s="377"/>
      <c r="M84" s="377"/>
      <c r="N84" s="377"/>
      <c r="O84" s="377">
        <f t="shared" si="1"/>
        <v>19577.63</v>
      </c>
    </row>
    <row r="85" spans="1:15">
      <c r="A85" s="372" t="s">
        <v>921</v>
      </c>
      <c r="B85" s="373" t="s">
        <v>922</v>
      </c>
      <c r="C85" s="375">
        <v>35642.92</v>
      </c>
      <c r="D85" s="376">
        <v>-1717.28</v>
      </c>
      <c r="E85" s="375">
        <v>-1526.45</v>
      </c>
      <c r="F85" s="376"/>
      <c r="G85" s="376"/>
      <c r="H85" s="376"/>
      <c r="I85" s="377"/>
      <c r="J85" s="377"/>
      <c r="K85" s="377"/>
      <c r="L85" s="377"/>
      <c r="M85" s="377"/>
      <c r="N85" s="377"/>
      <c r="O85" s="377">
        <f t="shared" si="1"/>
        <v>32399.19</v>
      </c>
    </row>
    <row r="86" spans="1:15">
      <c r="A86" s="372" t="s">
        <v>923</v>
      </c>
      <c r="B86" s="373" t="s">
        <v>924</v>
      </c>
      <c r="C86" s="375">
        <v>32722.61</v>
      </c>
      <c r="D86" s="376">
        <v>-1336.63</v>
      </c>
      <c r="E86" s="375">
        <v>-1344.14</v>
      </c>
      <c r="F86" s="376"/>
      <c r="G86" s="376"/>
      <c r="H86" s="376"/>
      <c r="I86" s="377"/>
      <c r="J86" s="377"/>
      <c r="K86" s="377"/>
      <c r="L86" s="377"/>
      <c r="M86" s="377"/>
      <c r="N86" s="377"/>
      <c r="O86" s="377">
        <f t="shared" si="1"/>
        <v>30041.84</v>
      </c>
    </row>
    <row r="87" spans="1:15">
      <c r="A87" s="372" t="s">
        <v>925</v>
      </c>
      <c r="B87" s="373" t="s">
        <v>926</v>
      </c>
      <c r="C87" s="375">
        <v>8578.31</v>
      </c>
      <c r="D87" s="376">
        <v>-1699.23</v>
      </c>
      <c r="E87" s="375">
        <v>-1704.1</v>
      </c>
      <c r="F87" s="376"/>
      <c r="G87" s="376"/>
      <c r="H87" s="376"/>
      <c r="I87" s="377"/>
      <c r="J87" s="377"/>
      <c r="K87" s="377"/>
      <c r="L87" s="377"/>
      <c r="M87" s="377"/>
      <c r="N87" s="377"/>
      <c r="O87" s="377">
        <f t="shared" si="1"/>
        <v>5174.9799999999996</v>
      </c>
    </row>
    <row r="88" spans="1:15">
      <c r="A88" s="372" t="s">
        <v>927</v>
      </c>
      <c r="B88" s="373" t="s">
        <v>928</v>
      </c>
      <c r="C88" s="375">
        <v>0</v>
      </c>
      <c r="D88" s="376">
        <v>0</v>
      </c>
      <c r="E88" s="375">
        <v>82150.12</v>
      </c>
      <c r="F88" s="376"/>
      <c r="G88" s="376"/>
      <c r="H88" s="376"/>
      <c r="I88" s="377"/>
      <c r="J88" s="377"/>
      <c r="K88" s="377"/>
      <c r="L88" s="377"/>
      <c r="M88" s="377"/>
      <c r="N88" s="377"/>
      <c r="O88" s="377">
        <f t="shared" si="1"/>
        <v>82150.12</v>
      </c>
    </row>
    <row r="89" spans="1:15">
      <c r="A89" s="372" t="s">
        <v>929</v>
      </c>
      <c r="B89" s="373" t="s">
        <v>930</v>
      </c>
      <c r="C89" s="375">
        <v>0</v>
      </c>
      <c r="D89" s="376">
        <v>0</v>
      </c>
      <c r="E89" s="375">
        <v>0</v>
      </c>
      <c r="F89" s="376"/>
      <c r="G89" s="376"/>
      <c r="H89" s="376"/>
      <c r="I89" s="377"/>
      <c r="J89" s="377"/>
      <c r="K89" s="377"/>
      <c r="L89" s="377"/>
      <c r="M89" s="377"/>
      <c r="N89" s="377"/>
      <c r="O89" s="377">
        <f t="shared" si="1"/>
        <v>0</v>
      </c>
    </row>
    <row r="90" spans="1:15">
      <c r="A90" s="372" t="s">
        <v>931</v>
      </c>
      <c r="B90" s="373" t="s">
        <v>932</v>
      </c>
      <c r="C90" s="375">
        <v>0</v>
      </c>
      <c r="D90" s="376">
        <v>0</v>
      </c>
      <c r="E90" s="375">
        <v>0</v>
      </c>
      <c r="F90" s="376"/>
      <c r="G90" s="376"/>
      <c r="H90" s="376"/>
      <c r="I90" s="377"/>
      <c r="J90" s="377"/>
      <c r="K90" s="377"/>
      <c r="L90" s="377"/>
      <c r="M90" s="377"/>
      <c r="N90" s="377"/>
      <c r="O90" s="377">
        <f t="shared" si="1"/>
        <v>0</v>
      </c>
    </row>
    <row r="91" spans="1:15">
      <c r="A91" s="372" t="s">
        <v>933</v>
      </c>
      <c r="B91" s="373" t="s">
        <v>468</v>
      </c>
      <c r="C91" s="375">
        <v>-190145.78</v>
      </c>
      <c r="D91" s="376">
        <v>-184116.23</v>
      </c>
      <c r="E91" s="375">
        <v>320254.77</v>
      </c>
      <c r="F91" s="376"/>
      <c r="G91" s="376"/>
      <c r="H91" s="376"/>
      <c r="I91" s="377"/>
      <c r="J91" s="377"/>
      <c r="K91" s="377"/>
      <c r="L91" s="377"/>
      <c r="M91" s="377"/>
      <c r="N91" s="377"/>
      <c r="O91" s="377">
        <f t="shared" si="1"/>
        <v>-54007.239999999991</v>
      </c>
    </row>
    <row r="92" spans="1:15">
      <c r="A92" s="372" t="s">
        <v>934</v>
      </c>
      <c r="B92" s="373" t="s">
        <v>935</v>
      </c>
      <c r="C92" s="375">
        <v>0</v>
      </c>
      <c r="D92" s="376">
        <v>0</v>
      </c>
      <c r="E92" s="375">
        <v>0</v>
      </c>
      <c r="F92" s="376"/>
      <c r="G92" s="376"/>
      <c r="H92" s="376"/>
      <c r="I92" s="377"/>
      <c r="J92" s="377"/>
      <c r="K92" s="377"/>
      <c r="L92" s="377"/>
      <c r="M92" s="377"/>
      <c r="N92" s="377"/>
      <c r="O92" s="377">
        <f t="shared" si="1"/>
        <v>0</v>
      </c>
    </row>
    <row r="93" spans="1:15">
      <c r="A93" s="372" t="s">
        <v>936</v>
      </c>
      <c r="B93" s="373" t="s">
        <v>937</v>
      </c>
      <c r="C93" s="375">
        <v>0</v>
      </c>
      <c r="D93" s="376">
        <v>0</v>
      </c>
      <c r="E93" s="375">
        <v>0</v>
      </c>
      <c r="F93" s="376"/>
      <c r="G93" s="376"/>
      <c r="H93" s="376"/>
      <c r="I93" s="377"/>
      <c r="J93" s="377"/>
      <c r="K93" s="377"/>
      <c r="L93" s="377"/>
      <c r="M93" s="377"/>
      <c r="N93" s="377"/>
      <c r="O93" s="377">
        <f t="shared" si="1"/>
        <v>0</v>
      </c>
    </row>
    <row r="94" spans="1:15">
      <c r="A94" s="372" t="s">
        <v>938</v>
      </c>
      <c r="B94" s="373" t="s">
        <v>939</v>
      </c>
      <c r="C94" s="375">
        <v>0</v>
      </c>
      <c r="D94" s="376">
        <v>0</v>
      </c>
      <c r="E94" s="375">
        <v>0</v>
      </c>
      <c r="F94" s="376"/>
      <c r="G94" s="376"/>
      <c r="H94" s="376"/>
      <c r="I94" s="377"/>
      <c r="J94" s="377"/>
      <c r="K94" s="377"/>
      <c r="L94" s="377"/>
      <c r="M94" s="377"/>
      <c r="N94" s="377"/>
      <c r="O94" s="377">
        <f t="shared" si="1"/>
        <v>0</v>
      </c>
    </row>
    <row r="95" spans="1:15">
      <c r="A95" s="372" t="s">
        <v>940</v>
      </c>
      <c r="B95" s="373" t="s">
        <v>941</v>
      </c>
      <c r="C95" s="375">
        <v>-10375</v>
      </c>
      <c r="D95" s="376">
        <v>-10803.98</v>
      </c>
      <c r="E95" s="375">
        <v>-10643.53</v>
      </c>
      <c r="F95" s="376"/>
      <c r="G95" s="376"/>
      <c r="H95" s="376"/>
      <c r="I95" s="377"/>
      <c r="J95" s="377"/>
      <c r="K95" s="377"/>
      <c r="L95" s="377"/>
      <c r="M95" s="377"/>
      <c r="N95" s="377"/>
      <c r="O95" s="377">
        <f t="shared" si="1"/>
        <v>-31822.510000000002</v>
      </c>
    </row>
    <row r="96" spans="1:15">
      <c r="A96" s="372" t="s">
        <v>942</v>
      </c>
      <c r="B96" s="373" t="s">
        <v>943</v>
      </c>
      <c r="C96" s="375">
        <v>872.77</v>
      </c>
      <c r="D96" s="376">
        <v>875.74</v>
      </c>
      <c r="E96" s="375">
        <v>878.72</v>
      </c>
      <c r="F96" s="376"/>
      <c r="G96" s="376"/>
      <c r="H96" s="376"/>
      <c r="I96" s="377"/>
      <c r="J96" s="377"/>
      <c r="K96" s="377"/>
      <c r="L96" s="377"/>
      <c r="M96" s="377"/>
      <c r="N96" s="377"/>
      <c r="O96" s="377">
        <f t="shared" si="1"/>
        <v>2627.23</v>
      </c>
    </row>
    <row r="97" spans="1:15">
      <c r="A97" s="372" t="s">
        <v>944</v>
      </c>
      <c r="B97" s="373" t="s">
        <v>945</v>
      </c>
      <c r="C97" s="375">
        <v>0</v>
      </c>
      <c r="D97" s="376">
        <v>0</v>
      </c>
      <c r="E97" s="375">
        <v>0</v>
      </c>
      <c r="F97" s="376"/>
      <c r="G97" s="376"/>
      <c r="H97" s="376"/>
      <c r="I97" s="377"/>
      <c r="J97" s="377"/>
      <c r="K97" s="377"/>
      <c r="L97" s="377"/>
      <c r="M97" s="377"/>
      <c r="N97" s="377"/>
      <c r="O97" s="377">
        <f t="shared" si="1"/>
        <v>0</v>
      </c>
    </row>
    <row r="98" spans="1:15">
      <c r="A98" s="372" t="s">
        <v>946</v>
      </c>
      <c r="B98" s="373" t="s">
        <v>469</v>
      </c>
      <c r="C98" s="375">
        <v>0</v>
      </c>
      <c r="D98" s="376">
        <v>0</v>
      </c>
      <c r="E98" s="375">
        <v>0</v>
      </c>
      <c r="F98" s="376"/>
      <c r="G98" s="376"/>
      <c r="H98" s="376"/>
      <c r="I98" s="377"/>
      <c r="J98" s="377"/>
      <c r="K98" s="377"/>
      <c r="L98" s="377"/>
      <c r="M98" s="377"/>
      <c r="N98" s="377"/>
      <c r="O98" s="377">
        <f t="shared" si="1"/>
        <v>0</v>
      </c>
    </row>
    <row r="99" spans="1:15">
      <c r="A99" s="372" t="s">
        <v>947</v>
      </c>
      <c r="B99" s="373" t="s">
        <v>948</v>
      </c>
      <c r="C99" s="375">
        <v>-128203.91</v>
      </c>
      <c r="D99" s="376">
        <v>-124487.71</v>
      </c>
      <c r="E99" s="375">
        <v>-122356.49</v>
      </c>
      <c r="F99" s="376"/>
      <c r="G99" s="376"/>
      <c r="H99" s="376"/>
      <c r="I99" s="377"/>
      <c r="J99" s="377"/>
      <c r="K99" s="377"/>
      <c r="L99" s="377"/>
      <c r="M99" s="377"/>
      <c r="N99" s="377"/>
      <c r="O99" s="377">
        <f t="shared" si="1"/>
        <v>-375048.11</v>
      </c>
    </row>
    <row r="100" spans="1:15">
      <c r="A100" s="372" t="s">
        <v>949</v>
      </c>
      <c r="B100" s="373" t="s">
        <v>950</v>
      </c>
      <c r="C100" s="375">
        <v>-1956.5</v>
      </c>
      <c r="D100" s="376">
        <v>-1964.68</v>
      </c>
      <c r="E100" s="375">
        <v>-1995.39</v>
      </c>
      <c r="F100" s="376"/>
      <c r="G100" s="380"/>
      <c r="H100" s="376"/>
      <c r="I100" s="377"/>
      <c r="J100" s="377"/>
      <c r="K100" s="377"/>
      <c r="L100" s="377"/>
      <c r="M100" s="377"/>
      <c r="N100" s="377"/>
      <c r="O100" s="377">
        <f t="shared" si="1"/>
        <v>-5916.5700000000006</v>
      </c>
    </row>
    <row r="101" spans="1:15">
      <c r="A101" s="372" t="s">
        <v>951</v>
      </c>
      <c r="B101" s="373" t="s">
        <v>952</v>
      </c>
      <c r="C101" s="375">
        <v>0</v>
      </c>
      <c r="D101" s="376">
        <v>0</v>
      </c>
      <c r="E101" s="375">
        <v>0</v>
      </c>
      <c r="F101" s="376"/>
      <c r="G101" s="376"/>
      <c r="H101" s="376"/>
      <c r="I101" s="377"/>
      <c r="J101" s="377"/>
      <c r="K101" s="377"/>
      <c r="L101" s="377"/>
      <c r="M101" s="377"/>
      <c r="N101" s="377"/>
      <c r="O101" s="377">
        <f t="shared" si="1"/>
        <v>0</v>
      </c>
    </row>
    <row r="102" spans="1:15">
      <c r="A102" s="372" t="s">
        <v>953</v>
      </c>
      <c r="B102" s="373" t="s">
        <v>954</v>
      </c>
      <c r="C102" s="375">
        <v>0</v>
      </c>
      <c r="D102" s="376">
        <v>0</v>
      </c>
      <c r="E102" s="375">
        <v>0</v>
      </c>
      <c r="F102" s="376"/>
      <c r="G102" s="376"/>
      <c r="H102" s="376"/>
      <c r="I102" s="377"/>
      <c r="J102" s="377"/>
      <c r="K102" s="377"/>
      <c r="L102" s="377"/>
      <c r="M102" s="377"/>
      <c r="N102" s="377"/>
      <c r="O102" s="377">
        <f t="shared" si="1"/>
        <v>0</v>
      </c>
    </row>
    <row r="103" spans="1:15">
      <c r="A103" s="372" t="s">
        <v>955</v>
      </c>
      <c r="B103" s="373" t="s">
        <v>956</v>
      </c>
      <c r="C103" s="375">
        <v>0</v>
      </c>
      <c r="D103" s="376">
        <v>0</v>
      </c>
      <c r="E103" s="375">
        <v>0</v>
      </c>
      <c r="F103" s="376"/>
      <c r="G103" s="376"/>
      <c r="H103" s="376"/>
      <c r="I103" s="377"/>
      <c r="J103" s="377"/>
      <c r="K103" s="377"/>
      <c r="L103" s="377"/>
      <c r="M103" s="377"/>
      <c r="N103" s="377"/>
      <c r="O103" s="377">
        <f t="shared" si="1"/>
        <v>0</v>
      </c>
    </row>
    <row r="104" spans="1:15">
      <c r="A104" s="372" t="s">
        <v>957</v>
      </c>
      <c r="B104" s="373" t="s">
        <v>958</v>
      </c>
      <c r="C104" s="375">
        <v>-9450</v>
      </c>
      <c r="D104" s="376">
        <v>0</v>
      </c>
      <c r="E104" s="375">
        <v>0</v>
      </c>
      <c r="F104" s="376"/>
      <c r="G104" s="376"/>
      <c r="H104" s="376"/>
      <c r="I104" s="377"/>
      <c r="J104" s="377"/>
      <c r="K104" s="377"/>
      <c r="L104" s="377"/>
      <c r="M104" s="377"/>
      <c r="N104" s="377"/>
      <c r="O104" s="377">
        <f t="shared" si="1"/>
        <v>-9450</v>
      </c>
    </row>
    <row r="105" spans="1:15">
      <c r="A105" s="372" t="s">
        <v>959</v>
      </c>
      <c r="B105" s="373" t="s">
        <v>960</v>
      </c>
      <c r="C105" s="375">
        <v>0</v>
      </c>
      <c r="D105" s="376">
        <v>0</v>
      </c>
      <c r="E105" s="375">
        <v>0</v>
      </c>
      <c r="F105" s="376"/>
      <c r="G105" s="376"/>
      <c r="H105" s="376"/>
      <c r="I105" s="377"/>
      <c r="J105" s="377"/>
      <c r="K105" s="377"/>
      <c r="L105" s="377"/>
      <c r="M105" s="377"/>
      <c r="N105" s="377"/>
      <c r="O105" s="377">
        <f t="shared" si="1"/>
        <v>0</v>
      </c>
    </row>
    <row r="106" spans="1:15">
      <c r="A106" s="372" t="s">
        <v>961</v>
      </c>
      <c r="B106" s="373" t="s">
        <v>962</v>
      </c>
      <c r="C106" s="375">
        <v>-1842</v>
      </c>
      <c r="D106" s="376">
        <v>0</v>
      </c>
      <c r="E106" s="375">
        <v>-20250</v>
      </c>
      <c r="F106" s="376"/>
      <c r="G106" s="376"/>
      <c r="H106" s="376"/>
      <c r="I106" s="377"/>
      <c r="J106" s="377"/>
      <c r="K106" s="377"/>
      <c r="L106" s="377"/>
      <c r="M106" s="377"/>
      <c r="N106" s="377"/>
      <c r="O106" s="377">
        <f t="shared" si="1"/>
        <v>-22092</v>
      </c>
    </row>
    <row r="107" spans="1:15">
      <c r="A107" s="372" t="s">
        <v>963</v>
      </c>
      <c r="B107" s="373" t="s">
        <v>964</v>
      </c>
      <c r="C107" s="375">
        <v>-3996.75</v>
      </c>
      <c r="D107" s="376">
        <v>-904</v>
      </c>
      <c r="E107" s="375">
        <v>-8163.13</v>
      </c>
      <c r="F107" s="376"/>
      <c r="G107" s="376"/>
      <c r="H107" s="376"/>
      <c r="I107" s="377"/>
      <c r="J107" s="377"/>
      <c r="K107" s="377"/>
      <c r="L107" s="377"/>
      <c r="M107" s="377"/>
      <c r="N107" s="377"/>
      <c r="O107" s="377">
        <f t="shared" si="1"/>
        <v>-13063.880000000001</v>
      </c>
    </row>
    <row r="108" spans="1:15">
      <c r="A108" s="372" t="s">
        <v>965</v>
      </c>
      <c r="B108" s="373" t="s">
        <v>966</v>
      </c>
      <c r="C108" s="375">
        <v>-53095.199999999997</v>
      </c>
      <c r="D108" s="376">
        <v>-66872.62</v>
      </c>
      <c r="E108" s="375">
        <v>-67951.14</v>
      </c>
      <c r="F108" s="376"/>
      <c r="G108" s="376"/>
      <c r="H108" s="376"/>
      <c r="I108" s="377"/>
      <c r="J108" s="377"/>
      <c r="K108" s="377"/>
      <c r="L108" s="377"/>
      <c r="M108" s="377"/>
      <c r="N108" s="377"/>
      <c r="O108" s="377">
        <f t="shared" si="1"/>
        <v>-187918.96</v>
      </c>
    </row>
    <row r="109" spans="1:15">
      <c r="A109" s="372" t="s">
        <v>967</v>
      </c>
      <c r="B109" s="373" t="s">
        <v>968</v>
      </c>
      <c r="C109" s="375">
        <v>-123180.44</v>
      </c>
      <c r="D109" s="376">
        <v>-123754.63</v>
      </c>
      <c r="E109" s="375">
        <v>-102148.14</v>
      </c>
      <c r="F109" s="376"/>
      <c r="G109" s="376"/>
      <c r="H109" s="376"/>
      <c r="I109" s="377"/>
      <c r="J109" s="377"/>
      <c r="K109" s="377"/>
      <c r="L109" s="377"/>
      <c r="M109" s="377"/>
      <c r="N109" s="377"/>
      <c r="O109" s="377">
        <f t="shared" si="1"/>
        <v>-349083.21</v>
      </c>
    </row>
    <row r="110" spans="1:15">
      <c r="A110" s="372" t="s">
        <v>969</v>
      </c>
      <c r="B110" s="373" t="s">
        <v>970</v>
      </c>
      <c r="C110" s="375">
        <v>-10569.95</v>
      </c>
      <c r="D110" s="376">
        <v>-43794.5</v>
      </c>
      <c r="E110" s="375">
        <v>-30074.13</v>
      </c>
      <c r="F110" s="376"/>
      <c r="G110" s="376"/>
      <c r="H110" s="376"/>
      <c r="I110" s="377"/>
      <c r="J110" s="377"/>
      <c r="K110" s="377"/>
      <c r="L110" s="377"/>
      <c r="M110" s="377"/>
      <c r="N110" s="377"/>
      <c r="O110" s="377">
        <f t="shared" si="1"/>
        <v>-84438.58</v>
      </c>
    </row>
    <row r="111" spans="1:15">
      <c r="A111" s="372" t="s">
        <v>971</v>
      </c>
      <c r="B111" s="373" t="s">
        <v>972</v>
      </c>
      <c r="C111" s="375">
        <v>0</v>
      </c>
      <c r="D111" s="376">
        <v>0</v>
      </c>
      <c r="E111" s="375">
        <v>-62824.800000000003</v>
      </c>
      <c r="F111" s="376"/>
      <c r="G111" s="376"/>
      <c r="H111" s="376"/>
      <c r="I111" s="377"/>
      <c r="J111" s="377"/>
      <c r="K111" s="377"/>
      <c r="L111" s="377"/>
      <c r="M111" s="377"/>
      <c r="N111" s="377"/>
      <c r="O111" s="377">
        <f t="shared" si="1"/>
        <v>-62824.800000000003</v>
      </c>
    </row>
    <row r="112" spans="1:15">
      <c r="A112" s="372" t="s">
        <v>973</v>
      </c>
      <c r="B112" s="373" t="s">
        <v>974</v>
      </c>
      <c r="C112" s="375">
        <v>-299394.55</v>
      </c>
      <c r="D112" s="376">
        <v>-286260.11</v>
      </c>
      <c r="E112" s="375">
        <v>-305188.51</v>
      </c>
      <c r="F112" s="376"/>
      <c r="G112" s="376"/>
      <c r="H112" s="376"/>
      <c r="I112" s="377"/>
      <c r="J112" s="377"/>
      <c r="K112" s="377"/>
      <c r="L112" s="377"/>
      <c r="M112" s="377"/>
      <c r="N112" s="377"/>
      <c r="O112" s="377">
        <f t="shared" si="1"/>
        <v>-890843.16999999993</v>
      </c>
    </row>
    <row r="113" spans="1:15">
      <c r="A113" s="372" t="s">
        <v>975</v>
      </c>
      <c r="B113" s="373" t="s">
        <v>976</v>
      </c>
      <c r="C113" s="375">
        <v>-1428.5</v>
      </c>
      <c r="D113" s="376">
        <v>-2298.5</v>
      </c>
      <c r="E113" s="375">
        <v>0</v>
      </c>
      <c r="F113" s="376"/>
      <c r="G113" s="376"/>
      <c r="H113" s="376"/>
      <c r="I113" s="377"/>
      <c r="J113" s="377"/>
      <c r="K113" s="377"/>
      <c r="L113" s="377"/>
      <c r="M113" s="377"/>
      <c r="N113" s="377"/>
      <c r="O113" s="377">
        <f t="shared" si="1"/>
        <v>-3727</v>
      </c>
    </row>
    <row r="114" spans="1:15">
      <c r="A114" s="372" t="s">
        <v>977</v>
      </c>
      <c r="B114" s="373" t="s">
        <v>978</v>
      </c>
      <c r="C114" s="375">
        <v>0</v>
      </c>
      <c r="D114" s="376">
        <v>0</v>
      </c>
      <c r="E114" s="375">
        <v>0</v>
      </c>
      <c r="F114" s="376"/>
      <c r="G114" s="376"/>
      <c r="H114" s="376"/>
      <c r="I114" s="377"/>
      <c r="J114" s="377"/>
      <c r="K114" s="377"/>
      <c r="L114" s="377"/>
      <c r="M114" s="377"/>
      <c r="N114" s="377"/>
      <c r="O114" s="377">
        <f t="shared" si="1"/>
        <v>0</v>
      </c>
    </row>
    <row r="115" spans="1:15">
      <c r="A115" s="372" t="s">
        <v>979</v>
      </c>
      <c r="B115" s="373" t="s">
        <v>980</v>
      </c>
      <c r="C115" s="375">
        <v>-87347.5</v>
      </c>
      <c r="D115" s="376">
        <v>-127542.67</v>
      </c>
      <c r="E115" s="375">
        <v>-108923.93</v>
      </c>
      <c r="F115" s="376"/>
      <c r="G115" s="376"/>
      <c r="H115" s="376"/>
      <c r="I115" s="377"/>
      <c r="J115" s="377"/>
      <c r="K115" s="377"/>
      <c r="L115" s="377"/>
      <c r="M115" s="377"/>
      <c r="N115" s="377"/>
      <c r="O115" s="377">
        <f t="shared" si="1"/>
        <v>-323814.09999999998</v>
      </c>
    </row>
    <row r="116" spans="1:15">
      <c r="A116" s="372" t="s">
        <v>981</v>
      </c>
      <c r="B116" s="373" t="s">
        <v>982</v>
      </c>
      <c r="C116" s="375">
        <v>-7618.15</v>
      </c>
      <c r="D116" s="376">
        <v>-1719.53</v>
      </c>
      <c r="E116" s="375">
        <v>0</v>
      </c>
      <c r="F116" s="376"/>
      <c r="G116" s="376"/>
      <c r="H116" s="376"/>
      <c r="I116" s="377"/>
      <c r="J116" s="377"/>
      <c r="K116" s="377"/>
      <c r="L116" s="377"/>
      <c r="M116" s="377"/>
      <c r="N116" s="377"/>
      <c r="O116" s="377">
        <f t="shared" si="1"/>
        <v>-9337.68</v>
      </c>
    </row>
    <row r="117" spans="1:15">
      <c r="A117" s="372" t="s">
        <v>983</v>
      </c>
      <c r="B117" s="373" t="s">
        <v>984</v>
      </c>
      <c r="C117" s="375">
        <v>-14123.72</v>
      </c>
      <c r="D117" s="376">
        <v>-6858.33</v>
      </c>
      <c r="E117" s="375">
        <v>-7728.71</v>
      </c>
      <c r="F117" s="376"/>
      <c r="G117" s="376"/>
      <c r="H117" s="376"/>
      <c r="I117" s="377"/>
      <c r="J117" s="377"/>
      <c r="K117" s="377"/>
      <c r="L117" s="377"/>
      <c r="M117" s="377"/>
      <c r="N117" s="377"/>
      <c r="O117" s="377">
        <f t="shared" si="1"/>
        <v>-28710.76</v>
      </c>
    </row>
    <row r="118" spans="1:15">
      <c r="A118" s="372" t="s">
        <v>985</v>
      </c>
      <c r="B118" s="373" t="s">
        <v>986</v>
      </c>
      <c r="C118" s="375">
        <v>-99259.17</v>
      </c>
      <c r="D118" s="376">
        <v>-98846.64</v>
      </c>
      <c r="E118" s="375">
        <v>0</v>
      </c>
      <c r="F118" s="376"/>
      <c r="G118" s="376"/>
      <c r="H118" s="376"/>
      <c r="I118" s="377"/>
      <c r="J118" s="377"/>
      <c r="K118" s="377"/>
      <c r="L118" s="377"/>
      <c r="M118" s="377"/>
      <c r="N118" s="377"/>
      <c r="O118" s="377">
        <f t="shared" si="1"/>
        <v>-198105.81</v>
      </c>
    </row>
    <row r="119" spans="1:15">
      <c r="A119" s="372" t="s">
        <v>987</v>
      </c>
      <c r="B119" s="373" t="s">
        <v>988</v>
      </c>
      <c r="C119" s="375">
        <v>0</v>
      </c>
      <c r="D119" s="376">
        <v>0</v>
      </c>
      <c r="E119" s="375">
        <v>-11202.79</v>
      </c>
      <c r="F119" s="376"/>
      <c r="G119" s="376"/>
      <c r="H119" s="376"/>
      <c r="I119" s="377"/>
      <c r="J119" s="377"/>
      <c r="K119" s="377"/>
      <c r="L119" s="377"/>
      <c r="M119" s="377"/>
      <c r="N119" s="377"/>
      <c r="O119" s="377">
        <f t="shared" si="1"/>
        <v>-11202.79</v>
      </c>
    </row>
    <row r="120" spans="1:15">
      <c r="A120" s="372" t="s">
        <v>989</v>
      </c>
      <c r="B120" s="373" t="s">
        <v>990</v>
      </c>
      <c r="C120" s="375">
        <v>-850</v>
      </c>
      <c r="D120" s="376">
        <v>-12445</v>
      </c>
      <c r="E120" s="375">
        <v>0</v>
      </c>
      <c r="F120" s="376"/>
      <c r="G120" s="376"/>
      <c r="H120" s="376"/>
      <c r="I120" s="377"/>
      <c r="J120" s="377"/>
      <c r="K120" s="377"/>
      <c r="L120" s="377"/>
      <c r="M120" s="377"/>
      <c r="N120" s="377"/>
      <c r="O120" s="377">
        <f t="shared" si="1"/>
        <v>-13295</v>
      </c>
    </row>
    <row r="121" spans="1:15">
      <c r="A121" s="372" t="s">
        <v>991</v>
      </c>
      <c r="B121" s="373" t="s">
        <v>992</v>
      </c>
      <c r="C121" s="375">
        <v>0</v>
      </c>
      <c r="D121" s="376">
        <v>0</v>
      </c>
      <c r="E121" s="375">
        <v>0</v>
      </c>
      <c r="F121" s="376"/>
      <c r="G121" s="376"/>
      <c r="H121" s="376"/>
      <c r="I121" s="377"/>
      <c r="J121" s="377"/>
      <c r="K121" s="377"/>
      <c r="L121" s="377"/>
      <c r="M121" s="377"/>
      <c r="N121" s="377"/>
      <c r="O121" s="377">
        <f t="shared" si="1"/>
        <v>0</v>
      </c>
    </row>
    <row r="122" spans="1:15">
      <c r="A122" s="372" t="s">
        <v>993</v>
      </c>
      <c r="B122" s="373" t="s">
        <v>994</v>
      </c>
      <c r="C122" s="375">
        <v>-503195</v>
      </c>
      <c r="D122" s="376">
        <v>-518540</v>
      </c>
      <c r="E122" s="375">
        <v>-113900</v>
      </c>
      <c r="F122" s="376"/>
      <c r="G122" s="376"/>
      <c r="H122" s="376"/>
      <c r="I122" s="377"/>
      <c r="J122" s="377"/>
      <c r="K122" s="377"/>
      <c r="L122" s="377"/>
      <c r="M122" s="377"/>
      <c r="N122" s="377"/>
      <c r="O122" s="377">
        <f t="shared" si="1"/>
        <v>-1135635</v>
      </c>
    </row>
    <row r="123" spans="1:15">
      <c r="A123" s="372" t="s">
        <v>995</v>
      </c>
      <c r="B123" s="373" t="s">
        <v>996</v>
      </c>
      <c r="C123" s="375">
        <v>0</v>
      </c>
      <c r="D123" s="376">
        <v>0</v>
      </c>
      <c r="E123" s="375">
        <v>0</v>
      </c>
      <c r="F123" s="376"/>
      <c r="G123" s="376"/>
      <c r="H123" s="376"/>
      <c r="I123" s="377"/>
      <c r="J123" s="377"/>
      <c r="K123" s="377"/>
      <c r="L123" s="377"/>
      <c r="M123" s="377"/>
      <c r="N123" s="377"/>
      <c r="O123" s="377">
        <f t="shared" si="1"/>
        <v>0</v>
      </c>
    </row>
    <row r="124" spans="1:15">
      <c r="A124" s="372" t="s">
        <v>997</v>
      </c>
      <c r="B124" s="373" t="s">
        <v>998</v>
      </c>
      <c r="C124" s="375">
        <v>-32964.5</v>
      </c>
      <c r="D124" s="376">
        <v>-3700</v>
      </c>
      <c r="E124" s="375">
        <v>0</v>
      </c>
      <c r="F124" s="376"/>
      <c r="G124" s="376"/>
      <c r="H124" s="376"/>
      <c r="I124" s="377"/>
      <c r="J124" s="377"/>
      <c r="K124" s="377"/>
      <c r="L124" s="377"/>
      <c r="M124" s="377"/>
      <c r="N124" s="377"/>
      <c r="O124" s="377">
        <f t="shared" si="1"/>
        <v>-36664.5</v>
      </c>
    </row>
    <row r="125" spans="1:15">
      <c r="A125" s="372" t="s">
        <v>999</v>
      </c>
      <c r="B125" s="373" t="s">
        <v>1000</v>
      </c>
      <c r="C125" s="375">
        <v>0</v>
      </c>
      <c r="D125" s="376">
        <v>0</v>
      </c>
      <c r="E125" s="375">
        <v>0</v>
      </c>
      <c r="F125" s="376"/>
      <c r="G125" s="376"/>
      <c r="H125" s="376"/>
      <c r="I125" s="377"/>
      <c r="J125" s="377"/>
      <c r="K125" s="377"/>
      <c r="L125" s="377"/>
      <c r="M125" s="377"/>
      <c r="N125" s="377"/>
      <c r="O125" s="377">
        <f t="shared" si="1"/>
        <v>0</v>
      </c>
    </row>
    <row r="126" spans="1:15">
      <c r="A126" s="372" t="s">
        <v>1001</v>
      </c>
      <c r="B126" s="373" t="s">
        <v>1002</v>
      </c>
      <c r="C126" s="375">
        <v>-83734.399999999994</v>
      </c>
      <c r="D126" s="376">
        <v>-93800</v>
      </c>
      <c r="E126" s="375">
        <v>-42800</v>
      </c>
      <c r="F126" s="376"/>
      <c r="G126" s="376"/>
      <c r="H126" s="376"/>
      <c r="I126" s="377"/>
      <c r="J126" s="377"/>
      <c r="K126" s="377"/>
      <c r="L126" s="377"/>
      <c r="M126" s="377"/>
      <c r="N126" s="377"/>
      <c r="O126" s="377">
        <f t="shared" si="1"/>
        <v>-220334.4</v>
      </c>
    </row>
    <row r="127" spans="1:15">
      <c r="A127" s="372" t="s">
        <v>1003</v>
      </c>
      <c r="B127" s="373" t="s">
        <v>1004</v>
      </c>
      <c r="C127" s="375">
        <v>0</v>
      </c>
      <c r="D127" s="376">
        <v>0</v>
      </c>
      <c r="E127" s="375">
        <v>0</v>
      </c>
      <c r="F127" s="376"/>
      <c r="G127" s="376"/>
      <c r="H127" s="376"/>
      <c r="I127" s="377"/>
      <c r="J127" s="377"/>
      <c r="K127" s="377"/>
      <c r="L127" s="377"/>
      <c r="M127" s="377"/>
      <c r="N127" s="377"/>
      <c r="O127" s="377">
        <f t="shared" si="1"/>
        <v>0</v>
      </c>
    </row>
    <row r="128" spans="1:15">
      <c r="A128" s="372" t="s">
        <v>1005</v>
      </c>
      <c r="B128" s="373" t="s">
        <v>1006</v>
      </c>
      <c r="C128" s="375">
        <v>-350</v>
      </c>
      <c r="D128" s="376">
        <v>-2100</v>
      </c>
      <c r="E128" s="375">
        <v>0</v>
      </c>
      <c r="F128" s="376"/>
      <c r="G128" s="376"/>
      <c r="H128" s="376"/>
      <c r="I128" s="377"/>
      <c r="J128" s="377"/>
      <c r="K128" s="377"/>
      <c r="L128" s="377"/>
      <c r="M128" s="377"/>
      <c r="N128" s="377"/>
      <c r="O128" s="377">
        <f t="shared" si="1"/>
        <v>-2450</v>
      </c>
    </row>
    <row r="129" spans="1:15">
      <c r="A129" s="372" t="s">
        <v>1007</v>
      </c>
      <c r="B129" s="373" t="s">
        <v>1008</v>
      </c>
      <c r="C129" s="375">
        <v>0</v>
      </c>
      <c r="D129" s="376">
        <v>0</v>
      </c>
      <c r="E129" s="375">
        <v>0</v>
      </c>
      <c r="F129" s="376"/>
      <c r="G129" s="376"/>
      <c r="H129" s="376"/>
      <c r="I129" s="377"/>
      <c r="J129" s="377"/>
      <c r="K129" s="377"/>
      <c r="L129" s="377"/>
      <c r="M129" s="377"/>
      <c r="N129" s="377"/>
      <c r="O129" s="377">
        <f t="shared" si="1"/>
        <v>0</v>
      </c>
    </row>
    <row r="130" spans="1:15">
      <c r="A130" s="372" t="s">
        <v>1009</v>
      </c>
      <c r="B130" s="373" t="s">
        <v>1010</v>
      </c>
      <c r="C130" s="375">
        <v>0</v>
      </c>
      <c r="D130" s="376">
        <v>0</v>
      </c>
      <c r="E130" s="375">
        <v>0</v>
      </c>
      <c r="F130" s="376"/>
      <c r="G130" s="376"/>
      <c r="H130" s="376"/>
      <c r="I130" s="377"/>
      <c r="J130" s="377"/>
      <c r="K130" s="377"/>
      <c r="L130" s="377"/>
      <c r="M130" s="377"/>
      <c r="N130" s="377"/>
      <c r="O130" s="377">
        <f t="shared" ref="O130:O193" si="2">SUM(C130:N130)</f>
        <v>0</v>
      </c>
    </row>
    <row r="131" spans="1:15">
      <c r="A131" s="372" t="s">
        <v>1011</v>
      </c>
      <c r="B131" s="373" t="s">
        <v>1012</v>
      </c>
      <c r="C131" s="375">
        <v>-10480.450000000001</v>
      </c>
      <c r="D131" s="376">
        <v>-11670.6</v>
      </c>
      <c r="E131" s="375">
        <v>-5169.6099999999997</v>
      </c>
      <c r="F131" s="376"/>
      <c r="G131" s="376"/>
      <c r="H131" s="376"/>
      <c r="I131" s="377"/>
      <c r="J131" s="377"/>
      <c r="K131" s="377"/>
      <c r="L131" s="377"/>
      <c r="M131" s="377"/>
      <c r="N131" s="377"/>
      <c r="O131" s="377">
        <f t="shared" si="2"/>
        <v>-27320.660000000003</v>
      </c>
    </row>
    <row r="132" spans="1:15">
      <c r="A132" s="372" t="s">
        <v>1013</v>
      </c>
      <c r="B132" s="373" t="s">
        <v>1014</v>
      </c>
      <c r="C132" s="375">
        <v>0</v>
      </c>
      <c r="D132" s="376">
        <v>0</v>
      </c>
      <c r="E132" s="375">
        <v>-2842.8</v>
      </c>
      <c r="F132" s="376"/>
      <c r="G132" s="376"/>
      <c r="H132" s="376"/>
      <c r="I132" s="377"/>
      <c r="J132" s="377"/>
      <c r="K132" s="377"/>
      <c r="L132" s="377"/>
      <c r="M132" s="377"/>
      <c r="N132" s="377"/>
      <c r="O132" s="377">
        <f t="shared" si="2"/>
        <v>-2842.8</v>
      </c>
    </row>
    <row r="133" spans="1:15">
      <c r="A133" s="372" t="s">
        <v>1015</v>
      </c>
      <c r="B133" s="373" t="s">
        <v>1016</v>
      </c>
      <c r="C133" s="375">
        <v>0</v>
      </c>
      <c r="D133" s="376">
        <v>0</v>
      </c>
      <c r="E133" s="375">
        <v>-442.97</v>
      </c>
      <c r="F133" s="376"/>
      <c r="G133" s="376"/>
      <c r="H133" s="376"/>
      <c r="I133" s="377"/>
      <c r="J133" s="377"/>
      <c r="K133" s="377"/>
      <c r="L133" s="377"/>
      <c r="M133" s="377"/>
      <c r="N133" s="377"/>
      <c r="O133" s="377">
        <f t="shared" si="2"/>
        <v>-442.97</v>
      </c>
    </row>
    <row r="134" spans="1:15">
      <c r="A134" s="372" t="s">
        <v>1017</v>
      </c>
      <c r="B134" s="373" t="s">
        <v>1018</v>
      </c>
      <c r="C134" s="375">
        <v>0</v>
      </c>
      <c r="D134" s="376">
        <v>0</v>
      </c>
      <c r="E134" s="375">
        <v>-65.81</v>
      </c>
      <c r="F134" s="376"/>
      <c r="G134" s="376"/>
      <c r="H134" s="376"/>
      <c r="I134" s="377"/>
      <c r="J134" s="377"/>
      <c r="K134" s="377"/>
      <c r="L134" s="377"/>
      <c r="M134" s="377"/>
      <c r="N134" s="377"/>
      <c r="O134" s="377">
        <f t="shared" si="2"/>
        <v>-65.81</v>
      </c>
    </row>
    <row r="135" spans="1:15">
      <c r="A135" s="372" t="s">
        <v>1019</v>
      </c>
      <c r="B135" s="373" t="s">
        <v>1020</v>
      </c>
      <c r="C135" s="375">
        <v>0</v>
      </c>
      <c r="D135" s="376">
        <v>0</v>
      </c>
      <c r="E135" s="375">
        <v>-397.19</v>
      </c>
      <c r="F135" s="376"/>
      <c r="G135" s="376"/>
      <c r="H135" s="376"/>
      <c r="I135" s="377"/>
      <c r="J135" s="377"/>
      <c r="K135" s="377"/>
      <c r="L135" s="377"/>
      <c r="M135" s="377"/>
      <c r="N135" s="377"/>
      <c r="O135" s="377">
        <f t="shared" si="2"/>
        <v>-397.19</v>
      </c>
    </row>
    <row r="136" spans="1:15">
      <c r="A136" s="372" t="s">
        <v>1021</v>
      </c>
      <c r="B136" s="373" t="s">
        <v>1022</v>
      </c>
      <c r="C136" s="375">
        <v>0</v>
      </c>
      <c r="D136" s="376">
        <v>0</v>
      </c>
      <c r="E136" s="375">
        <v>0</v>
      </c>
      <c r="F136" s="376"/>
      <c r="G136" s="376"/>
      <c r="H136" s="376"/>
      <c r="I136" s="377"/>
      <c r="J136" s="377"/>
      <c r="K136" s="377"/>
      <c r="L136" s="377"/>
      <c r="M136" s="377"/>
      <c r="N136" s="377"/>
      <c r="O136" s="377">
        <f t="shared" si="2"/>
        <v>0</v>
      </c>
    </row>
    <row r="137" spans="1:15">
      <c r="A137" s="372" t="s">
        <v>1023</v>
      </c>
      <c r="B137" s="373" t="s">
        <v>1024</v>
      </c>
      <c r="C137" s="375">
        <v>0</v>
      </c>
      <c r="D137" s="376">
        <v>0</v>
      </c>
      <c r="E137" s="375">
        <v>0</v>
      </c>
      <c r="F137" s="376"/>
      <c r="G137" s="376"/>
      <c r="H137" s="376"/>
      <c r="I137" s="377"/>
      <c r="J137" s="377"/>
      <c r="K137" s="377"/>
      <c r="L137" s="377"/>
      <c r="M137" s="377"/>
      <c r="N137" s="377"/>
      <c r="O137" s="377">
        <f t="shared" si="2"/>
        <v>0</v>
      </c>
    </row>
    <row r="138" spans="1:15">
      <c r="A138" s="372" t="s">
        <v>1025</v>
      </c>
      <c r="B138" s="373" t="s">
        <v>1026</v>
      </c>
      <c r="C138" s="375">
        <v>0</v>
      </c>
      <c r="D138" s="376">
        <v>0</v>
      </c>
      <c r="E138" s="375">
        <v>-26257.5</v>
      </c>
      <c r="F138" s="376"/>
      <c r="G138" s="376"/>
      <c r="H138" s="376"/>
      <c r="I138" s="377"/>
      <c r="J138" s="377"/>
      <c r="K138" s="377"/>
      <c r="L138" s="377"/>
      <c r="M138" s="377"/>
      <c r="N138" s="377"/>
      <c r="O138" s="377">
        <f t="shared" si="2"/>
        <v>-26257.5</v>
      </c>
    </row>
    <row r="139" spans="1:15">
      <c r="A139" s="372" t="s">
        <v>1027</v>
      </c>
      <c r="B139" s="373" t="s">
        <v>1028</v>
      </c>
      <c r="C139" s="375">
        <v>-40095</v>
      </c>
      <c r="D139" s="376">
        <v>-32557.5</v>
      </c>
      <c r="E139" s="375">
        <v>-56518.89</v>
      </c>
      <c r="F139" s="376"/>
      <c r="G139" s="376"/>
      <c r="H139" s="376"/>
      <c r="I139" s="377"/>
      <c r="J139" s="377"/>
      <c r="K139" s="377"/>
      <c r="L139" s="377"/>
      <c r="M139" s="377"/>
      <c r="N139" s="377"/>
      <c r="O139" s="377">
        <f t="shared" si="2"/>
        <v>-129171.39</v>
      </c>
    </row>
    <row r="140" spans="1:15">
      <c r="A140" s="372" t="s">
        <v>1029</v>
      </c>
      <c r="B140" s="373" t="s">
        <v>1030</v>
      </c>
      <c r="C140" s="375">
        <v>-15324.13</v>
      </c>
      <c r="D140" s="376">
        <v>-19485.05</v>
      </c>
      <c r="E140" s="375">
        <v>-8754.93</v>
      </c>
      <c r="F140" s="376"/>
      <c r="G140" s="376"/>
      <c r="H140" s="376"/>
      <c r="I140" s="377"/>
      <c r="J140" s="377"/>
      <c r="K140" s="377"/>
      <c r="L140" s="377"/>
      <c r="M140" s="377"/>
      <c r="N140" s="377"/>
      <c r="O140" s="377">
        <f t="shared" si="2"/>
        <v>-43564.11</v>
      </c>
    </row>
    <row r="141" spans="1:15">
      <c r="A141" s="372" t="s">
        <v>1031</v>
      </c>
      <c r="B141" s="373" t="s">
        <v>1032</v>
      </c>
      <c r="C141" s="375">
        <v>-20475</v>
      </c>
      <c r="D141" s="376">
        <v>-21157.5</v>
      </c>
      <c r="E141" s="375">
        <v>-5962.5</v>
      </c>
      <c r="F141" s="376"/>
      <c r="G141" s="376"/>
      <c r="H141" s="376"/>
      <c r="I141" s="377"/>
      <c r="J141" s="377"/>
      <c r="K141" s="377"/>
      <c r="L141" s="377"/>
      <c r="M141" s="377"/>
      <c r="N141" s="377"/>
      <c r="O141" s="377">
        <f t="shared" si="2"/>
        <v>-47595</v>
      </c>
    </row>
    <row r="142" spans="1:15">
      <c r="A142" s="372" t="s">
        <v>1033</v>
      </c>
      <c r="B142" s="373" t="s">
        <v>1034</v>
      </c>
      <c r="C142" s="375">
        <v>0</v>
      </c>
      <c r="D142" s="376">
        <v>0</v>
      </c>
      <c r="E142" s="375">
        <v>0</v>
      </c>
      <c r="F142" s="376"/>
      <c r="G142" s="376"/>
      <c r="H142" s="376"/>
      <c r="I142" s="377"/>
      <c r="J142" s="377"/>
      <c r="K142" s="377"/>
      <c r="L142" s="377"/>
      <c r="M142" s="377"/>
      <c r="N142" s="377"/>
      <c r="O142" s="377">
        <f t="shared" si="2"/>
        <v>0</v>
      </c>
    </row>
    <row r="143" spans="1:15">
      <c r="A143" s="372" t="s">
        <v>1035</v>
      </c>
      <c r="B143" s="373" t="s">
        <v>1036</v>
      </c>
      <c r="C143" s="375">
        <v>0</v>
      </c>
      <c r="D143" s="376">
        <v>0</v>
      </c>
      <c r="E143" s="375">
        <v>0</v>
      </c>
      <c r="F143" s="376"/>
      <c r="G143" s="376"/>
      <c r="H143" s="376"/>
      <c r="I143" s="377"/>
      <c r="J143" s="377"/>
      <c r="K143" s="377"/>
      <c r="L143" s="377"/>
      <c r="M143" s="377"/>
      <c r="N143" s="377"/>
      <c r="O143" s="377">
        <f t="shared" si="2"/>
        <v>0</v>
      </c>
    </row>
    <row r="144" spans="1:15">
      <c r="A144" s="372" t="s">
        <v>1037</v>
      </c>
      <c r="B144" s="373" t="s">
        <v>1038</v>
      </c>
      <c r="C144" s="375">
        <v>0</v>
      </c>
      <c r="D144" s="376">
        <v>0</v>
      </c>
      <c r="E144" s="375">
        <v>0</v>
      </c>
      <c r="F144" s="376"/>
      <c r="G144" s="376"/>
      <c r="H144" s="376"/>
      <c r="I144" s="377"/>
      <c r="J144" s="377"/>
      <c r="K144" s="377"/>
      <c r="L144" s="377"/>
      <c r="M144" s="377"/>
      <c r="N144" s="377"/>
      <c r="O144" s="377">
        <f t="shared" si="2"/>
        <v>0</v>
      </c>
    </row>
    <row r="145" spans="1:15">
      <c r="A145" s="372" t="s">
        <v>1039</v>
      </c>
      <c r="B145" s="373" t="s">
        <v>1040</v>
      </c>
      <c r="C145" s="375">
        <v>0</v>
      </c>
      <c r="D145" s="376">
        <v>0</v>
      </c>
      <c r="E145" s="375">
        <v>0</v>
      </c>
      <c r="F145" s="376"/>
      <c r="G145" s="376"/>
      <c r="H145" s="376"/>
      <c r="I145" s="377"/>
      <c r="J145" s="377"/>
      <c r="K145" s="377"/>
      <c r="L145" s="377"/>
      <c r="M145" s="377"/>
      <c r="N145" s="377"/>
      <c r="O145" s="377">
        <f t="shared" si="2"/>
        <v>0</v>
      </c>
    </row>
    <row r="146" spans="1:15">
      <c r="A146" s="372" t="s">
        <v>1041</v>
      </c>
      <c r="B146" s="373" t="s">
        <v>1042</v>
      </c>
      <c r="C146" s="375">
        <v>-14594.61</v>
      </c>
      <c r="D146" s="376">
        <v>-17211.36</v>
      </c>
      <c r="E146" s="375">
        <v>-11717.32</v>
      </c>
      <c r="F146" s="376"/>
      <c r="G146" s="376"/>
      <c r="H146" s="376"/>
      <c r="I146" s="377"/>
      <c r="J146" s="377"/>
      <c r="K146" s="377"/>
      <c r="L146" s="377"/>
      <c r="M146" s="377"/>
      <c r="N146" s="377"/>
      <c r="O146" s="377">
        <f t="shared" si="2"/>
        <v>-43523.29</v>
      </c>
    </row>
    <row r="147" spans="1:15">
      <c r="A147" s="372" t="s">
        <v>1043</v>
      </c>
      <c r="B147" s="373" t="s">
        <v>1044</v>
      </c>
      <c r="C147" s="375">
        <v>-4440</v>
      </c>
      <c r="D147" s="376">
        <v>-10370</v>
      </c>
      <c r="E147" s="375">
        <v>-14807.57</v>
      </c>
      <c r="F147" s="376"/>
      <c r="G147" s="376"/>
      <c r="H147" s="376"/>
      <c r="I147" s="377"/>
      <c r="J147" s="377"/>
      <c r="K147" s="377"/>
      <c r="L147" s="377"/>
      <c r="M147" s="377"/>
      <c r="N147" s="377"/>
      <c r="O147" s="377">
        <f t="shared" si="2"/>
        <v>-29617.57</v>
      </c>
    </row>
    <row r="148" spans="1:15">
      <c r="A148" s="372" t="s">
        <v>1045</v>
      </c>
      <c r="B148" s="373" t="s">
        <v>1046</v>
      </c>
      <c r="C148" s="375">
        <v>-8508.67</v>
      </c>
      <c r="D148" s="376">
        <v>-9178.4500000000007</v>
      </c>
      <c r="E148" s="375">
        <v>-7680.93</v>
      </c>
      <c r="F148" s="376"/>
      <c r="G148" s="376"/>
      <c r="H148" s="376"/>
      <c r="I148" s="377"/>
      <c r="J148" s="377"/>
      <c r="K148" s="377"/>
      <c r="L148" s="377"/>
      <c r="M148" s="377"/>
      <c r="N148" s="377"/>
      <c r="O148" s="377">
        <f t="shared" si="2"/>
        <v>-25368.050000000003</v>
      </c>
    </row>
    <row r="149" spans="1:15">
      <c r="A149" s="372" t="s">
        <v>1047</v>
      </c>
      <c r="B149" s="373" t="s">
        <v>1048</v>
      </c>
      <c r="C149" s="375">
        <v>0</v>
      </c>
      <c r="D149" s="376">
        <v>0</v>
      </c>
      <c r="E149" s="375">
        <v>0</v>
      </c>
      <c r="F149" s="376"/>
      <c r="G149" s="376"/>
      <c r="H149" s="376"/>
      <c r="I149" s="377"/>
      <c r="J149" s="377"/>
      <c r="K149" s="377"/>
      <c r="L149" s="377"/>
      <c r="M149" s="377"/>
      <c r="N149" s="377"/>
      <c r="O149" s="377">
        <f t="shared" si="2"/>
        <v>0</v>
      </c>
    </row>
    <row r="150" spans="1:15">
      <c r="A150" s="372" t="s">
        <v>1049</v>
      </c>
      <c r="B150" s="373" t="s">
        <v>1050</v>
      </c>
      <c r="C150" s="375">
        <v>0</v>
      </c>
      <c r="D150" s="376">
        <v>0</v>
      </c>
      <c r="E150" s="375">
        <v>0</v>
      </c>
      <c r="F150" s="376"/>
      <c r="G150" s="376"/>
      <c r="H150" s="376"/>
      <c r="I150" s="377"/>
      <c r="J150" s="377"/>
      <c r="K150" s="377"/>
      <c r="L150" s="377"/>
      <c r="M150" s="377"/>
      <c r="N150" s="377"/>
      <c r="O150" s="377">
        <f t="shared" si="2"/>
        <v>0</v>
      </c>
    </row>
    <row r="151" spans="1:15">
      <c r="A151" s="372" t="s">
        <v>1051</v>
      </c>
      <c r="B151" s="373" t="s">
        <v>1052</v>
      </c>
      <c r="C151" s="375">
        <v>-28384.15</v>
      </c>
      <c r="D151" s="376">
        <v>-11424</v>
      </c>
      <c r="E151" s="375">
        <v>-12739.15</v>
      </c>
      <c r="F151" s="376"/>
      <c r="G151" s="376"/>
      <c r="H151" s="376"/>
      <c r="I151" s="377"/>
      <c r="J151" s="377"/>
      <c r="K151" s="377"/>
      <c r="L151" s="377"/>
      <c r="M151" s="377"/>
      <c r="N151" s="377"/>
      <c r="O151" s="377">
        <f t="shared" si="2"/>
        <v>-52547.3</v>
      </c>
    </row>
    <row r="152" spans="1:15">
      <c r="A152" s="372" t="s">
        <v>1053</v>
      </c>
      <c r="B152" s="373" t="s">
        <v>1054</v>
      </c>
      <c r="C152" s="375">
        <v>-11343.54</v>
      </c>
      <c r="D152" s="376">
        <v>-8247.15</v>
      </c>
      <c r="E152" s="375">
        <v>0</v>
      </c>
      <c r="F152" s="376"/>
      <c r="G152" s="376"/>
      <c r="H152" s="376"/>
      <c r="I152" s="377"/>
      <c r="J152" s="377"/>
      <c r="K152" s="377"/>
      <c r="L152" s="377"/>
      <c r="M152" s="377"/>
      <c r="N152" s="377"/>
      <c r="O152" s="377">
        <f t="shared" si="2"/>
        <v>-19590.690000000002</v>
      </c>
    </row>
    <row r="153" spans="1:15">
      <c r="A153" s="372" t="s">
        <v>1055</v>
      </c>
      <c r="B153" s="373" t="s">
        <v>1056</v>
      </c>
      <c r="C153" s="375">
        <v>-630</v>
      </c>
      <c r="D153" s="376">
        <v>-1015</v>
      </c>
      <c r="E153" s="375">
        <v>0</v>
      </c>
      <c r="F153" s="376"/>
      <c r="G153" s="376"/>
      <c r="H153" s="376"/>
      <c r="I153" s="377"/>
      <c r="J153" s="377"/>
      <c r="K153" s="377"/>
      <c r="L153" s="377"/>
      <c r="M153" s="377"/>
      <c r="N153" s="377"/>
      <c r="O153" s="377">
        <f t="shared" si="2"/>
        <v>-1645</v>
      </c>
    </row>
    <row r="154" spans="1:15">
      <c r="A154" s="372" t="s">
        <v>1057</v>
      </c>
      <c r="B154" s="373" t="s">
        <v>1058</v>
      </c>
      <c r="C154" s="375">
        <v>-540</v>
      </c>
      <c r="D154" s="376">
        <v>0</v>
      </c>
      <c r="E154" s="375">
        <v>0</v>
      </c>
      <c r="F154" s="376"/>
      <c r="G154" s="376"/>
      <c r="H154" s="376"/>
      <c r="I154" s="377"/>
      <c r="J154" s="377"/>
      <c r="K154" s="377"/>
      <c r="L154" s="377"/>
      <c r="M154" s="377"/>
      <c r="N154" s="377"/>
      <c r="O154" s="377">
        <f t="shared" si="2"/>
        <v>-540</v>
      </c>
    </row>
    <row r="155" spans="1:15">
      <c r="A155" s="372" t="s">
        <v>1059</v>
      </c>
      <c r="B155" s="373" t="s">
        <v>1060</v>
      </c>
      <c r="C155" s="375">
        <v>0</v>
      </c>
      <c r="D155" s="376">
        <v>0</v>
      </c>
      <c r="E155" s="375">
        <v>0</v>
      </c>
      <c r="F155" s="376"/>
      <c r="G155" s="376"/>
      <c r="H155" s="376"/>
      <c r="I155" s="377"/>
      <c r="J155" s="377"/>
      <c r="K155" s="377"/>
      <c r="L155" s="377"/>
      <c r="M155" s="377"/>
      <c r="N155" s="377"/>
      <c r="O155" s="377">
        <f t="shared" si="2"/>
        <v>0</v>
      </c>
    </row>
    <row r="156" spans="1:15">
      <c r="A156" s="372" t="s">
        <v>1061</v>
      </c>
      <c r="B156" s="373" t="s">
        <v>1062</v>
      </c>
      <c r="C156" s="375">
        <v>0</v>
      </c>
      <c r="D156" s="376">
        <v>0</v>
      </c>
      <c r="E156" s="375">
        <v>0</v>
      </c>
      <c r="F156" s="376"/>
      <c r="G156" s="376"/>
      <c r="H156" s="376"/>
      <c r="I156" s="377"/>
      <c r="J156" s="377"/>
      <c r="K156" s="377"/>
      <c r="L156" s="377"/>
      <c r="M156" s="377"/>
      <c r="N156" s="377"/>
      <c r="O156" s="377">
        <f t="shared" si="2"/>
        <v>0</v>
      </c>
    </row>
    <row r="157" spans="1:15">
      <c r="A157" s="372" t="s">
        <v>1063</v>
      </c>
      <c r="B157" s="373" t="s">
        <v>1064</v>
      </c>
      <c r="C157" s="375">
        <v>0</v>
      </c>
      <c r="D157" s="376">
        <v>0</v>
      </c>
      <c r="E157" s="375">
        <v>0</v>
      </c>
      <c r="F157" s="376"/>
      <c r="G157" s="376"/>
      <c r="H157" s="376"/>
      <c r="I157" s="377"/>
      <c r="J157" s="377"/>
      <c r="K157" s="377"/>
      <c r="L157" s="377"/>
      <c r="M157" s="377"/>
      <c r="N157" s="377"/>
      <c r="O157" s="377">
        <f t="shared" si="2"/>
        <v>0</v>
      </c>
    </row>
    <row r="158" spans="1:15">
      <c r="A158" s="372" t="s">
        <v>1065</v>
      </c>
      <c r="B158" s="373" t="s">
        <v>1066</v>
      </c>
      <c r="C158" s="375">
        <v>-6690</v>
      </c>
      <c r="D158" s="376">
        <v>-5567.5</v>
      </c>
      <c r="E158" s="375">
        <v>-9100.5</v>
      </c>
      <c r="F158" s="376"/>
      <c r="G158" s="376"/>
      <c r="H158" s="376"/>
      <c r="I158" s="377"/>
      <c r="J158" s="377"/>
      <c r="K158" s="377"/>
      <c r="L158" s="377"/>
      <c r="M158" s="377"/>
      <c r="N158" s="377"/>
      <c r="O158" s="377">
        <f t="shared" si="2"/>
        <v>-21358</v>
      </c>
    </row>
    <row r="159" spans="1:15">
      <c r="A159" s="372" t="s">
        <v>1067</v>
      </c>
      <c r="B159" s="373" t="s">
        <v>1068</v>
      </c>
      <c r="C159" s="375">
        <v>-405</v>
      </c>
      <c r="D159" s="376">
        <v>0</v>
      </c>
      <c r="E159" s="375">
        <v>0</v>
      </c>
      <c r="F159" s="376"/>
      <c r="G159" s="376"/>
      <c r="H159" s="376"/>
      <c r="I159" s="377"/>
      <c r="J159" s="377"/>
      <c r="K159" s="377"/>
      <c r="L159" s="377"/>
      <c r="M159" s="377"/>
      <c r="N159" s="377"/>
      <c r="O159" s="377">
        <f t="shared" si="2"/>
        <v>-405</v>
      </c>
    </row>
    <row r="160" spans="1:15">
      <c r="A160" s="372" t="s">
        <v>1069</v>
      </c>
      <c r="B160" s="373" t="s">
        <v>1070</v>
      </c>
      <c r="C160" s="375">
        <v>0</v>
      </c>
      <c r="D160" s="376">
        <v>0</v>
      </c>
      <c r="E160" s="375">
        <v>0</v>
      </c>
      <c r="F160" s="376"/>
      <c r="G160" s="376"/>
      <c r="H160" s="376"/>
      <c r="I160" s="377"/>
      <c r="J160" s="377"/>
      <c r="K160" s="377"/>
      <c r="L160" s="377"/>
      <c r="M160" s="377"/>
      <c r="N160" s="377"/>
      <c r="O160" s="377">
        <f t="shared" si="2"/>
        <v>0</v>
      </c>
    </row>
    <row r="161" spans="1:15">
      <c r="A161" s="372" t="s">
        <v>1071</v>
      </c>
      <c r="B161" s="373" t="s">
        <v>1072</v>
      </c>
      <c r="C161" s="375">
        <v>0</v>
      </c>
      <c r="D161" s="376">
        <v>0</v>
      </c>
      <c r="E161" s="375">
        <v>0</v>
      </c>
      <c r="F161" s="376"/>
      <c r="G161" s="376"/>
      <c r="H161" s="376"/>
      <c r="I161" s="377"/>
      <c r="J161" s="377"/>
      <c r="K161" s="377"/>
      <c r="L161" s="377"/>
      <c r="M161" s="377"/>
      <c r="N161" s="377"/>
      <c r="O161" s="377">
        <f t="shared" si="2"/>
        <v>0</v>
      </c>
    </row>
    <row r="162" spans="1:15">
      <c r="A162" s="372" t="s">
        <v>1073</v>
      </c>
      <c r="B162" s="373" t="s">
        <v>1074</v>
      </c>
      <c r="C162" s="375">
        <v>-1637.5</v>
      </c>
      <c r="D162" s="376">
        <v>-250</v>
      </c>
      <c r="E162" s="375">
        <v>0</v>
      </c>
      <c r="F162" s="376"/>
      <c r="G162" s="376"/>
      <c r="H162" s="376"/>
      <c r="I162" s="377"/>
      <c r="J162" s="377"/>
      <c r="K162" s="377"/>
      <c r="L162" s="377"/>
      <c r="M162" s="377"/>
      <c r="N162" s="377"/>
      <c r="O162" s="377">
        <f t="shared" si="2"/>
        <v>-1887.5</v>
      </c>
    </row>
    <row r="163" spans="1:15">
      <c r="A163" s="372" t="s">
        <v>1075</v>
      </c>
      <c r="B163" s="373" t="s">
        <v>1076</v>
      </c>
      <c r="C163" s="375">
        <v>-450</v>
      </c>
      <c r="D163" s="376">
        <v>-137.5</v>
      </c>
      <c r="E163" s="375">
        <v>0</v>
      </c>
      <c r="F163" s="376"/>
      <c r="G163" s="376"/>
      <c r="H163" s="376"/>
      <c r="I163" s="377"/>
      <c r="J163" s="377"/>
      <c r="K163" s="377"/>
      <c r="L163" s="377"/>
      <c r="M163" s="377"/>
      <c r="N163" s="377"/>
      <c r="O163" s="377">
        <f t="shared" si="2"/>
        <v>-587.5</v>
      </c>
    </row>
    <row r="164" spans="1:15">
      <c r="A164" s="372" t="s">
        <v>1077</v>
      </c>
      <c r="B164" s="373" t="s">
        <v>1078</v>
      </c>
      <c r="C164" s="375">
        <v>0</v>
      </c>
      <c r="D164" s="376">
        <v>0</v>
      </c>
      <c r="E164" s="375">
        <v>0</v>
      </c>
      <c r="F164" s="376"/>
      <c r="G164" s="376"/>
      <c r="H164" s="376"/>
      <c r="I164" s="377"/>
      <c r="J164" s="377"/>
      <c r="K164" s="377"/>
      <c r="L164" s="377"/>
      <c r="M164" s="377"/>
      <c r="N164" s="377"/>
      <c r="O164" s="377">
        <f t="shared" si="2"/>
        <v>0</v>
      </c>
    </row>
    <row r="165" spans="1:15">
      <c r="A165" s="372" t="s">
        <v>1079</v>
      </c>
      <c r="B165" s="373" t="s">
        <v>1080</v>
      </c>
      <c r="C165" s="375">
        <v>0</v>
      </c>
      <c r="D165" s="376">
        <v>0</v>
      </c>
      <c r="E165" s="375">
        <v>0</v>
      </c>
      <c r="F165" s="376"/>
      <c r="G165" s="376"/>
      <c r="H165" s="376"/>
      <c r="I165" s="377"/>
      <c r="J165" s="377"/>
      <c r="K165" s="377"/>
      <c r="L165" s="377"/>
      <c r="M165" s="377"/>
      <c r="N165" s="377"/>
      <c r="O165" s="377">
        <f t="shared" si="2"/>
        <v>0</v>
      </c>
    </row>
    <row r="166" spans="1:15">
      <c r="A166" s="372" t="s">
        <v>1081</v>
      </c>
      <c r="B166" s="373" t="s">
        <v>1082</v>
      </c>
      <c r="C166" s="375">
        <v>0</v>
      </c>
      <c r="D166" s="376">
        <v>0</v>
      </c>
      <c r="E166" s="375">
        <v>0</v>
      </c>
      <c r="F166" s="376"/>
      <c r="G166" s="376"/>
      <c r="H166" s="376"/>
      <c r="I166" s="377"/>
      <c r="J166" s="377"/>
      <c r="K166" s="377"/>
      <c r="L166" s="377"/>
      <c r="M166" s="377"/>
      <c r="N166" s="377"/>
      <c r="O166" s="377">
        <f t="shared" si="2"/>
        <v>0</v>
      </c>
    </row>
    <row r="167" spans="1:15">
      <c r="A167" s="372" t="s">
        <v>1083</v>
      </c>
      <c r="B167" s="373" t="s">
        <v>1084</v>
      </c>
      <c r="C167" s="375">
        <v>0</v>
      </c>
      <c r="D167" s="376">
        <v>400</v>
      </c>
      <c r="E167" s="375">
        <v>0</v>
      </c>
      <c r="F167" s="376"/>
      <c r="G167" s="376"/>
      <c r="H167" s="376"/>
      <c r="I167" s="377"/>
      <c r="J167" s="377"/>
      <c r="K167" s="377"/>
      <c r="L167" s="377"/>
      <c r="M167" s="377"/>
      <c r="N167" s="377"/>
      <c r="O167" s="377">
        <f t="shared" si="2"/>
        <v>400</v>
      </c>
    </row>
    <row r="168" spans="1:15">
      <c r="A168" s="372" t="s">
        <v>580</v>
      </c>
      <c r="B168" s="373" t="s">
        <v>581</v>
      </c>
      <c r="C168" s="375">
        <v>1380</v>
      </c>
      <c r="D168" s="376">
        <v>0</v>
      </c>
      <c r="E168" s="375">
        <v>17888.52</v>
      </c>
      <c r="F168" s="376"/>
      <c r="G168" s="376"/>
      <c r="H168" s="376"/>
      <c r="I168" s="377"/>
      <c r="J168" s="377"/>
      <c r="K168" s="377"/>
      <c r="L168" s="377"/>
      <c r="M168" s="377"/>
      <c r="N168" s="377"/>
      <c r="O168" s="377">
        <f t="shared" si="2"/>
        <v>19268.52</v>
      </c>
    </row>
    <row r="169" spans="1:15">
      <c r="A169" s="372" t="s">
        <v>582</v>
      </c>
      <c r="B169" s="373" t="s">
        <v>583</v>
      </c>
      <c r="C169" s="375">
        <v>2000</v>
      </c>
      <c r="D169" s="376">
        <v>0</v>
      </c>
      <c r="E169" s="375">
        <v>998.98</v>
      </c>
      <c r="F169" s="376"/>
      <c r="G169" s="376"/>
      <c r="H169" s="376"/>
      <c r="I169" s="377"/>
      <c r="J169" s="377"/>
      <c r="K169" s="377"/>
      <c r="L169" s="377"/>
      <c r="M169" s="377"/>
      <c r="N169" s="377"/>
      <c r="O169" s="377">
        <f t="shared" si="2"/>
        <v>2998.98</v>
      </c>
    </row>
    <row r="170" spans="1:15">
      <c r="A170" s="372" t="s">
        <v>584</v>
      </c>
      <c r="B170" s="373" t="s">
        <v>585</v>
      </c>
      <c r="C170" s="375">
        <v>32326.59</v>
      </c>
      <c r="D170" s="376">
        <v>38497.050000000003</v>
      </c>
      <c r="E170" s="375">
        <v>36692.43</v>
      </c>
      <c r="F170" s="376"/>
      <c r="G170" s="376"/>
      <c r="H170" s="376"/>
      <c r="I170" s="377"/>
      <c r="J170" s="377"/>
      <c r="K170" s="377"/>
      <c r="L170" s="377"/>
      <c r="M170" s="377"/>
      <c r="N170" s="377"/>
      <c r="O170" s="377">
        <f t="shared" si="2"/>
        <v>107516.07</v>
      </c>
    </row>
    <row r="171" spans="1:15">
      <c r="A171" s="372" t="s">
        <v>586</v>
      </c>
      <c r="B171" s="373" t="s">
        <v>587</v>
      </c>
      <c r="C171" s="375">
        <v>35479.5</v>
      </c>
      <c r="D171" s="376">
        <v>35290.5</v>
      </c>
      <c r="E171" s="375">
        <v>32557.5</v>
      </c>
      <c r="F171" s="376"/>
      <c r="G171" s="376"/>
      <c r="H171" s="376"/>
      <c r="I171" s="377"/>
      <c r="J171" s="377"/>
      <c r="K171" s="377"/>
      <c r="L171" s="377"/>
      <c r="M171" s="377"/>
      <c r="N171" s="377"/>
      <c r="O171" s="377">
        <f t="shared" si="2"/>
        <v>103327.5</v>
      </c>
    </row>
    <row r="172" spans="1:15">
      <c r="A172" s="372" t="s">
        <v>588</v>
      </c>
      <c r="B172" s="373" t="s">
        <v>589</v>
      </c>
      <c r="C172" s="375">
        <v>4950</v>
      </c>
      <c r="D172" s="376">
        <v>13420</v>
      </c>
      <c r="E172" s="375">
        <v>9477.5</v>
      </c>
      <c r="F172" s="376"/>
      <c r="G172" s="376"/>
      <c r="H172" s="376"/>
      <c r="I172" s="377"/>
      <c r="J172" s="377"/>
      <c r="K172" s="377"/>
      <c r="L172" s="377"/>
      <c r="M172" s="377"/>
      <c r="N172" s="377"/>
      <c r="O172" s="377">
        <f t="shared" si="2"/>
        <v>27847.5</v>
      </c>
    </row>
    <row r="173" spans="1:15">
      <c r="A173" s="372" t="s">
        <v>590</v>
      </c>
      <c r="B173" s="373" t="s">
        <v>591</v>
      </c>
      <c r="C173" s="375">
        <v>0</v>
      </c>
      <c r="D173" s="376">
        <v>0</v>
      </c>
      <c r="E173" s="375">
        <v>6991.36</v>
      </c>
      <c r="F173" s="376"/>
      <c r="G173" s="376"/>
      <c r="H173" s="376"/>
      <c r="I173" s="377"/>
      <c r="J173" s="377"/>
      <c r="K173" s="377"/>
      <c r="L173" s="377"/>
      <c r="M173" s="377"/>
      <c r="N173" s="377"/>
      <c r="O173" s="377">
        <f t="shared" si="2"/>
        <v>6991.36</v>
      </c>
    </row>
    <row r="174" spans="1:15">
      <c r="A174" s="372" t="s">
        <v>592</v>
      </c>
      <c r="B174" s="373" t="s">
        <v>593</v>
      </c>
      <c r="C174" s="375">
        <v>0</v>
      </c>
      <c r="D174" s="376">
        <v>0</v>
      </c>
      <c r="E174" s="375">
        <v>0</v>
      </c>
      <c r="F174" s="376"/>
      <c r="G174" s="376"/>
      <c r="H174" s="376"/>
      <c r="I174" s="377"/>
      <c r="J174" s="377"/>
      <c r="K174" s="377"/>
      <c r="L174" s="377"/>
      <c r="M174" s="377"/>
      <c r="N174" s="377"/>
      <c r="O174" s="377">
        <f t="shared" si="2"/>
        <v>0</v>
      </c>
    </row>
    <row r="175" spans="1:15">
      <c r="A175" s="372" t="s">
        <v>594</v>
      </c>
      <c r="B175" s="373" t="s">
        <v>595</v>
      </c>
      <c r="C175" s="375">
        <v>0</v>
      </c>
      <c r="D175" s="376">
        <v>0</v>
      </c>
      <c r="E175" s="375">
        <v>0</v>
      </c>
      <c r="F175" s="376"/>
      <c r="G175" s="376"/>
      <c r="H175" s="376"/>
      <c r="I175" s="377"/>
      <c r="J175" s="377"/>
      <c r="K175" s="377"/>
      <c r="L175" s="377"/>
      <c r="M175" s="377"/>
      <c r="N175" s="377"/>
      <c r="O175" s="377">
        <f t="shared" si="2"/>
        <v>0</v>
      </c>
    </row>
    <row r="176" spans="1:15">
      <c r="A176" s="372" t="s">
        <v>596</v>
      </c>
      <c r="B176" s="373" t="s">
        <v>597</v>
      </c>
      <c r="C176" s="375">
        <v>0</v>
      </c>
      <c r="D176" s="376">
        <v>0</v>
      </c>
      <c r="E176" s="375">
        <v>0</v>
      </c>
      <c r="F176" s="376"/>
      <c r="G176" s="376"/>
      <c r="H176" s="376"/>
      <c r="I176" s="377"/>
      <c r="J176" s="377"/>
      <c r="K176" s="377"/>
      <c r="L176" s="377"/>
      <c r="M176" s="377"/>
      <c r="N176" s="377"/>
      <c r="O176" s="377">
        <f t="shared" si="2"/>
        <v>0</v>
      </c>
    </row>
    <row r="177" spans="1:15">
      <c r="A177" s="372" t="s">
        <v>598</v>
      </c>
      <c r="B177" s="373" t="s">
        <v>599</v>
      </c>
      <c r="C177" s="375">
        <v>50711.28</v>
      </c>
      <c r="D177" s="376">
        <v>80874.039999999994</v>
      </c>
      <c r="E177" s="375">
        <v>66435.600000000006</v>
      </c>
      <c r="F177" s="376"/>
      <c r="G177" s="376"/>
      <c r="H177" s="376"/>
      <c r="I177" s="377"/>
      <c r="J177" s="377"/>
      <c r="K177" s="377"/>
      <c r="L177" s="377"/>
      <c r="M177" s="377"/>
      <c r="N177" s="377"/>
      <c r="O177" s="377">
        <f t="shared" si="2"/>
        <v>198020.92</v>
      </c>
    </row>
    <row r="178" spans="1:15">
      <c r="A178" s="372" t="s">
        <v>600</v>
      </c>
      <c r="B178" s="373" t="s">
        <v>601</v>
      </c>
      <c r="C178" s="375">
        <v>0</v>
      </c>
      <c r="D178" s="376">
        <v>0</v>
      </c>
      <c r="E178" s="375">
        <v>0</v>
      </c>
      <c r="F178" s="376"/>
      <c r="G178" s="376"/>
      <c r="H178" s="376"/>
      <c r="I178" s="377"/>
      <c r="J178" s="377"/>
      <c r="K178" s="377"/>
      <c r="L178" s="377"/>
      <c r="M178" s="377"/>
      <c r="N178" s="377"/>
      <c r="O178" s="377">
        <f t="shared" si="2"/>
        <v>0</v>
      </c>
    </row>
    <row r="179" spans="1:15">
      <c r="A179" s="372" t="s">
        <v>602</v>
      </c>
      <c r="B179" s="373" t="s">
        <v>603</v>
      </c>
      <c r="C179" s="375">
        <v>7617.3</v>
      </c>
      <c r="D179" s="376">
        <v>1719.52</v>
      </c>
      <c r="E179" s="375">
        <v>0</v>
      </c>
      <c r="F179" s="376"/>
      <c r="G179" s="376"/>
      <c r="H179" s="376"/>
      <c r="I179" s="377"/>
      <c r="J179" s="377"/>
      <c r="K179" s="377"/>
      <c r="L179" s="377"/>
      <c r="M179" s="377"/>
      <c r="N179" s="377"/>
      <c r="O179" s="377">
        <f t="shared" si="2"/>
        <v>9336.82</v>
      </c>
    </row>
    <row r="180" spans="1:15">
      <c r="A180" s="372" t="s">
        <v>604</v>
      </c>
      <c r="B180" s="373" t="s">
        <v>605</v>
      </c>
      <c r="C180" s="375">
        <v>12657.29</v>
      </c>
      <c r="D180" s="376">
        <v>6123.66</v>
      </c>
      <c r="E180" s="375">
        <v>6380.01</v>
      </c>
      <c r="F180" s="376"/>
      <c r="G180" s="376"/>
      <c r="H180" s="376"/>
      <c r="I180" s="377"/>
      <c r="J180" s="377"/>
      <c r="K180" s="377"/>
      <c r="L180" s="377"/>
      <c r="M180" s="377"/>
      <c r="N180" s="377"/>
      <c r="O180" s="377">
        <f t="shared" si="2"/>
        <v>25160.959999999999</v>
      </c>
    </row>
    <row r="181" spans="1:15">
      <c r="A181" s="372" t="s">
        <v>606</v>
      </c>
      <c r="B181" s="373" t="s">
        <v>607</v>
      </c>
      <c r="C181" s="375">
        <v>0</v>
      </c>
      <c r="D181" s="376">
        <v>0</v>
      </c>
      <c r="E181" s="375">
        <v>0</v>
      </c>
      <c r="F181" s="376"/>
      <c r="G181" s="376"/>
      <c r="H181" s="376"/>
      <c r="I181" s="377"/>
      <c r="J181" s="377"/>
      <c r="K181" s="377"/>
      <c r="L181" s="377"/>
      <c r="M181" s="377"/>
      <c r="N181" s="377"/>
      <c r="O181" s="377">
        <f t="shared" si="2"/>
        <v>0</v>
      </c>
    </row>
    <row r="182" spans="1:15">
      <c r="A182" s="372" t="s">
        <v>608</v>
      </c>
      <c r="B182" s="373" t="s">
        <v>609</v>
      </c>
      <c r="C182" s="375">
        <v>752.71</v>
      </c>
      <c r="D182" s="376">
        <v>10096.01</v>
      </c>
      <c r="E182" s="375">
        <v>0</v>
      </c>
      <c r="F182" s="376"/>
      <c r="G182" s="376"/>
      <c r="H182" s="376"/>
      <c r="I182" s="377"/>
      <c r="J182" s="377"/>
      <c r="K182" s="377"/>
      <c r="L182" s="377"/>
      <c r="M182" s="377"/>
      <c r="N182" s="377"/>
      <c r="O182" s="377">
        <f t="shared" si="2"/>
        <v>10848.720000000001</v>
      </c>
    </row>
    <row r="183" spans="1:15">
      <c r="A183" s="372" t="s">
        <v>610</v>
      </c>
      <c r="B183" s="373" t="s">
        <v>611</v>
      </c>
      <c r="C183" s="375">
        <v>0</v>
      </c>
      <c r="D183" s="376">
        <v>0</v>
      </c>
      <c r="E183" s="375">
        <v>0</v>
      </c>
      <c r="F183" s="376"/>
      <c r="G183" s="376"/>
      <c r="H183" s="376"/>
      <c r="I183" s="377"/>
      <c r="J183" s="377"/>
      <c r="K183" s="377"/>
      <c r="L183" s="377"/>
      <c r="M183" s="377"/>
      <c r="N183" s="377"/>
      <c r="O183" s="377">
        <f t="shared" si="2"/>
        <v>0</v>
      </c>
    </row>
    <row r="184" spans="1:15">
      <c r="A184" s="372" t="s">
        <v>612</v>
      </c>
      <c r="B184" s="373" t="s">
        <v>613</v>
      </c>
      <c r="C184" s="375">
        <v>434109.86</v>
      </c>
      <c r="D184" s="376">
        <v>410272.28</v>
      </c>
      <c r="E184" s="375">
        <v>95935.5</v>
      </c>
      <c r="F184" s="376"/>
      <c r="G184" s="376"/>
      <c r="H184" s="376"/>
      <c r="I184" s="377"/>
      <c r="J184" s="377"/>
      <c r="K184" s="377"/>
      <c r="L184" s="377"/>
      <c r="M184" s="377"/>
      <c r="N184" s="377"/>
      <c r="O184" s="377">
        <f t="shared" si="2"/>
        <v>940317.64</v>
      </c>
    </row>
    <row r="185" spans="1:15">
      <c r="A185" s="372" t="s">
        <v>614</v>
      </c>
      <c r="B185" s="373" t="s">
        <v>615</v>
      </c>
      <c r="C185" s="375">
        <v>0</v>
      </c>
      <c r="D185" s="376">
        <v>0</v>
      </c>
      <c r="E185" s="375">
        <v>0</v>
      </c>
      <c r="F185" s="376"/>
      <c r="G185" s="376"/>
      <c r="H185" s="376"/>
      <c r="I185" s="377"/>
      <c r="J185" s="377"/>
      <c r="K185" s="377"/>
      <c r="L185" s="377"/>
      <c r="M185" s="377"/>
      <c r="N185" s="377"/>
      <c r="O185" s="377">
        <f t="shared" si="2"/>
        <v>0</v>
      </c>
    </row>
    <row r="186" spans="1:15">
      <c r="A186" s="372" t="s">
        <v>616</v>
      </c>
      <c r="B186" s="373" t="s">
        <v>617</v>
      </c>
      <c r="C186" s="375">
        <v>50005</v>
      </c>
      <c r="D186" s="376">
        <v>39532.54</v>
      </c>
      <c r="E186" s="375">
        <v>0</v>
      </c>
      <c r="F186" s="376"/>
      <c r="G186" s="376"/>
      <c r="H186" s="376"/>
      <c r="I186" s="377"/>
      <c r="J186" s="377"/>
      <c r="K186" s="377"/>
      <c r="L186" s="377"/>
      <c r="M186" s="377"/>
      <c r="N186" s="377"/>
      <c r="O186" s="377">
        <f t="shared" si="2"/>
        <v>89537.540000000008</v>
      </c>
    </row>
    <row r="187" spans="1:15">
      <c r="A187" s="372" t="s">
        <v>618</v>
      </c>
      <c r="B187" s="373" t="s">
        <v>619</v>
      </c>
      <c r="C187" s="375">
        <v>0</v>
      </c>
      <c r="D187" s="376">
        <v>0</v>
      </c>
      <c r="E187" s="375">
        <v>-230.4</v>
      </c>
      <c r="F187" s="376"/>
      <c r="G187" s="376"/>
      <c r="H187" s="376"/>
      <c r="I187" s="377"/>
      <c r="J187" s="377"/>
      <c r="K187" s="377"/>
      <c r="L187" s="377"/>
      <c r="M187" s="377"/>
      <c r="N187" s="377"/>
      <c r="O187" s="377">
        <f t="shared" si="2"/>
        <v>-230.4</v>
      </c>
    </row>
    <row r="188" spans="1:15">
      <c r="A188" s="372" t="s">
        <v>620</v>
      </c>
      <c r="B188" s="373" t="s">
        <v>621</v>
      </c>
      <c r="C188" s="375">
        <v>17968.919999999998</v>
      </c>
      <c r="D188" s="376">
        <v>3333.08</v>
      </c>
      <c r="E188" s="375">
        <v>0</v>
      </c>
      <c r="F188" s="376"/>
      <c r="G188" s="376"/>
      <c r="H188" s="376"/>
      <c r="I188" s="377"/>
      <c r="J188" s="377"/>
      <c r="K188" s="377"/>
      <c r="L188" s="377"/>
      <c r="M188" s="377"/>
      <c r="N188" s="377"/>
      <c r="O188" s="377">
        <f t="shared" si="2"/>
        <v>21302</v>
      </c>
    </row>
    <row r="189" spans="1:15">
      <c r="A189" s="372" t="s">
        <v>622</v>
      </c>
      <c r="B189" s="373" t="s">
        <v>623</v>
      </c>
      <c r="C189" s="375">
        <v>0</v>
      </c>
      <c r="D189" s="376">
        <v>0</v>
      </c>
      <c r="E189" s="375">
        <v>0</v>
      </c>
      <c r="F189" s="376"/>
      <c r="G189" s="376"/>
      <c r="H189" s="376"/>
      <c r="I189" s="377"/>
      <c r="J189" s="377"/>
      <c r="K189" s="377"/>
      <c r="L189" s="377"/>
      <c r="M189" s="377"/>
      <c r="N189" s="377"/>
      <c r="O189" s="377">
        <f t="shared" si="2"/>
        <v>0</v>
      </c>
    </row>
    <row r="190" spans="1:15">
      <c r="A190" s="372" t="s">
        <v>624</v>
      </c>
      <c r="B190" s="373" t="s">
        <v>625</v>
      </c>
      <c r="C190" s="375">
        <v>0</v>
      </c>
      <c r="D190" s="376">
        <v>0</v>
      </c>
      <c r="E190" s="375">
        <v>0</v>
      </c>
      <c r="F190" s="376"/>
      <c r="G190" s="376"/>
      <c r="H190" s="376"/>
      <c r="I190" s="377"/>
      <c r="J190" s="377"/>
      <c r="K190" s="377"/>
      <c r="L190" s="377"/>
      <c r="M190" s="377"/>
      <c r="N190" s="377"/>
      <c r="O190" s="377">
        <f t="shared" si="2"/>
        <v>0</v>
      </c>
    </row>
    <row r="191" spans="1:15">
      <c r="A191" s="372" t="s">
        <v>626</v>
      </c>
      <c r="B191" s="373" t="s">
        <v>627</v>
      </c>
      <c r="C191" s="375">
        <v>0</v>
      </c>
      <c r="D191" s="376">
        <v>0</v>
      </c>
      <c r="E191" s="375">
        <v>0</v>
      </c>
      <c r="F191" s="376"/>
      <c r="G191" s="376"/>
      <c r="H191" s="376"/>
      <c r="I191" s="377"/>
      <c r="J191" s="377"/>
      <c r="K191" s="377"/>
      <c r="L191" s="377"/>
      <c r="M191" s="377"/>
      <c r="N191" s="377"/>
      <c r="O191" s="377">
        <f t="shared" si="2"/>
        <v>0</v>
      </c>
    </row>
    <row r="192" spans="1:15">
      <c r="A192" s="372" t="s">
        <v>628</v>
      </c>
      <c r="B192" s="373" t="s">
        <v>629</v>
      </c>
      <c r="C192" s="375">
        <v>9286.02</v>
      </c>
      <c r="D192" s="376">
        <v>4704.28</v>
      </c>
      <c r="E192" s="375">
        <v>10954.5</v>
      </c>
      <c r="F192" s="376"/>
      <c r="G192" s="376"/>
      <c r="H192" s="376"/>
      <c r="I192" s="377"/>
      <c r="J192" s="377"/>
      <c r="K192" s="377"/>
      <c r="L192" s="377"/>
      <c r="M192" s="377"/>
      <c r="N192" s="377"/>
      <c r="O192" s="377">
        <f t="shared" si="2"/>
        <v>24944.799999999999</v>
      </c>
    </row>
    <row r="193" spans="1:15">
      <c r="A193" s="372" t="s">
        <v>630</v>
      </c>
      <c r="B193" s="373" t="s">
        <v>631</v>
      </c>
      <c r="C193" s="375">
        <v>412.85</v>
      </c>
      <c r="D193" s="376">
        <v>0</v>
      </c>
      <c r="E193" s="375">
        <v>0</v>
      </c>
      <c r="F193" s="376"/>
      <c r="G193" s="376"/>
      <c r="H193" s="376"/>
      <c r="I193" s="377"/>
      <c r="J193" s="377"/>
      <c r="K193" s="377"/>
      <c r="L193" s="377"/>
      <c r="M193" s="377"/>
      <c r="N193" s="377"/>
      <c r="O193" s="377">
        <f t="shared" si="2"/>
        <v>412.85</v>
      </c>
    </row>
    <row r="194" spans="1:15">
      <c r="A194" s="372" t="s">
        <v>632</v>
      </c>
      <c r="B194" s="373" t="s">
        <v>633</v>
      </c>
      <c r="C194" s="375">
        <v>185.48</v>
      </c>
      <c r="D194" s="376">
        <v>0</v>
      </c>
      <c r="E194" s="375">
        <v>0</v>
      </c>
      <c r="F194" s="376"/>
      <c r="G194" s="376"/>
      <c r="H194" s="376"/>
      <c r="I194" s="377"/>
      <c r="J194" s="377"/>
      <c r="K194" s="377"/>
      <c r="L194" s="377"/>
      <c r="M194" s="377"/>
      <c r="N194" s="377"/>
      <c r="O194" s="377">
        <f t="shared" ref="O194:O257" si="3">SUM(C194:N194)</f>
        <v>185.48</v>
      </c>
    </row>
    <row r="195" spans="1:15">
      <c r="A195" s="372" t="s">
        <v>634</v>
      </c>
      <c r="B195" s="373" t="s">
        <v>635</v>
      </c>
      <c r="C195" s="375">
        <v>0</v>
      </c>
      <c r="D195" s="376">
        <v>0</v>
      </c>
      <c r="E195" s="375">
        <v>0</v>
      </c>
      <c r="F195" s="376"/>
      <c r="G195" s="376"/>
      <c r="H195" s="376"/>
      <c r="I195" s="377"/>
      <c r="J195" s="377"/>
      <c r="K195" s="377"/>
      <c r="L195" s="377"/>
      <c r="M195" s="377"/>
      <c r="N195" s="377"/>
      <c r="O195" s="377">
        <f t="shared" si="3"/>
        <v>0</v>
      </c>
    </row>
    <row r="196" spans="1:15">
      <c r="A196" s="372" t="s">
        <v>636</v>
      </c>
      <c r="B196" s="373" t="s">
        <v>637</v>
      </c>
      <c r="C196" s="375">
        <v>0</v>
      </c>
      <c r="D196" s="376">
        <v>0</v>
      </c>
      <c r="E196" s="375">
        <v>0</v>
      </c>
      <c r="F196" s="376"/>
      <c r="G196" s="376"/>
      <c r="H196" s="376"/>
      <c r="I196" s="377"/>
      <c r="J196" s="377"/>
      <c r="K196" s="377"/>
      <c r="L196" s="377"/>
      <c r="M196" s="377"/>
      <c r="N196" s="377"/>
      <c r="O196" s="377">
        <f t="shared" si="3"/>
        <v>0</v>
      </c>
    </row>
    <row r="197" spans="1:15">
      <c r="A197" s="372" t="s">
        <v>638</v>
      </c>
      <c r="B197" s="373" t="s">
        <v>639</v>
      </c>
      <c r="C197" s="375">
        <v>0</v>
      </c>
      <c r="D197" s="376">
        <v>775</v>
      </c>
      <c r="E197" s="375">
        <v>1872</v>
      </c>
      <c r="F197" s="376"/>
      <c r="G197" s="376"/>
      <c r="H197" s="376"/>
      <c r="I197" s="377"/>
      <c r="J197" s="377"/>
      <c r="K197" s="377"/>
      <c r="L197" s="377"/>
      <c r="M197" s="377"/>
      <c r="N197" s="377"/>
      <c r="O197" s="377">
        <f t="shared" si="3"/>
        <v>2647</v>
      </c>
    </row>
    <row r="198" spans="1:15">
      <c r="A198" s="372" t="s">
        <v>640</v>
      </c>
      <c r="B198" s="373" t="s">
        <v>641</v>
      </c>
      <c r="C198" s="375">
        <v>0</v>
      </c>
      <c r="D198" s="376">
        <v>0</v>
      </c>
      <c r="E198" s="375">
        <v>0</v>
      </c>
      <c r="F198" s="376"/>
      <c r="G198" s="376"/>
      <c r="H198" s="376"/>
      <c r="I198" s="377"/>
      <c r="J198" s="377"/>
      <c r="K198" s="377"/>
      <c r="L198" s="377"/>
      <c r="M198" s="377"/>
      <c r="N198" s="377"/>
      <c r="O198" s="377">
        <f t="shared" si="3"/>
        <v>0</v>
      </c>
    </row>
    <row r="199" spans="1:15">
      <c r="A199" s="372" t="s">
        <v>642</v>
      </c>
      <c r="B199" s="373" t="s">
        <v>643</v>
      </c>
      <c r="C199" s="375">
        <v>0</v>
      </c>
      <c r="D199" s="376">
        <v>0</v>
      </c>
      <c r="E199" s="375">
        <v>0</v>
      </c>
      <c r="F199" s="376"/>
      <c r="G199" s="376"/>
      <c r="H199" s="376"/>
      <c r="I199" s="377"/>
      <c r="J199" s="377"/>
      <c r="K199" s="377"/>
      <c r="L199" s="377"/>
      <c r="M199" s="377"/>
      <c r="N199" s="377"/>
      <c r="O199" s="377">
        <f t="shared" si="3"/>
        <v>0</v>
      </c>
    </row>
    <row r="200" spans="1:15">
      <c r="A200" s="372" t="s">
        <v>644</v>
      </c>
      <c r="B200" s="373" t="s">
        <v>645</v>
      </c>
      <c r="C200" s="375">
        <v>70578.44</v>
      </c>
      <c r="D200" s="376">
        <v>46588.4</v>
      </c>
      <c r="E200" s="375">
        <v>44099.09</v>
      </c>
      <c r="F200" s="376"/>
      <c r="G200" s="376"/>
      <c r="H200" s="376"/>
      <c r="I200" s="377"/>
      <c r="J200" s="377"/>
      <c r="K200" s="377"/>
      <c r="L200" s="377"/>
      <c r="M200" s="377"/>
      <c r="N200" s="377"/>
      <c r="O200" s="377">
        <f t="shared" si="3"/>
        <v>161265.93</v>
      </c>
    </row>
    <row r="201" spans="1:15">
      <c r="A201" s="372" t="s">
        <v>646</v>
      </c>
      <c r="B201" s="373" t="s">
        <v>647</v>
      </c>
      <c r="C201" s="375">
        <v>0</v>
      </c>
      <c r="D201" s="376">
        <v>0</v>
      </c>
      <c r="E201" s="375">
        <v>2.16</v>
      </c>
      <c r="F201" s="376"/>
      <c r="G201" s="376"/>
      <c r="H201" s="376"/>
      <c r="I201" s="377"/>
      <c r="J201" s="377"/>
      <c r="K201" s="377"/>
      <c r="L201" s="377"/>
      <c r="M201" s="377"/>
      <c r="N201" s="377"/>
      <c r="O201" s="377">
        <f t="shared" si="3"/>
        <v>2.16</v>
      </c>
    </row>
    <row r="202" spans="1:15">
      <c r="A202" s="372" t="s">
        <v>648</v>
      </c>
      <c r="B202" s="373" t="s">
        <v>649</v>
      </c>
      <c r="C202" s="375">
        <v>18644</v>
      </c>
      <c r="D202" s="376">
        <v>19533</v>
      </c>
      <c r="E202" s="375">
        <v>14150</v>
      </c>
      <c r="F202" s="376"/>
      <c r="G202" s="376"/>
      <c r="H202" s="376"/>
      <c r="I202" s="377"/>
      <c r="J202" s="377"/>
      <c r="K202" s="377"/>
      <c r="L202" s="377"/>
      <c r="M202" s="377"/>
      <c r="N202" s="377"/>
      <c r="O202" s="377">
        <f t="shared" si="3"/>
        <v>52327</v>
      </c>
    </row>
    <row r="203" spans="1:15">
      <c r="A203" s="372" t="s">
        <v>650</v>
      </c>
      <c r="B203" s="373" t="s">
        <v>651</v>
      </c>
      <c r="C203" s="375">
        <v>22406.5</v>
      </c>
      <c r="D203" s="376">
        <v>17902</v>
      </c>
      <c r="E203" s="375">
        <v>40414</v>
      </c>
      <c r="F203" s="376"/>
      <c r="G203" s="376"/>
      <c r="H203" s="376"/>
      <c r="I203" s="377"/>
      <c r="J203" s="377"/>
      <c r="K203" s="377"/>
      <c r="L203" s="377"/>
      <c r="M203" s="377"/>
      <c r="N203" s="377"/>
      <c r="O203" s="377">
        <f t="shared" si="3"/>
        <v>80722.5</v>
      </c>
    </row>
    <row r="204" spans="1:15">
      <c r="A204" s="372" t="s">
        <v>652</v>
      </c>
      <c r="B204" s="373" t="s">
        <v>653</v>
      </c>
      <c r="C204" s="375">
        <v>13930.49</v>
      </c>
      <c r="D204" s="376">
        <v>17666.21</v>
      </c>
      <c r="E204" s="375">
        <v>6176.12</v>
      </c>
      <c r="F204" s="376"/>
      <c r="G204" s="376"/>
      <c r="H204" s="376"/>
      <c r="I204" s="377"/>
      <c r="J204" s="377"/>
      <c r="K204" s="377"/>
      <c r="L204" s="377"/>
      <c r="M204" s="377"/>
      <c r="N204" s="377"/>
      <c r="O204" s="377">
        <f t="shared" si="3"/>
        <v>37772.82</v>
      </c>
    </row>
    <row r="205" spans="1:15">
      <c r="A205" s="372" t="s">
        <v>654</v>
      </c>
      <c r="B205" s="373" t="s">
        <v>655</v>
      </c>
      <c r="C205" s="375">
        <v>12740.25</v>
      </c>
      <c r="D205" s="376">
        <v>13637.75</v>
      </c>
      <c r="E205" s="375">
        <v>2752.5</v>
      </c>
      <c r="F205" s="376"/>
      <c r="G205" s="376"/>
      <c r="H205" s="376"/>
      <c r="I205" s="377"/>
      <c r="J205" s="377"/>
      <c r="K205" s="377"/>
      <c r="L205" s="377"/>
      <c r="M205" s="377"/>
      <c r="N205" s="377"/>
      <c r="O205" s="377">
        <f t="shared" si="3"/>
        <v>29130.5</v>
      </c>
    </row>
    <row r="206" spans="1:15">
      <c r="A206" s="372" t="s">
        <v>656</v>
      </c>
      <c r="B206" s="373" t="s">
        <v>657</v>
      </c>
      <c r="C206" s="375">
        <v>11764.92</v>
      </c>
      <c r="D206" s="376">
        <v>14958.27</v>
      </c>
      <c r="E206" s="375">
        <v>0</v>
      </c>
      <c r="F206" s="376"/>
      <c r="G206" s="376"/>
      <c r="H206" s="376"/>
      <c r="I206" s="377"/>
      <c r="J206" s="377"/>
      <c r="K206" s="377"/>
      <c r="L206" s="377"/>
      <c r="M206" s="377"/>
      <c r="N206" s="377"/>
      <c r="O206" s="377">
        <f t="shared" si="3"/>
        <v>26723.190000000002</v>
      </c>
    </row>
    <row r="207" spans="1:15">
      <c r="A207" s="372" t="s">
        <v>658</v>
      </c>
      <c r="B207" s="373" t="s">
        <v>659</v>
      </c>
      <c r="C207" s="375">
        <v>0</v>
      </c>
      <c r="D207" s="376">
        <v>0</v>
      </c>
      <c r="E207" s="375">
        <v>0</v>
      </c>
      <c r="F207" s="376"/>
      <c r="G207" s="376"/>
      <c r="H207" s="376"/>
      <c r="I207" s="377"/>
      <c r="J207" s="377"/>
      <c r="K207" s="377"/>
      <c r="L207" s="377"/>
      <c r="M207" s="377"/>
      <c r="N207" s="377"/>
      <c r="O207" s="377">
        <f t="shared" si="3"/>
        <v>0</v>
      </c>
    </row>
    <row r="208" spans="1:15">
      <c r="A208" s="372" t="s">
        <v>660</v>
      </c>
      <c r="B208" s="373" t="s">
        <v>661</v>
      </c>
      <c r="C208" s="375">
        <v>0</v>
      </c>
      <c r="D208" s="376">
        <v>0</v>
      </c>
      <c r="E208" s="375">
        <v>0</v>
      </c>
      <c r="F208" s="376"/>
      <c r="G208" s="376"/>
      <c r="H208" s="376"/>
      <c r="I208" s="377"/>
      <c r="J208" s="377"/>
      <c r="K208" s="377"/>
      <c r="L208" s="377"/>
      <c r="M208" s="377"/>
      <c r="N208" s="377"/>
      <c r="O208" s="377">
        <f t="shared" si="3"/>
        <v>0</v>
      </c>
    </row>
    <row r="209" spans="1:15">
      <c r="A209" s="372" t="s">
        <v>662</v>
      </c>
      <c r="B209" s="373" t="s">
        <v>663</v>
      </c>
      <c r="C209" s="375">
        <v>0</v>
      </c>
      <c r="D209" s="376">
        <v>0</v>
      </c>
      <c r="E209" s="375">
        <v>0</v>
      </c>
      <c r="F209" s="376"/>
      <c r="G209" s="376"/>
      <c r="H209" s="376"/>
      <c r="I209" s="377"/>
      <c r="J209" s="377"/>
      <c r="K209" s="377"/>
      <c r="L209" s="377"/>
      <c r="M209" s="377"/>
      <c r="N209" s="377"/>
      <c r="O209" s="377">
        <f t="shared" si="3"/>
        <v>0</v>
      </c>
    </row>
    <row r="210" spans="1:15">
      <c r="A210" s="372" t="s">
        <v>664</v>
      </c>
      <c r="B210" s="373" t="s">
        <v>665</v>
      </c>
      <c r="C210" s="375">
        <v>0</v>
      </c>
      <c r="D210" s="376">
        <v>0</v>
      </c>
      <c r="E210" s="375">
        <v>0</v>
      </c>
      <c r="F210" s="376"/>
      <c r="G210" s="376"/>
      <c r="H210" s="376"/>
      <c r="I210" s="377"/>
      <c r="J210" s="377"/>
      <c r="K210" s="377"/>
      <c r="L210" s="377"/>
      <c r="M210" s="377"/>
      <c r="N210" s="377"/>
      <c r="O210" s="377">
        <f t="shared" si="3"/>
        <v>0</v>
      </c>
    </row>
    <row r="211" spans="1:15">
      <c r="A211" s="372" t="s">
        <v>666</v>
      </c>
      <c r="B211" s="373" t="s">
        <v>667</v>
      </c>
      <c r="C211" s="375">
        <v>0</v>
      </c>
      <c r="D211" s="376">
        <v>0</v>
      </c>
      <c r="E211" s="375">
        <v>0</v>
      </c>
      <c r="F211" s="376"/>
      <c r="G211" s="376"/>
      <c r="H211" s="376"/>
      <c r="I211" s="377"/>
      <c r="J211" s="377"/>
      <c r="K211" s="377"/>
      <c r="L211" s="377"/>
      <c r="M211" s="377"/>
      <c r="N211" s="377"/>
      <c r="O211" s="377">
        <f t="shared" si="3"/>
        <v>0</v>
      </c>
    </row>
    <row r="212" spans="1:15">
      <c r="A212" s="372" t="s">
        <v>668</v>
      </c>
      <c r="B212" s="373" t="s">
        <v>669</v>
      </c>
      <c r="C212" s="375">
        <v>5202</v>
      </c>
      <c r="D212" s="376">
        <v>12379.5</v>
      </c>
      <c r="E212" s="375">
        <v>14856</v>
      </c>
      <c r="F212" s="376"/>
      <c r="G212" s="376"/>
      <c r="H212" s="376"/>
      <c r="I212" s="377"/>
      <c r="J212" s="377"/>
      <c r="K212" s="377"/>
      <c r="L212" s="377"/>
      <c r="M212" s="377"/>
      <c r="N212" s="377"/>
      <c r="O212" s="377">
        <f t="shared" si="3"/>
        <v>32437.5</v>
      </c>
    </row>
    <row r="213" spans="1:15">
      <c r="A213" s="372" t="s">
        <v>670</v>
      </c>
      <c r="B213" s="373" t="s">
        <v>671</v>
      </c>
      <c r="C213" s="375">
        <v>7765.24</v>
      </c>
      <c r="D213" s="376">
        <v>9329.18</v>
      </c>
      <c r="E213" s="375">
        <v>6387.75</v>
      </c>
      <c r="F213" s="376"/>
      <c r="G213" s="376"/>
      <c r="H213" s="376"/>
      <c r="I213" s="377"/>
      <c r="J213" s="377"/>
      <c r="K213" s="377"/>
      <c r="L213" s="377"/>
      <c r="M213" s="377"/>
      <c r="N213" s="377"/>
      <c r="O213" s="377">
        <f t="shared" si="3"/>
        <v>23482.17</v>
      </c>
    </row>
    <row r="214" spans="1:15">
      <c r="A214" s="372" t="s">
        <v>672</v>
      </c>
      <c r="B214" s="373" t="s">
        <v>673</v>
      </c>
      <c r="C214" s="375">
        <v>2480.31</v>
      </c>
      <c r="D214" s="376">
        <v>2620.37</v>
      </c>
      <c r="E214" s="375">
        <v>750.51</v>
      </c>
      <c r="F214" s="376"/>
      <c r="G214" s="376"/>
      <c r="H214" s="376"/>
      <c r="I214" s="377"/>
      <c r="J214" s="377"/>
      <c r="K214" s="377"/>
      <c r="L214" s="377"/>
      <c r="M214" s="377"/>
      <c r="N214" s="377"/>
      <c r="O214" s="377">
        <f t="shared" si="3"/>
        <v>5851.1900000000005</v>
      </c>
    </row>
    <row r="215" spans="1:15">
      <c r="A215" s="372" t="s">
        <v>674</v>
      </c>
      <c r="B215" s="373" t="s">
        <v>675</v>
      </c>
      <c r="C215" s="375">
        <v>0</v>
      </c>
      <c r="D215" s="376">
        <v>0</v>
      </c>
      <c r="E215" s="375">
        <v>0</v>
      </c>
      <c r="F215" s="376"/>
      <c r="G215" s="376"/>
      <c r="H215" s="376"/>
      <c r="I215" s="377"/>
      <c r="J215" s="377"/>
      <c r="K215" s="377"/>
      <c r="L215" s="377"/>
      <c r="M215" s="377"/>
      <c r="N215" s="377"/>
      <c r="O215" s="377">
        <f t="shared" si="3"/>
        <v>0</v>
      </c>
    </row>
    <row r="216" spans="1:15">
      <c r="A216" s="372" t="s">
        <v>676</v>
      </c>
      <c r="B216" s="373" t="s">
        <v>677</v>
      </c>
      <c r="C216" s="375">
        <v>0</v>
      </c>
      <c r="D216" s="376">
        <v>0</v>
      </c>
      <c r="E216" s="375">
        <v>0</v>
      </c>
      <c r="F216" s="376"/>
      <c r="G216" s="376"/>
      <c r="H216" s="376"/>
      <c r="I216" s="377"/>
      <c r="J216" s="377"/>
      <c r="K216" s="377"/>
      <c r="L216" s="377"/>
      <c r="M216" s="377"/>
      <c r="N216" s="377"/>
      <c r="O216" s="377">
        <f t="shared" si="3"/>
        <v>0</v>
      </c>
    </row>
    <row r="217" spans="1:15">
      <c r="A217" s="372" t="s">
        <v>678</v>
      </c>
      <c r="B217" s="373" t="s">
        <v>679</v>
      </c>
      <c r="C217" s="375">
        <v>23253.360000000001</v>
      </c>
      <c r="D217" s="376">
        <v>7023.5</v>
      </c>
      <c r="E217" s="375">
        <v>11069.78</v>
      </c>
      <c r="F217" s="376"/>
      <c r="G217" s="376"/>
      <c r="H217" s="376"/>
      <c r="I217" s="377"/>
      <c r="J217" s="377"/>
      <c r="K217" s="377"/>
      <c r="L217" s="377"/>
      <c r="M217" s="377"/>
      <c r="N217" s="377"/>
      <c r="O217" s="377">
        <f t="shared" si="3"/>
        <v>41346.639999999999</v>
      </c>
    </row>
    <row r="218" spans="1:15">
      <c r="A218" s="372" t="s">
        <v>680</v>
      </c>
      <c r="B218" s="373" t="s">
        <v>681</v>
      </c>
      <c r="C218" s="375">
        <v>7562.3</v>
      </c>
      <c r="D218" s="376">
        <v>5502.58</v>
      </c>
      <c r="E218" s="375">
        <v>0</v>
      </c>
      <c r="F218" s="376"/>
      <c r="G218" s="376"/>
      <c r="H218" s="376"/>
      <c r="I218" s="377"/>
      <c r="J218" s="377"/>
      <c r="K218" s="377"/>
      <c r="L218" s="377"/>
      <c r="M218" s="377"/>
      <c r="N218" s="377"/>
      <c r="O218" s="377">
        <f t="shared" si="3"/>
        <v>13064.880000000001</v>
      </c>
    </row>
    <row r="219" spans="1:15">
      <c r="A219" s="372" t="s">
        <v>682</v>
      </c>
      <c r="B219" s="373" t="s">
        <v>683</v>
      </c>
      <c r="C219" s="375">
        <v>350</v>
      </c>
      <c r="D219" s="376">
        <v>425</v>
      </c>
      <c r="E219" s="375">
        <v>0</v>
      </c>
      <c r="F219" s="376"/>
      <c r="G219" s="376"/>
      <c r="H219" s="376"/>
      <c r="I219" s="377"/>
      <c r="J219" s="377"/>
      <c r="K219" s="377"/>
      <c r="L219" s="377"/>
      <c r="M219" s="377"/>
      <c r="N219" s="377"/>
      <c r="O219" s="377">
        <f t="shared" si="3"/>
        <v>775</v>
      </c>
    </row>
    <row r="220" spans="1:15">
      <c r="A220" s="372" t="s">
        <v>684</v>
      </c>
      <c r="B220" s="373" t="s">
        <v>685</v>
      </c>
      <c r="C220" s="375">
        <v>840</v>
      </c>
      <c r="D220" s="376">
        <v>0</v>
      </c>
      <c r="E220" s="375">
        <v>0</v>
      </c>
      <c r="F220" s="376"/>
      <c r="G220" s="376"/>
      <c r="H220" s="376"/>
      <c r="I220" s="377"/>
      <c r="J220" s="377"/>
      <c r="K220" s="377"/>
      <c r="L220" s="377"/>
      <c r="M220" s="377"/>
      <c r="N220" s="377"/>
      <c r="O220" s="377">
        <f t="shared" si="3"/>
        <v>840</v>
      </c>
    </row>
    <row r="221" spans="1:15">
      <c r="A221" s="372" t="s">
        <v>686</v>
      </c>
      <c r="B221" s="373" t="s">
        <v>687</v>
      </c>
      <c r="C221" s="375">
        <v>0</v>
      </c>
      <c r="D221" s="376">
        <v>0</v>
      </c>
      <c r="E221" s="375">
        <v>0</v>
      </c>
      <c r="F221" s="376"/>
      <c r="G221" s="376"/>
      <c r="H221" s="376"/>
      <c r="I221" s="377"/>
      <c r="J221" s="377"/>
      <c r="K221" s="377"/>
      <c r="L221" s="377"/>
      <c r="M221" s="377"/>
      <c r="N221" s="377"/>
      <c r="O221" s="377">
        <f t="shared" si="3"/>
        <v>0</v>
      </c>
    </row>
    <row r="222" spans="1:15">
      <c r="A222" s="372" t="s">
        <v>688</v>
      </c>
      <c r="B222" s="373" t="s">
        <v>689</v>
      </c>
      <c r="C222" s="375">
        <v>0</v>
      </c>
      <c r="D222" s="376">
        <v>0</v>
      </c>
      <c r="E222" s="375">
        <v>0</v>
      </c>
      <c r="F222" s="376"/>
      <c r="G222" s="376"/>
      <c r="H222" s="376"/>
      <c r="I222" s="377"/>
      <c r="J222" s="377"/>
      <c r="K222" s="377"/>
      <c r="L222" s="377"/>
      <c r="M222" s="377"/>
      <c r="N222" s="377"/>
      <c r="O222" s="377">
        <f t="shared" si="3"/>
        <v>0</v>
      </c>
    </row>
    <row r="223" spans="1:15">
      <c r="A223" s="372" t="s">
        <v>690</v>
      </c>
      <c r="B223" s="373" t="s">
        <v>691</v>
      </c>
      <c r="C223" s="375">
        <v>0</v>
      </c>
      <c r="D223" s="376">
        <v>0</v>
      </c>
      <c r="E223" s="375">
        <v>0</v>
      </c>
      <c r="F223" s="376"/>
      <c r="G223" s="376"/>
      <c r="H223" s="376"/>
      <c r="I223" s="377"/>
      <c r="J223" s="377"/>
      <c r="K223" s="377"/>
      <c r="L223" s="377"/>
      <c r="M223" s="377"/>
      <c r="N223" s="377"/>
      <c r="O223" s="377">
        <f t="shared" si="3"/>
        <v>0</v>
      </c>
    </row>
    <row r="224" spans="1:15">
      <c r="A224" s="372" t="s">
        <v>692</v>
      </c>
      <c r="B224" s="373" t="s">
        <v>693</v>
      </c>
      <c r="C224" s="375">
        <v>115.62</v>
      </c>
      <c r="D224" s="376">
        <v>1603.29</v>
      </c>
      <c r="E224" s="375">
        <v>0</v>
      </c>
      <c r="F224" s="376"/>
      <c r="G224" s="376"/>
      <c r="H224" s="376"/>
      <c r="I224" s="377"/>
      <c r="J224" s="377"/>
      <c r="K224" s="377"/>
      <c r="L224" s="377"/>
      <c r="M224" s="377"/>
      <c r="N224" s="377"/>
      <c r="O224" s="377">
        <f t="shared" si="3"/>
        <v>1718.9099999999999</v>
      </c>
    </row>
    <row r="225" spans="1:15">
      <c r="A225" s="372" t="s">
        <v>694</v>
      </c>
      <c r="B225" s="373" t="s">
        <v>695</v>
      </c>
      <c r="C225" s="375">
        <v>0</v>
      </c>
      <c r="D225" s="376">
        <v>0</v>
      </c>
      <c r="E225" s="375">
        <v>0</v>
      </c>
      <c r="F225" s="376"/>
      <c r="G225" s="376"/>
      <c r="H225" s="376"/>
      <c r="I225" s="377"/>
      <c r="J225" s="377"/>
      <c r="K225" s="377"/>
      <c r="L225" s="377"/>
      <c r="M225" s="377"/>
      <c r="N225" s="377"/>
      <c r="O225" s="377">
        <f t="shared" si="3"/>
        <v>0</v>
      </c>
    </row>
    <row r="226" spans="1:15">
      <c r="A226" s="372" t="s">
        <v>696</v>
      </c>
      <c r="B226" s="373" t="s">
        <v>697</v>
      </c>
      <c r="C226" s="375">
        <v>10625</v>
      </c>
      <c r="D226" s="376">
        <v>6547.82</v>
      </c>
      <c r="E226" s="375">
        <v>6755.5</v>
      </c>
      <c r="F226" s="376"/>
      <c r="G226" s="376"/>
      <c r="H226" s="376"/>
      <c r="I226" s="377"/>
      <c r="J226" s="377"/>
      <c r="K226" s="377"/>
      <c r="L226" s="377"/>
      <c r="M226" s="377"/>
      <c r="N226" s="377"/>
      <c r="O226" s="377">
        <f t="shared" si="3"/>
        <v>23928.32</v>
      </c>
    </row>
    <row r="227" spans="1:15">
      <c r="A227" s="372" t="s">
        <v>698</v>
      </c>
      <c r="B227" s="373" t="s">
        <v>699</v>
      </c>
      <c r="C227" s="375">
        <v>225</v>
      </c>
      <c r="D227" s="376">
        <v>0</v>
      </c>
      <c r="E227" s="375">
        <v>0</v>
      </c>
      <c r="F227" s="376"/>
      <c r="G227" s="376"/>
      <c r="H227" s="376"/>
      <c r="I227" s="377"/>
      <c r="J227" s="377"/>
      <c r="K227" s="377"/>
      <c r="L227" s="377"/>
      <c r="M227" s="377"/>
      <c r="N227" s="377"/>
      <c r="O227" s="377">
        <f t="shared" si="3"/>
        <v>225</v>
      </c>
    </row>
    <row r="228" spans="1:15">
      <c r="A228" s="372" t="s">
        <v>700</v>
      </c>
      <c r="B228" s="373" t="s">
        <v>701</v>
      </c>
      <c r="C228" s="375">
        <v>0</v>
      </c>
      <c r="D228" s="376">
        <v>0</v>
      </c>
      <c r="E228" s="375">
        <v>0</v>
      </c>
      <c r="F228" s="376"/>
      <c r="G228" s="376"/>
      <c r="H228" s="376"/>
      <c r="I228" s="377"/>
      <c r="J228" s="377"/>
      <c r="K228" s="377"/>
      <c r="L228" s="377"/>
      <c r="M228" s="377"/>
      <c r="N228" s="377"/>
      <c r="O228" s="377">
        <f t="shared" si="3"/>
        <v>0</v>
      </c>
    </row>
    <row r="229" spans="1:15">
      <c r="A229" s="372" t="s">
        <v>702</v>
      </c>
      <c r="B229" s="373" t="s">
        <v>703</v>
      </c>
      <c r="C229" s="375">
        <v>5586.36</v>
      </c>
      <c r="D229" s="376">
        <v>92.35</v>
      </c>
      <c r="E229" s="375">
        <v>0</v>
      </c>
      <c r="F229" s="376"/>
      <c r="G229" s="376"/>
      <c r="H229" s="376"/>
      <c r="I229" s="377"/>
      <c r="J229" s="377"/>
      <c r="K229" s="377"/>
      <c r="L229" s="377"/>
      <c r="M229" s="377"/>
      <c r="N229" s="377"/>
      <c r="O229" s="377">
        <f t="shared" si="3"/>
        <v>5678.71</v>
      </c>
    </row>
    <row r="230" spans="1:15">
      <c r="A230" s="372" t="s">
        <v>704</v>
      </c>
      <c r="B230" s="373" t="s">
        <v>705</v>
      </c>
      <c r="C230" s="375">
        <v>0</v>
      </c>
      <c r="D230" s="376">
        <v>0</v>
      </c>
      <c r="E230" s="375">
        <v>0</v>
      </c>
      <c r="F230" s="376"/>
      <c r="G230" s="376"/>
      <c r="H230" s="376"/>
      <c r="I230" s="377"/>
      <c r="J230" s="377"/>
      <c r="K230" s="377"/>
      <c r="L230" s="377"/>
      <c r="M230" s="377"/>
      <c r="N230" s="377"/>
      <c r="O230" s="377">
        <f t="shared" si="3"/>
        <v>0</v>
      </c>
    </row>
    <row r="231" spans="1:15">
      <c r="A231" s="372" t="s">
        <v>706</v>
      </c>
      <c r="B231" s="373" t="s">
        <v>707</v>
      </c>
      <c r="C231" s="375">
        <v>-32.83</v>
      </c>
      <c r="D231" s="376">
        <v>-185.51</v>
      </c>
      <c r="E231" s="375">
        <v>0</v>
      </c>
      <c r="F231" s="376"/>
      <c r="G231" s="376"/>
      <c r="H231" s="376"/>
      <c r="I231" s="377"/>
      <c r="J231" s="377"/>
      <c r="K231" s="377"/>
      <c r="L231" s="377"/>
      <c r="M231" s="377"/>
      <c r="N231" s="377"/>
      <c r="O231" s="377">
        <f t="shared" si="3"/>
        <v>-218.33999999999997</v>
      </c>
    </row>
    <row r="232" spans="1:15">
      <c r="A232" s="372" t="s">
        <v>708</v>
      </c>
      <c r="B232" s="373" t="s">
        <v>709</v>
      </c>
      <c r="C232" s="375">
        <v>0</v>
      </c>
      <c r="D232" s="376">
        <v>0</v>
      </c>
      <c r="E232" s="375">
        <v>0</v>
      </c>
      <c r="F232" s="376"/>
      <c r="G232" s="376"/>
      <c r="H232" s="376"/>
      <c r="I232" s="377"/>
      <c r="J232" s="377"/>
      <c r="K232" s="377"/>
      <c r="L232" s="377"/>
      <c r="M232" s="377"/>
      <c r="N232" s="377"/>
      <c r="O232" s="377">
        <f t="shared" si="3"/>
        <v>0</v>
      </c>
    </row>
    <row r="233" spans="1:15">
      <c r="A233" s="372" t="s">
        <v>710</v>
      </c>
      <c r="B233" s="373" t="s">
        <v>711</v>
      </c>
      <c r="C233" s="375">
        <v>0</v>
      </c>
      <c r="D233" s="376">
        <v>0</v>
      </c>
      <c r="E233" s="375">
        <v>0</v>
      </c>
      <c r="F233" s="376"/>
      <c r="G233" s="376"/>
      <c r="H233" s="376"/>
      <c r="I233" s="377"/>
      <c r="J233" s="377"/>
      <c r="K233" s="377"/>
      <c r="L233" s="377"/>
      <c r="M233" s="377"/>
      <c r="N233" s="377"/>
      <c r="O233" s="377">
        <f t="shared" si="3"/>
        <v>0</v>
      </c>
    </row>
    <row r="234" spans="1:15">
      <c r="A234" s="372" t="s">
        <v>712</v>
      </c>
      <c r="B234" s="373" t="s">
        <v>713</v>
      </c>
      <c r="C234" s="375">
        <v>0</v>
      </c>
      <c r="D234" s="376">
        <v>0</v>
      </c>
      <c r="E234" s="375">
        <v>0</v>
      </c>
      <c r="F234" s="376"/>
      <c r="G234" s="376"/>
      <c r="H234" s="376"/>
      <c r="I234" s="377"/>
      <c r="J234" s="377"/>
      <c r="K234" s="377"/>
      <c r="L234" s="377"/>
      <c r="M234" s="377"/>
      <c r="N234" s="377"/>
      <c r="O234" s="377">
        <f t="shared" si="3"/>
        <v>0</v>
      </c>
    </row>
    <row r="235" spans="1:15">
      <c r="A235" s="372" t="s">
        <v>714</v>
      </c>
      <c r="B235" s="373" t="s">
        <v>715</v>
      </c>
      <c r="C235" s="375">
        <v>160067.29999999999</v>
      </c>
      <c r="D235" s="376">
        <v>159238.37</v>
      </c>
      <c r="E235" s="375">
        <v>158428.41</v>
      </c>
      <c r="F235" s="376"/>
      <c r="G235" s="376"/>
      <c r="H235" s="376"/>
      <c r="I235" s="377"/>
      <c r="J235" s="377"/>
      <c r="K235" s="377"/>
      <c r="L235" s="377"/>
      <c r="M235" s="377"/>
      <c r="N235" s="377"/>
      <c r="O235" s="377">
        <f t="shared" si="3"/>
        <v>477734.07999999996</v>
      </c>
    </row>
    <row r="236" spans="1:15">
      <c r="A236" s="372" t="s">
        <v>716</v>
      </c>
      <c r="B236" s="373" t="s">
        <v>717</v>
      </c>
      <c r="C236" s="375">
        <v>1000</v>
      </c>
      <c r="D236" s="376">
        <v>1000</v>
      </c>
      <c r="E236" s="375">
        <v>0</v>
      </c>
      <c r="F236" s="376"/>
      <c r="G236" s="376"/>
      <c r="H236" s="376"/>
      <c r="I236" s="377"/>
      <c r="J236" s="377"/>
      <c r="K236" s="377"/>
      <c r="L236" s="377"/>
      <c r="M236" s="377"/>
      <c r="N236" s="377"/>
      <c r="O236" s="377">
        <f t="shared" si="3"/>
        <v>2000</v>
      </c>
    </row>
    <row r="237" spans="1:15">
      <c r="A237" s="372" t="s">
        <v>718</v>
      </c>
      <c r="B237" s="373" t="s">
        <v>719</v>
      </c>
      <c r="C237" s="375">
        <v>30533.18</v>
      </c>
      <c r="D237" s="376">
        <v>31610.79</v>
      </c>
      <c r="E237" s="375">
        <v>0</v>
      </c>
      <c r="F237" s="376"/>
      <c r="G237" s="376"/>
      <c r="H237" s="376"/>
      <c r="I237" s="377"/>
      <c r="J237" s="377"/>
      <c r="K237" s="377"/>
      <c r="L237" s="377"/>
      <c r="M237" s="377"/>
      <c r="N237" s="377"/>
      <c r="O237" s="377">
        <f t="shared" si="3"/>
        <v>62143.97</v>
      </c>
    </row>
    <row r="238" spans="1:15">
      <c r="A238" s="372" t="s">
        <v>720</v>
      </c>
      <c r="B238" s="373" t="s">
        <v>721</v>
      </c>
      <c r="C238" s="375">
        <v>0</v>
      </c>
      <c r="D238" s="376">
        <v>0</v>
      </c>
      <c r="E238" s="375">
        <v>13.78</v>
      </c>
      <c r="F238" s="376"/>
      <c r="G238" s="376"/>
      <c r="H238" s="376"/>
      <c r="I238" s="377"/>
      <c r="J238" s="377"/>
      <c r="K238" s="377"/>
      <c r="L238" s="377"/>
      <c r="M238" s="377"/>
      <c r="N238" s="377"/>
      <c r="O238" s="377">
        <f t="shared" si="3"/>
        <v>13.78</v>
      </c>
    </row>
    <row r="239" spans="1:15">
      <c r="A239" s="372" t="s">
        <v>722</v>
      </c>
      <c r="B239" s="373" t="s">
        <v>723</v>
      </c>
      <c r="C239" s="375">
        <v>76410.210000000006</v>
      </c>
      <c r="D239" s="376">
        <v>56165.06</v>
      </c>
      <c r="E239" s="375">
        <v>44506.84</v>
      </c>
      <c r="F239" s="376"/>
      <c r="G239" s="376"/>
      <c r="H239" s="376"/>
      <c r="I239" s="377"/>
      <c r="J239" s="377"/>
      <c r="K239" s="377"/>
      <c r="L239" s="377"/>
      <c r="M239" s="377"/>
      <c r="N239" s="377"/>
      <c r="O239" s="377">
        <f t="shared" si="3"/>
        <v>177082.11000000002</v>
      </c>
    </row>
    <row r="240" spans="1:15">
      <c r="A240" s="372" t="s">
        <v>724</v>
      </c>
      <c r="B240" s="373" t="s">
        <v>725</v>
      </c>
      <c r="C240" s="375">
        <v>3000</v>
      </c>
      <c r="D240" s="376">
        <v>3000</v>
      </c>
      <c r="E240" s="375">
        <v>0</v>
      </c>
      <c r="F240" s="376"/>
      <c r="G240" s="376"/>
      <c r="H240" s="376"/>
      <c r="I240" s="377"/>
      <c r="J240" s="377"/>
      <c r="K240" s="377"/>
      <c r="L240" s="377"/>
      <c r="M240" s="377"/>
      <c r="N240" s="377"/>
      <c r="O240" s="377">
        <f t="shared" si="3"/>
        <v>6000</v>
      </c>
    </row>
    <row r="241" spans="1:15">
      <c r="A241" s="372" t="s">
        <v>726</v>
      </c>
      <c r="B241" s="373" t="s">
        <v>727</v>
      </c>
      <c r="C241" s="375">
        <v>-16.32</v>
      </c>
      <c r="D241" s="376">
        <v>0</v>
      </c>
      <c r="E241" s="375">
        <v>0</v>
      </c>
      <c r="F241" s="376"/>
      <c r="G241" s="376"/>
      <c r="H241" s="376"/>
      <c r="I241" s="377"/>
      <c r="J241" s="377"/>
      <c r="K241" s="377"/>
      <c r="L241" s="377"/>
      <c r="M241" s="377"/>
      <c r="N241" s="377"/>
      <c r="O241" s="377">
        <f t="shared" si="3"/>
        <v>-16.32</v>
      </c>
    </row>
    <row r="242" spans="1:15">
      <c r="A242" s="372" t="s">
        <v>728</v>
      </c>
      <c r="B242" s="373" t="s">
        <v>729</v>
      </c>
      <c r="C242" s="375">
        <v>0</v>
      </c>
      <c r="D242" s="376">
        <v>0</v>
      </c>
      <c r="E242" s="375">
        <v>0</v>
      </c>
      <c r="F242" s="376"/>
      <c r="G242" s="376"/>
      <c r="H242" s="376"/>
      <c r="I242" s="377"/>
      <c r="J242" s="377"/>
      <c r="K242" s="377"/>
      <c r="L242" s="377"/>
      <c r="M242" s="377"/>
      <c r="N242" s="377"/>
      <c r="O242" s="377">
        <f t="shared" si="3"/>
        <v>0</v>
      </c>
    </row>
    <row r="243" spans="1:15">
      <c r="A243" s="372" t="s">
        <v>730</v>
      </c>
      <c r="B243" s="373" t="s">
        <v>731</v>
      </c>
      <c r="C243" s="375">
        <v>26560.25</v>
      </c>
      <c r="D243" s="376">
        <v>21010</v>
      </c>
      <c r="E243" s="375">
        <v>8391.75</v>
      </c>
      <c r="F243" s="376"/>
      <c r="G243" s="376"/>
      <c r="H243" s="376"/>
      <c r="I243" s="377"/>
      <c r="J243" s="377"/>
      <c r="K243" s="377"/>
      <c r="L243" s="377"/>
      <c r="M243" s="377"/>
      <c r="N243" s="377"/>
      <c r="O243" s="377">
        <f t="shared" si="3"/>
        <v>55962</v>
      </c>
    </row>
    <row r="244" spans="1:15">
      <c r="A244" s="372" t="s">
        <v>732</v>
      </c>
      <c r="B244" s="373" t="s">
        <v>733</v>
      </c>
      <c r="C244" s="375">
        <v>0</v>
      </c>
      <c r="D244" s="376">
        <v>0</v>
      </c>
      <c r="E244" s="375">
        <v>0</v>
      </c>
      <c r="F244" s="376"/>
      <c r="G244" s="376"/>
      <c r="H244" s="376"/>
      <c r="I244" s="377"/>
      <c r="J244" s="377"/>
      <c r="K244" s="377"/>
      <c r="L244" s="377"/>
      <c r="M244" s="377"/>
      <c r="N244" s="377"/>
      <c r="O244" s="377">
        <f t="shared" si="3"/>
        <v>0</v>
      </c>
    </row>
    <row r="245" spans="1:15">
      <c r="A245" s="372" t="s">
        <v>734</v>
      </c>
      <c r="B245" s="373" t="s">
        <v>735</v>
      </c>
      <c r="C245" s="375">
        <v>0</v>
      </c>
      <c r="D245" s="376">
        <v>0</v>
      </c>
      <c r="E245" s="375">
        <v>0</v>
      </c>
      <c r="F245" s="376"/>
      <c r="G245" s="376"/>
      <c r="H245" s="376"/>
      <c r="I245" s="377"/>
      <c r="J245" s="377"/>
      <c r="K245" s="377"/>
      <c r="L245" s="377"/>
      <c r="M245" s="377"/>
      <c r="N245" s="377"/>
      <c r="O245" s="377">
        <f t="shared" si="3"/>
        <v>0</v>
      </c>
    </row>
    <row r="246" spans="1:15">
      <c r="A246" s="372" t="s">
        <v>736</v>
      </c>
      <c r="B246" s="373" t="s">
        <v>737</v>
      </c>
      <c r="C246" s="375">
        <v>0</v>
      </c>
      <c r="D246" s="376">
        <v>0</v>
      </c>
      <c r="E246" s="375">
        <v>0</v>
      </c>
      <c r="F246" s="376"/>
      <c r="G246" s="376"/>
      <c r="H246" s="376"/>
      <c r="I246" s="377"/>
      <c r="J246" s="377"/>
      <c r="K246" s="377"/>
      <c r="L246" s="377"/>
      <c r="M246" s="377"/>
      <c r="N246" s="377"/>
      <c r="O246" s="377">
        <f t="shared" si="3"/>
        <v>0</v>
      </c>
    </row>
    <row r="247" spans="1:15">
      <c r="A247" s="372" t="s">
        <v>738</v>
      </c>
      <c r="B247" s="373" t="s">
        <v>739</v>
      </c>
      <c r="C247" s="375">
        <v>0</v>
      </c>
      <c r="D247" s="376">
        <v>0</v>
      </c>
      <c r="E247" s="375">
        <v>0</v>
      </c>
      <c r="F247" s="376"/>
      <c r="G247" s="376"/>
      <c r="H247" s="376"/>
      <c r="I247" s="377"/>
      <c r="J247" s="377"/>
      <c r="K247" s="377"/>
      <c r="L247" s="377"/>
      <c r="M247" s="377"/>
      <c r="N247" s="377"/>
      <c r="O247" s="377">
        <f t="shared" si="3"/>
        <v>0</v>
      </c>
    </row>
    <row r="248" spans="1:15">
      <c r="A248" s="372" t="s">
        <v>740</v>
      </c>
      <c r="B248" s="373" t="s">
        <v>741</v>
      </c>
      <c r="C248" s="375">
        <v>0</v>
      </c>
      <c r="D248" s="376">
        <v>0</v>
      </c>
      <c r="E248" s="375">
        <v>0</v>
      </c>
      <c r="F248" s="376"/>
      <c r="G248" s="376"/>
      <c r="H248" s="376"/>
      <c r="I248" s="377"/>
      <c r="J248" s="377"/>
      <c r="K248" s="377"/>
      <c r="L248" s="377"/>
      <c r="M248" s="377"/>
      <c r="N248" s="377"/>
      <c r="O248" s="377">
        <f t="shared" si="3"/>
        <v>0</v>
      </c>
    </row>
    <row r="249" spans="1:15">
      <c r="A249" s="372" t="s">
        <v>742</v>
      </c>
      <c r="B249" s="373" t="s">
        <v>743</v>
      </c>
      <c r="C249" s="375">
        <v>0</v>
      </c>
      <c r="D249" s="376">
        <v>0</v>
      </c>
      <c r="E249" s="375">
        <v>0</v>
      </c>
      <c r="F249" s="376"/>
      <c r="G249" s="376"/>
      <c r="H249" s="376"/>
      <c r="I249" s="377"/>
      <c r="J249" s="377"/>
      <c r="K249" s="377"/>
      <c r="L249" s="377"/>
      <c r="M249" s="377"/>
      <c r="N249" s="377"/>
      <c r="O249" s="377">
        <f t="shared" si="3"/>
        <v>0</v>
      </c>
    </row>
    <row r="250" spans="1:15">
      <c r="A250" s="372" t="s">
        <v>744</v>
      </c>
      <c r="B250" s="373" t="s">
        <v>745</v>
      </c>
      <c r="C250" s="375">
        <v>305.95</v>
      </c>
      <c r="D250" s="376">
        <v>305.95</v>
      </c>
      <c r="E250" s="375">
        <v>305.95</v>
      </c>
      <c r="F250" s="376"/>
      <c r="G250" s="376"/>
      <c r="H250" s="376"/>
      <c r="I250" s="377"/>
      <c r="J250" s="377"/>
      <c r="K250" s="377"/>
      <c r="L250" s="377"/>
      <c r="M250" s="377"/>
      <c r="N250" s="377"/>
      <c r="O250" s="377">
        <f t="shared" si="3"/>
        <v>917.84999999999991</v>
      </c>
    </row>
    <row r="251" spans="1:15">
      <c r="A251" s="372" t="s">
        <v>746</v>
      </c>
      <c r="B251" s="373" t="s">
        <v>747</v>
      </c>
      <c r="C251" s="375">
        <v>2000</v>
      </c>
      <c r="D251" s="376">
        <v>2000</v>
      </c>
      <c r="E251" s="375">
        <v>0</v>
      </c>
      <c r="F251" s="376"/>
      <c r="G251" s="376"/>
      <c r="H251" s="376"/>
      <c r="I251" s="377"/>
      <c r="J251" s="377"/>
      <c r="K251" s="377"/>
      <c r="L251" s="377"/>
      <c r="M251" s="377"/>
      <c r="N251" s="377"/>
      <c r="O251" s="377">
        <f t="shared" si="3"/>
        <v>4000</v>
      </c>
    </row>
    <row r="252" spans="1:15">
      <c r="A252" s="372" t="s">
        <v>748</v>
      </c>
      <c r="B252" s="373" t="s">
        <v>749</v>
      </c>
      <c r="C252" s="375">
        <v>24390.27</v>
      </c>
      <c r="D252" s="376">
        <v>12336.71</v>
      </c>
      <c r="E252" s="375">
        <v>32160.15</v>
      </c>
      <c r="F252" s="376"/>
      <c r="G252" s="376"/>
      <c r="H252" s="376"/>
      <c r="I252" s="377"/>
      <c r="J252" s="377"/>
      <c r="K252" s="377"/>
      <c r="L252" s="377"/>
      <c r="M252" s="377"/>
      <c r="N252" s="377"/>
      <c r="O252" s="377">
        <f t="shared" si="3"/>
        <v>68887.13</v>
      </c>
    </row>
    <row r="253" spans="1:15">
      <c r="A253" s="372" t="s">
        <v>750</v>
      </c>
      <c r="B253" s="373" t="s">
        <v>751</v>
      </c>
      <c r="C253" s="375">
        <v>8301</v>
      </c>
      <c r="D253" s="376">
        <v>8301</v>
      </c>
      <c r="E253" s="375">
        <v>8301</v>
      </c>
      <c r="F253" s="376"/>
      <c r="G253" s="376"/>
      <c r="H253" s="376"/>
      <c r="I253" s="377"/>
      <c r="J253" s="377"/>
      <c r="K253" s="377"/>
      <c r="L253" s="377"/>
      <c r="M253" s="377"/>
      <c r="N253" s="377"/>
      <c r="O253" s="377">
        <f t="shared" si="3"/>
        <v>24903</v>
      </c>
    </row>
    <row r="254" spans="1:15">
      <c r="A254" s="372" t="s">
        <v>752</v>
      </c>
      <c r="B254" s="373" t="s">
        <v>753</v>
      </c>
      <c r="C254" s="375">
        <v>412.06</v>
      </c>
      <c r="D254" s="376">
        <v>931.82</v>
      </c>
      <c r="E254" s="375">
        <v>5701.51</v>
      </c>
      <c r="F254" s="376"/>
      <c r="G254" s="376"/>
      <c r="H254" s="376"/>
      <c r="I254" s="377"/>
      <c r="J254" s="377"/>
      <c r="K254" s="377"/>
      <c r="L254" s="377"/>
      <c r="M254" s="377"/>
      <c r="N254" s="377"/>
      <c r="O254" s="377">
        <f t="shared" si="3"/>
        <v>7045.39</v>
      </c>
    </row>
    <row r="255" spans="1:15">
      <c r="A255" s="372" t="s">
        <v>754</v>
      </c>
      <c r="B255" s="373" t="s">
        <v>755</v>
      </c>
      <c r="C255" s="375">
        <v>0</v>
      </c>
      <c r="D255" s="376">
        <v>0</v>
      </c>
      <c r="E255" s="375">
        <v>0</v>
      </c>
      <c r="F255" s="376"/>
      <c r="G255" s="376"/>
      <c r="H255" s="376"/>
      <c r="I255" s="377"/>
      <c r="J255" s="377"/>
      <c r="K255" s="377"/>
      <c r="L255" s="377"/>
      <c r="M255" s="377"/>
      <c r="N255" s="377"/>
      <c r="O255" s="377">
        <f t="shared" si="3"/>
        <v>0</v>
      </c>
    </row>
    <row r="256" spans="1:15">
      <c r="A256" s="372" t="s">
        <v>756</v>
      </c>
      <c r="B256" s="373" t="s">
        <v>757</v>
      </c>
      <c r="C256" s="375">
        <v>1374.46</v>
      </c>
      <c r="D256" s="376">
        <v>1249.02</v>
      </c>
      <c r="E256" s="375">
        <v>7259.44</v>
      </c>
      <c r="F256" s="376"/>
      <c r="G256" s="376"/>
      <c r="H256" s="376"/>
      <c r="I256" s="377"/>
      <c r="J256" s="377"/>
      <c r="K256" s="377"/>
      <c r="L256" s="377"/>
      <c r="M256" s="377"/>
      <c r="N256" s="377"/>
      <c r="O256" s="377">
        <f t="shared" si="3"/>
        <v>9882.92</v>
      </c>
    </row>
    <row r="257" spans="1:15">
      <c r="A257" s="372" t="s">
        <v>758</v>
      </c>
      <c r="B257" s="373" t="s">
        <v>759</v>
      </c>
      <c r="C257" s="375">
        <v>0</v>
      </c>
      <c r="D257" s="376">
        <v>0</v>
      </c>
      <c r="E257" s="375">
        <v>0</v>
      </c>
      <c r="F257" s="376"/>
      <c r="G257" s="376"/>
      <c r="H257" s="376"/>
      <c r="I257" s="377"/>
      <c r="J257" s="377"/>
      <c r="K257" s="377"/>
      <c r="L257" s="377"/>
      <c r="M257" s="377"/>
      <c r="N257" s="377"/>
      <c r="O257" s="377">
        <f t="shared" si="3"/>
        <v>0</v>
      </c>
    </row>
    <row r="258" spans="1:15">
      <c r="A258" s="372" t="s">
        <v>760</v>
      </c>
      <c r="B258" s="373" t="s">
        <v>761</v>
      </c>
      <c r="C258" s="375">
        <v>0</v>
      </c>
      <c r="D258" s="376">
        <v>0</v>
      </c>
      <c r="E258" s="375">
        <v>0</v>
      </c>
      <c r="F258" s="376"/>
      <c r="G258" s="376"/>
      <c r="H258" s="376"/>
      <c r="I258" s="377"/>
      <c r="J258" s="377"/>
      <c r="K258" s="377"/>
      <c r="L258" s="377"/>
      <c r="M258" s="377"/>
      <c r="N258" s="377"/>
      <c r="O258" s="377">
        <f t="shared" ref="O258:O322" si="4">SUM(C258:N258)</f>
        <v>0</v>
      </c>
    </row>
    <row r="259" spans="1:15">
      <c r="A259" s="372" t="s">
        <v>762</v>
      </c>
      <c r="B259" s="373" t="s">
        <v>763</v>
      </c>
      <c r="C259" s="375">
        <v>0</v>
      </c>
      <c r="D259" s="376">
        <v>0</v>
      </c>
      <c r="E259" s="375">
        <v>0</v>
      </c>
      <c r="F259" s="376"/>
      <c r="G259" s="376"/>
      <c r="H259" s="376"/>
      <c r="I259" s="377"/>
      <c r="J259" s="377"/>
      <c r="K259" s="377"/>
      <c r="L259" s="377"/>
      <c r="M259" s="377"/>
      <c r="N259" s="377"/>
      <c r="O259" s="377">
        <f t="shared" si="4"/>
        <v>0</v>
      </c>
    </row>
    <row r="260" spans="1:15">
      <c r="A260" s="372" t="s">
        <v>764</v>
      </c>
      <c r="B260" s="373" t="s">
        <v>765</v>
      </c>
      <c r="C260" s="375">
        <v>21317.05</v>
      </c>
      <c r="D260" s="376">
        <v>24182.87</v>
      </c>
      <c r="E260" s="375">
        <v>24183</v>
      </c>
      <c r="F260" s="376"/>
      <c r="G260" s="376"/>
      <c r="H260" s="376"/>
      <c r="I260" s="377"/>
      <c r="J260" s="377"/>
      <c r="K260" s="377"/>
      <c r="L260" s="377"/>
      <c r="M260" s="377"/>
      <c r="N260" s="377"/>
      <c r="O260" s="377">
        <f t="shared" si="4"/>
        <v>69682.92</v>
      </c>
    </row>
    <row r="261" spans="1:15">
      <c r="A261" s="372" t="s">
        <v>766</v>
      </c>
      <c r="B261" s="373" t="s">
        <v>767</v>
      </c>
      <c r="C261" s="375">
        <v>0</v>
      </c>
      <c r="D261" s="376">
        <v>0</v>
      </c>
      <c r="E261" s="375">
        <v>0</v>
      </c>
      <c r="F261" s="376"/>
      <c r="G261" s="376"/>
      <c r="H261" s="376"/>
      <c r="I261" s="377"/>
      <c r="J261" s="377"/>
      <c r="K261" s="377"/>
      <c r="L261" s="377"/>
      <c r="M261" s="377"/>
      <c r="N261" s="377"/>
      <c r="O261" s="377">
        <f t="shared" si="4"/>
        <v>0</v>
      </c>
    </row>
    <row r="262" spans="1:15">
      <c r="A262" s="372" t="s">
        <v>768</v>
      </c>
      <c r="B262" s="373" t="s">
        <v>769</v>
      </c>
      <c r="C262" s="375">
        <v>0</v>
      </c>
      <c r="D262" s="376">
        <v>0</v>
      </c>
      <c r="E262" s="375">
        <v>0</v>
      </c>
      <c r="F262" s="376"/>
      <c r="G262" s="376"/>
      <c r="H262" s="376"/>
      <c r="I262" s="377"/>
      <c r="J262" s="377"/>
      <c r="K262" s="377"/>
      <c r="L262" s="377"/>
      <c r="M262" s="377"/>
      <c r="N262" s="377"/>
      <c r="O262" s="377">
        <f t="shared" si="4"/>
        <v>0</v>
      </c>
    </row>
    <row r="263" spans="1:15">
      <c r="A263" s="372" t="s">
        <v>770</v>
      </c>
      <c r="B263" s="373" t="s">
        <v>771</v>
      </c>
      <c r="C263" s="375">
        <v>0</v>
      </c>
      <c r="D263" s="376">
        <v>0</v>
      </c>
      <c r="E263" s="375">
        <v>0</v>
      </c>
      <c r="F263" s="376"/>
      <c r="G263" s="376"/>
      <c r="H263" s="376"/>
      <c r="I263" s="377"/>
      <c r="J263" s="377"/>
      <c r="K263" s="377"/>
      <c r="L263" s="377"/>
      <c r="M263" s="377"/>
      <c r="N263" s="377"/>
      <c r="O263" s="377">
        <f t="shared" si="4"/>
        <v>0</v>
      </c>
    </row>
    <row r="264" spans="1:15">
      <c r="A264" s="372" t="s">
        <v>772</v>
      </c>
      <c r="B264" s="373" t="s">
        <v>773</v>
      </c>
      <c r="C264" s="375">
        <v>26760.82</v>
      </c>
      <c r="D264" s="376">
        <v>17340.46</v>
      </c>
      <c r="E264" s="375">
        <v>18112.63</v>
      </c>
      <c r="F264" s="376"/>
      <c r="G264" s="376"/>
      <c r="H264" s="376"/>
      <c r="I264" s="377"/>
      <c r="J264" s="377"/>
      <c r="K264" s="377"/>
      <c r="L264" s="377"/>
      <c r="M264" s="377"/>
      <c r="N264" s="377"/>
      <c r="O264" s="377">
        <f t="shared" si="4"/>
        <v>62213.91</v>
      </c>
    </row>
    <row r="265" spans="1:15">
      <c r="A265" s="372" t="s">
        <v>774</v>
      </c>
      <c r="B265" s="373" t="s">
        <v>775</v>
      </c>
      <c r="C265" s="375">
        <v>339.29</v>
      </c>
      <c r="D265" s="376">
        <v>438.88</v>
      </c>
      <c r="E265" s="375">
        <v>232.13</v>
      </c>
      <c r="F265" s="376"/>
      <c r="G265" s="376"/>
      <c r="H265" s="376"/>
      <c r="I265" s="377"/>
      <c r="J265" s="377"/>
      <c r="K265" s="377"/>
      <c r="L265" s="377"/>
      <c r="M265" s="377"/>
      <c r="N265" s="377"/>
      <c r="O265" s="377">
        <f t="shared" si="4"/>
        <v>1010.3000000000001</v>
      </c>
    </row>
    <row r="266" spans="1:15">
      <c r="A266" s="372" t="s">
        <v>776</v>
      </c>
      <c r="B266" s="373" t="s">
        <v>777</v>
      </c>
      <c r="C266" s="375">
        <v>0</v>
      </c>
      <c r="D266" s="376">
        <v>74.400000000000006</v>
      </c>
      <c r="E266" s="375">
        <v>8972.7900000000009</v>
      </c>
      <c r="F266" s="376"/>
      <c r="G266" s="376"/>
      <c r="H266" s="376"/>
      <c r="I266" s="377"/>
      <c r="J266" s="377"/>
      <c r="K266" s="377"/>
      <c r="L266" s="377"/>
      <c r="M266" s="377"/>
      <c r="N266" s="377"/>
      <c r="O266" s="377">
        <f t="shared" si="4"/>
        <v>9047.19</v>
      </c>
    </row>
    <row r="267" spans="1:15">
      <c r="A267" s="372" t="s">
        <v>778</v>
      </c>
      <c r="B267" s="373" t="s">
        <v>779</v>
      </c>
      <c r="C267" s="375">
        <v>0</v>
      </c>
      <c r="D267" s="376">
        <v>0</v>
      </c>
      <c r="E267" s="375">
        <v>0</v>
      </c>
      <c r="F267" s="376"/>
      <c r="G267" s="376"/>
      <c r="H267" s="376"/>
      <c r="I267" s="377"/>
      <c r="J267" s="377"/>
      <c r="K267" s="377"/>
      <c r="L267" s="377"/>
      <c r="M267" s="377"/>
      <c r="N267" s="377"/>
      <c r="O267" s="377">
        <f t="shared" si="4"/>
        <v>0</v>
      </c>
    </row>
    <row r="268" spans="1:15">
      <c r="A268" s="372" t="s">
        <v>780</v>
      </c>
      <c r="B268" s="373" t="s">
        <v>781</v>
      </c>
      <c r="C268" s="375">
        <v>24780.34</v>
      </c>
      <c r="D268" s="376">
        <v>29284.47</v>
      </c>
      <c r="E268" s="375">
        <v>-10686.96</v>
      </c>
      <c r="F268" s="376"/>
      <c r="G268" s="376"/>
      <c r="H268" s="376"/>
      <c r="I268" s="377"/>
      <c r="J268" s="377"/>
      <c r="K268" s="377"/>
      <c r="L268" s="377"/>
      <c r="M268" s="377"/>
      <c r="N268" s="377"/>
      <c r="O268" s="377">
        <f t="shared" si="4"/>
        <v>43377.85</v>
      </c>
    </row>
    <row r="269" spans="1:15">
      <c r="A269" s="372" t="s">
        <v>782</v>
      </c>
      <c r="B269" s="373" t="s">
        <v>783</v>
      </c>
      <c r="C269" s="375">
        <v>0</v>
      </c>
      <c r="D269" s="376">
        <v>0</v>
      </c>
      <c r="E269" s="375">
        <v>0</v>
      </c>
      <c r="F269" s="376"/>
      <c r="G269" s="376"/>
      <c r="H269" s="376"/>
      <c r="I269" s="377"/>
      <c r="J269" s="377"/>
      <c r="K269" s="377"/>
      <c r="L269" s="377"/>
      <c r="M269" s="377"/>
      <c r="N269" s="377"/>
      <c r="O269" s="377">
        <f t="shared" si="4"/>
        <v>0</v>
      </c>
    </row>
    <row r="270" spans="1:15">
      <c r="A270" s="372" t="s">
        <v>784</v>
      </c>
      <c r="B270" s="373" t="s">
        <v>785</v>
      </c>
      <c r="C270" s="375">
        <v>3543.91</v>
      </c>
      <c r="D270" s="376">
        <v>3543.91</v>
      </c>
      <c r="E270" s="375">
        <v>42247.64</v>
      </c>
      <c r="F270" s="376"/>
      <c r="G270" s="376"/>
      <c r="H270" s="376"/>
      <c r="I270" s="377"/>
      <c r="J270" s="377"/>
      <c r="K270" s="377"/>
      <c r="L270" s="377"/>
      <c r="M270" s="377"/>
      <c r="N270" s="377"/>
      <c r="O270" s="377">
        <f t="shared" si="4"/>
        <v>49335.46</v>
      </c>
    </row>
    <row r="271" spans="1:15">
      <c r="A271" s="372" t="s">
        <v>786</v>
      </c>
      <c r="B271" s="373" t="s">
        <v>787</v>
      </c>
      <c r="C271" s="375">
        <v>2321.35</v>
      </c>
      <c r="D271" s="376">
        <v>4270.6400000000003</v>
      </c>
      <c r="E271" s="375">
        <v>31862.23</v>
      </c>
      <c r="F271" s="376"/>
      <c r="G271" s="376"/>
      <c r="H271" s="376"/>
      <c r="I271" s="377"/>
      <c r="J271" s="377"/>
      <c r="K271" s="377"/>
      <c r="L271" s="377"/>
      <c r="M271" s="377"/>
      <c r="N271" s="377"/>
      <c r="O271" s="377">
        <f t="shared" si="4"/>
        <v>38454.22</v>
      </c>
    </row>
    <row r="272" spans="1:15">
      <c r="A272" s="372" t="s">
        <v>788</v>
      </c>
      <c r="B272" s="373" t="s">
        <v>789</v>
      </c>
      <c r="C272" s="375">
        <v>0</v>
      </c>
      <c r="D272" s="376">
        <v>1188</v>
      </c>
      <c r="E272" s="375">
        <v>2376</v>
      </c>
      <c r="F272" s="376"/>
      <c r="G272" s="376"/>
      <c r="H272" s="376"/>
      <c r="I272" s="377"/>
      <c r="J272" s="377"/>
      <c r="K272" s="377"/>
      <c r="L272" s="377"/>
      <c r="M272" s="377"/>
      <c r="N272" s="377"/>
      <c r="O272" s="377">
        <f t="shared" si="4"/>
        <v>3564</v>
      </c>
    </row>
    <row r="273" spans="1:15">
      <c r="A273" s="372" t="s">
        <v>790</v>
      </c>
      <c r="B273" s="373" t="s">
        <v>791</v>
      </c>
      <c r="C273" s="375">
        <v>-128288.5</v>
      </c>
      <c r="D273" s="376">
        <v>-130079.25</v>
      </c>
      <c r="E273" s="375">
        <v>-10643.53</v>
      </c>
      <c r="F273" s="376"/>
      <c r="G273" s="376"/>
      <c r="H273" s="376"/>
      <c r="I273" s="377"/>
      <c r="J273" s="377"/>
      <c r="K273" s="377"/>
      <c r="L273" s="377"/>
      <c r="M273" s="377"/>
      <c r="N273" s="377"/>
      <c r="O273" s="377">
        <f t="shared" si="4"/>
        <v>-269011.28000000003</v>
      </c>
    </row>
    <row r="274" spans="1:15">
      <c r="A274" s="372" t="s">
        <v>792</v>
      </c>
      <c r="B274" s="373" t="s">
        <v>793</v>
      </c>
      <c r="C274" s="375">
        <v>-7893.75</v>
      </c>
      <c r="D274" s="376">
        <v>-7893.75</v>
      </c>
      <c r="E274" s="375">
        <v>0</v>
      </c>
      <c r="F274" s="376"/>
      <c r="G274" s="376"/>
      <c r="H274" s="376"/>
      <c r="I274" s="377"/>
      <c r="J274" s="377"/>
      <c r="K274" s="377"/>
      <c r="L274" s="377"/>
      <c r="M274" s="377"/>
      <c r="N274" s="377"/>
      <c r="O274" s="377">
        <f t="shared" si="4"/>
        <v>-15787.5</v>
      </c>
    </row>
    <row r="275" spans="1:15">
      <c r="A275" s="372" t="s">
        <v>794</v>
      </c>
      <c r="B275" s="373" t="s">
        <v>795</v>
      </c>
      <c r="C275" s="375">
        <v>1625</v>
      </c>
      <c r="D275" s="376">
        <v>2412.5</v>
      </c>
      <c r="E275" s="375">
        <v>849.75</v>
      </c>
      <c r="F275" s="376"/>
      <c r="G275" s="376"/>
      <c r="H275" s="376"/>
      <c r="I275" s="377"/>
      <c r="J275" s="377"/>
      <c r="K275" s="377"/>
      <c r="L275" s="377"/>
      <c r="M275" s="377"/>
      <c r="N275" s="377"/>
      <c r="O275" s="377">
        <f t="shared" si="4"/>
        <v>4887.25</v>
      </c>
    </row>
    <row r="276" spans="1:15">
      <c r="A276" s="372" t="s">
        <v>796</v>
      </c>
      <c r="B276" s="373" t="s">
        <v>797</v>
      </c>
      <c r="C276" s="375">
        <v>2960.2</v>
      </c>
      <c r="D276" s="376">
        <v>4486.6000000000004</v>
      </c>
      <c r="E276" s="375">
        <v>22.15</v>
      </c>
      <c r="F276" s="376"/>
      <c r="G276" s="376"/>
      <c r="H276" s="376"/>
      <c r="I276" s="377"/>
      <c r="J276" s="377"/>
      <c r="K276" s="377"/>
      <c r="L276" s="377"/>
      <c r="M276" s="377"/>
      <c r="N276" s="377"/>
      <c r="O276" s="377">
        <f t="shared" si="4"/>
        <v>7468.95</v>
      </c>
    </row>
    <row r="277" spans="1:15">
      <c r="A277" s="372" t="s">
        <v>798</v>
      </c>
      <c r="B277" s="373" t="s">
        <v>799</v>
      </c>
      <c r="C277" s="375">
        <v>29152.5</v>
      </c>
      <c r="D277" s="376">
        <v>17738.75</v>
      </c>
      <c r="E277" s="375">
        <v>10997.5</v>
      </c>
      <c r="F277" s="376"/>
      <c r="G277" s="376"/>
      <c r="H277" s="376"/>
      <c r="I277" s="377"/>
      <c r="J277" s="377"/>
      <c r="K277" s="377"/>
      <c r="L277" s="377"/>
      <c r="M277" s="377"/>
      <c r="N277" s="377"/>
      <c r="O277" s="377">
        <f t="shared" si="4"/>
        <v>57888.75</v>
      </c>
    </row>
    <row r="278" spans="1:15">
      <c r="A278" s="372" t="s">
        <v>800</v>
      </c>
      <c r="B278" s="373" t="s">
        <v>801</v>
      </c>
      <c r="C278" s="375">
        <v>0</v>
      </c>
      <c r="D278" s="376">
        <v>0</v>
      </c>
      <c r="E278" s="375">
        <v>1553.18</v>
      </c>
      <c r="F278" s="376"/>
      <c r="G278" s="376"/>
      <c r="H278" s="376"/>
      <c r="I278" s="377"/>
      <c r="J278" s="377"/>
      <c r="K278" s="377"/>
      <c r="L278" s="377"/>
      <c r="M278" s="377"/>
      <c r="N278" s="377"/>
      <c r="O278" s="377">
        <f t="shared" si="4"/>
        <v>1553.18</v>
      </c>
    </row>
    <row r="279" spans="1:15">
      <c r="A279" s="372" t="s">
        <v>802</v>
      </c>
      <c r="B279" s="373" t="s">
        <v>803</v>
      </c>
      <c r="C279" s="375">
        <v>0</v>
      </c>
      <c r="D279" s="376">
        <v>0</v>
      </c>
      <c r="E279" s="375">
        <v>8375</v>
      </c>
      <c r="F279" s="376"/>
      <c r="G279" s="376"/>
      <c r="H279" s="376"/>
      <c r="I279" s="377"/>
      <c r="J279" s="377"/>
      <c r="K279" s="377"/>
      <c r="L279" s="377"/>
      <c r="M279" s="377"/>
      <c r="N279" s="377"/>
      <c r="O279" s="377">
        <f t="shared" si="4"/>
        <v>8375</v>
      </c>
    </row>
    <row r="280" spans="1:15">
      <c r="A280" s="372" t="s">
        <v>804</v>
      </c>
      <c r="B280" s="373" t="s">
        <v>805</v>
      </c>
      <c r="C280" s="375">
        <v>0</v>
      </c>
      <c r="D280" s="376">
        <v>28.01</v>
      </c>
      <c r="E280" s="375">
        <v>0</v>
      </c>
      <c r="F280" s="376"/>
      <c r="G280" s="376"/>
      <c r="H280" s="376"/>
      <c r="I280" s="377"/>
      <c r="J280" s="377"/>
      <c r="K280" s="377"/>
      <c r="L280" s="377"/>
      <c r="M280" s="377"/>
      <c r="N280" s="377"/>
      <c r="O280" s="377">
        <f t="shared" si="4"/>
        <v>28.01</v>
      </c>
    </row>
    <row r="281" spans="1:15">
      <c r="A281" s="372" t="s">
        <v>806</v>
      </c>
      <c r="B281" s="373" t="s">
        <v>807</v>
      </c>
      <c r="C281" s="375">
        <v>0</v>
      </c>
      <c r="D281" s="376">
        <v>4.7</v>
      </c>
      <c r="E281" s="375">
        <v>0</v>
      </c>
      <c r="F281" s="376"/>
      <c r="G281" s="376"/>
      <c r="H281" s="376"/>
      <c r="I281" s="377"/>
      <c r="J281" s="377"/>
      <c r="K281" s="377"/>
      <c r="L281" s="377"/>
      <c r="M281" s="377"/>
      <c r="N281" s="377"/>
      <c r="O281" s="377">
        <f t="shared" si="4"/>
        <v>4.7</v>
      </c>
    </row>
    <row r="282" spans="1:15">
      <c r="A282" s="372" t="s">
        <v>808</v>
      </c>
      <c r="B282" s="373" t="s">
        <v>809</v>
      </c>
      <c r="C282" s="375">
        <v>397483.36</v>
      </c>
      <c r="D282" s="376">
        <v>180099.07</v>
      </c>
      <c r="E282" s="375">
        <v>108205.67</v>
      </c>
      <c r="F282" s="376"/>
      <c r="G282" s="376"/>
      <c r="H282" s="376"/>
      <c r="I282" s="377"/>
      <c r="J282" s="377"/>
      <c r="K282" s="377"/>
      <c r="L282" s="377"/>
      <c r="M282" s="377"/>
      <c r="N282" s="377"/>
      <c r="O282" s="377">
        <f t="shared" si="4"/>
        <v>685788.1</v>
      </c>
    </row>
    <row r="283" spans="1:15">
      <c r="A283" s="372" t="s">
        <v>810</v>
      </c>
      <c r="B283" s="373" t="s">
        <v>811</v>
      </c>
      <c r="C283" s="375">
        <v>15063.77</v>
      </c>
      <c r="D283" s="376">
        <v>15128.8</v>
      </c>
      <c r="E283" s="375">
        <v>38613.5</v>
      </c>
      <c r="F283" s="376"/>
      <c r="G283" s="376"/>
      <c r="H283" s="376"/>
      <c r="I283" s="377"/>
      <c r="J283" s="377"/>
      <c r="K283" s="377"/>
      <c r="L283" s="377"/>
      <c r="M283" s="377"/>
      <c r="N283" s="377"/>
      <c r="O283" s="377">
        <f t="shared" si="4"/>
        <v>68806.070000000007</v>
      </c>
    </row>
    <row r="284" spans="1:15">
      <c r="A284" s="372" t="s">
        <v>812</v>
      </c>
      <c r="B284" s="373" t="s">
        <v>813</v>
      </c>
      <c r="C284" s="375">
        <v>0</v>
      </c>
      <c r="D284" s="376">
        <v>12465.03</v>
      </c>
      <c r="E284" s="375">
        <v>0</v>
      </c>
      <c r="F284" s="376"/>
      <c r="G284" s="376"/>
      <c r="H284" s="376"/>
      <c r="I284" s="377"/>
      <c r="J284" s="377"/>
      <c r="K284" s="377"/>
      <c r="L284" s="377"/>
      <c r="M284" s="377"/>
      <c r="N284" s="377"/>
      <c r="O284" s="377">
        <f t="shared" si="4"/>
        <v>12465.03</v>
      </c>
    </row>
    <row r="285" spans="1:15">
      <c r="A285" s="372" t="s">
        <v>814</v>
      </c>
      <c r="B285" s="373" t="s">
        <v>815</v>
      </c>
      <c r="C285" s="375">
        <v>495.53</v>
      </c>
      <c r="D285" s="376">
        <v>6125.08</v>
      </c>
      <c r="E285" s="375">
        <v>1926.23</v>
      </c>
      <c r="F285" s="376"/>
      <c r="G285" s="376"/>
      <c r="H285" s="376"/>
      <c r="I285" s="377"/>
      <c r="J285" s="377"/>
      <c r="K285" s="377"/>
      <c r="L285" s="377"/>
      <c r="M285" s="377"/>
      <c r="N285" s="377"/>
      <c r="O285" s="377">
        <f t="shared" si="4"/>
        <v>8546.84</v>
      </c>
    </row>
    <row r="286" spans="1:15">
      <c r="A286" s="372" t="s">
        <v>816</v>
      </c>
      <c r="B286" s="373" t="s">
        <v>817</v>
      </c>
      <c r="C286" s="375">
        <v>880.76</v>
      </c>
      <c r="D286" s="376">
        <v>2164.0300000000002</v>
      </c>
      <c r="E286" s="375">
        <v>70.67</v>
      </c>
      <c r="F286" s="376"/>
      <c r="G286" s="376"/>
      <c r="H286" s="376"/>
      <c r="I286" s="377"/>
      <c r="J286" s="377"/>
      <c r="K286" s="377"/>
      <c r="L286" s="377"/>
      <c r="M286" s="377"/>
      <c r="N286" s="377"/>
      <c r="O286" s="377">
        <f t="shared" si="4"/>
        <v>3115.46</v>
      </c>
    </row>
    <row r="287" spans="1:15">
      <c r="A287" s="372" t="s">
        <v>818</v>
      </c>
      <c r="B287" s="373" t="s">
        <v>819</v>
      </c>
      <c r="C287" s="375">
        <v>92786.65</v>
      </c>
      <c r="D287" s="376">
        <v>30460.799999999999</v>
      </c>
      <c r="E287" s="375">
        <v>40341.83</v>
      </c>
      <c r="F287" s="376"/>
      <c r="G287" s="376"/>
      <c r="H287" s="376"/>
      <c r="I287" s="377"/>
      <c r="J287" s="377"/>
      <c r="K287" s="377"/>
      <c r="L287" s="377"/>
      <c r="M287" s="377"/>
      <c r="N287" s="377"/>
      <c r="O287" s="377">
        <f t="shared" si="4"/>
        <v>163589.28</v>
      </c>
    </row>
    <row r="288" spans="1:15">
      <c r="A288" s="372" t="s">
        <v>820</v>
      </c>
      <c r="B288" s="373" t="s">
        <v>821</v>
      </c>
      <c r="C288" s="375">
        <v>930.5</v>
      </c>
      <c r="D288" s="376">
        <v>728.49</v>
      </c>
      <c r="E288" s="375">
        <v>1223.06</v>
      </c>
      <c r="F288" s="376"/>
      <c r="G288" s="376"/>
      <c r="H288" s="376"/>
      <c r="I288" s="377"/>
      <c r="J288" s="377"/>
      <c r="K288" s="377"/>
      <c r="L288" s="377"/>
      <c r="M288" s="377"/>
      <c r="N288" s="377"/>
      <c r="O288" s="377">
        <f t="shared" si="4"/>
        <v>2882.05</v>
      </c>
    </row>
    <row r="289" spans="1:15">
      <c r="A289" s="372" t="s">
        <v>822</v>
      </c>
      <c r="B289" s="373" t="s">
        <v>823</v>
      </c>
      <c r="C289" s="375">
        <v>0</v>
      </c>
      <c r="D289" s="376">
        <v>0</v>
      </c>
      <c r="E289" s="375">
        <v>0</v>
      </c>
      <c r="F289" s="376"/>
      <c r="G289" s="376"/>
      <c r="H289" s="376"/>
      <c r="I289" s="377"/>
      <c r="J289" s="377"/>
      <c r="K289" s="377"/>
      <c r="L289" s="377"/>
      <c r="M289" s="377"/>
      <c r="N289" s="377"/>
      <c r="O289" s="377">
        <f t="shared" si="4"/>
        <v>0</v>
      </c>
    </row>
    <row r="290" spans="1:15">
      <c r="A290" s="372" t="s">
        <v>824</v>
      </c>
      <c r="B290" s="373" t="s">
        <v>825</v>
      </c>
      <c r="C290" s="375">
        <v>0</v>
      </c>
      <c r="D290" s="376">
        <v>0</v>
      </c>
      <c r="E290" s="375">
        <v>0</v>
      </c>
      <c r="F290" s="376"/>
      <c r="G290" s="376"/>
      <c r="H290" s="376"/>
      <c r="I290" s="377"/>
      <c r="J290" s="377"/>
      <c r="K290" s="377"/>
      <c r="L290" s="377"/>
      <c r="M290" s="377"/>
      <c r="N290" s="377"/>
      <c r="O290" s="377">
        <f t="shared" si="4"/>
        <v>0</v>
      </c>
    </row>
    <row r="291" spans="1:15">
      <c r="A291" s="372" t="s">
        <v>826</v>
      </c>
      <c r="B291" s="373" t="s">
        <v>827</v>
      </c>
      <c r="C291" s="375">
        <v>0</v>
      </c>
      <c r="D291" s="376">
        <v>0</v>
      </c>
      <c r="E291" s="375">
        <v>0</v>
      </c>
      <c r="F291" s="376"/>
      <c r="G291" s="376"/>
      <c r="H291" s="376"/>
      <c r="I291" s="377"/>
      <c r="J291" s="377"/>
      <c r="K291" s="377"/>
      <c r="L291" s="377"/>
      <c r="M291" s="377"/>
      <c r="N291" s="377"/>
      <c r="O291" s="377">
        <f t="shared" si="4"/>
        <v>0</v>
      </c>
    </row>
    <row r="292" spans="1:15">
      <c r="A292" s="372" t="s">
        <v>828</v>
      </c>
      <c r="B292" s="373" t="s">
        <v>829</v>
      </c>
      <c r="C292" s="375">
        <v>0</v>
      </c>
      <c r="D292" s="376">
        <v>0</v>
      </c>
      <c r="E292" s="375">
        <v>0</v>
      </c>
      <c r="F292" s="376"/>
      <c r="G292" s="376"/>
      <c r="H292" s="376"/>
      <c r="I292" s="377"/>
      <c r="J292" s="377"/>
      <c r="K292" s="377"/>
      <c r="L292" s="377"/>
      <c r="M292" s="377"/>
      <c r="N292" s="377"/>
      <c r="O292" s="377">
        <f t="shared" si="4"/>
        <v>0</v>
      </c>
    </row>
    <row r="293" spans="1:15">
      <c r="A293" s="372" t="s">
        <v>830</v>
      </c>
      <c r="B293" s="373" t="s">
        <v>831</v>
      </c>
      <c r="C293" s="375">
        <v>700</v>
      </c>
      <c r="D293" s="376">
        <v>0</v>
      </c>
      <c r="E293" s="375">
        <v>0</v>
      </c>
      <c r="F293" s="376"/>
      <c r="G293" s="376"/>
      <c r="H293" s="376"/>
      <c r="I293" s="377"/>
      <c r="J293" s="377"/>
      <c r="K293" s="377"/>
      <c r="L293" s="377"/>
      <c r="M293" s="377"/>
      <c r="N293" s="377"/>
      <c r="O293" s="377">
        <f t="shared" si="4"/>
        <v>700</v>
      </c>
    </row>
    <row r="294" spans="1:15">
      <c r="A294" s="372" t="s">
        <v>832</v>
      </c>
      <c r="B294" s="373" t="s">
        <v>833</v>
      </c>
      <c r="C294" s="375">
        <v>0</v>
      </c>
      <c r="D294" s="376">
        <v>0</v>
      </c>
      <c r="E294" s="375">
        <v>0</v>
      </c>
      <c r="F294" s="376"/>
      <c r="G294" s="376"/>
      <c r="H294" s="376"/>
      <c r="I294" s="377"/>
      <c r="J294" s="377"/>
      <c r="K294" s="377"/>
      <c r="L294" s="377"/>
      <c r="M294" s="377"/>
      <c r="N294" s="377"/>
      <c r="O294" s="377">
        <f t="shared" si="4"/>
        <v>0</v>
      </c>
    </row>
    <row r="295" spans="1:15">
      <c r="A295" s="372" t="s">
        <v>834</v>
      </c>
      <c r="B295" s="373" t="s">
        <v>835</v>
      </c>
      <c r="C295" s="375">
        <v>1638.26</v>
      </c>
      <c r="D295" s="376">
        <v>4811.13</v>
      </c>
      <c r="E295" s="375">
        <v>5495.46</v>
      </c>
      <c r="F295" s="376"/>
      <c r="G295" s="376"/>
      <c r="H295" s="376"/>
      <c r="I295" s="377"/>
      <c r="J295" s="377"/>
      <c r="K295" s="377"/>
      <c r="L295" s="377"/>
      <c r="M295" s="377"/>
      <c r="N295" s="377"/>
      <c r="O295" s="377">
        <f t="shared" si="4"/>
        <v>11944.85</v>
      </c>
    </row>
    <row r="296" spans="1:15">
      <c r="A296" s="372" t="s">
        <v>836</v>
      </c>
      <c r="B296" s="373" t="s">
        <v>837</v>
      </c>
      <c r="C296" s="375">
        <v>743.62</v>
      </c>
      <c r="D296" s="376">
        <v>516.92999999999995</v>
      </c>
      <c r="E296" s="375">
        <v>1400.12</v>
      </c>
      <c r="F296" s="376"/>
      <c r="G296" s="376"/>
      <c r="H296" s="376"/>
      <c r="I296" s="377"/>
      <c r="J296" s="377"/>
      <c r="K296" s="377"/>
      <c r="L296" s="377"/>
      <c r="M296" s="377"/>
      <c r="N296" s="377"/>
      <c r="O296" s="377">
        <f t="shared" si="4"/>
        <v>2660.67</v>
      </c>
    </row>
    <row r="297" spans="1:15">
      <c r="A297" s="372" t="s">
        <v>838</v>
      </c>
      <c r="B297" s="373" t="s">
        <v>839</v>
      </c>
      <c r="C297" s="375">
        <v>4593.28</v>
      </c>
      <c r="D297" s="376">
        <v>5164.79</v>
      </c>
      <c r="E297" s="375">
        <v>6364.5</v>
      </c>
      <c r="F297" s="376"/>
      <c r="G297" s="376"/>
      <c r="H297" s="376"/>
      <c r="I297" s="377"/>
      <c r="J297" s="377"/>
      <c r="K297" s="377"/>
      <c r="L297" s="377"/>
      <c r="M297" s="377"/>
      <c r="N297" s="377"/>
      <c r="O297" s="377">
        <f t="shared" si="4"/>
        <v>16122.57</v>
      </c>
    </row>
    <row r="298" spans="1:15">
      <c r="A298" s="372" t="s">
        <v>840</v>
      </c>
      <c r="B298" s="373" t="s">
        <v>841</v>
      </c>
      <c r="C298" s="375">
        <v>1080</v>
      </c>
      <c r="D298" s="376">
        <v>3215</v>
      </c>
      <c r="E298" s="375">
        <v>6751.75</v>
      </c>
      <c r="F298" s="376"/>
      <c r="G298" s="376"/>
      <c r="H298" s="376"/>
      <c r="I298" s="377"/>
      <c r="J298" s="377"/>
      <c r="K298" s="377"/>
      <c r="L298" s="377"/>
      <c r="M298" s="377"/>
      <c r="N298" s="377"/>
      <c r="O298" s="377">
        <f t="shared" si="4"/>
        <v>11046.75</v>
      </c>
    </row>
    <row r="299" spans="1:15">
      <c r="A299" s="372" t="s">
        <v>842</v>
      </c>
      <c r="B299" s="373" t="s">
        <v>843</v>
      </c>
      <c r="C299" s="375">
        <v>2249.5500000000002</v>
      </c>
      <c r="D299" s="376">
        <v>4003.59</v>
      </c>
      <c r="E299" s="375">
        <v>2958.47</v>
      </c>
      <c r="F299" s="376"/>
      <c r="G299" s="376"/>
      <c r="H299" s="376"/>
      <c r="I299" s="377"/>
      <c r="J299" s="377"/>
      <c r="K299" s="377"/>
      <c r="L299" s="377"/>
      <c r="M299" s="377"/>
      <c r="N299" s="377"/>
      <c r="O299" s="377">
        <f t="shared" si="4"/>
        <v>9211.61</v>
      </c>
    </row>
    <row r="300" spans="1:15">
      <c r="A300" s="372" t="s">
        <v>844</v>
      </c>
      <c r="B300" s="373" t="s">
        <v>845</v>
      </c>
      <c r="C300" s="375">
        <v>2814.22</v>
      </c>
      <c r="D300" s="376">
        <v>1274.3599999999999</v>
      </c>
      <c r="E300" s="375">
        <v>5558.95</v>
      </c>
      <c r="F300" s="376"/>
      <c r="G300" s="376"/>
      <c r="H300" s="376"/>
      <c r="I300" s="377"/>
      <c r="J300" s="377"/>
      <c r="K300" s="377"/>
      <c r="L300" s="377"/>
      <c r="M300" s="377"/>
      <c r="N300" s="377"/>
      <c r="O300" s="377">
        <f t="shared" si="4"/>
        <v>9647.5299999999988</v>
      </c>
    </row>
    <row r="301" spans="1:15">
      <c r="A301" s="372" t="s">
        <v>846</v>
      </c>
      <c r="B301" s="373" t="s">
        <v>847</v>
      </c>
      <c r="C301" s="375">
        <v>1466.59</v>
      </c>
      <c r="D301" s="376">
        <v>1734.5</v>
      </c>
      <c r="E301" s="375">
        <v>1450.42</v>
      </c>
      <c r="F301" s="376"/>
      <c r="G301" s="376"/>
      <c r="H301" s="376"/>
      <c r="I301" s="377"/>
      <c r="J301" s="377"/>
      <c r="K301" s="377"/>
      <c r="L301" s="377"/>
      <c r="M301" s="377"/>
      <c r="N301" s="377"/>
      <c r="O301" s="377">
        <f t="shared" si="4"/>
        <v>4651.51</v>
      </c>
    </row>
    <row r="302" spans="1:15">
      <c r="A302" s="372" t="s">
        <v>848</v>
      </c>
      <c r="B302" s="373" t="s">
        <v>849</v>
      </c>
      <c r="C302" s="375">
        <v>17654.52</v>
      </c>
      <c r="D302" s="376">
        <v>31242.93</v>
      </c>
      <c r="E302" s="375">
        <v>20385.7</v>
      </c>
      <c r="F302" s="376"/>
      <c r="G302" s="376"/>
      <c r="H302" s="376"/>
      <c r="I302" s="377"/>
      <c r="J302" s="377"/>
      <c r="K302" s="377"/>
      <c r="L302" s="377"/>
      <c r="M302" s="377"/>
      <c r="N302" s="377"/>
      <c r="O302" s="377">
        <f t="shared" si="4"/>
        <v>69283.149999999994</v>
      </c>
    </row>
    <row r="303" spans="1:15">
      <c r="A303" s="372" t="s">
        <v>850</v>
      </c>
      <c r="B303" s="373" t="s">
        <v>851</v>
      </c>
      <c r="C303" s="375">
        <v>0</v>
      </c>
      <c r="D303" s="376">
        <v>0</v>
      </c>
      <c r="E303" s="375">
        <v>0</v>
      </c>
      <c r="F303" s="376"/>
      <c r="G303" s="376"/>
      <c r="H303" s="376"/>
      <c r="I303" s="377"/>
      <c r="J303" s="377"/>
      <c r="K303" s="377"/>
      <c r="L303" s="377"/>
      <c r="M303" s="377"/>
      <c r="N303" s="377"/>
      <c r="O303" s="377">
        <f t="shared" si="4"/>
        <v>0</v>
      </c>
    </row>
    <row r="304" spans="1:15">
      <c r="A304" s="372" t="s">
        <v>852</v>
      </c>
      <c r="B304" s="373" t="s">
        <v>853</v>
      </c>
      <c r="C304" s="375">
        <v>0</v>
      </c>
      <c r="D304" s="376">
        <v>0</v>
      </c>
      <c r="E304" s="375">
        <v>0</v>
      </c>
      <c r="F304" s="376"/>
      <c r="G304" s="376"/>
      <c r="H304" s="376"/>
      <c r="I304" s="377"/>
      <c r="J304" s="377"/>
      <c r="K304" s="377"/>
      <c r="L304" s="377"/>
      <c r="M304" s="377"/>
      <c r="N304" s="377"/>
      <c r="O304" s="377">
        <f t="shared" si="4"/>
        <v>0</v>
      </c>
    </row>
    <row r="305" spans="1:15">
      <c r="A305" s="372" t="s">
        <v>1085</v>
      </c>
      <c r="B305" s="373" t="s">
        <v>1086</v>
      </c>
      <c r="C305" s="375">
        <v>0</v>
      </c>
      <c r="D305" s="376">
        <v>0</v>
      </c>
      <c r="E305" s="375">
        <v>0</v>
      </c>
      <c r="F305" s="376"/>
      <c r="G305" s="376"/>
      <c r="H305" s="376"/>
      <c r="I305" s="377"/>
      <c r="J305" s="377"/>
      <c r="K305" s="377"/>
      <c r="L305" s="377"/>
      <c r="M305" s="377"/>
      <c r="N305" s="377"/>
      <c r="O305" s="377">
        <f t="shared" si="4"/>
        <v>0</v>
      </c>
    </row>
    <row r="306" spans="1:15">
      <c r="A306" s="372" t="s">
        <v>1087</v>
      </c>
      <c r="B306" s="373" t="s">
        <v>1088</v>
      </c>
      <c r="C306" s="375">
        <v>-48.32</v>
      </c>
      <c r="D306" s="376">
        <v>-43.78</v>
      </c>
      <c r="E306" s="375">
        <v>0</v>
      </c>
      <c r="F306" s="376"/>
      <c r="G306" s="376"/>
      <c r="H306" s="376"/>
      <c r="I306" s="377"/>
      <c r="J306" s="377"/>
      <c r="K306" s="377"/>
      <c r="L306" s="377"/>
      <c r="M306" s="377"/>
      <c r="N306" s="377"/>
      <c r="O306" s="377">
        <f t="shared" si="4"/>
        <v>-92.1</v>
      </c>
    </row>
    <row r="307" spans="1:15">
      <c r="A307" s="372" t="s">
        <v>1089</v>
      </c>
      <c r="B307" s="373" t="s">
        <v>1090</v>
      </c>
      <c r="C307" s="375">
        <v>28.18</v>
      </c>
      <c r="D307" s="376">
        <v>57.23</v>
      </c>
      <c r="E307" s="375">
        <v>220.16</v>
      </c>
      <c r="F307" s="376"/>
      <c r="G307" s="376"/>
      <c r="H307" s="376"/>
      <c r="I307" s="377"/>
      <c r="J307" s="377"/>
      <c r="K307" s="377"/>
      <c r="L307" s="377"/>
      <c r="M307" s="377"/>
      <c r="N307" s="377"/>
      <c r="O307" s="377">
        <f t="shared" si="4"/>
        <v>305.57</v>
      </c>
    </row>
    <row r="308" spans="1:15">
      <c r="A308" s="372" t="s">
        <v>1091</v>
      </c>
      <c r="B308" s="373" t="s">
        <v>1092</v>
      </c>
      <c r="C308" s="375">
        <v>-14.57</v>
      </c>
      <c r="D308" s="376">
        <v>-3.02</v>
      </c>
      <c r="E308" s="375">
        <v>0</v>
      </c>
      <c r="F308" s="376"/>
      <c r="G308" s="376"/>
      <c r="H308" s="376"/>
      <c r="I308" s="377"/>
      <c r="J308" s="377"/>
      <c r="K308" s="377"/>
      <c r="L308" s="377"/>
      <c r="M308" s="377"/>
      <c r="N308" s="377"/>
      <c r="O308" s="377">
        <f t="shared" si="4"/>
        <v>-17.59</v>
      </c>
    </row>
    <row r="309" spans="1:15">
      <c r="A309" s="372" t="s">
        <v>1093</v>
      </c>
      <c r="B309" s="373" t="s">
        <v>1094</v>
      </c>
      <c r="C309" s="375">
        <v>0</v>
      </c>
      <c r="D309" s="376">
        <v>0</v>
      </c>
      <c r="E309" s="375">
        <v>0</v>
      </c>
      <c r="F309" s="376"/>
      <c r="G309" s="376"/>
      <c r="H309" s="376"/>
      <c r="I309" s="377"/>
      <c r="J309" s="377"/>
      <c r="K309" s="377"/>
      <c r="L309" s="377"/>
      <c r="M309" s="377"/>
      <c r="N309" s="377"/>
      <c r="O309" s="377">
        <f t="shared" si="4"/>
        <v>0</v>
      </c>
    </row>
    <row r="310" spans="1:15">
      <c r="A310" s="372" t="s">
        <v>854</v>
      </c>
      <c r="B310" s="373" t="s">
        <v>855</v>
      </c>
      <c r="C310" s="375">
        <v>10000</v>
      </c>
      <c r="D310" s="376">
        <v>10000</v>
      </c>
      <c r="E310" s="375">
        <v>0</v>
      </c>
      <c r="F310" s="376"/>
      <c r="G310" s="376"/>
      <c r="H310" s="376"/>
      <c r="I310" s="377"/>
      <c r="J310" s="377"/>
      <c r="K310" s="377"/>
      <c r="L310" s="377"/>
      <c r="M310" s="377"/>
      <c r="N310" s="377"/>
      <c r="O310" s="377">
        <f t="shared" si="4"/>
        <v>20000</v>
      </c>
    </row>
    <row r="311" spans="1:15">
      <c r="A311" s="372" t="s">
        <v>856</v>
      </c>
      <c r="B311" s="373" t="s">
        <v>857</v>
      </c>
      <c r="C311" s="375">
        <v>60</v>
      </c>
      <c r="D311" s="376">
        <v>-60</v>
      </c>
      <c r="E311" s="375">
        <v>0</v>
      </c>
      <c r="F311" s="376"/>
      <c r="G311" s="376"/>
      <c r="H311" s="376"/>
      <c r="I311" s="377"/>
      <c r="J311" s="377"/>
      <c r="K311" s="377"/>
      <c r="L311" s="377"/>
      <c r="M311" s="377"/>
      <c r="N311" s="377"/>
      <c r="O311" s="377">
        <f t="shared" si="4"/>
        <v>0</v>
      </c>
    </row>
    <row r="312" spans="1:15">
      <c r="A312" s="374"/>
      <c r="B312" s="374"/>
      <c r="C312" s="378"/>
      <c r="D312" s="379"/>
      <c r="E312" s="378"/>
      <c r="F312" s="379"/>
      <c r="G312" s="379"/>
      <c r="H312" s="379"/>
      <c r="I312" s="377"/>
      <c r="J312" s="377"/>
      <c r="K312" s="377"/>
      <c r="L312" s="377"/>
      <c r="M312" s="377"/>
      <c r="N312" s="377"/>
      <c r="O312" s="377">
        <f t="shared" si="4"/>
        <v>0</v>
      </c>
    </row>
    <row r="313" spans="1:15">
      <c r="A313" s="374"/>
      <c r="B313" s="374"/>
      <c r="C313" s="378"/>
      <c r="D313" s="379"/>
      <c r="E313" s="378"/>
      <c r="F313" s="379"/>
      <c r="G313" s="379"/>
      <c r="H313" s="379"/>
      <c r="I313" s="377"/>
      <c r="J313" s="377"/>
      <c r="K313" s="377"/>
      <c r="L313" s="377"/>
      <c r="M313" s="377"/>
      <c r="N313" s="377"/>
      <c r="O313" s="377">
        <f t="shared" si="4"/>
        <v>0</v>
      </c>
    </row>
    <row r="314" spans="1:15">
      <c r="A314" s="374"/>
      <c r="B314" s="374" t="s">
        <v>404</v>
      </c>
      <c r="C314" s="378">
        <f>SUM(C255,C258,C264,C268,C270,C273,C274,C277,C278,C279,C283,C284,C310)</f>
        <v>-26880.909999999989</v>
      </c>
      <c r="D314" s="378">
        <f t="shared" ref="D314:N314" si="5">SUM(D255,D258,D264,D268,D270,D273,D274,D277,D278,D279,D283,D284,D310)</f>
        <v>-32471.58</v>
      </c>
      <c r="E314" s="378">
        <f t="shared" si="5"/>
        <v>98568.959999999992</v>
      </c>
      <c r="F314" s="378">
        <f t="shared" si="5"/>
        <v>0</v>
      </c>
      <c r="G314" s="378">
        <f t="shared" si="5"/>
        <v>0</v>
      </c>
      <c r="H314" s="378">
        <f t="shared" si="5"/>
        <v>0</v>
      </c>
      <c r="I314" s="378">
        <f t="shared" si="5"/>
        <v>0</v>
      </c>
      <c r="J314" s="378">
        <f t="shared" si="5"/>
        <v>0</v>
      </c>
      <c r="K314" s="378">
        <f t="shared" si="5"/>
        <v>0</v>
      </c>
      <c r="L314" s="378">
        <f t="shared" si="5"/>
        <v>0</v>
      </c>
      <c r="M314" s="378">
        <f t="shared" si="5"/>
        <v>0</v>
      </c>
      <c r="N314" s="378">
        <f t="shared" si="5"/>
        <v>0</v>
      </c>
      <c r="O314" s="377">
        <f t="shared" ref="O314:O321" si="6">SUM(C314:N314)</f>
        <v>39216.47</v>
      </c>
    </row>
    <row r="315" spans="1:15">
      <c r="A315" s="374"/>
      <c r="B315" s="392" t="s">
        <v>1098</v>
      </c>
      <c r="C315" s="377">
        <f>ROUND(C314*47.517%,2)</f>
        <v>-12773</v>
      </c>
      <c r="D315" s="377">
        <f t="shared" ref="D315:N315" si="7">ROUND(D314*47.517%,2)</f>
        <v>-15429.52</v>
      </c>
      <c r="E315" s="377">
        <f t="shared" si="7"/>
        <v>46837.01</v>
      </c>
      <c r="F315" s="377">
        <f t="shared" si="7"/>
        <v>0</v>
      </c>
      <c r="G315" s="377">
        <f t="shared" si="7"/>
        <v>0</v>
      </c>
      <c r="H315" s="377">
        <f t="shared" si="7"/>
        <v>0</v>
      </c>
      <c r="I315" s="377">
        <f t="shared" si="7"/>
        <v>0</v>
      </c>
      <c r="J315" s="377">
        <f t="shared" si="7"/>
        <v>0</v>
      </c>
      <c r="K315" s="377">
        <f t="shared" si="7"/>
        <v>0</v>
      </c>
      <c r="L315" s="377">
        <f t="shared" si="7"/>
        <v>0</v>
      </c>
      <c r="M315" s="377">
        <f t="shared" si="7"/>
        <v>0</v>
      </c>
      <c r="N315" s="377">
        <f t="shared" si="7"/>
        <v>0</v>
      </c>
      <c r="O315" s="377">
        <f t="shared" si="6"/>
        <v>18634.490000000002</v>
      </c>
    </row>
    <row r="316" spans="1:15">
      <c r="A316" s="374"/>
      <c r="B316" s="392" t="s">
        <v>177</v>
      </c>
      <c r="C316" s="377">
        <f>ROUND(C314*3.209%,2)</f>
        <v>-862.61</v>
      </c>
      <c r="D316" s="377">
        <f t="shared" ref="D316:N316" si="8">ROUND(D314*3.209%,2)</f>
        <v>-1042.01</v>
      </c>
      <c r="E316" s="377">
        <f t="shared" si="8"/>
        <v>3163.08</v>
      </c>
      <c r="F316" s="377">
        <f t="shared" si="8"/>
        <v>0</v>
      </c>
      <c r="G316" s="377">
        <f t="shared" si="8"/>
        <v>0</v>
      </c>
      <c r="H316" s="377">
        <f t="shared" si="8"/>
        <v>0</v>
      </c>
      <c r="I316" s="377">
        <f t="shared" si="8"/>
        <v>0</v>
      </c>
      <c r="J316" s="377">
        <f t="shared" si="8"/>
        <v>0</v>
      </c>
      <c r="K316" s="377">
        <f t="shared" si="8"/>
        <v>0</v>
      </c>
      <c r="L316" s="377">
        <f t="shared" si="8"/>
        <v>0</v>
      </c>
      <c r="M316" s="377">
        <f t="shared" si="8"/>
        <v>0</v>
      </c>
      <c r="N316" s="377">
        <f t="shared" si="8"/>
        <v>0</v>
      </c>
      <c r="O316" s="377">
        <f t="shared" si="6"/>
        <v>1258.46</v>
      </c>
    </row>
    <row r="317" spans="1:15">
      <c r="A317" s="374"/>
      <c r="B317" s="392" t="s">
        <v>292</v>
      </c>
      <c r="C317" s="377">
        <f>ROUND(C314*20.694%,2)</f>
        <v>-5562.74</v>
      </c>
      <c r="D317" s="377">
        <f t="shared" ref="D317:N317" si="9">ROUND(D314*20.694%,2)</f>
        <v>-6719.67</v>
      </c>
      <c r="E317" s="377">
        <f t="shared" si="9"/>
        <v>20397.86</v>
      </c>
      <c r="F317" s="377">
        <f t="shared" si="9"/>
        <v>0</v>
      </c>
      <c r="G317" s="377">
        <f t="shared" si="9"/>
        <v>0</v>
      </c>
      <c r="H317" s="377">
        <f t="shared" si="9"/>
        <v>0</v>
      </c>
      <c r="I317" s="377">
        <f t="shared" si="9"/>
        <v>0</v>
      </c>
      <c r="J317" s="377">
        <f t="shared" si="9"/>
        <v>0</v>
      </c>
      <c r="K317" s="377">
        <f t="shared" si="9"/>
        <v>0</v>
      </c>
      <c r="L317" s="377">
        <f t="shared" si="9"/>
        <v>0</v>
      </c>
      <c r="M317" s="377">
        <f t="shared" si="9"/>
        <v>0</v>
      </c>
      <c r="N317" s="377">
        <f t="shared" si="9"/>
        <v>0</v>
      </c>
      <c r="O317" s="377">
        <f t="shared" si="6"/>
        <v>8115.4500000000007</v>
      </c>
    </row>
    <row r="318" spans="1:15">
      <c r="A318" s="374"/>
      <c r="B318" s="392" t="s">
        <v>290</v>
      </c>
      <c r="C318" s="377">
        <f>ROUND(C314*13.121%,2)</f>
        <v>-3527.04</v>
      </c>
      <c r="D318" s="377">
        <f t="shared" ref="D318:N318" si="10">ROUND(D314*13.121%,2)</f>
        <v>-4260.6000000000004</v>
      </c>
      <c r="E318" s="377">
        <f t="shared" si="10"/>
        <v>12933.23</v>
      </c>
      <c r="F318" s="377">
        <f t="shared" si="10"/>
        <v>0</v>
      </c>
      <c r="G318" s="377">
        <f t="shared" si="10"/>
        <v>0</v>
      </c>
      <c r="H318" s="377">
        <f t="shared" si="10"/>
        <v>0</v>
      </c>
      <c r="I318" s="377">
        <f t="shared" si="10"/>
        <v>0</v>
      </c>
      <c r="J318" s="377">
        <f t="shared" si="10"/>
        <v>0</v>
      </c>
      <c r="K318" s="377">
        <f t="shared" si="10"/>
        <v>0</v>
      </c>
      <c r="L318" s="377">
        <f t="shared" si="10"/>
        <v>0</v>
      </c>
      <c r="M318" s="377">
        <f t="shared" si="10"/>
        <v>0</v>
      </c>
      <c r="N318" s="377">
        <f t="shared" si="10"/>
        <v>0</v>
      </c>
      <c r="O318" s="377">
        <f t="shared" si="6"/>
        <v>5145.5899999999992</v>
      </c>
    </row>
    <row r="319" spans="1:15">
      <c r="A319" s="374"/>
      <c r="B319" s="392" t="s">
        <v>291</v>
      </c>
      <c r="C319" s="377">
        <f>ROUND(C314*14.953%,2)</f>
        <v>-4019.5</v>
      </c>
      <c r="D319" s="377">
        <f t="shared" ref="D319:N319" si="11">ROUND(D314*14.953%,2)</f>
        <v>-4855.4799999999996</v>
      </c>
      <c r="E319" s="377">
        <f t="shared" si="11"/>
        <v>14739.02</v>
      </c>
      <c r="F319" s="377">
        <f t="shared" si="11"/>
        <v>0</v>
      </c>
      <c r="G319" s="377">
        <f t="shared" si="11"/>
        <v>0</v>
      </c>
      <c r="H319" s="377">
        <f t="shared" si="11"/>
        <v>0</v>
      </c>
      <c r="I319" s="377">
        <f t="shared" si="11"/>
        <v>0</v>
      </c>
      <c r="J319" s="377">
        <f t="shared" si="11"/>
        <v>0</v>
      </c>
      <c r="K319" s="377">
        <f t="shared" si="11"/>
        <v>0</v>
      </c>
      <c r="L319" s="377">
        <f t="shared" si="11"/>
        <v>0</v>
      </c>
      <c r="M319" s="377">
        <f t="shared" si="11"/>
        <v>0</v>
      </c>
      <c r="N319" s="377">
        <f t="shared" si="11"/>
        <v>0</v>
      </c>
      <c r="O319" s="377">
        <f t="shared" si="6"/>
        <v>5864.0400000000009</v>
      </c>
    </row>
    <row r="320" spans="1:15">
      <c r="A320" s="374"/>
      <c r="B320" s="392" t="s">
        <v>1099</v>
      </c>
      <c r="C320" s="377">
        <f>ROUND(C314*0.507%,2)</f>
        <v>-136.29</v>
      </c>
      <c r="D320" s="377">
        <f t="shared" ref="D320:N320" si="12">ROUND(D314*0.507%,2)</f>
        <v>-164.63</v>
      </c>
      <c r="E320" s="377">
        <f t="shared" si="12"/>
        <v>499.74</v>
      </c>
      <c r="F320" s="377">
        <f t="shared" si="12"/>
        <v>0</v>
      </c>
      <c r="G320" s="377">
        <f t="shared" si="12"/>
        <v>0</v>
      </c>
      <c r="H320" s="377">
        <f t="shared" si="12"/>
        <v>0</v>
      </c>
      <c r="I320" s="377">
        <f t="shared" si="12"/>
        <v>0</v>
      </c>
      <c r="J320" s="377">
        <f t="shared" si="12"/>
        <v>0</v>
      </c>
      <c r="K320" s="377">
        <f t="shared" si="12"/>
        <v>0</v>
      </c>
      <c r="L320" s="377">
        <f t="shared" si="12"/>
        <v>0</v>
      </c>
      <c r="M320" s="377">
        <f t="shared" si="12"/>
        <v>0</v>
      </c>
      <c r="N320" s="377">
        <f t="shared" si="12"/>
        <v>0</v>
      </c>
      <c r="O320" s="377">
        <f t="shared" si="6"/>
        <v>198.82000000000005</v>
      </c>
    </row>
    <row r="321" spans="1:15">
      <c r="A321" s="374"/>
      <c r="B321" s="392" t="s">
        <v>1100</v>
      </c>
      <c r="D321" s="377"/>
      <c r="E321" s="377"/>
      <c r="F321" s="377"/>
      <c r="G321" s="377"/>
      <c r="H321" s="377"/>
      <c r="I321" s="377"/>
      <c r="J321" s="377"/>
      <c r="K321" s="377"/>
      <c r="L321" s="377"/>
      <c r="M321" s="377"/>
      <c r="N321" s="377"/>
      <c r="O321" s="377">
        <f t="shared" si="6"/>
        <v>0</v>
      </c>
    </row>
    <row r="322" spans="1:15">
      <c r="A322" s="374"/>
      <c r="B322" s="374" t="s">
        <v>187</v>
      </c>
      <c r="C322" s="378">
        <f>SUM(C251,C254,C256,C257,C263,C265,C266,C269,C272,C275,C276,C280,C285:C292,C295:C300)</f>
        <v>116923.37999999999</v>
      </c>
      <c r="D322" s="378">
        <f t="shared" ref="D322:N322" si="13">SUM(D251,D254,D256,D257,D263,D265,D266,D269,D272,D275,D276,D280,D285:D292,D295:D300)</f>
        <v>71273.429999999993</v>
      </c>
      <c r="E322" s="378">
        <f t="shared" si="13"/>
        <v>97504.81</v>
      </c>
      <c r="F322" s="378">
        <f t="shared" si="13"/>
        <v>0</v>
      </c>
      <c r="G322" s="378">
        <f t="shared" si="13"/>
        <v>0</v>
      </c>
      <c r="H322" s="378">
        <f t="shared" si="13"/>
        <v>0</v>
      </c>
      <c r="I322" s="378">
        <f t="shared" si="13"/>
        <v>0</v>
      </c>
      <c r="J322" s="378">
        <f t="shared" si="13"/>
        <v>0</v>
      </c>
      <c r="K322" s="378">
        <f t="shared" si="13"/>
        <v>0</v>
      </c>
      <c r="L322" s="378">
        <f t="shared" si="13"/>
        <v>0</v>
      </c>
      <c r="M322" s="378">
        <f t="shared" si="13"/>
        <v>0</v>
      </c>
      <c r="N322" s="378">
        <f t="shared" si="13"/>
        <v>0</v>
      </c>
      <c r="O322" s="377">
        <f t="shared" si="4"/>
        <v>285701.62</v>
      </c>
    </row>
    <row r="323" spans="1:15">
      <c r="A323" s="374"/>
      <c r="B323" s="392" t="s">
        <v>473</v>
      </c>
      <c r="C323" s="377">
        <f>ROUND(C322*47.517%,2)</f>
        <v>55558.48</v>
      </c>
      <c r="D323" s="377">
        <f t="shared" ref="D323:N323" si="14">ROUND(D322*47.517%,2)</f>
        <v>33867</v>
      </c>
      <c r="E323" s="377">
        <f t="shared" si="14"/>
        <v>46331.360000000001</v>
      </c>
      <c r="F323" s="377">
        <f t="shared" si="14"/>
        <v>0</v>
      </c>
      <c r="G323" s="377">
        <f t="shared" si="14"/>
        <v>0</v>
      </c>
      <c r="H323" s="377">
        <f t="shared" si="14"/>
        <v>0</v>
      </c>
      <c r="I323" s="377">
        <f t="shared" si="14"/>
        <v>0</v>
      </c>
      <c r="J323" s="377">
        <f t="shared" si="14"/>
        <v>0</v>
      </c>
      <c r="K323" s="377">
        <f t="shared" si="14"/>
        <v>0</v>
      </c>
      <c r="L323" s="377">
        <f t="shared" si="14"/>
        <v>0</v>
      </c>
      <c r="M323" s="377">
        <f t="shared" si="14"/>
        <v>0</v>
      </c>
      <c r="N323" s="377">
        <f t="shared" si="14"/>
        <v>0</v>
      </c>
      <c r="O323" s="377">
        <f t="shared" ref="O323:O328" si="15">SUM(C323:N323)</f>
        <v>135756.84000000003</v>
      </c>
    </row>
    <row r="324" spans="1:15">
      <c r="A324" s="374"/>
      <c r="B324" s="392" t="s">
        <v>474</v>
      </c>
      <c r="C324" s="377">
        <f>ROUND(C322*3.209%,2)</f>
        <v>3752.07</v>
      </c>
      <c r="D324" s="377">
        <f t="shared" ref="D324:N324" si="16">ROUND(D322*3.209%,2)</f>
        <v>2287.16</v>
      </c>
      <c r="E324" s="377">
        <f t="shared" si="16"/>
        <v>3128.93</v>
      </c>
      <c r="F324" s="377">
        <f t="shared" si="16"/>
        <v>0</v>
      </c>
      <c r="G324" s="377">
        <f t="shared" si="16"/>
        <v>0</v>
      </c>
      <c r="H324" s="377">
        <f t="shared" si="16"/>
        <v>0</v>
      </c>
      <c r="I324" s="377">
        <f t="shared" si="16"/>
        <v>0</v>
      </c>
      <c r="J324" s="377">
        <f t="shared" si="16"/>
        <v>0</v>
      </c>
      <c r="K324" s="377">
        <f t="shared" si="16"/>
        <v>0</v>
      </c>
      <c r="L324" s="377">
        <f t="shared" si="16"/>
        <v>0</v>
      </c>
      <c r="M324" s="377">
        <f t="shared" si="16"/>
        <v>0</v>
      </c>
      <c r="N324" s="377">
        <f t="shared" si="16"/>
        <v>0</v>
      </c>
      <c r="O324" s="377">
        <f t="shared" si="15"/>
        <v>9168.16</v>
      </c>
    </row>
    <row r="325" spans="1:15">
      <c r="A325" s="374"/>
      <c r="B325" s="392" t="s">
        <v>475</v>
      </c>
      <c r="C325" s="377">
        <f>ROUND(C322*20.694%,2)</f>
        <v>24196.12</v>
      </c>
      <c r="D325" s="377">
        <f t="shared" ref="D325:N325" si="17">ROUND(D322*20.694%,2)</f>
        <v>14749.32</v>
      </c>
      <c r="E325" s="377">
        <f t="shared" si="17"/>
        <v>20177.650000000001</v>
      </c>
      <c r="F325" s="377">
        <f t="shared" si="17"/>
        <v>0</v>
      </c>
      <c r="G325" s="377">
        <f t="shared" si="17"/>
        <v>0</v>
      </c>
      <c r="H325" s="377">
        <f t="shared" si="17"/>
        <v>0</v>
      </c>
      <c r="I325" s="377">
        <f t="shared" si="17"/>
        <v>0</v>
      </c>
      <c r="J325" s="377">
        <f t="shared" si="17"/>
        <v>0</v>
      </c>
      <c r="K325" s="377">
        <f t="shared" si="17"/>
        <v>0</v>
      </c>
      <c r="L325" s="377">
        <f t="shared" si="17"/>
        <v>0</v>
      </c>
      <c r="M325" s="377">
        <f t="shared" si="17"/>
        <v>0</v>
      </c>
      <c r="N325" s="377">
        <f t="shared" si="17"/>
        <v>0</v>
      </c>
      <c r="O325" s="377">
        <f t="shared" si="15"/>
        <v>59123.090000000004</v>
      </c>
    </row>
    <row r="326" spans="1:15">
      <c r="A326" s="374"/>
      <c r="B326" s="392" t="s">
        <v>476</v>
      </c>
      <c r="C326" s="377">
        <f>ROUND(C322*13.121%,2)</f>
        <v>15341.52</v>
      </c>
      <c r="D326" s="377">
        <f t="shared" ref="D326:N326" si="18">ROUND(D322*13.121%,2)</f>
        <v>9351.7900000000009</v>
      </c>
      <c r="E326" s="377">
        <f t="shared" si="18"/>
        <v>12793.61</v>
      </c>
      <c r="F326" s="377">
        <f t="shared" si="18"/>
        <v>0</v>
      </c>
      <c r="G326" s="377">
        <f t="shared" si="18"/>
        <v>0</v>
      </c>
      <c r="H326" s="377">
        <f t="shared" si="18"/>
        <v>0</v>
      </c>
      <c r="I326" s="377">
        <f t="shared" si="18"/>
        <v>0</v>
      </c>
      <c r="J326" s="377">
        <f t="shared" si="18"/>
        <v>0</v>
      </c>
      <c r="K326" s="377">
        <f t="shared" si="18"/>
        <v>0</v>
      </c>
      <c r="L326" s="377">
        <f t="shared" si="18"/>
        <v>0</v>
      </c>
      <c r="M326" s="377">
        <f t="shared" si="18"/>
        <v>0</v>
      </c>
      <c r="N326" s="377">
        <f t="shared" si="18"/>
        <v>0</v>
      </c>
      <c r="O326" s="377">
        <f t="shared" si="15"/>
        <v>37486.92</v>
      </c>
    </row>
    <row r="327" spans="1:15">
      <c r="A327" s="374"/>
      <c r="B327" s="392" t="s">
        <v>477</v>
      </c>
      <c r="C327" s="377">
        <f>ROUND(C322*14.953%,2)</f>
        <v>17483.55</v>
      </c>
      <c r="D327" s="377">
        <f t="shared" ref="D327:N327" si="19">ROUND(D322*14.953%,2)</f>
        <v>10657.52</v>
      </c>
      <c r="E327" s="377">
        <f t="shared" si="19"/>
        <v>14579.89</v>
      </c>
      <c r="F327" s="377">
        <f t="shared" si="19"/>
        <v>0</v>
      </c>
      <c r="G327" s="377">
        <f t="shared" si="19"/>
        <v>0</v>
      </c>
      <c r="H327" s="377">
        <f t="shared" si="19"/>
        <v>0</v>
      </c>
      <c r="I327" s="377">
        <f t="shared" si="19"/>
        <v>0</v>
      </c>
      <c r="J327" s="377">
        <f t="shared" si="19"/>
        <v>0</v>
      </c>
      <c r="K327" s="377">
        <f t="shared" si="19"/>
        <v>0</v>
      </c>
      <c r="L327" s="377">
        <f t="shared" si="19"/>
        <v>0</v>
      </c>
      <c r="M327" s="377">
        <f t="shared" si="19"/>
        <v>0</v>
      </c>
      <c r="N327" s="377">
        <f t="shared" si="19"/>
        <v>0</v>
      </c>
      <c r="O327" s="377">
        <f t="shared" si="15"/>
        <v>42720.959999999999</v>
      </c>
    </row>
    <row r="328" spans="1:15">
      <c r="A328" s="374"/>
      <c r="B328" s="392" t="s">
        <v>478</v>
      </c>
      <c r="C328" s="377">
        <f>ROUND(C322*0.507%,2)</f>
        <v>592.79999999999995</v>
      </c>
      <c r="D328" s="377">
        <f t="shared" ref="D328:N328" si="20">ROUND(D322*0.507%,2)</f>
        <v>361.36</v>
      </c>
      <c r="E328" s="377">
        <f t="shared" si="20"/>
        <v>494.35</v>
      </c>
      <c r="F328" s="377">
        <f t="shared" si="20"/>
        <v>0</v>
      </c>
      <c r="G328" s="377">
        <f t="shared" si="20"/>
        <v>0</v>
      </c>
      <c r="H328" s="377">
        <f t="shared" si="20"/>
        <v>0</v>
      </c>
      <c r="I328" s="377">
        <f t="shared" si="20"/>
        <v>0</v>
      </c>
      <c r="J328" s="377">
        <f t="shared" si="20"/>
        <v>0</v>
      </c>
      <c r="K328" s="377">
        <f t="shared" si="20"/>
        <v>0</v>
      </c>
      <c r="L328" s="377">
        <f t="shared" si="20"/>
        <v>0</v>
      </c>
      <c r="M328" s="377">
        <f t="shared" si="20"/>
        <v>0</v>
      </c>
      <c r="N328" s="377">
        <f t="shared" si="20"/>
        <v>0</v>
      </c>
      <c r="O328" s="377">
        <f t="shared" si="15"/>
        <v>1448.51</v>
      </c>
    </row>
    <row r="329" spans="1:15">
      <c r="A329" s="374"/>
      <c r="B329" s="392" t="s">
        <v>1100</v>
      </c>
      <c r="D329" s="377"/>
      <c r="E329" s="377"/>
      <c r="F329" s="377"/>
      <c r="G329" s="377"/>
      <c r="H329" s="377"/>
      <c r="I329" s="377"/>
      <c r="J329" s="377"/>
      <c r="K329" s="377"/>
      <c r="L329" s="377"/>
      <c r="M329" s="377"/>
      <c r="N329" s="377"/>
      <c r="O329" s="377"/>
    </row>
    <row r="330" spans="1:15">
      <c r="A330" s="374"/>
      <c r="B330" s="374" t="s">
        <v>188</v>
      </c>
      <c r="C330" s="378">
        <f>SUM(C252:C254,C260,C301)</f>
        <v>55886.97</v>
      </c>
      <c r="D330" s="378">
        <f t="shared" ref="D330:N330" si="21">SUM(D252:D254,D260,D301)</f>
        <v>47486.899999999994</v>
      </c>
      <c r="E330" s="378">
        <f t="shared" si="21"/>
        <v>71796.08</v>
      </c>
      <c r="F330" s="378">
        <f t="shared" si="21"/>
        <v>0</v>
      </c>
      <c r="G330" s="378">
        <f t="shared" si="21"/>
        <v>0</v>
      </c>
      <c r="H330" s="378">
        <f t="shared" si="21"/>
        <v>0</v>
      </c>
      <c r="I330" s="378">
        <f t="shared" si="21"/>
        <v>0</v>
      </c>
      <c r="J330" s="378">
        <f t="shared" si="21"/>
        <v>0</v>
      </c>
      <c r="K330" s="378">
        <f t="shared" si="21"/>
        <v>0</v>
      </c>
      <c r="L330" s="378">
        <f t="shared" si="21"/>
        <v>0</v>
      </c>
      <c r="M330" s="378">
        <f t="shared" si="21"/>
        <v>0</v>
      </c>
      <c r="N330" s="378">
        <f t="shared" si="21"/>
        <v>0</v>
      </c>
      <c r="O330" s="377">
        <f t="shared" ref="O330:O336" si="22">SUM(C330:N330)</f>
        <v>175169.95</v>
      </c>
    </row>
    <row r="331" spans="1:15">
      <c r="A331" s="374"/>
      <c r="B331" s="392" t="s">
        <v>473</v>
      </c>
      <c r="C331" s="377">
        <f>ROUND(C330*47.517%,2)</f>
        <v>26555.81</v>
      </c>
      <c r="D331" s="377">
        <f t="shared" ref="D331:N331" si="23">ROUND(D330*47.517%,2)</f>
        <v>22564.35</v>
      </c>
      <c r="E331" s="377">
        <f t="shared" si="23"/>
        <v>34115.339999999997</v>
      </c>
      <c r="F331" s="377">
        <f t="shared" si="23"/>
        <v>0</v>
      </c>
      <c r="G331" s="377">
        <f t="shared" si="23"/>
        <v>0</v>
      </c>
      <c r="H331" s="377">
        <f t="shared" si="23"/>
        <v>0</v>
      </c>
      <c r="I331" s="377">
        <f t="shared" si="23"/>
        <v>0</v>
      </c>
      <c r="J331" s="377">
        <f t="shared" si="23"/>
        <v>0</v>
      </c>
      <c r="K331" s="377">
        <f t="shared" si="23"/>
        <v>0</v>
      </c>
      <c r="L331" s="377">
        <f t="shared" si="23"/>
        <v>0</v>
      </c>
      <c r="M331" s="377">
        <f t="shared" si="23"/>
        <v>0</v>
      </c>
      <c r="N331" s="377">
        <f t="shared" si="23"/>
        <v>0</v>
      </c>
      <c r="O331" s="377">
        <f t="shared" si="22"/>
        <v>83235.5</v>
      </c>
    </row>
    <row r="332" spans="1:15">
      <c r="A332" s="374"/>
      <c r="B332" s="392" t="s">
        <v>474</v>
      </c>
      <c r="C332" s="377">
        <f>ROUND(C330*3.209%,2)</f>
        <v>1793.41</v>
      </c>
      <c r="D332" s="377">
        <f t="shared" ref="D332:N332" si="24">ROUND(D330*3.209%,2)</f>
        <v>1523.85</v>
      </c>
      <c r="E332" s="377">
        <f t="shared" si="24"/>
        <v>2303.94</v>
      </c>
      <c r="F332" s="377">
        <f t="shared" si="24"/>
        <v>0</v>
      </c>
      <c r="G332" s="377">
        <f t="shared" si="24"/>
        <v>0</v>
      </c>
      <c r="H332" s="377">
        <f t="shared" si="24"/>
        <v>0</v>
      </c>
      <c r="I332" s="377">
        <f t="shared" si="24"/>
        <v>0</v>
      </c>
      <c r="J332" s="377">
        <f t="shared" si="24"/>
        <v>0</v>
      </c>
      <c r="K332" s="377">
        <f t="shared" si="24"/>
        <v>0</v>
      </c>
      <c r="L332" s="377">
        <f t="shared" si="24"/>
        <v>0</v>
      </c>
      <c r="M332" s="377">
        <f t="shared" si="24"/>
        <v>0</v>
      </c>
      <c r="N332" s="377">
        <f t="shared" si="24"/>
        <v>0</v>
      </c>
      <c r="O332" s="377">
        <f t="shared" si="22"/>
        <v>5621.2000000000007</v>
      </c>
    </row>
    <row r="333" spans="1:15">
      <c r="B333" s="392" t="s">
        <v>475</v>
      </c>
      <c r="C333" s="377">
        <f>ROUND(C330*20.694%,2)</f>
        <v>11565.25</v>
      </c>
      <c r="D333" s="377">
        <f t="shared" ref="D333:N333" si="25">ROUND(D330*20.694%,2)</f>
        <v>9826.94</v>
      </c>
      <c r="E333" s="377">
        <f t="shared" si="25"/>
        <v>14857.48</v>
      </c>
      <c r="F333" s="377">
        <f t="shared" si="25"/>
        <v>0</v>
      </c>
      <c r="G333" s="377">
        <f t="shared" si="25"/>
        <v>0</v>
      </c>
      <c r="H333" s="377">
        <f t="shared" si="25"/>
        <v>0</v>
      </c>
      <c r="I333" s="377">
        <f t="shared" si="25"/>
        <v>0</v>
      </c>
      <c r="J333" s="377">
        <f t="shared" si="25"/>
        <v>0</v>
      </c>
      <c r="K333" s="377">
        <f t="shared" si="25"/>
        <v>0</v>
      </c>
      <c r="L333" s="377">
        <f t="shared" si="25"/>
        <v>0</v>
      </c>
      <c r="M333" s="377">
        <f t="shared" si="25"/>
        <v>0</v>
      </c>
      <c r="N333" s="377">
        <f t="shared" si="25"/>
        <v>0</v>
      </c>
      <c r="O333" s="377">
        <f t="shared" si="22"/>
        <v>36249.67</v>
      </c>
    </row>
    <row r="334" spans="1:15">
      <c r="B334" s="392" t="s">
        <v>476</v>
      </c>
      <c r="C334" s="377">
        <f>ROUND(C330*13.121%,2)</f>
        <v>7332.93</v>
      </c>
      <c r="D334" s="377">
        <f t="shared" ref="D334:N334" si="26">ROUND(D330*13.121%,2)</f>
        <v>6230.76</v>
      </c>
      <c r="E334" s="377">
        <f t="shared" si="26"/>
        <v>9420.36</v>
      </c>
      <c r="F334" s="377">
        <f t="shared" si="26"/>
        <v>0</v>
      </c>
      <c r="G334" s="377">
        <f t="shared" si="26"/>
        <v>0</v>
      </c>
      <c r="H334" s="377">
        <f t="shared" si="26"/>
        <v>0</v>
      </c>
      <c r="I334" s="377">
        <f t="shared" si="26"/>
        <v>0</v>
      </c>
      <c r="J334" s="377">
        <f t="shared" si="26"/>
        <v>0</v>
      </c>
      <c r="K334" s="377">
        <f t="shared" si="26"/>
        <v>0</v>
      </c>
      <c r="L334" s="377">
        <f t="shared" si="26"/>
        <v>0</v>
      </c>
      <c r="M334" s="377">
        <f t="shared" si="26"/>
        <v>0</v>
      </c>
      <c r="N334" s="377">
        <f t="shared" si="26"/>
        <v>0</v>
      </c>
      <c r="O334" s="377">
        <f t="shared" si="22"/>
        <v>22984.050000000003</v>
      </c>
    </row>
    <row r="335" spans="1:15">
      <c r="B335" s="392" t="s">
        <v>477</v>
      </c>
      <c r="C335" s="377">
        <f>ROUND(C330*14.953%,2)</f>
        <v>8356.7800000000007</v>
      </c>
      <c r="D335" s="377">
        <f t="shared" ref="D335:N335" si="27">ROUND(D330*14.953%,2)</f>
        <v>7100.72</v>
      </c>
      <c r="E335" s="377">
        <f t="shared" si="27"/>
        <v>10735.67</v>
      </c>
      <c r="F335" s="377">
        <f t="shared" si="27"/>
        <v>0</v>
      </c>
      <c r="G335" s="377">
        <f t="shared" si="27"/>
        <v>0</v>
      </c>
      <c r="H335" s="377">
        <f t="shared" si="27"/>
        <v>0</v>
      </c>
      <c r="I335" s="377">
        <f t="shared" si="27"/>
        <v>0</v>
      </c>
      <c r="J335" s="377">
        <f t="shared" si="27"/>
        <v>0</v>
      </c>
      <c r="K335" s="377">
        <f t="shared" si="27"/>
        <v>0</v>
      </c>
      <c r="L335" s="377">
        <f t="shared" si="27"/>
        <v>0</v>
      </c>
      <c r="M335" s="377">
        <f t="shared" si="27"/>
        <v>0</v>
      </c>
      <c r="N335" s="377">
        <f t="shared" si="27"/>
        <v>0</v>
      </c>
      <c r="O335" s="377">
        <f t="shared" si="22"/>
        <v>26193.17</v>
      </c>
    </row>
    <row r="336" spans="1:15">
      <c r="B336" s="392" t="s">
        <v>478</v>
      </c>
      <c r="C336" s="377">
        <f>ROUND(C330*0.507%,2)</f>
        <v>283.35000000000002</v>
      </c>
      <c r="D336" s="377">
        <f t="shared" ref="D336:N336" si="28">ROUND(D330*0.507%,2)</f>
        <v>240.76</v>
      </c>
      <c r="E336" s="377">
        <f t="shared" si="28"/>
        <v>364.01</v>
      </c>
      <c r="F336" s="377">
        <f t="shared" si="28"/>
        <v>0</v>
      </c>
      <c r="G336" s="377">
        <f t="shared" si="28"/>
        <v>0</v>
      </c>
      <c r="H336" s="377">
        <f t="shared" si="28"/>
        <v>0</v>
      </c>
      <c r="I336" s="377">
        <f t="shared" si="28"/>
        <v>0</v>
      </c>
      <c r="J336" s="377">
        <f t="shared" si="28"/>
        <v>0</v>
      </c>
      <c r="K336" s="377">
        <f t="shared" si="28"/>
        <v>0</v>
      </c>
      <c r="L336" s="377">
        <f t="shared" si="28"/>
        <v>0</v>
      </c>
      <c r="M336" s="377">
        <f t="shared" si="28"/>
        <v>0</v>
      </c>
      <c r="N336" s="377">
        <f t="shared" si="28"/>
        <v>0</v>
      </c>
      <c r="O336" s="377">
        <f t="shared" si="22"/>
        <v>888.12</v>
      </c>
    </row>
    <row r="337" spans="2:2">
      <c r="B337" s="392" t="s">
        <v>1100</v>
      </c>
    </row>
  </sheetData>
  <sortState xmlns:xlrd2="http://schemas.microsoft.com/office/spreadsheetml/2017/richdata2" ref="A2:O333">
    <sortCondition ref="A2:A333"/>
  </sortState>
  <phoneticPr fontId="62" type="noConversion"/>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A3B41-6A45-4A8A-BD3A-922E381D204D}">
  <dimension ref="A1:A12"/>
  <sheetViews>
    <sheetView workbookViewId="0"/>
  </sheetViews>
  <sheetFormatPr baseColWidth="10" defaultColWidth="8.83203125" defaultRowHeight="15"/>
  <sheetData>
    <row r="1" spans="1:1">
      <c r="A1">
        <v>1</v>
      </c>
    </row>
    <row r="2" spans="1:1">
      <c r="A2">
        <v>2</v>
      </c>
    </row>
    <row r="3" spans="1:1">
      <c r="A3">
        <v>3</v>
      </c>
    </row>
    <row r="4" spans="1:1">
      <c r="A4">
        <v>4</v>
      </c>
    </row>
    <row r="5" spans="1:1">
      <c r="A5">
        <v>5</v>
      </c>
    </row>
    <row r="6" spans="1:1">
      <c r="A6">
        <v>6</v>
      </c>
    </row>
    <row r="7" spans="1:1">
      <c r="A7">
        <v>7</v>
      </c>
    </row>
    <row r="8" spans="1:1">
      <c r="A8">
        <v>8</v>
      </c>
    </row>
    <row r="9" spans="1:1">
      <c r="A9">
        <v>9</v>
      </c>
    </row>
    <row r="10" spans="1:1">
      <c r="A10">
        <v>10</v>
      </c>
    </row>
    <row r="11" spans="1:1">
      <c r="A11">
        <v>11</v>
      </c>
    </row>
    <row r="12" spans="1:1">
      <c r="A12">
        <v>12</v>
      </c>
    </row>
  </sheetData>
  <sheetProtection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f979bc3-0c2e-4b4a-bcdd-0b071893ba9d" xsi:nil="true"/>
    <lcf76f155ced4ddcb4097134ff3c332f xmlns="7d418af9-2dfc-489c-9fbc-08b70c2820f4">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FB87CC1E083DB48A1B8D37C2DED4ED2" ma:contentTypeVersion="14" ma:contentTypeDescription="Create a new document." ma:contentTypeScope="" ma:versionID="3d03e99a2c1b90867c9a3dc493f33b9b">
  <xsd:schema xmlns:xsd="http://www.w3.org/2001/XMLSchema" xmlns:xs="http://www.w3.org/2001/XMLSchema" xmlns:p="http://schemas.microsoft.com/office/2006/metadata/properties" xmlns:ns2="7d418af9-2dfc-489c-9fbc-08b70c2820f4" xmlns:ns3="4f979bc3-0c2e-4b4a-bcdd-0b071893ba9d" targetNamespace="http://schemas.microsoft.com/office/2006/metadata/properties" ma:root="true" ma:fieldsID="8f4c139fab1031a77f4a7b378dbee84b" ns2:_="" ns3:_="">
    <xsd:import namespace="7d418af9-2dfc-489c-9fbc-08b70c2820f4"/>
    <xsd:import namespace="4f979bc3-0c2e-4b4a-bcdd-0b071893ba9d"/>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418af9-2dfc-489c-9fbc-08b70c2820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c800eba-9292-49bd-9622-f8e5c3cbb73a"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979bc3-0c2e-4b4a-bcdd-0b071893ba9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ae31478-f8d7-4467-9634-243ebea0672e}" ma:internalName="TaxCatchAll" ma:showField="CatchAllData" ma:web="4f979bc3-0c2e-4b4a-bcdd-0b071893ba9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234F434-89B1-4ED3-B888-526470E08E05}">
  <ds:schemaRefs>
    <ds:schemaRef ds:uri="http://purl.org/dc/elements/1.1/"/>
    <ds:schemaRef ds:uri="4f979bc3-0c2e-4b4a-bcdd-0b071893ba9d"/>
    <ds:schemaRef ds:uri="http://schemas.microsoft.com/office/2006/documentManagement/types"/>
    <ds:schemaRef ds:uri="http://schemas.openxmlformats.org/package/2006/metadata/core-properties"/>
    <ds:schemaRef ds:uri="7d418af9-2dfc-489c-9fbc-08b70c2820f4"/>
    <ds:schemaRef ds:uri="http://purl.org/dc/terms/"/>
    <ds:schemaRef ds:uri="http://purl.org/dc/dcmitype/"/>
    <ds:schemaRef ds:uri="http://schemas.microsoft.com/office/infopath/2007/PartnerControl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D85D865C-FF3E-47E4-8F43-5017B9B67C00}">
  <ds:schemaRefs>
    <ds:schemaRef ds:uri="http://schemas.microsoft.com/sharepoint/v3/contenttype/forms"/>
  </ds:schemaRefs>
</ds:datastoreItem>
</file>

<file path=customXml/itemProps3.xml><?xml version="1.0" encoding="utf-8"?>
<ds:datastoreItem xmlns:ds="http://schemas.openxmlformats.org/officeDocument/2006/customXml" ds:itemID="{6AB81F70-7955-4A91-A0C0-F7D5C943B5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d418af9-2dfc-489c-9fbc-08b70c2820f4"/>
    <ds:schemaRef ds:uri="4f979bc3-0c2e-4b4a-bcdd-0b071893ba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INSTRUCTIONS</vt:lpstr>
      <vt:lpstr>NOTES FOR CURRIE</vt:lpstr>
      <vt:lpstr>Sales, COGS, GP</vt:lpstr>
      <vt:lpstr>Expenses, Miscellaneous</vt:lpstr>
      <vt:lpstr>Balance Sheet</vt:lpstr>
      <vt:lpstr>Gap Analysis</vt:lpstr>
      <vt:lpstr>Composite Preview</vt:lpstr>
      <vt:lpstr>MODELS</vt:lpstr>
      <vt:lpstr>New TB</vt:lpstr>
      <vt:lpstr>NumberOfMonths</vt:lpstr>
      <vt:lpstr>Number_of_Months_Included</vt:lpstr>
      <vt:lpstr>'Balance Sheet'!Print_Area</vt:lpstr>
      <vt:lpstr>'Composite Preview'!Print_Area</vt:lpstr>
      <vt:lpstr>INSTRUCTIONS!Print_Area</vt:lpstr>
      <vt:lpstr>'Sales, COGS, GP'!Print_Area</vt:lpstr>
    </vt:vector>
  </TitlesOfParts>
  <Manager>Robin Currie</Manager>
  <Company>Currie Management Consultants,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Lift Truck Template</dc:title>
  <dc:subject>Financial Composite</dc:subject>
  <dc:creator>Robin Currie</dc:creator>
  <cp:keywords/>
  <dc:description>See document indicating formatting requirements for this document at Formatting Instructions for Financial Composite Input Templates</dc:description>
  <cp:lastModifiedBy>Eric LeBow</cp:lastModifiedBy>
  <cp:revision/>
  <dcterms:created xsi:type="dcterms:W3CDTF">2014-01-23T14:16:49Z</dcterms:created>
  <dcterms:modified xsi:type="dcterms:W3CDTF">2025-11-12T23:36:03Z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0x010100DFB87CC1E083DB48A1B8D37C2DED4ED2</vt:lpwstr>
  </property>
  <property fmtid="{D5CDD505-2E9C-101B-9397-08002B2CF9AE}" pid="3" name="MediaServiceImageTags">
    <vt:lpwstr/>
  </property>
</Properties>
</file>